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drawings/drawing1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xml"/>
  <Override PartName="/xl/ctrlProps/ctrlProp8.xml" ContentType="application/vnd.ms-excel.controlproperties+xml"/>
  <Override PartName="/xl/ctrlProps/ctrlProp9.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EstaPastaDeTrabalho"/>
  <mc:AlternateContent xmlns:mc="http://schemas.openxmlformats.org/markup-compatibility/2006">
    <mc:Choice Requires="x15">
      <x15ac:absPath xmlns:x15ac="http://schemas.microsoft.com/office/spreadsheetml/2010/11/ac" url="D:\Onside ® - Planilhas Profissionais\"/>
    </mc:Choice>
  </mc:AlternateContent>
  <xr:revisionPtr revIDLastSave="0" documentId="13_ncr:1_{263DB7BA-FBD1-40A8-B932-CFBF23409C15}" xr6:coauthVersionLast="47" xr6:coauthVersionMax="47" xr10:uidLastSave="{00000000-0000-0000-0000-000000000000}"/>
  <workbookProtection workbookAlgorithmName="SHA-512" workbookHashValue="Vz73LRaUsHYli/Yw14UaNdPVLl+kRsySlNGSzN6t/A2eJ2FsGy6ywntwotLokjpoqzjL8ml0GXZCvb6SgcYydw==" workbookSaltValue="3RR3uv+v0UY6ioRxEBy4Aw==" workbookSpinCount="100000" lockStructure="1"/>
  <bookViews>
    <workbookView showSheetTabs="0" xWindow="-120" yWindow="-120" windowWidth="29040" windowHeight="15840" tabRatio="933" firstSheet="4" activeTab="4" xr2:uid="{00000000-000D-0000-FFFF-FFFF00000000}"/>
  </bookViews>
  <sheets>
    <sheet name="BH (1)" sheetId="1" state="hidden" r:id="rId1"/>
    <sheet name="BH (2)" sheetId="35" state="hidden" r:id="rId2"/>
    <sheet name="Suporte" sheetId="2" state="hidden" r:id="rId3"/>
    <sheet name="Info" sheetId="33" state="hidden" r:id="rId4"/>
    <sheet name="Acesso" sheetId="34" r:id="rId5"/>
    <sheet name="GO" sheetId="31" state="hidden" r:id="rId6"/>
    <sheet name="Início" sheetId="5" state="hidden" r:id="rId7"/>
    <sheet name="Aprendizado" sheetId="32" state="hidden" r:id="rId8"/>
    <sheet name="Cadastros" sheetId="6" state="hidden" r:id="rId9"/>
    <sheet name="DespF" sheetId="13" state="hidden" r:id="rId10"/>
    <sheet name="Prod 1" sheetId="37" state="hidden" r:id="rId11"/>
    <sheet name="Prod 2" sheetId="38" state="hidden" r:id="rId12"/>
    <sheet name="Prod 3" sheetId="39" state="hidden" r:id="rId13"/>
    <sheet name="Controles" sheetId="8" state="hidden" r:id="rId14"/>
    <sheet name="Relatórios" sheetId="9" state="hidden" r:id="rId15"/>
    <sheet name="PProduto" sheetId="40" state="hidden" r:id="rId16"/>
    <sheet name="Impressão" sheetId="11" state="hidden" r:id="rId17"/>
    <sheet name="Dashboard" sheetId="10" state="hidden" r:id="rId18"/>
    <sheet name="Analítico" sheetId="12" state="hidden" r:id="rId19"/>
  </sheets>
  <functionGroups builtInGroupCount="19"/>
  <definedNames>
    <definedName name="_xlnm._FilterDatabase" localSheetId="13" hidden="1">Controles!$C$4:$I$4</definedName>
    <definedName name="_xlnm._FilterDatabase" localSheetId="9" hidden="1">DespF!$C$6:$D$6</definedName>
    <definedName name="_xlnm._FilterDatabase" localSheetId="10" hidden="1">'Prod 1'!$C$4:$J$4</definedName>
    <definedName name="_xlnm._FilterDatabase" localSheetId="11" hidden="1">'Prod 2'!$C$4:$K$4</definedName>
    <definedName name="_xlnm._FilterDatabase" localSheetId="12" hidden="1">'Prod 3'!$C$4:$G$4</definedName>
    <definedName name="_xlnm.Print_Area" localSheetId="13">Controles!$C$4:$I$1004</definedName>
    <definedName name="_xlnm.Print_Area" localSheetId="16">Impressão!$D$7:$U$86</definedName>
    <definedName name="_xlnm.Print_Area" localSheetId="15">PProduto!$C$4:$G$10</definedName>
    <definedName name="_xlnm.Print_Area" localSheetId="14">Relatórios!$C$4:$G$10</definedName>
    <definedName name="Produtos">OFFSET('BH (1)'!$B$6,0,0,'BH (1)'!$B$5,1)</definedName>
    <definedName name="Tipo">'BH (1)'!$C$19:$C$21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9" l="1"/>
  <c r="G3" i="1"/>
  <c r="F3" i="1"/>
  <c r="E3" i="1"/>
  <c r="C24" i="1"/>
  <c r="S5" i="35"/>
  <c r="S6" i="35"/>
  <c r="S7" i="35"/>
  <c r="S8" i="35"/>
  <c r="Q8" i="35" s="1"/>
  <c r="S9" i="35"/>
  <c r="S10" i="35"/>
  <c r="S11" i="35"/>
  <c r="S12" i="35"/>
  <c r="Q12" i="35" s="1"/>
  <c r="S13" i="35"/>
  <c r="Q13" i="35" s="1"/>
  <c r="S14" i="35"/>
  <c r="Q14" i="35" s="1"/>
  <c r="S15" i="35"/>
  <c r="S16" i="35"/>
  <c r="Q16" i="35" s="1"/>
  <c r="S17" i="35"/>
  <c r="S18" i="35"/>
  <c r="S19" i="35"/>
  <c r="S20" i="35"/>
  <c r="Q20" i="35" s="1"/>
  <c r="S21" i="35"/>
  <c r="Q21" i="35" s="1"/>
  <c r="S22" i="35"/>
  <c r="Q22" i="35" s="1"/>
  <c r="S23" i="35"/>
  <c r="S24" i="35"/>
  <c r="Q24" i="35" s="1"/>
  <c r="S25" i="35"/>
  <c r="S26" i="35"/>
  <c r="S27" i="35"/>
  <c r="S28" i="35"/>
  <c r="Q28" i="35" s="1"/>
  <c r="S29" i="35"/>
  <c r="Q29" i="35" s="1"/>
  <c r="S30" i="35"/>
  <c r="Q30" i="35" s="1"/>
  <c r="S31" i="35"/>
  <c r="S32" i="35"/>
  <c r="Q32" i="35" s="1"/>
  <c r="S33" i="35"/>
  <c r="S34" i="35"/>
  <c r="S35" i="35"/>
  <c r="S36" i="35"/>
  <c r="Q36" i="35" s="1"/>
  <c r="S37" i="35"/>
  <c r="Q37" i="35" s="1"/>
  <c r="S38" i="35"/>
  <c r="Q38" i="35" s="1"/>
  <c r="S39" i="35"/>
  <c r="S40" i="35"/>
  <c r="Q40" i="35" s="1"/>
  <c r="S41" i="35"/>
  <c r="S42" i="35"/>
  <c r="S43" i="35"/>
  <c r="S44" i="35"/>
  <c r="Q44" i="35" s="1"/>
  <c r="S45" i="35"/>
  <c r="Q45" i="35" s="1"/>
  <c r="S46" i="35"/>
  <c r="Q46" i="35" s="1"/>
  <c r="S47" i="35"/>
  <c r="S48" i="35"/>
  <c r="Q48" i="35" s="1"/>
  <c r="S49" i="35"/>
  <c r="S50" i="35"/>
  <c r="S51" i="35"/>
  <c r="S52" i="35"/>
  <c r="Q52" i="35" s="1"/>
  <c r="S53" i="35"/>
  <c r="Q53" i="35" s="1"/>
  <c r="S54" i="35"/>
  <c r="Q54" i="35" s="1"/>
  <c r="S55" i="35"/>
  <c r="S56" i="35"/>
  <c r="Q56" i="35" s="1"/>
  <c r="S57" i="35"/>
  <c r="S58" i="35"/>
  <c r="S59" i="35"/>
  <c r="S60" i="35"/>
  <c r="Q60" i="35" s="1"/>
  <c r="S61" i="35"/>
  <c r="Q61" i="35" s="1"/>
  <c r="S62" i="35"/>
  <c r="Q62" i="35" s="1"/>
  <c r="S63" i="35"/>
  <c r="S64" i="35"/>
  <c r="Q64" i="35" s="1"/>
  <c r="S65" i="35"/>
  <c r="S66" i="35"/>
  <c r="S67" i="35"/>
  <c r="S68" i="35"/>
  <c r="Q68" i="35" s="1"/>
  <c r="S69" i="35"/>
  <c r="Q69" i="35" s="1"/>
  <c r="S70" i="35"/>
  <c r="S71" i="35"/>
  <c r="S72" i="35"/>
  <c r="Q72" i="35" s="1"/>
  <c r="S73" i="35"/>
  <c r="S74" i="35"/>
  <c r="S75" i="35"/>
  <c r="S76" i="35"/>
  <c r="Q76" i="35" s="1"/>
  <c r="S77" i="35"/>
  <c r="Q77" i="35" s="1"/>
  <c r="S78" i="35"/>
  <c r="Q78" i="35" s="1"/>
  <c r="S79" i="35"/>
  <c r="S80" i="35"/>
  <c r="Q80" i="35" s="1"/>
  <c r="S81" i="35"/>
  <c r="S82" i="35"/>
  <c r="S83" i="35"/>
  <c r="S84" i="35"/>
  <c r="Q84" i="35" s="1"/>
  <c r="S85" i="35"/>
  <c r="Q85" i="35" s="1"/>
  <c r="S86" i="35"/>
  <c r="Q86" i="35" s="1"/>
  <c r="S87" i="35"/>
  <c r="S88" i="35"/>
  <c r="Q88" i="35" s="1"/>
  <c r="S89" i="35"/>
  <c r="S90" i="35"/>
  <c r="S91" i="35"/>
  <c r="S92" i="35"/>
  <c r="Q92" i="35" s="1"/>
  <c r="S93" i="35"/>
  <c r="Q93" i="35" s="1"/>
  <c r="S94" i="35"/>
  <c r="Q94" i="35" s="1"/>
  <c r="S95" i="35"/>
  <c r="S96" i="35"/>
  <c r="Q96" i="35" s="1"/>
  <c r="S97" i="35"/>
  <c r="S98" i="35"/>
  <c r="S99" i="35"/>
  <c r="S100" i="35"/>
  <c r="Q100" i="35" s="1"/>
  <c r="S101" i="35"/>
  <c r="S102" i="35"/>
  <c r="Q102" i="35" s="1"/>
  <c r="S103" i="35"/>
  <c r="S104" i="35"/>
  <c r="Q104" i="35" s="1"/>
  <c r="S105" i="35"/>
  <c r="S106" i="35"/>
  <c r="S107" i="35"/>
  <c r="S108" i="35"/>
  <c r="Q108" i="35" s="1"/>
  <c r="S109" i="35"/>
  <c r="Q109" i="35" s="1"/>
  <c r="S110" i="35"/>
  <c r="S111" i="35"/>
  <c r="S112" i="35"/>
  <c r="Q112" i="35" s="1"/>
  <c r="S113" i="35"/>
  <c r="S114" i="35"/>
  <c r="S115" i="35"/>
  <c r="S116" i="35"/>
  <c r="Q116" i="35" s="1"/>
  <c r="S117" i="35"/>
  <c r="Q117" i="35" s="1"/>
  <c r="S118" i="35"/>
  <c r="Q118" i="35" s="1"/>
  <c r="S119" i="35"/>
  <c r="S120" i="35"/>
  <c r="Q120" i="35" s="1"/>
  <c r="S121" i="35"/>
  <c r="S122" i="35"/>
  <c r="S123" i="35"/>
  <c r="S124" i="35"/>
  <c r="Q124" i="35" s="1"/>
  <c r="S125" i="35"/>
  <c r="Q125" i="35" s="1"/>
  <c r="S126" i="35"/>
  <c r="Q126" i="35" s="1"/>
  <c r="S127" i="35"/>
  <c r="S128" i="35"/>
  <c r="Q128" i="35" s="1"/>
  <c r="S129" i="35"/>
  <c r="S130" i="35"/>
  <c r="S131" i="35"/>
  <c r="S132" i="35"/>
  <c r="Q132" i="35" s="1"/>
  <c r="S133" i="35"/>
  <c r="Q133" i="35" s="1"/>
  <c r="S134" i="35"/>
  <c r="Q134" i="35" s="1"/>
  <c r="S135" i="35"/>
  <c r="S136" i="35"/>
  <c r="Q136" i="35" s="1"/>
  <c r="S137" i="35"/>
  <c r="S138" i="35"/>
  <c r="S139" i="35"/>
  <c r="S140" i="35"/>
  <c r="Q140" i="35" s="1"/>
  <c r="S141" i="35"/>
  <c r="Q141" i="35" s="1"/>
  <c r="S142" i="35"/>
  <c r="Q142" i="35" s="1"/>
  <c r="S143" i="35"/>
  <c r="S144" i="35"/>
  <c r="Q144" i="35" s="1"/>
  <c r="S145" i="35"/>
  <c r="S146" i="35"/>
  <c r="S147" i="35"/>
  <c r="S148" i="35"/>
  <c r="Q148" i="35" s="1"/>
  <c r="S149" i="35"/>
  <c r="Q149" i="35" s="1"/>
  <c r="S150" i="35"/>
  <c r="Q150" i="35" s="1"/>
  <c r="S151" i="35"/>
  <c r="S152" i="35"/>
  <c r="Q152" i="35" s="1"/>
  <c r="S153" i="35"/>
  <c r="S154" i="35"/>
  <c r="S155" i="35"/>
  <c r="S156" i="35"/>
  <c r="Q156" i="35" s="1"/>
  <c r="S157" i="35"/>
  <c r="Q157" i="35" s="1"/>
  <c r="S158" i="35"/>
  <c r="Q158" i="35" s="1"/>
  <c r="S159" i="35"/>
  <c r="S160" i="35"/>
  <c r="Q160" i="35" s="1"/>
  <c r="S161" i="35"/>
  <c r="S162" i="35"/>
  <c r="S163" i="35"/>
  <c r="S164" i="35"/>
  <c r="Q164" i="35" s="1"/>
  <c r="S165" i="35"/>
  <c r="S166" i="35"/>
  <c r="S167" i="35"/>
  <c r="S168" i="35"/>
  <c r="Q168" i="35" s="1"/>
  <c r="S169" i="35"/>
  <c r="S170" i="35"/>
  <c r="S171" i="35"/>
  <c r="S172" i="35"/>
  <c r="Q172" i="35" s="1"/>
  <c r="S173" i="35"/>
  <c r="Q173" i="35" s="1"/>
  <c r="S174" i="35"/>
  <c r="Q174" i="35" s="1"/>
  <c r="S175" i="35"/>
  <c r="S176" i="35"/>
  <c r="Q176" i="35" s="1"/>
  <c r="S177" i="35"/>
  <c r="S178" i="35"/>
  <c r="S179" i="35"/>
  <c r="S180" i="35"/>
  <c r="Q180" i="35" s="1"/>
  <c r="S181" i="35"/>
  <c r="Q181" i="35" s="1"/>
  <c r="S182" i="35"/>
  <c r="Q182" i="35" s="1"/>
  <c r="S183" i="35"/>
  <c r="S184" i="35"/>
  <c r="Q184" i="35" s="1"/>
  <c r="S185" i="35"/>
  <c r="S186" i="35"/>
  <c r="S187" i="35"/>
  <c r="S188" i="35"/>
  <c r="Q188" i="35" s="1"/>
  <c r="S189" i="35"/>
  <c r="Q189" i="35" s="1"/>
  <c r="S190" i="35"/>
  <c r="Q190" i="35" s="1"/>
  <c r="S191" i="35"/>
  <c r="S192" i="35"/>
  <c r="Q192" i="35" s="1"/>
  <c r="S193" i="35"/>
  <c r="S194" i="35"/>
  <c r="S195" i="35"/>
  <c r="S196" i="35"/>
  <c r="Q196" i="35" s="1"/>
  <c r="S197" i="35"/>
  <c r="Q197" i="35" s="1"/>
  <c r="S198" i="35"/>
  <c r="Q198" i="35" s="1"/>
  <c r="S199" i="35"/>
  <c r="S200" i="35"/>
  <c r="Q200" i="35" s="1"/>
  <c r="S201" i="35"/>
  <c r="S202" i="35"/>
  <c r="S203" i="35"/>
  <c r="S204" i="35"/>
  <c r="Q204" i="35" s="1"/>
  <c r="S205" i="35"/>
  <c r="Q205" i="35" s="1"/>
  <c r="S206" i="35"/>
  <c r="S207" i="35"/>
  <c r="S208" i="35"/>
  <c r="Q208" i="35" s="1"/>
  <c r="S209" i="35"/>
  <c r="S210" i="35"/>
  <c r="S211" i="35"/>
  <c r="S212" i="35"/>
  <c r="Q212" i="35" s="1"/>
  <c r="S213" i="35"/>
  <c r="Q213" i="35" s="1"/>
  <c r="S214" i="35"/>
  <c r="Q214" i="35" s="1"/>
  <c r="S215" i="35"/>
  <c r="S216" i="35"/>
  <c r="Q216" i="35" s="1"/>
  <c r="S217" i="35"/>
  <c r="S218" i="35"/>
  <c r="S219" i="35"/>
  <c r="S220" i="35"/>
  <c r="Q220" i="35" s="1"/>
  <c r="S221" i="35"/>
  <c r="Q221" i="35" s="1"/>
  <c r="S222" i="35"/>
  <c r="Q222" i="35" s="1"/>
  <c r="S223" i="35"/>
  <c r="S224" i="35"/>
  <c r="Q224" i="35" s="1"/>
  <c r="S225" i="35"/>
  <c r="S226" i="35"/>
  <c r="S227" i="35"/>
  <c r="S228" i="35"/>
  <c r="Q228" i="35" s="1"/>
  <c r="S229" i="35"/>
  <c r="Q229" i="35" s="1"/>
  <c r="S230" i="35"/>
  <c r="Q230" i="35" s="1"/>
  <c r="S231" i="35"/>
  <c r="S232" i="35"/>
  <c r="Q232" i="35" s="1"/>
  <c r="S233" i="35"/>
  <c r="S234" i="35"/>
  <c r="S235" i="35"/>
  <c r="S236" i="35"/>
  <c r="Q236" i="35" s="1"/>
  <c r="S237" i="35"/>
  <c r="Q237" i="35" s="1"/>
  <c r="S238" i="35"/>
  <c r="Q238" i="35" s="1"/>
  <c r="S239" i="35"/>
  <c r="S240" i="35"/>
  <c r="Q240" i="35" s="1"/>
  <c r="S241" i="35"/>
  <c r="S242" i="35"/>
  <c r="S243" i="35"/>
  <c r="S244" i="35"/>
  <c r="Q244" i="35" s="1"/>
  <c r="S245" i="35"/>
  <c r="Q245" i="35" s="1"/>
  <c r="S246" i="35"/>
  <c r="Q246" i="35" s="1"/>
  <c r="S247" i="35"/>
  <c r="S248" i="35"/>
  <c r="Q248" i="35" s="1"/>
  <c r="S249" i="35"/>
  <c r="S250" i="35"/>
  <c r="S251" i="35"/>
  <c r="S252" i="35"/>
  <c r="Q252" i="35" s="1"/>
  <c r="S253" i="35"/>
  <c r="Q253" i="35" s="1"/>
  <c r="S254" i="35"/>
  <c r="Q254" i="35" s="1"/>
  <c r="S255" i="35"/>
  <c r="S256" i="35"/>
  <c r="Q256" i="35" s="1"/>
  <c r="S257" i="35"/>
  <c r="S258" i="35"/>
  <c r="S259" i="35"/>
  <c r="S260" i="35"/>
  <c r="Q260" i="35" s="1"/>
  <c r="S261" i="35"/>
  <c r="S262" i="35"/>
  <c r="Q262" i="35" s="1"/>
  <c r="S263" i="35"/>
  <c r="S264" i="35"/>
  <c r="Q264" i="35" s="1"/>
  <c r="S265" i="35"/>
  <c r="S266" i="35"/>
  <c r="S267" i="35"/>
  <c r="S268" i="35"/>
  <c r="Q268" i="35" s="1"/>
  <c r="S269" i="35"/>
  <c r="Q269" i="35" s="1"/>
  <c r="S270" i="35"/>
  <c r="Q270" i="35" s="1"/>
  <c r="S271" i="35"/>
  <c r="S272" i="35"/>
  <c r="Q272" i="35" s="1"/>
  <c r="S273" i="35"/>
  <c r="S274" i="35"/>
  <c r="S275" i="35"/>
  <c r="S276" i="35"/>
  <c r="Q276" i="35" s="1"/>
  <c r="S277" i="35"/>
  <c r="Q277" i="35" s="1"/>
  <c r="S278" i="35"/>
  <c r="Q278" i="35" s="1"/>
  <c r="S279" i="35"/>
  <c r="S280" i="35"/>
  <c r="Q280" i="35" s="1"/>
  <c r="S281" i="35"/>
  <c r="S282" i="35"/>
  <c r="S283" i="35"/>
  <c r="S284" i="35"/>
  <c r="Q284" i="35" s="1"/>
  <c r="S285" i="35"/>
  <c r="Q285" i="35" s="1"/>
  <c r="S286" i="35"/>
  <c r="Q286" i="35" s="1"/>
  <c r="S287" i="35"/>
  <c r="S288" i="35"/>
  <c r="Q288" i="35" s="1"/>
  <c r="S289" i="35"/>
  <c r="S290" i="35"/>
  <c r="S291" i="35"/>
  <c r="S292" i="35"/>
  <c r="Q292" i="35" s="1"/>
  <c r="S293" i="35"/>
  <c r="Q293" i="35" s="1"/>
  <c r="S294" i="35"/>
  <c r="Q294" i="35" s="1"/>
  <c r="S295" i="35"/>
  <c r="S296" i="35"/>
  <c r="Q296" i="35" s="1"/>
  <c r="S297" i="35"/>
  <c r="S298" i="35"/>
  <c r="S299" i="35"/>
  <c r="S300" i="35"/>
  <c r="Q300" i="35" s="1"/>
  <c r="S301" i="35"/>
  <c r="Q301" i="35" s="1"/>
  <c r="S302" i="35"/>
  <c r="S303" i="35"/>
  <c r="S304" i="35"/>
  <c r="Q304" i="35" s="1"/>
  <c r="S305" i="35"/>
  <c r="S306" i="35"/>
  <c r="S307" i="35"/>
  <c r="S308" i="35"/>
  <c r="Q308" i="35" s="1"/>
  <c r="S309" i="35"/>
  <c r="Q309" i="35" s="1"/>
  <c r="S310" i="35"/>
  <c r="Q310" i="35" s="1"/>
  <c r="S311" i="35"/>
  <c r="S312" i="35"/>
  <c r="Q312" i="35" s="1"/>
  <c r="S313" i="35"/>
  <c r="S314" i="35"/>
  <c r="S315" i="35"/>
  <c r="S316" i="35"/>
  <c r="Q316" i="35" s="1"/>
  <c r="S317" i="35"/>
  <c r="Q317" i="35" s="1"/>
  <c r="S318" i="35"/>
  <c r="Q318" i="35" s="1"/>
  <c r="S319" i="35"/>
  <c r="S320" i="35"/>
  <c r="Q320" i="35" s="1"/>
  <c r="S321" i="35"/>
  <c r="S322" i="35"/>
  <c r="S323" i="35"/>
  <c r="S324" i="35"/>
  <c r="Q324" i="35" s="1"/>
  <c r="S325" i="35"/>
  <c r="Q325" i="35" s="1"/>
  <c r="S326" i="35"/>
  <c r="Q326" i="35" s="1"/>
  <c r="S327" i="35"/>
  <c r="S328" i="35"/>
  <c r="Q328" i="35" s="1"/>
  <c r="S329" i="35"/>
  <c r="S330" i="35"/>
  <c r="S331" i="35"/>
  <c r="S332" i="35"/>
  <c r="Q332" i="35" s="1"/>
  <c r="S333" i="35"/>
  <c r="Q333" i="35" s="1"/>
  <c r="S334" i="35"/>
  <c r="Q334" i="35" s="1"/>
  <c r="S335" i="35"/>
  <c r="S336" i="35"/>
  <c r="Q336" i="35" s="1"/>
  <c r="S337" i="35"/>
  <c r="S338" i="35"/>
  <c r="S339" i="35"/>
  <c r="S340" i="35"/>
  <c r="Q340" i="35" s="1"/>
  <c r="S341" i="35"/>
  <c r="Q341" i="35" s="1"/>
  <c r="S342" i="35"/>
  <c r="Q342" i="35" s="1"/>
  <c r="S343" i="35"/>
  <c r="S344" i="35"/>
  <c r="Q344" i="35" s="1"/>
  <c r="S345" i="35"/>
  <c r="S346" i="35"/>
  <c r="S347" i="35"/>
  <c r="S348" i="35"/>
  <c r="Q348" i="35" s="1"/>
  <c r="S349" i="35"/>
  <c r="Q349" i="35" s="1"/>
  <c r="S350" i="35"/>
  <c r="Q350" i="35" s="1"/>
  <c r="S351" i="35"/>
  <c r="S352" i="35"/>
  <c r="Q352" i="35" s="1"/>
  <c r="S353" i="35"/>
  <c r="S354" i="35"/>
  <c r="S355" i="35"/>
  <c r="S356" i="35"/>
  <c r="Q356" i="35" s="1"/>
  <c r="S357" i="35"/>
  <c r="S358" i="35"/>
  <c r="Q358" i="35" s="1"/>
  <c r="S359" i="35"/>
  <c r="S360" i="35"/>
  <c r="Q360" i="35" s="1"/>
  <c r="S361" i="35"/>
  <c r="S362" i="35"/>
  <c r="S363" i="35"/>
  <c r="S364" i="35"/>
  <c r="Q364" i="35" s="1"/>
  <c r="S365" i="35"/>
  <c r="Q365" i="35" s="1"/>
  <c r="S366" i="35"/>
  <c r="Q366" i="35" s="1"/>
  <c r="S367" i="35"/>
  <c r="S368" i="35"/>
  <c r="Q368" i="35" s="1"/>
  <c r="S369" i="35"/>
  <c r="S370" i="35"/>
  <c r="S371" i="35"/>
  <c r="S372" i="35"/>
  <c r="Q372" i="35" s="1"/>
  <c r="S373" i="35"/>
  <c r="Q373" i="35" s="1"/>
  <c r="S374" i="35"/>
  <c r="Q374" i="35" s="1"/>
  <c r="S375" i="35"/>
  <c r="S376" i="35"/>
  <c r="Q376" i="35" s="1"/>
  <c r="S377" i="35"/>
  <c r="S378" i="35"/>
  <c r="S379" i="35"/>
  <c r="S380" i="35"/>
  <c r="Q380" i="35" s="1"/>
  <c r="S381" i="35"/>
  <c r="Q381" i="35" s="1"/>
  <c r="S382" i="35"/>
  <c r="Q382" i="35" s="1"/>
  <c r="S383" i="35"/>
  <c r="S384" i="35"/>
  <c r="Q384" i="35" s="1"/>
  <c r="S385" i="35"/>
  <c r="S386" i="35"/>
  <c r="S387" i="35"/>
  <c r="S388" i="35"/>
  <c r="Q388" i="35" s="1"/>
  <c r="S389" i="35"/>
  <c r="S390" i="35"/>
  <c r="Q390" i="35" s="1"/>
  <c r="S391" i="35"/>
  <c r="S392" i="35"/>
  <c r="Q392" i="35" s="1"/>
  <c r="S393" i="35"/>
  <c r="S394" i="35"/>
  <c r="S395" i="35"/>
  <c r="S396" i="35"/>
  <c r="Q396" i="35" s="1"/>
  <c r="S397" i="35"/>
  <c r="Q397" i="35" s="1"/>
  <c r="S398" i="35"/>
  <c r="Q398" i="35" s="1"/>
  <c r="S399" i="35"/>
  <c r="S400" i="35"/>
  <c r="Q400" i="35" s="1"/>
  <c r="S401" i="35"/>
  <c r="S402" i="35"/>
  <c r="S403" i="35"/>
  <c r="S404" i="35"/>
  <c r="Q404" i="35" s="1"/>
  <c r="S405" i="35"/>
  <c r="Q405" i="35" s="1"/>
  <c r="S406" i="35"/>
  <c r="Q406" i="35" s="1"/>
  <c r="S407" i="35"/>
  <c r="S408" i="35"/>
  <c r="Q408" i="35" s="1"/>
  <c r="S409" i="35"/>
  <c r="S410" i="35"/>
  <c r="S411" i="35"/>
  <c r="S412" i="35"/>
  <c r="Q412" i="35" s="1"/>
  <c r="S413" i="35"/>
  <c r="Q413" i="35" s="1"/>
  <c r="S414" i="35"/>
  <c r="Q414" i="35" s="1"/>
  <c r="S415" i="35"/>
  <c r="S416" i="35"/>
  <c r="Q416" i="35" s="1"/>
  <c r="S417" i="35"/>
  <c r="S418" i="35"/>
  <c r="S419" i="35"/>
  <c r="S420" i="35"/>
  <c r="Q420" i="35" s="1"/>
  <c r="S421" i="35"/>
  <c r="Q421" i="35" s="1"/>
  <c r="S422" i="35"/>
  <c r="Q422" i="35" s="1"/>
  <c r="S423" i="35"/>
  <c r="S424" i="35"/>
  <c r="Q424" i="35" s="1"/>
  <c r="S425" i="35"/>
  <c r="S426" i="35"/>
  <c r="S427" i="35"/>
  <c r="S428" i="35"/>
  <c r="Q428" i="35" s="1"/>
  <c r="S429" i="35"/>
  <c r="Q429" i="35" s="1"/>
  <c r="S430" i="35"/>
  <c r="S431" i="35"/>
  <c r="S432" i="35"/>
  <c r="Q432" i="35" s="1"/>
  <c r="S433" i="35"/>
  <c r="S434" i="35"/>
  <c r="S435" i="35"/>
  <c r="S436" i="35"/>
  <c r="Q436" i="35" s="1"/>
  <c r="S437" i="35"/>
  <c r="Q437" i="35" s="1"/>
  <c r="S438" i="35"/>
  <c r="Q438" i="35" s="1"/>
  <c r="S439" i="35"/>
  <c r="S440" i="35"/>
  <c r="Q440" i="35" s="1"/>
  <c r="S441" i="35"/>
  <c r="S442" i="35"/>
  <c r="S443" i="35"/>
  <c r="S444" i="35"/>
  <c r="Q444" i="35" s="1"/>
  <c r="S445" i="35"/>
  <c r="Q445" i="35" s="1"/>
  <c r="S446" i="35"/>
  <c r="Q446" i="35" s="1"/>
  <c r="S447" i="35"/>
  <c r="S448" i="35"/>
  <c r="Q448" i="35" s="1"/>
  <c r="S449" i="35"/>
  <c r="S450" i="35"/>
  <c r="S451" i="35"/>
  <c r="S452" i="35"/>
  <c r="Q452" i="35" s="1"/>
  <c r="S453" i="35"/>
  <c r="Q453" i="35" s="1"/>
  <c r="S454" i="35"/>
  <c r="Q454" i="35" s="1"/>
  <c r="S455" i="35"/>
  <c r="S456" i="35"/>
  <c r="Q456" i="35" s="1"/>
  <c r="S457" i="35"/>
  <c r="S458" i="35"/>
  <c r="S459" i="35"/>
  <c r="S460" i="35"/>
  <c r="Q460" i="35" s="1"/>
  <c r="S461" i="35"/>
  <c r="Q461" i="35" s="1"/>
  <c r="S462" i="35"/>
  <c r="Q462" i="35" s="1"/>
  <c r="S463" i="35"/>
  <c r="S464" i="35"/>
  <c r="Q464" i="35" s="1"/>
  <c r="S465" i="35"/>
  <c r="S466" i="35"/>
  <c r="S467" i="35"/>
  <c r="S468" i="35"/>
  <c r="Q468" i="35" s="1"/>
  <c r="S469" i="35"/>
  <c r="Q469" i="35" s="1"/>
  <c r="S470" i="35"/>
  <c r="Q470" i="35" s="1"/>
  <c r="S471" i="35"/>
  <c r="S472" i="35"/>
  <c r="Q472" i="35" s="1"/>
  <c r="S473" i="35"/>
  <c r="S474" i="35"/>
  <c r="S475" i="35"/>
  <c r="S476" i="35"/>
  <c r="Q476" i="35" s="1"/>
  <c r="S477" i="35"/>
  <c r="Q477" i="35" s="1"/>
  <c r="S478" i="35"/>
  <c r="Q478" i="35" s="1"/>
  <c r="S479" i="35"/>
  <c r="S480" i="35"/>
  <c r="Q480" i="35" s="1"/>
  <c r="S481" i="35"/>
  <c r="S482" i="35"/>
  <c r="S483" i="35"/>
  <c r="S484" i="35"/>
  <c r="Q484" i="35" s="1"/>
  <c r="S485" i="35"/>
  <c r="S486" i="35"/>
  <c r="Q486" i="35" s="1"/>
  <c r="S487" i="35"/>
  <c r="S488" i="35"/>
  <c r="Q488" i="35" s="1"/>
  <c r="S489" i="35"/>
  <c r="S490" i="35"/>
  <c r="S491" i="35"/>
  <c r="S492" i="35"/>
  <c r="Q492" i="35" s="1"/>
  <c r="S493" i="35"/>
  <c r="Q493" i="35" s="1"/>
  <c r="S494" i="35"/>
  <c r="Q494" i="35" s="1"/>
  <c r="S495" i="35"/>
  <c r="S496" i="35"/>
  <c r="Q496" i="35" s="1"/>
  <c r="S497" i="35"/>
  <c r="S498" i="35"/>
  <c r="S499" i="35"/>
  <c r="S500" i="35"/>
  <c r="Q500" i="35" s="1"/>
  <c r="S501" i="35"/>
  <c r="Q501" i="35" s="1"/>
  <c r="S502" i="35"/>
  <c r="Q502" i="35" s="1"/>
  <c r="S503" i="35"/>
  <c r="S504" i="35"/>
  <c r="Q504" i="35" s="1"/>
  <c r="S505" i="35"/>
  <c r="S506" i="35"/>
  <c r="S507" i="35"/>
  <c r="S508" i="35"/>
  <c r="Q508" i="35" s="1"/>
  <c r="S509" i="35"/>
  <c r="Q509" i="35" s="1"/>
  <c r="S510" i="35"/>
  <c r="Q510" i="35" s="1"/>
  <c r="S511" i="35"/>
  <c r="S512" i="35"/>
  <c r="Q512" i="35" s="1"/>
  <c r="S513" i="35"/>
  <c r="S514" i="35"/>
  <c r="S515" i="35"/>
  <c r="S516" i="35"/>
  <c r="Q516" i="35" s="1"/>
  <c r="S517" i="35"/>
  <c r="S518" i="35"/>
  <c r="Q518" i="35" s="1"/>
  <c r="S519" i="35"/>
  <c r="S520" i="35"/>
  <c r="Q520" i="35" s="1"/>
  <c r="S521" i="35"/>
  <c r="S522" i="35"/>
  <c r="S523" i="35"/>
  <c r="S524" i="35"/>
  <c r="Q524" i="35" s="1"/>
  <c r="S525" i="35"/>
  <c r="Q525" i="35" s="1"/>
  <c r="S526" i="35"/>
  <c r="Q526" i="35" s="1"/>
  <c r="S527" i="35"/>
  <c r="S528" i="35"/>
  <c r="Q528" i="35" s="1"/>
  <c r="S529" i="35"/>
  <c r="S530" i="35"/>
  <c r="S531" i="35"/>
  <c r="S532" i="35"/>
  <c r="Q532" i="35" s="1"/>
  <c r="S533" i="35"/>
  <c r="Q533" i="35" s="1"/>
  <c r="S534" i="35"/>
  <c r="Q534" i="35" s="1"/>
  <c r="S535" i="35"/>
  <c r="S536" i="35"/>
  <c r="Q536" i="35" s="1"/>
  <c r="S537" i="35"/>
  <c r="S538" i="35"/>
  <c r="S539" i="35"/>
  <c r="S540" i="35"/>
  <c r="Q540" i="35" s="1"/>
  <c r="S541" i="35"/>
  <c r="Q541" i="35" s="1"/>
  <c r="S542" i="35"/>
  <c r="Q542" i="35" s="1"/>
  <c r="S543" i="35"/>
  <c r="S544" i="35"/>
  <c r="Q544" i="35" s="1"/>
  <c r="S545" i="35"/>
  <c r="S546" i="35"/>
  <c r="S547" i="35"/>
  <c r="S548" i="35"/>
  <c r="Q548" i="35" s="1"/>
  <c r="S549" i="35"/>
  <c r="Q549" i="35" s="1"/>
  <c r="S550" i="35"/>
  <c r="Q550" i="35" s="1"/>
  <c r="S551" i="35"/>
  <c r="S552" i="35"/>
  <c r="Q552" i="35" s="1"/>
  <c r="S553" i="35"/>
  <c r="S554" i="35"/>
  <c r="S555" i="35"/>
  <c r="S556" i="35"/>
  <c r="Q556" i="35" s="1"/>
  <c r="S557" i="35"/>
  <c r="Q557" i="35" s="1"/>
  <c r="S558" i="35"/>
  <c r="S559" i="35"/>
  <c r="S560" i="35"/>
  <c r="Q560" i="35" s="1"/>
  <c r="S561" i="35"/>
  <c r="S562" i="35"/>
  <c r="S563" i="35"/>
  <c r="S564" i="35"/>
  <c r="Q564" i="35" s="1"/>
  <c r="S565" i="35"/>
  <c r="Q565" i="35" s="1"/>
  <c r="S566" i="35"/>
  <c r="Q566" i="35" s="1"/>
  <c r="S567" i="35"/>
  <c r="S568" i="35"/>
  <c r="Q568" i="35" s="1"/>
  <c r="S569" i="35"/>
  <c r="S570" i="35"/>
  <c r="S571" i="35"/>
  <c r="S572" i="35"/>
  <c r="Q572" i="35" s="1"/>
  <c r="S573" i="35"/>
  <c r="Q573" i="35" s="1"/>
  <c r="S574" i="35"/>
  <c r="Q574" i="35" s="1"/>
  <c r="S575" i="35"/>
  <c r="S576" i="35"/>
  <c r="Q576" i="35" s="1"/>
  <c r="S577" i="35"/>
  <c r="S578" i="35"/>
  <c r="S579" i="35"/>
  <c r="S580" i="35"/>
  <c r="Q580" i="35" s="1"/>
  <c r="S581" i="35"/>
  <c r="Q581" i="35" s="1"/>
  <c r="S582" i="35"/>
  <c r="Q582" i="35" s="1"/>
  <c r="S583" i="35"/>
  <c r="S584" i="35"/>
  <c r="Q584" i="35" s="1"/>
  <c r="S585" i="35"/>
  <c r="S586" i="35"/>
  <c r="S587" i="35"/>
  <c r="S588" i="35"/>
  <c r="Q588" i="35" s="1"/>
  <c r="S589" i="35"/>
  <c r="Q589" i="35" s="1"/>
  <c r="S590" i="35"/>
  <c r="Q590" i="35" s="1"/>
  <c r="S591" i="35"/>
  <c r="S592" i="35"/>
  <c r="Q592" i="35" s="1"/>
  <c r="S593" i="35"/>
  <c r="S594" i="35"/>
  <c r="S595" i="35"/>
  <c r="S596" i="35"/>
  <c r="Q596" i="35" s="1"/>
  <c r="S597" i="35"/>
  <c r="Q597" i="35" s="1"/>
  <c r="S598" i="35"/>
  <c r="Q598" i="35" s="1"/>
  <c r="S599" i="35"/>
  <c r="S600" i="35"/>
  <c r="Q600" i="35" s="1"/>
  <c r="S601" i="35"/>
  <c r="S602" i="35"/>
  <c r="S603" i="35"/>
  <c r="S604" i="35"/>
  <c r="Q604" i="35" s="1"/>
  <c r="S605" i="35"/>
  <c r="Q605" i="35" s="1"/>
  <c r="S606" i="35"/>
  <c r="Q606" i="35" s="1"/>
  <c r="S607" i="35"/>
  <c r="S608" i="35"/>
  <c r="Q608" i="35" s="1"/>
  <c r="S609" i="35"/>
  <c r="S610" i="35"/>
  <c r="S611" i="35"/>
  <c r="S612" i="35"/>
  <c r="Q612" i="35" s="1"/>
  <c r="S613" i="35"/>
  <c r="S614" i="35"/>
  <c r="Q614" i="35" s="1"/>
  <c r="S615" i="35"/>
  <c r="S616" i="35"/>
  <c r="Q616" i="35" s="1"/>
  <c r="S617" i="35"/>
  <c r="S618" i="35"/>
  <c r="S619" i="35"/>
  <c r="S620" i="35"/>
  <c r="Q620" i="35" s="1"/>
  <c r="S621" i="35"/>
  <c r="Q621" i="35" s="1"/>
  <c r="S622" i="35"/>
  <c r="Q622" i="35" s="1"/>
  <c r="S623" i="35"/>
  <c r="S624" i="35"/>
  <c r="Q624" i="35" s="1"/>
  <c r="S625" i="35"/>
  <c r="S626" i="35"/>
  <c r="S627" i="35"/>
  <c r="S628" i="35"/>
  <c r="Q628" i="35" s="1"/>
  <c r="S629" i="35"/>
  <c r="Q629" i="35" s="1"/>
  <c r="S630" i="35"/>
  <c r="Q630" i="35" s="1"/>
  <c r="S631" i="35"/>
  <c r="S632" i="35"/>
  <c r="Q632" i="35" s="1"/>
  <c r="S633" i="35"/>
  <c r="S634" i="35"/>
  <c r="S635" i="35"/>
  <c r="S636" i="35"/>
  <c r="Q636" i="35" s="1"/>
  <c r="S637" i="35"/>
  <c r="Q637" i="35" s="1"/>
  <c r="S638" i="35"/>
  <c r="Q638" i="35" s="1"/>
  <c r="S639" i="35"/>
  <c r="S640" i="35"/>
  <c r="Q640" i="35" s="1"/>
  <c r="S641" i="35"/>
  <c r="S642" i="35"/>
  <c r="S643" i="35"/>
  <c r="S644" i="35"/>
  <c r="Q644" i="35" s="1"/>
  <c r="S645" i="35"/>
  <c r="S646" i="35"/>
  <c r="Q646" i="35" s="1"/>
  <c r="S647" i="35"/>
  <c r="S648" i="35"/>
  <c r="Q648" i="35" s="1"/>
  <c r="S649" i="35"/>
  <c r="S650" i="35"/>
  <c r="S651" i="35"/>
  <c r="S652" i="35"/>
  <c r="Q652" i="35" s="1"/>
  <c r="S653" i="35"/>
  <c r="Q653" i="35" s="1"/>
  <c r="S654" i="35"/>
  <c r="Q654" i="35" s="1"/>
  <c r="S655" i="35"/>
  <c r="S656" i="35"/>
  <c r="Q656" i="35" s="1"/>
  <c r="S657" i="35"/>
  <c r="S658" i="35"/>
  <c r="S659" i="35"/>
  <c r="S660" i="35"/>
  <c r="Q660" i="35" s="1"/>
  <c r="S661" i="35"/>
  <c r="Q661" i="35" s="1"/>
  <c r="S662" i="35"/>
  <c r="Q662" i="35" s="1"/>
  <c r="S663" i="35"/>
  <c r="S664" i="35"/>
  <c r="Q664" i="35" s="1"/>
  <c r="S665" i="35"/>
  <c r="S666" i="35"/>
  <c r="S667" i="35"/>
  <c r="Q667" i="35" s="1"/>
  <c r="S668" i="35"/>
  <c r="Q668" i="35" s="1"/>
  <c r="S669" i="35"/>
  <c r="Q669" i="35" s="1"/>
  <c r="S670" i="35"/>
  <c r="Q670" i="35" s="1"/>
  <c r="S671" i="35"/>
  <c r="Q671" i="35" s="1"/>
  <c r="S672" i="35"/>
  <c r="Q672" i="35" s="1"/>
  <c r="S673" i="35"/>
  <c r="S674" i="35"/>
  <c r="S675" i="35"/>
  <c r="Q675" i="35" s="1"/>
  <c r="S676" i="35"/>
  <c r="Q676" i="35" s="1"/>
  <c r="S677" i="35"/>
  <c r="Q677" i="35" s="1"/>
  <c r="S678" i="35"/>
  <c r="Q678" i="35" s="1"/>
  <c r="S679" i="35"/>
  <c r="Q679" i="35" s="1"/>
  <c r="S680" i="35"/>
  <c r="Q680" i="35" s="1"/>
  <c r="S681" i="35"/>
  <c r="S682" i="35"/>
  <c r="S683" i="35"/>
  <c r="Q683" i="35" s="1"/>
  <c r="S684" i="35"/>
  <c r="Q684" i="35" s="1"/>
  <c r="S685" i="35"/>
  <c r="Q685" i="35" s="1"/>
  <c r="S686" i="35"/>
  <c r="Q686" i="35" s="1"/>
  <c r="S687" i="35"/>
  <c r="Q687" i="35" s="1"/>
  <c r="S688" i="35"/>
  <c r="Q688" i="35" s="1"/>
  <c r="S689" i="35"/>
  <c r="S690" i="35"/>
  <c r="S691" i="35"/>
  <c r="Q691" i="35" s="1"/>
  <c r="S692" i="35"/>
  <c r="Q692" i="35" s="1"/>
  <c r="S693" i="35"/>
  <c r="Q693" i="35" s="1"/>
  <c r="S694" i="35"/>
  <c r="Q694" i="35" s="1"/>
  <c r="S695" i="35"/>
  <c r="Q695" i="35" s="1"/>
  <c r="S696" i="35"/>
  <c r="Q696" i="35" s="1"/>
  <c r="S697" i="35"/>
  <c r="S698" i="35"/>
  <c r="S699" i="35"/>
  <c r="Q699" i="35" s="1"/>
  <c r="S700" i="35"/>
  <c r="Q700" i="35" s="1"/>
  <c r="S701" i="35"/>
  <c r="Q701" i="35" s="1"/>
  <c r="S702" i="35"/>
  <c r="Q702" i="35" s="1"/>
  <c r="S703" i="35"/>
  <c r="Q703" i="35" s="1"/>
  <c r="S704" i="35"/>
  <c r="Q704" i="35" s="1"/>
  <c r="S705" i="35"/>
  <c r="S706" i="35"/>
  <c r="S707" i="35"/>
  <c r="Q707" i="35" s="1"/>
  <c r="S708" i="35"/>
  <c r="Q708" i="35" s="1"/>
  <c r="S709" i="35"/>
  <c r="Q709" i="35" s="1"/>
  <c r="S710" i="35"/>
  <c r="Q710" i="35" s="1"/>
  <c r="S711" i="35"/>
  <c r="Q711" i="35" s="1"/>
  <c r="S712" i="35"/>
  <c r="Q712" i="35" s="1"/>
  <c r="S713" i="35"/>
  <c r="S714" i="35"/>
  <c r="S715" i="35"/>
  <c r="Q715" i="35" s="1"/>
  <c r="S716" i="35"/>
  <c r="Q716" i="35" s="1"/>
  <c r="S717" i="35"/>
  <c r="Q717" i="35" s="1"/>
  <c r="S718" i="35"/>
  <c r="Q718" i="35" s="1"/>
  <c r="S719" i="35"/>
  <c r="Q719" i="35" s="1"/>
  <c r="S720" i="35"/>
  <c r="Q720" i="35" s="1"/>
  <c r="S721" i="35"/>
  <c r="S722" i="35"/>
  <c r="S723" i="35"/>
  <c r="Q723" i="35" s="1"/>
  <c r="S724" i="35"/>
  <c r="Q724" i="35" s="1"/>
  <c r="S725" i="35"/>
  <c r="Q725" i="35" s="1"/>
  <c r="S726" i="35"/>
  <c r="Q726" i="35" s="1"/>
  <c r="S727" i="35"/>
  <c r="Q727" i="35" s="1"/>
  <c r="S728" i="35"/>
  <c r="Q728" i="35" s="1"/>
  <c r="S729" i="35"/>
  <c r="S730" i="35"/>
  <c r="S731" i="35"/>
  <c r="Q731" i="35" s="1"/>
  <c r="S732" i="35"/>
  <c r="Q732" i="35" s="1"/>
  <c r="S733" i="35"/>
  <c r="Q733" i="35" s="1"/>
  <c r="S734" i="35"/>
  <c r="Q734" i="35" s="1"/>
  <c r="S735" i="35"/>
  <c r="Q735" i="35" s="1"/>
  <c r="S736" i="35"/>
  <c r="Q736" i="35" s="1"/>
  <c r="S737" i="35"/>
  <c r="S738" i="35"/>
  <c r="S739" i="35"/>
  <c r="Q739" i="35" s="1"/>
  <c r="S740" i="35"/>
  <c r="Q740" i="35" s="1"/>
  <c r="S741" i="35"/>
  <c r="Q741" i="35" s="1"/>
  <c r="S742" i="35"/>
  <c r="Q742" i="35" s="1"/>
  <c r="S743" i="35"/>
  <c r="Q743" i="35" s="1"/>
  <c r="S744" i="35"/>
  <c r="Q744" i="35" s="1"/>
  <c r="S745" i="35"/>
  <c r="S746" i="35"/>
  <c r="S747" i="35"/>
  <c r="Q747" i="35" s="1"/>
  <c r="S748" i="35"/>
  <c r="Q748" i="35" s="1"/>
  <c r="S749" i="35"/>
  <c r="Q749" i="35" s="1"/>
  <c r="S750" i="35"/>
  <c r="Q750" i="35" s="1"/>
  <c r="S751" i="35"/>
  <c r="Q751" i="35" s="1"/>
  <c r="S752" i="35"/>
  <c r="Q752" i="35" s="1"/>
  <c r="S753" i="35"/>
  <c r="S754" i="35"/>
  <c r="S755" i="35"/>
  <c r="Q755" i="35" s="1"/>
  <c r="S756" i="35"/>
  <c r="Q756" i="35" s="1"/>
  <c r="S757" i="35"/>
  <c r="Q757" i="35" s="1"/>
  <c r="S758" i="35"/>
  <c r="Q758" i="35" s="1"/>
  <c r="S759" i="35"/>
  <c r="Q759" i="35" s="1"/>
  <c r="S760" i="35"/>
  <c r="Q760" i="35" s="1"/>
  <c r="S761" i="35"/>
  <c r="S762" i="35"/>
  <c r="S763" i="35"/>
  <c r="Q763" i="35" s="1"/>
  <c r="S764" i="35"/>
  <c r="Q764" i="35" s="1"/>
  <c r="S765" i="35"/>
  <c r="Q765" i="35" s="1"/>
  <c r="S766" i="35"/>
  <c r="Q766" i="35" s="1"/>
  <c r="S767" i="35"/>
  <c r="Q767" i="35" s="1"/>
  <c r="S768" i="35"/>
  <c r="Q768" i="35" s="1"/>
  <c r="S769" i="35"/>
  <c r="S770" i="35"/>
  <c r="S771" i="35"/>
  <c r="Q771" i="35" s="1"/>
  <c r="S772" i="35"/>
  <c r="Q772" i="35" s="1"/>
  <c r="S773" i="35"/>
  <c r="Q773" i="35" s="1"/>
  <c r="S774" i="35"/>
  <c r="Q774" i="35" s="1"/>
  <c r="S775" i="35"/>
  <c r="Q775" i="35" s="1"/>
  <c r="S776" i="35"/>
  <c r="Q776" i="35" s="1"/>
  <c r="S777" i="35"/>
  <c r="S778" i="35"/>
  <c r="S779" i="35"/>
  <c r="Q779" i="35" s="1"/>
  <c r="S780" i="35"/>
  <c r="Q780" i="35" s="1"/>
  <c r="S781" i="35"/>
  <c r="Q781" i="35" s="1"/>
  <c r="S782" i="35"/>
  <c r="Q782" i="35" s="1"/>
  <c r="S783" i="35"/>
  <c r="Q783" i="35" s="1"/>
  <c r="S784" i="35"/>
  <c r="Q784" i="35" s="1"/>
  <c r="S785" i="35"/>
  <c r="S786" i="35"/>
  <c r="S787" i="35"/>
  <c r="Q787" i="35" s="1"/>
  <c r="S788" i="35"/>
  <c r="Q788" i="35" s="1"/>
  <c r="S789" i="35"/>
  <c r="Q789" i="35" s="1"/>
  <c r="S790" i="35"/>
  <c r="Q790" i="35" s="1"/>
  <c r="S791" i="35"/>
  <c r="Q791" i="35" s="1"/>
  <c r="S792" i="35"/>
  <c r="Q792" i="35" s="1"/>
  <c r="S793" i="35"/>
  <c r="S794" i="35"/>
  <c r="S795" i="35"/>
  <c r="Q795" i="35" s="1"/>
  <c r="S796" i="35"/>
  <c r="Q796" i="35" s="1"/>
  <c r="S797" i="35"/>
  <c r="Q797" i="35" s="1"/>
  <c r="S798" i="35"/>
  <c r="Q798" i="35" s="1"/>
  <c r="S799" i="35"/>
  <c r="Q799" i="35" s="1"/>
  <c r="S800" i="35"/>
  <c r="Q800" i="35" s="1"/>
  <c r="S801" i="35"/>
  <c r="S802" i="35"/>
  <c r="S803" i="35"/>
  <c r="Q803" i="35" s="1"/>
  <c r="S804" i="35"/>
  <c r="Q804" i="35" s="1"/>
  <c r="S805" i="35"/>
  <c r="Q805" i="35" s="1"/>
  <c r="S806" i="35"/>
  <c r="Q806" i="35" s="1"/>
  <c r="S807" i="35"/>
  <c r="Q807" i="35" s="1"/>
  <c r="S808" i="35"/>
  <c r="Q808" i="35" s="1"/>
  <c r="S809" i="35"/>
  <c r="S810" i="35"/>
  <c r="S811" i="35"/>
  <c r="Q811" i="35" s="1"/>
  <c r="S812" i="35"/>
  <c r="Q812" i="35" s="1"/>
  <c r="S813" i="35"/>
  <c r="Q813" i="35" s="1"/>
  <c r="S814" i="35"/>
  <c r="Q814" i="35" s="1"/>
  <c r="S815" i="35"/>
  <c r="Q815" i="35" s="1"/>
  <c r="S816" i="35"/>
  <c r="Q816" i="35" s="1"/>
  <c r="S817" i="35"/>
  <c r="S818" i="35"/>
  <c r="S819" i="35"/>
  <c r="Q819" i="35" s="1"/>
  <c r="S820" i="35"/>
  <c r="Q820" i="35" s="1"/>
  <c r="S821" i="35"/>
  <c r="Q821" i="35" s="1"/>
  <c r="S822" i="35"/>
  <c r="Q822" i="35" s="1"/>
  <c r="S823" i="35"/>
  <c r="Q823" i="35" s="1"/>
  <c r="S824" i="35"/>
  <c r="Q824" i="35" s="1"/>
  <c r="S825" i="35"/>
  <c r="S826" i="35"/>
  <c r="S827" i="35"/>
  <c r="Q827" i="35" s="1"/>
  <c r="S828" i="35"/>
  <c r="Q828" i="35" s="1"/>
  <c r="S829" i="35"/>
  <c r="Q829" i="35" s="1"/>
  <c r="S830" i="35"/>
  <c r="Q830" i="35" s="1"/>
  <c r="S831" i="35"/>
  <c r="Q831" i="35" s="1"/>
  <c r="S832" i="35"/>
  <c r="Q832" i="35" s="1"/>
  <c r="S833" i="35"/>
  <c r="S834" i="35"/>
  <c r="S835" i="35"/>
  <c r="Q835" i="35" s="1"/>
  <c r="S836" i="35"/>
  <c r="Q836" i="35" s="1"/>
  <c r="S837" i="35"/>
  <c r="Q837" i="35" s="1"/>
  <c r="S838" i="35"/>
  <c r="Q838" i="35" s="1"/>
  <c r="S839" i="35"/>
  <c r="Q839" i="35" s="1"/>
  <c r="S840" i="35"/>
  <c r="Q840" i="35" s="1"/>
  <c r="S841" i="35"/>
  <c r="S842" i="35"/>
  <c r="S843" i="35"/>
  <c r="Q843" i="35" s="1"/>
  <c r="S844" i="35"/>
  <c r="Q844" i="35" s="1"/>
  <c r="S845" i="35"/>
  <c r="Q845" i="35" s="1"/>
  <c r="S846" i="35"/>
  <c r="Q846" i="35" s="1"/>
  <c r="S847" i="35"/>
  <c r="Q847" i="35" s="1"/>
  <c r="S848" i="35"/>
  <c r="Q848" i="35" s="1"/>
  <c r="S849" i="35"/>
  <c r="S850" i="35"/>
  <c r="S851" i="35"/>
  <c r="Q851" i="35" s="1"/>
  <c r="S852" i="35"/>
  <c r="Q852" i="35" s="1"/>
  <c r="S853" i="35"/>
  <c r="Q853" i="35" s="1"/>
  <c r="S854" i="35"/>
  <c r="Q854" i="35" s="1"/>
  <c r="S855" i="35"/>
  <c r="Q855" i="35" s="1"/>
  <c r="S856" i="35"/>
  <c r="Q856" i="35" s="1"/>
  <c r="S857" i="35"/>
  <c r="S858" i="35"/>
  <c r="S859" i="35"/>
  <c r="Q859" i="35" s="1"/>
  <c r="S860" i="35"/>
  <c r="Q860" i="35" s="1"/>
  <c r="S861" i="35"/>
  <c r="Q861" i="35" s="1"/>
  <c r="S862" i="35"/>
  <c r="Q862" i="35" s="1"/>
  <c r="S863" i="35"/>
  <c r="Q863" i="35" s="1"/>
  <c r="S864" i="35"/>
  <c r="Q864" i="35" s="1"/>
  <c r="S865" i="35"/>
  <c r="S866" i="35"/>
  <c r="S867" i="35"/>
  <c r="Q867" i="35" s="1"/>
  <c r="S868" i="35"/>
  <c r="Q868" i="35" s="1"/>
  <c r="S869" i="35"/>
  <c r="Q869" i="35" s="1"/>
  <c r="S870" i="35"/>
  <c r="Q870" i="35" s="1"/>
  <c r="S871" i="35"/>
  <c r="Q871" i="35" s="1"/>
  <c r="S872" i="35"/>
  <c r="Q872" i="35" s="1"/>
  <c r="S873" i="35"/>
  <c r="S874" i="35"/>
  <c r="S875" i="35"/>
  <c r="Q875" i="35" s="1"/>
  <c r="S876" i="35"/>
  <c r="Q876" i="35" s="1"/>
  <c r="S877" i="35"/>
  <c r="Q877" i="35" s="1"/>
  <c r="S878" i="35"/>
  <c r="Q878" i="35" s="1"/>
  <c r="S879" i="35"/>
  <c r="Q879" i="35" s="1"/>
  <c r="S880" i="35"/>
  <c r="Q880" i="35" s="1"/>
  <c r="S881" i="35"/>
  <c r="S882" i="35"/>
  <c r="S883" i="35"/>
  <c r="Q883" i="35" s="1"/>
  <c r="S884" i="35"/>
  <c r="Q884" i="35" s="1"/>
  <c r="S885" i="35"/>
  <c r="Q885" i="35" s="1"/>
  <c r="S886" i="35"/>
  <c r="Q886" i="35" s="1"/>
  <c r="S887" i="35"/>
  <c r="Q887" i="35" s="1"/>
  <c r="S888" i="35"/>
  <c r="Q888" i="35" s="1"/>
  <c r="S889" i="35"/>
  <c r="S890" i="35"/>
  <c r="S891" i="35"/>
  <c r="Q891" i="35" s="1"/>
  <c r="S892" i="35"/>
  <c r="Q892" i="35" s="1"/>
  <c r="S893" i="35"/>
  <c r="Q893" i="35" s="1"/>
  <c r="S894" i="35"/>
  <c r="Q894" i="35" s="1"/>
  <c r="S895" i="35"/>
  <c r="Q895" i="35" s="1"/>
  <c r="S896" i="35"/>
  <c r="Q896" i="35" s="1"/>
  <c r="S897" i="35"/>
  <c r="S898" i="35"/>
  <c r="S899" i="35"/>
  <c r="Q899" i="35" s="1"/>
  <c r="S900" i="35"/>
  <c r="Q900" i="35" s="1"/>
  <c r="S901" i="35"/>
  <c r="Q901" i="35" s="1"/>
  <c r="S902" i="35"/>
  <c r="Q902" i="35" s="1"/>
  <c r="S903" i="35"/>
  <c r="Q903" i="35" s="1"/>
  <c r="S904" i="35"/>
  <c r="Q904" i="35" s="1"/>
  <c r="S905" i="35"/>
  <c r="S906" i="35"/>
  <c r="S907" i="35"/>
  <c r="Q907" i="35" s="1"/>
  <c r="S908" i="35"/>
  <c r="Q908" i="35" s="1"/>
  <c r="S909" i="35"/>
  <c r="Q909" i="35" s="1"/>
  <c r="S910" i="35"/>
  <c r="Q910" i="35" s="1"/>
  <c r="S911" i="35"/>
  <c r="Q911" i="35" s="1"/>
  <c r="S912" i="35"/>
  <c r="Q912" i="35" s="1"/>
  <c r="S913" i="35"/>
  <c r="S914" i="35"/>
  <c r="S915" i="35"/>
  <c r="Q915" i="35" s="1"/>
  <c r="S916" i="35"/>
  <c r="Q916" i="35" s="1"/>
  <c r="S917" i="35"/>
  <c r="Q917" i="35" s="1"/>
  <c r="S918" i="35"/>
  <c r="Q918" i="35" s="1"/>
  <c r="S919" i="35"/>
  <c r="Q919" i="35" s="1"/>
  <c r="S920" i="35"/>
  <c r="Q920" i="35" s="1"/>
  <c r="S921" i="35"/>
  <c r="S922" i="35"/>
  <c r="S923" i="35"/>
  <c r="Q923" i="35" s="1"/>
  <c r="S924" i="35"/>
  <c r="Q924" i="35" s="1"/>
  <c r="S925" i="35"/>
  <c r="Q925" i="35" s="1"/>
  <c r="S926" i="35"/>
  <c r="Q926" i="35" s="1"/>
  <c r="S927" i="35"/>
  <c r="Q927" i="35" s="1"/>
  <c r="S928" i="35"/>
  <c r="Q928" i="35" s="1"/>
  <c r="S929" i="35"/>
  <c r="S930" i="35"/>
  <c r="S931" i="35"/>
  <c r="Q931" i="35" s="1"/>
  <c r="S932" i="35"/>
  <c r="Q932" i="35" s="1"/>
  <c r="S933" i="35"/>
  <c r="Q933" i="35" s="1"/>
  <c r="S934" i="35"/>
  <c r="Q934" i="35" s="1"/>
  <c r="S935" i="35"/>
  <c r="Q935" i="35" s="1"/>
  <c r="S936" i="35"/>
  <c r="Q936" i="35" s="1"/>
  <c r="S937" i="35"/>
  <c r="S938" i="35"/>
  <c r="S939" i="35"/>
  <c r="Q939" i="35" s="1"/>
  <c r="S940" i="35"/>
  <c r="Q940" i="35" s="1"/>
  <c r="S941" i="35"/>
  <c r="Q941" i="35" s="1"/>
  <c r="S942" i="35"/>
  <c r="Q942" i="35" s="1"/>
  <c r="S943" i="35"/>
  <c r="Q943" i="35" s="1"/>
  <c r="S944" i="35"/>
  <c r="Q944" i="35" s="1"/>
  <c r="S945" i="35"/>
  <c r="S946" i="35"/>
  <c r="S947" i="35"/>
  <c r="Q947" i="35" s="1"/>
  <c r="S948" i="35"/>
  <c r="Q948" i="35" s="1"/>
  <c r="S949" i="35"/>
  <c r="Q949" i="35" s="1"/>
  <c r="S950" i="35"/>
  <c r="Q950" i="35" s="1"/>
  <c r="S951" i="35"/>
  <c r="Q951" i="35" s="1"/>
  <c r="S952" i="35"/>
  <c r="Q952" i="35" s="1"/>
  <c r="S953" i="35"/>
  <c r="S954" i="35"/>
  <c r="S955" i="35"/>
  <c r="Q955" i="35" s="1"/>
  <c r="S956" i="35"/>
  <c r="Q956" i="35" s="1"/>
  <c r="S957" i="35"/>
  <c r="Q957" i="35" s="1"/>
  <c r="S958" i="35"/>
  <c r="Q958" i="35" s="1"/>
  <c r="S959" i="35"/>
  <c r="Q959" i="35" s="1"/>
  <c r="S960" i="35"/>
  <c r="Q960" i="35" s="1"/>
  <c r="S961" i="35"/>
  <c r="S962" i="35"/>
  <c r="S963" i="35"/>
  <c r="Q963" i="35" s="1"/>
  <c r="S964" i="35"/>
  <c r="Q964" i="35" s="1"/>
  <c r="S965" i="35"/>
  <c r="Q965" i="35" s="1"/>
  <c r="S966" i="35"/>
  <c r="Q966" i="35" s="1"/>
  <c r="S967" i="35"/>
  <c r="Q967" i="35" s="1"/>
  <c r="S968" i="35"/>
  <c r="Q968" i="35" s="1"/>
  <c r="S969" i="35"/>
  <c r="S970" i="35"/>
  <c r="S971" i="35"/>
  <c r="Q971" i="35" s="1"/>
  <c r="S972" i="35"/>
  <c r="Q972" i="35" s="1"/>
  <c r="S973" i="35"/>
  <c r="Q973" i="35" s="1"/>
  <c r="S974" i="35"/>
  <c r="Q974" i="35" s="1"/>
  <c r="S975" i="35"/>
  <c r="Q975" i="35" s="1"/>
  <c r="S976" i="35"/>
  <c r="Q976" i="35" s="1"/>
  <c r="S977" i="35"/>
  <c r="S978" i="35"/>
  <c r="S979" i="35"/>
  <c r="Q979" i="35" s="1"/>
  <c r="S980" i="35"/>
  <c r="Q980" i="35" s="1"/>
  <c r="S981" i="35"/>
  <c r="Q981" i="35" s="1"/>
  <c r="S982" i="35"/>
  <c r="Q982" i="35" s="1"/>
  <c r="S983" i="35"/>
  <c r="Q983" i="35" s="1"/>
  <c r="S984" i="35"/>
  <c r="Q984" i="35" s="1"/>
  <c r="S985" i="35"/>
  <c r="S986" i="35"/>
  <c r="S987" i="35"/>
  <c r="Q987" i="35" s="1"/>
  <c r="S988" i="35"/>
  <c r="Q988" i="35" s="1"/>
  <c r="S989" i="35"/>
  <c r="Q989" i="35" s="1"/>
  <c r="S990" i="35"/>
  <c r="Q990" i="35" s="1"/>
  <c r="S991" i="35"/>
  <c r="Q991" i="35" s="1"/>
  <c r="S992" i="35"/>
  <c r="Q992" i="35" s="1"/>
  <c r="S993" i="35"/>
  <c r="S994" i="35"/>
  <c r="S995" i="35"/>
  <c r="Q995" i="35" s="1"/>
  <c r="S996" i="35"/>
  <c r="Q996" i="35" s="1"/>
  <c r="S997" i="35"/>
  <c r="Q997" i="35" s="1"/>
  <c r="S998" i="35"/>
  <c r="Q998" i="35" s="1"/>
  <c r="S999" i="35"/>
  <c r="Q999" i="35" s="1"/>
  <c r="S1000" i="35"/>
  <c r="Q1000" i="35" s="1"/>
  <c r="S1001" i="35"/>
  <c r="S1002" i="35"/>
  <c r="S1003" i="35"/>
  <c r="Q1003" i="35" s="1"/>
  <c r="S4" i="35"/>
  <c r="Q4" i="35" s="1"/>
  <c r="R5" i="35"/>
  <c r="R6" i="35"/>
  <c r="R7"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131" i="35"/>
  <c r="R132" i="35"/>
  <c r="R133" i="35"/>
  <c r="R134" i="35"/>
  <c r="R135" i="35"/>
  <c r="R136" i="35"/>
  <c r="R137" i="35"/>
  <c r="R138" i="35"/>
  <c r="R139" i="35"/>
  <c r="R140" i="35"/>
  <c r="R141" i="35"/>
  <c r="R142" i="35"/>
  <c r="R143" i="35"/>
  <c r="R144" i="35"/>
  <c r="R145" i="35"/>
  <c r="R146" i="35"/>
  <c r="R147" i="35"/>
  <c r="R148" i="35"/>
  <c r="R149" i="35"/>
  <c r="R150" i="35"/>
  <c r="R151" i="35"/>
  <c r="R152" i="35"/>
  <c r="R153" i="35"/>
  <c r="R154" i="35"/>
  <c r="R155" i="35"/>
  <c r="R156" i="35"/>
  <c r="R157" i="35"/>
  <c r="R158" i="35"/>
  <c r="R159" i="35"/>
  <c r="R160" i="35"/>
  <c r="R161" i="35"/>
  <c r="R162" i="35"/>
  <c r="R163" i="35"/>
  <c r="R164" i="35"/>
  <c r="R165" i="35"/>
  <c r="R166" i="35"/>
  <c r="R167" i="35"/>
  <c r="R168" i="35"/>
  <c r="R169" i="35"/>
  <c r="R170" i="35"/>
  <c r="R171" i="35"/>
  <c r="R172" i="35"/>
  <c r="R173" i="35"/>
  <c r="R174" i="35"/>
  <c r="R175" i="35"/>
  <c r="R176" i="35"/>
  <c r="R177" i="35"/>
  <c r="R178" i="35"/>
  <c r="R179" i="35"/>
  <c r="R180" i="35"/>
  <c r="R181" i="35"/>
  <c r="R182" i="35"/>
  <c r="R183" i="35"/>
  <c r="R184" i="35"/>
  <c r="R185" i="35"/>
  <c r="R186" i="35"/>
  <c r="R187" i="35"/>
  <c r="R188" i="35"/>
  <c r="R189" i="35"/>
  <c r="R190" i="35"/>
  <c r="R191" i="35"/>
  <c r="R192" i="35"/>
  <c r="R193" i="35"/>
  <c r="R194" i="35"/>
  <c r="R195" i="35"/>
  <c r="R196" i="35"/>
  <c r="R197" i="35"/>
  <c r="R198" i="35"/>
  <c r="R199" i="35"/>
  <c r="R200" i="35"/>
  <c r="R201" i="35"/>
  <c r="R202" i="35"/>
  <c r="R203" i="35"/>
  <c r="R204" i="35"/>
  <c r="R205" i="35"/>
  <c r="R206" i="35"/>
  <c r="R207" i="35"/>
  <c r="R208" i="35"/>
  <c r="R209" i="35"/>
  <c r="R210" i="35"/>
  <c r="R211" i="35"/>
  <c r="R212" i="35"/>
  <c r="R213" i="35"/>
  <c r="R214" i="35"/>
  <c r="R215" i="35"/>
  <c r="R216" i="35"/>
  <c r="R217" i="35"/>
  <c r="R218" i="35"/>
  <c r="R219" i="35"/>
  <c r="R220" i="35"/>
  <c r="R221" i="35"/>
  <c r="R222" i="35"/>
  <c r="R223" i="35"/>
  <c r="R224" i="35"/>
  <c r="R225" i="35"/>
  <c r="R226" i="35"/>
  <c r="R227" i="35"/>
  <c r="R228" i="35"/>
  <c r="R229" i="35"/>
  <c r="R230" i="35"/>
  <c r="R231" i="35"/>
  <c r="R232" i="35"/>
  <c r="R233" i="35"/>
  <c r="R234" i="35"/>
  <c r="R235" i="35"/>
  <c r="R236" i="35"/>
  <c r="R237" i="35"/>
  <c r="R238" i="35"/>
  <c r="R239" i="35"/>
  <c r="R240" i="35"/>
  <c r="R241" i="35"/>
  <c r="R242" i="35"/>
  <c r="R243" i="35"/>
  <c r="R244" i="35"/>
  <c r="R245" i="35"/>
  <c r="R246" i="35"/>
  <c r="R247" i="35"/>
  <c r="R248" i="35"/>
  <c r="R249" i="35"/>
  <c r="R250" i="35"/>
  <c r="R251" i="35"/>
  <c r="R252" i="35"/>
  <c r="R253" i="35"/>
  <c r="R254" i="35"/>
  <c r="R255" i="35"/>
  <c r="R256" i="35"/>
  <c r="R257" i="35"/>
  <c r="R258" i="35"/>
  <c r="R259" i="35"/>
  <c r="R260" i="35"/>
  <c r="R261" i="35"/>
  <c r="R262" i="35"/>
  <c r="R263" i="35"/>
  <c r="R264" i="35"/>
  <c r="R265" i="35"/>
  <c r="R266" i="35"/>
  <c r="R267" i="35"/>
  <c r="R268" i="35"/>
  <c r="R269" i="35"/>
  <c r="R270" i="35"/>
  <c r="R271" i="35"/>
  <c r="R272" i="35"/>
  <c r="R273" i="35"/>
  <c r="R274" i="35"/>
  <c r="R275" i="35"/>
  <c r="R276" i="35"/>
  <c r="R277" i="35"/>
  <c r="R278" i="35"/>
  <c r="R279" i="35"/>
  <c r="R280" i="35"/>
  <c r="R281" i="35"/>
  <c r="R282" i="35"/>
  <c r="R283" i="35"/>
  <c r="R284" i="35"/>
  <c r="R285" i="35"/>
  <c r="R286" i="35"/>
  <c r="R287" i="35"/>
  <c r="R288" i="35"/>
  <c r="R289" i="35"/>
  <c r="R290" i="35"/>
  <c r="R291" i="35"/>
  <c r="R292" i="35"/>
  <c r="R293" i="35"/>
  <c r="R294" i="35"/>
  <c r="R295" i="35"/>
  <c r="R296" i="35"/>
  <c r="R297" i="35"/>
  <c r="R298" i="35"/>
  <c r="R299" i="35"/>
  <c r="R300" i="35"/>
  <c r="R301" i="35"/>
  <c r="R302" i="35"/>
  <c r="R303" i="35"/>
  <c r="R304" i="35"/>
  <c r="R305" i="35"/>
  <c r="R306" i="35"/>
  <c r="R307" i="35"/>
  <c r="R308" i="35"/>
  <c r="R309" i="35"/>
  <c r="R310" i="35"/>
  <c r="R311" i="35"/>
  <c r="R312" i="35"/>
  <c r="R313" i="35"/>
  <c r="R314" i="35"/>
  <c r="R315" i="35"/>
  <c r="R316" i="35"/>
  <c r="R317" i="35"/>
  <c r="R318" i="35"/>
  <c r="R319" i="35"/>
  <c r="R320" i="35"/>
  <c r="R321" i="35"/>
  <c r="R322" i="35"/>
  <c r="R323" i="35"/>
  <c r="R324" i="35"/>
  <c r="R325" i="35"/>
  <c r="R326" i="35"/>
  <c r="R327" i="35"/>
  <c r="R328" i="35"/>
  <c r="R329" i="35"/>
  <c r="R330" i="35"/>
  <c r="R331" i="35"/>
  <c r="R332" i="35"/>
  <c r="R333" i="35"/>
  <c r="R334" i="35"/>
  <c r="R335" i="35"/>
  <c r="R336" i="35"/>
  <c r="R337" i="35"/>
  <c r="R338" i="35"/>
  <c r="R339" i="35"/>
  <c r="R340" i="35"/>
  <c r="R341" i="35"/>
  <c r="R342" i="35"/>
  <c r="R343" i="35"/>
  <c r="R344" i="35"/>
  <c r="R345" i="35"/>
  <c r="R346" i="35"/>
  <c r="R347" i="35"/>
  <c r="R348" i="35"/>
  <c r="R349" i="35"/>
  <c r="R350" i="35"/>
  <c r="R351" i="35"/>
  <c r="R352" i="35"/>
  <c r="R353" i="35"/>
  <c r="R354" i="35"/>
  <c r="R355" i="35"/>
  <c r="R356" i="35"/>
  <c r="R357" i="35"/>
  <c r="R358" i="35"/>
  <c r="R359" i="35"/>
  <c r="R360" i="35"/>
  <c r="R361" i="35"/>
  <c r="R362" i="35"/>
  <c r="R363" i="35"/>
  <c r="R364" i="35"/>
  <c r="R365" i="35"/>
  <c r="R366" i="35"/>
  <c r="R367" i="35"/>
  <c r="R368" i="35"/>
  <c r="R369" i="35"/>
  <c r="R370" i="35"/>
  <c r="R371" i="35"/>
  <c r="R372" i="35"/>
  <c r="R373" i="35"/>
  <c r="R374" i="35"/>
  <c r="R375" i="35"/>
  <c r="R376" i="35"/>
  <c r="R377" i="35"/>
  <c r="R378" i="35"/>
  <c r="R379" i="35"/>
  <c r="R380" i="35"/>
  <c r="R381" i="35"/>
  <c r="R382" i="35"/>
  <c r="R383" i="35"/>
  <c r="R384" i="35"/>
  <c r="R385" i="35"/>
  <c r="R386" i="35"/>
  <c r="R387" i="35"/>
  <c r="R388" i="35"/>
  <c r="R389" i="35"/>
  <c r="R390" i="35"/>
  <c r="R391" i="35"/>
  <c r="R392" i="35"/>
  <c r="R393" i="35"/>
  <c r="R394" i="35"/>
  <c r="R395" i="35"/>
  <c r="R396" i="35"/>
  <c r="R397" i="35"/>
  <c r="R398" i="35"/>
  <c r="R399" i="35"/>
  <c r="R400" i="35"/>
  <c r="R401" i="35"/>
  <c r="R402" i="35"/>
  <c r="R403" i="35"/>
  <c r="R404" i="35"/>
  <c r="R405" i="35"/>
  <c r="R406" i="35"/>
  <c r="R407" i="35"/>
  <c r="R408" i="35"/>
  <c r="R409" i="35"/>
  <c r="R410" i="35"/>
  <c r="R411" i="35"/>
  <c r="R412" i="35"/>
  <c r="R413" i="35"/>
  <c r="R414" i="35"/>
  <c r="R415" i="35"/>
  <c r="R416" i="35"/>
  <c r="R417" i="35"/>
  <c r="R418" i="35"/>
  <c r="R419" i="35"/>
  <c r="R420" i="35"/>
  <c r="R421" i="35"/>
  <c r="R422" i="35"/>
  <c r="R423" i="35"/>
  <c r="R424" i="35"/>
  <c r="R425" i="35"/>
  <c r="R426" i="35"/>
  <c r="R427" i="35"/>
  <c r="R428" i="35"/>
  <c r="R429" i="35"/>
  <c r="R430" i="35"/>
  <c r="R431" i="35"/>
  <c r="R432" i="35"/>
  <c r="R433" i="35"/>
  <c r="R434" i="35"/>
  <c r="R435" i="35"/>
  <c r="R436" i="35"/>
  <c r="R437" i="35"/>
  <c r="R438" i="35"/>
  <c r="R439" i="35"/>
  <c r="R440" i="35"/>
  <c r="R441" i="35"/>
  <c r="R442" i="35"/>
  <c r="R443" i="35"/>
  <c r="R444" i="35"/>
  <c r="R445" i="35"/>
  <c r="R446" i="35"/>
  <c r="R447" i="35"/>
  <c r="R448" i="35"/>
  <c r="R449" i="35"/>
  <c r="R450" i="35"/>
  <c r="R451" i="35"/>
  <c r="R452" i="35"/>
  <c r="R453" i="35"/>
  <c r="R454" i="35"/>
  <c r="R455" i="35"/>
  <c r="R456" i="35"/>
  <c r="R457" i="35"/>
  <c r="R458" i="35"/>
  <c r="R459" i="35"/>
  <c r="R460" i="35"/>
  <c r="R461" i="35"/>
  <c r="R462" i="35"/>
  <c r="R463" i="35"/>
  <c r="R464" i="35"/>
  <c r="R465" i="35"/>
  <c r="R466" i="35"/>
  <c r="R467" i="35"/>
  <c r="R468" i="35"/>
  <c r="R469" i="35"/>
  <c r="R470" i="35"/>
  <c r="R471" i="35"/>
  <c r="R472" i="35"/>
  <c r="R473" i="35"/>
  <c r="R474" i="35"/>
  <c r="R475" i="35"/>
  <c r="R476" i="35"/>
  <c r="R477" i="35"/>
  <c r="R478" i="35"/>
  <c r="R479" i="35"/>
  <c r="R480" i="35"/>
  <c r="R481" i="35"/>
  <c r="R482" i="35"/>
  <c r="R483" i="35"/>
  <c r="R484" i="35"/>
  <c r="R485" i="35"/>
  <c r="R486" i="35"/>
  <c r="R487" i="35"/>
  <c r="R488" i="35"/>
  <c r="R489" i="35"/>
  <c r="R490" i="35"/>
  <c r="R491" i="35"/>
  <c r="R492" i="35"/>
  <c r="R493" i="35"/>
  <c r="R494" i="35"/>
  <c r="R495" i="35"/>
  <c r="R496" i="35"/>
  <c r="R497" i="35"/>
  <c r="R498" i="35"/>
  <c r="R499" i="35"/>
  <c r="R500" i="35"/>
  <c r="R501" i="35"/>
  <c r="R502" i="35"/>
  <c r="R503" i="35"/>
  <c r="R504" i="35"/>
  <c r="R505" i="35"/>
  <c r="R506" i="35"/>
  <c r="R507" i="35"/>
  <c r="R508" i="35"/>
  <c r="R509" i="35"/>
  <c r="R510" i="35"/>
  <c r="R511" i="35"/>
  <c r="R512" i="35"/>
  <c r="R513" i="35"/>
  <c r="R514" i="35"/>
  <c r="R515" i="35"/>
  <c r="R516" i="35"/>
  <c r="R517" i="35"/>
  <c r="R518" i="35"/>
  <c r="R519" i="35"/>
  <c r="R520" i="35"/>
  <c r="R521" i="35"/>
  <c r="R522" i="35"/>
  <c r="R523" i="35"/>
  <c r="R524" i="35"/>
  <c r="R525" i="35"/>
  <c r="R526" i="35"/>
  <c r="R527" i="35"/>
  <c r="R528" i="35"/>
  <c r="R529" i="35"/>
  <c r="R530" i="35"/>
  <c r="R531" i="35"/>
  <c r="R532" i="35"/>
  <c r="R533" i="35"/>
  <c r="R534" i="35"/>
  <c r="R535" i="35"/>
  <c r="R536" i="35"/>
  <c r="R537" i="35"/>
  <c r="R538" i="35"/>
  <c r="R539" i="35"/>
  <c r="R540" i="35"/>
  <c r="R541" i="35"/>
  <c r="R542" i="35"/>
  <c r="R543" i="35"/>
  <c r="R544" i="35"/>
  <c r="R545" i="35"/>
  <c r="R546" i="35"/>
  <c r="R547" i="35"/>
  <c r="R548" i="35"/>
  <c r="R549" i="35"/>
  <c r="R550" i="35"/>
  <c r="R551" i="35"/>
  <c r="R552" i="35"/>
  <c r="R553" i="35"/>
  <c r="R554" i="35"/>
  <c r="R555" i="35"/>
  <c r="R556" i="35"/>
  <c r="R557" i="35"/>
  <c r="R558" i="35"/>
  <c r="R559" i="35"/>
  <c r="R560" i="35"/>
  <c r="R561" i="35"/>
  <c r="R562" i="35"/>
  <c r="R563" i="35"/>
  <c r="R564" i="35"/>
  <c r="R565" i="35"/>
  <c r="R566" i="35"/>
  <c r="R567" i="35"/>
  <c r="R568" i="35"/>
  <c r="R569" i="35"/>
  <c r="R570" i="35"/>
  <c r="R571" i="35"/>
  <c r="R572" i="35"/>
  <c r="R573" i="35"/>
  <c r="R574" i="35"/>
  <c r="R575" i="35"/>
  <c r="R576" i="35"/>
  <c r="R577" i="35"/>
  <c r="R578" i="35"/>
  <c r="R579" i="35"/>
  <c r="R580" i="35"/>
  <c r="R581" i="35"/>
  <c r="R582" i="35"/>
  <c r="R583" i="35"/>
  <c r="R584" i="35"/>
  <c r="R585" i="35"/>
  <c r="R586" i="35"/>
  <c r="R587" i="35"/>
  <c r="R588" i="35"/>
  <c r="R589" i="35"/>
  <c r="R590" i="35"/>
  <c r="R591" i="35"/>
  <c r="R592" i="35"/>
  <c r="R593" i="35"/>
  <c r="R594" i="35"/>
  <c r="R595" i="35"/>
  <c r="R596" i="35"/>
  <c r="R597" i="35"/>
  <c r="R598" i="35"/>
  <c r="R599" i="35"/>
  <c r="R600" i="35"/>
  <c r="R601" i="35"/>
  <c r="R602" i="35"/>
  <c r="R603" i="35"/>
  <c r="R604" i="35"/>
  <c r="R605" i="35"/>
  <c r="R606" i="35"/>
  <c r="R607" i="35"/>
  <c r="R608" i="35"/>
  <c r="R609" i="35"/>
  <c r="R610" i="35"/>
  <c r="R611" i="35"/>
  <c r="R612" i="35"/>
  <c r="R613" i="35"/>
  <c r="R614" i="35"/>
  <c r="R615" i="35"/>
  <c r="R616" i="35"/>
  <c r="R617" i="35"/>
  <c r="R618" i="35"/>
  <c r="R619" i="35"/>
  <c r="R620" i="35"/>
  <c r="R621" i="35"/>
  <c r="R622" i="35"/>
  <c r="R623" i="35"/>
  <c r="R624" i="35"/>
  <c r="R625" i="35"/>
  <c r="R626" i="35"/>
  <c r="R627" i="35"/>
  <c r="R628" i="35"/>
  <c r="R629" i="35"/>
  <c r="R630" i="35"/>
  <c r="R631" i="35"/>
  <c r="R632" i="35"/>
  <c r="R633" i="35"/>
  <c r="R634" i="35"/>
  <c r="R635" i="35"/>
  <c r="R636" i="35"/>
  <c r="R637" i="35"/>
  <c r="R638" i="35"/>
  <c r="R639" i="35"/>
  <c r="R640" i="35"/>
  <c r="R641" i="35"/>
  <c r="R642" i="35"/>
  <c r="R643" i="35"/>
  <c r="R644" i="35"/>
  <c r="R645" i="35"/>
  <c r="R646" i="35"/>
  <c r="R647" i="35"/>
  <c r="R648" i="35"/>
  <c r="R649" i="35"/>
  <c r="R650" i="35"/>
  <c r="R651" i="35"/>
  <c r="R652" i="35"/>
  <c r="R653" i="35"/>
  <c r="R654" i="35"/>
  <c r="R655" i="35"/>
  <c r="R656" i="35"/>
  <c r="R657" i="35"/>
  <c r="R658" i="35"/>
  <c r="R659" i="35"/>
  <c r="R660" i="35"/>
  <c r="R661" i="35"/>
  <c r="R662" i="35"/>
  <c r="R663" i="35"/>
  <c r="R664" i="35"/>
  <c r="R665" i="35"/>
  <c r="R666" i="35"/>
  <c r="R667" i="35"/>
  <c r="R668" i="35"/>
  <c r="R669" i="35"/>
  <c r="R670" i="35"/>
  <c r="R671" i="35"/>
  <c r="R672" i="35"/>
  <c r="R673" i="35"/>
  <c r="R674" i="35"/>
  <c r="R675" i="35"/>
  <c r="R676" i="35"/>
  <c r="R677" i="35"/>
  <c r="R678" i="35"/>
  <c r="R679" i="35"/>
  <c r="R680" i="35"/>
  <c r="R681" i="35"/>
  <c r="R682" i="35"/>
  <c r="R683" i="35"/>
  <c r="R684" i="35"/>
  <c r="R685" i="35"/>
  <c r="R686" i="35"/>
  <c r="R687" i="35"/>
  <c r="R688" i="35"/>
  <c r="R689" i="35"/>
  <c r="R690" i="35"/>
  <c r="R691" i="35"/>
  <c r="R692" i="35"/>
  <c r="R693" i="35"/>
  <c r="R694" i="35"/>
  <c r="R695" i="35"/>
  <c r="R696" i="35"/>
  <c r="R697" i="35"/>
  <c r="R698" i="35"/>
  <c r="R699" i="35"/>
  <c r="R700" i="35"/>
  <c r="R701" i="35"/>
  <c r="R702" i="35"/>
  <c r="R703" i="35"/>
  <c r="R704" i="35"/>
  <c r="R705" i="35"/>
  <c r="R706" i="35"/>
  <c r="R707" i="35"/>
  <c r="R708" i="35"/>
  <c r="R709" i="35"/>
  <c r="R710" i="35"/>
  <c r="R711" i="35"/>
  <c r="R712" i="35"/>
  <c r="R713" i="35"/>
  <c r="R714" i="35"/>
  <c r="R715" i="35"/>
  <c r="R716" i="35"/>
  <c r="R717" i="35"/>
  <c r="R718" i="35"/>
  <c r="R719" i="35"/>
  <c r="R720" i="35"/>
  <c r="R721" i="35"/>
  <c r="R722" i="35"/>
  <c r="R723" i="35"/>
  <c r="R724" i="35"/>
  <c r="R725" i="35"/>
  <c r="R726" i="35"/>
  <c r="R727" i="35"/>
  <c r="R728" i="35"/>
  <c r="R729" i="35"/>
  <c r="R730" i="35"/>
  <c r="R731" i="35"/>
  <c r="R732" i="35"/>
  <c r="R733" i="35"/>
  <c r="R734" i="35"/>
  <c r="R735" i="35"/>
  <c r="R736" i="35"/>
  <c r="R737" i="35"/>
  <c r="R738" i="35"/>
  <c r="R739" i="35"/>
  <c r="R740" i="35"/>
  <c r="R741" i="35"/>
  <c r="R742" i="35"/>
  <c r="R743" i="35"/>
  <c r="R744" i="35"/>
  <c r="R745" i="35"/>
  <c r="R746" i="35"/>
  <c r="R747" i="35"/>
  <c r="R748" i="35"/>
  <c r="R749" i="35"/>
  <c r="R750" i="35"/>
  <c r="R751" i="35"/>
  <c r="R752" i="35"/>
  <c r="R753" i="35"/>
  <c r="R754" i="35"/>
  <c r="R755" i="35"/>
  <c r="R756" i="35"/>
  <c r="R757" i="35"/>
  <c r="R758" i="35"/>
  <c r="R759" i="35"/>
  <c r="R760" i="35"/>
  <c r="R761" i="35"/>
  <c r="R762" i="35"/>
  <c r="R763" i="35"/>
  <c r="R764" i="35"/>
  <c r="R765" i="35"/>
  <c r="R766" i="35"/>
  <c r="R767" i="35"/>
  <c r="R768" i="35"/>
  <c r="R769" i="35"/>
  <c r="R770" i="35"/>
  <c r="R771" i="35"/>
  <c r="R772" i="35"/>
  <c r="R773" i="35"/>
  <c r="R774" i="35"/>
  <c r="R775" i="35"/>
  <c r="R776" i="35"/>
  <c r="R777" i="35"/>
  <c r="R778" i="35"/>
  <c r="R779" i="35"/>
  <c r="R780" i="35"/>
  <c r="R781" i="35"/>
  <c r="R782" i="35"/>
  <c r="R783" i="35"/>
  <c r="R784" i="35"/>
  <c r="R785" i="35"/>
  <c r="R786" i="35"/>
  <c r="R787" i="35"/>
  <c r="R788" i="35"/>
  <c r="R789" i="35"/>
  <c r="R790" i="35"/>
  <c r="R791" i="35"/>
  <c r="R792" i="35"/>
  <c r="R793" i="35"/>
  <c r="R794" i="35"/>
  <c r="R795" i="35"/>
  <c r="R796" i="35"/>
  <c r="R797" i="35"/>
  <c r="R798" i="35"/>
  <c r="R799" i="35"/>
  <c r="R800" i="35"/>
  <c r="R801" i="35"/>
  <c r="R802" i="35"/>
  <c r="R803" i="35"/>
  <c r="R804" i="35"/>
  <c r="R805" i="35"/>
  <c r="R806" i="35"/>
  <c r="R807" i="35"/>
  <c r="R808" i="35"/>
  <c r="R809" i="35"/>
  <c r="R810" i="35"/>
  <c r="R811" i="35"/>
  <c r="R812" i="35"/>
  <c r="R813" i="35"/>
  <c r="R814" i="35"/>
  <c r="R815" i="35"/>
  <c r="R816" i="35"/>
  <c r="R817" i="35"/>
  <c r="R818" i="35"/>
  <c r="R819" i="35"/>
  <c r="R820" i="35"/>
  <c r="R821" i="35"/>
  <c r="R822" i="35"/>
  <c r="R823" i="35"/>
  <c r="R824" i="35"/>
  <c r="R825" i="35"/>
  <c r="R826" i="35"/>
  <c r="R827" i="35"/>
  <c r="R828" i="35"/>
  <c r="R829" i="35"/>
  <c r="R830" i="35"/>
  <c r="R831" i="35"/>
  <c r="R832" i="35"/>
  <c r="R833" i="35"/>
  <c r="R834" i="35"/>
  <c r="R835" i="35"/>
  <c r="R836" i="35"/>
  <c r="R837" i="35"/>
  <c r="R838" i="35"/>
  <c r="R839" i="35"/>
  <c r="R840" i="35"/>
  <c r="R841" i="35"/>
  <c r="R842" i="35"/>
  <c r="R843" i="35"/>
  <c r="R844" i="35"/>
  <c r="R845" i="35"/>
  <c r="R846" i="35"/>
  <c r="R847" i="35"/>
  <c r="R848" i="35"/>
  <c r="R849" i="35"/>
  <c r="R850" i="35"/>
  <c r="R851" i="35"/>
  <c r="R852" i="35"/>
  <c r="R853" i="35"/>
  <c r="R854" i="35"/>
  <c r="R855" i="35"/>
  <c r="R856" i="35"/>
  <c r="R857" i="35"/>
  <c r="R858" i="35"/>
  <c r="R859" i="35"/>
  <c r="R860" i="35"/>
  <c r="R861" i="35"/>
  <c r="R862" i="35"/>
  <c r="R863" i="35"/>
  <c r="R864" i="35"/>
  <c r="R865" i="35"/>
  <c r="R866" i="35"/>
  <c r="R867" i="35"/>
  <c r="R868" i="35"/>
  <c r="R869" i="35"/>
  <c r="R870" i="35"/>
  <c r="R871" i="35"/>
  <c r="R872" i="35"/>
  <c r="R873" i="35"/>
  <c r="R874" i="35"/>
  <c r="R875" i="35"/>
  <c r="R876" i="35"/>
  <c r="R877" i="35"/>
  <c r="R878" i="35"/>
  <c r="R879" i="35"/>
  <c r="R880" i="35"/>
  <c r="R881" i="35"/>
  <c r="R882" i="35"/>
  <c r="R883" i="35"/>
  <c r="R884" i="35"/>
  <c r="R885" i="35"/>
  <c r="R886" i="35"/>
  <c r="R887" i="35"/>
  <c r="R888" i="35"/>
  <c r="R889" i="35"/>
  <c r="R890" i="35"/>
  <c r="R891" i="35"/>
  <c r="R892" i="35"/>
  <c r="R893" i="35"/>
  <c r="R894" i="35"/>
  <c r="R895" i="35"/>
  <c r="R896" i="35"/>
  <c r="R897" i="35"/>
  <c r="R898" i="35"/>
  <c r="R899" i="35"/>
  <c r="R900" i="35"/>
  <c r="R901" i="35"/>
  <c r="R902" i="35"/>
  <c r="R903" i="35"/>
  <c r="R904" i="35"/>
  <c r="R905" i="35"/>
  <c r="R906" i="35"/>
  <c r="R907" i="35"/>
  <c r="R908" i="35"/>
  <c r="R909" i="35"/>
  <c r="R910" i="35"/>
  <c r="R911" i="35"/>
  <c r="R912" i="35"/>
  <c r="R913" i="35"/>
  <c r="R914" i="35"/>
  <c r="R915" i="35"/>
  <c r="R916" i="35"/>
  <c r="R917" i="35"/>
  <c r="R918" i="35"/>
  <c r="R919" i="35"/>
  <c r="R920" i="35"/>
  <c r="R921" i="35"/>
  <c r="R922" i="35"/>
  <c r="R923" i="35"/>
  <c r="R924" i="35"/>
  <c r="R925" i="35"/>
  <c r="R926" i="35"/>
  <c r="R927" i="35"/>
  <c r="R928" i="35"/>
  <c r="R929" i="35"/>
  <c r="R930" i="35"/>
  <c r="R931" i="35"/>
  <c r="R932" i="35"/>
  <c r="R933" i="35"/>
  <c r="R934" i="35"/>
  <c r="R935" i="35"/>
  <c r="R936" i="35"/>
  <c r="R937" i="35"/>
  <c r="R938" i="35"/>
  <c r="R939" i="35"/>
  <c r="R940" i="35"/>
  <c r="R941" i="35"/>
  <c r="R942" i="35"/>
  <c r="R943" i="35"/>
  <c r="R944" i="35"/>
  <c r="R945" i="35"/>
  <c r="R946" i="35"/>
  <c r="R947" i="35"/>
  <c r="R948" i="35"/>
  <c r="R949" i="35"/>
  <c r="R950" i="35"/>
  <c r="R951" i="35"/>
  <c r="R952" i="35"/>
  <c r="R953" i="35"/>
  <c r="R954" i="35"/>
  <c r="R955" i="35"/>
  <c r="R956" i="35"/>
  <c r="R957" i="35"/>
  <c r="R958" i="35"/>
  <c r="R959" i="35"/>
  <c r="R960" i="35"/>
  <c r="R961" i="35"/>
  <c r="R962" i="35"/>
  <c r="R963" i="35"/>
  <c r="R964" i="35"/>
  <c r="R965" i="35"/>
  <c r="R966" i="35"/>
  <c r="R967" i="35"/>
  <c r="R968" i="35"/>
  <c r="R969" i="35"/>
  <c r="R970" i="35"/>
  <c r="R971" i="35"/>
  <c r="R972" i="35"/>
  <c r="R973" i="35"/>
  <c r="R974" i="35"/>
  <c r="R975" i="35"/>
  <c r="R976" i="35"/>
  <c r="R977" i="35"/>
  <c r="R978" i="35"/>
  <c r="R979" i="35"/>
  <c r="R980" i="35"/>
  <c r="R981" i="35"/>
  <c r="R982" i="35"/>
  <c r="R983" i="35"/>
  <c r="R984" i="35"/>
  <c r="R985" i="35"/>
  <c r="R986" i="35"/>
  <c r="R987" i="35"/>
  <c r="R988" i="35"/>
  <c r="R989" i="35"/>
  <c r="R990" i="35"/>
  <c r="R991" i="35"/>
  <c r="R992" i="35"/>
  <c r="R993" i="35"/>
  <c r="R994" i="35"/>
  <c r="R995" i="35"/>
  <c r="R996" i="35"/>
  <c r="R997" i="35"/>
  <c r="R998" i="35"/>
  <c r="R999" i="35"/>
  <c r="R1000" i="35"/>
  <c r="R1001" i="35"/>
  <c r="R1002" i="35"/>
  <c r="R1003" i="35"/>
  <c r="R4" i="35"/>
  <c r="Q1002" i="35"/>
  <c r="Q1001" i="35"/>
  <c r="Q994" i="35"/>
  <c r="Q993" i="35"/>
  <c r="Q986" i="35"/>
  <c r="Q985" i="35"/>
  <c r="Q978" i="35"/>
  <c r="Q977" i="35"/>
  <c r="Q970" i="35"/>
  <c r="Q969" i="35"/>
  <c r="Q962" i="35"/>
  <c r="Q961" i="35"/>
  <c r="Q954" i="35"/>
  <c r="Q953" i="35"/>
  <c r="Q946" i="35"/>
  <c r="Q945" i="35"/>
  <c r="Q938" i="35"/>
  <c r="Q937" i="35"/>
  <c r="Q930" i="35"/>
  <c r="Q929" i="35"/>
  <c r="Q922" i="35"/>
  <c r="Q921" i="35"/>
  <c r="Q914" i="35"/>
  <c r="Q913" i="35"/>
  <c r="Q906" i="35"/>
  <c r="Q905" i="35"/>
  <c r="Q898" i="35"/>
  <c r="Q897" i="35"/>
  <c r="Q890" i="35"/>
  <c r="Q889" i="35"/>
  <c r="Q882" i="35"/>
  <c r="Q881" i="35"/>
  <c r="Q874" i="35"/>
  <c r="Q873" i="35"/>
  <c r="Q866" i="35"/>
  <c r="Q865" i="35"/>
  <c r="Q858" i="35"/>
  <c r="Q857" i="35"/>
  <c r="Q850" i="35"/>
  <c r="Q849" i="35"/>
  <c r="Q842" i="35"/>
  <c r="Q841" i="35"/>
  <c r="Q834" i="35"/>
  <c r="Q833" i="35"/>
  <c r="Q826" i="35"/>
  <c r="Q825" i="35"/>
  <c r="Q818" i="35"/>
  <c r="Q817" i="35"/>
  <c r="Q810" i="35"/>
  <c r="Q809" i="35"/>
  <c r="Q802" i="35"/>
  <c r="Q801" i="35"/>
  <c r="Q794" i="35"/>
  <c r="Q793" i="35"/>
  <c r="Q786" i="35"/>
  <c r="Q785" i="35"/>
  <c r="Q778" i="35"/>
  <c r="Q777" i="35"/>
  <c r="Q770" i="35"/>
  <c r="Q769" i="35"/>
  <c r="Q762" i="35"/>
  <c r="Q761" i="35"/>
  <c r="Q754" i="35"/>
  <c r="Q753" i="35"/>
  <c r="Q746" i="35"/>
  <c r="Q745" i="35"/>
  <c r="Q738" i="35"/>
  <c r="Q737" i="35"/>
  <c r="Q730" i="35"/>
  <c r="Q729" i="35"/>
  <c r="Q722" i="35"/>
  <c r="Q721" i="35"/>
  <c r="Q714" i="35"/>
  <c r="Q713" i="35"/>
  <c r="Q706" i="35"/>
  <c r="Q705" i="35"/>
  <c r="Q698" i="35"/>
  <c r="Q697" i="35"/>
  <c r="Q690" i="35"/>
  <c r="Q689" i="35"/>
  <c r="Q682" i="35"/>
  <c r="Q681" i="35"/>
  <c r="Q674" i="35"/>
  <c r="Q673" i="35"/>
  <c r="Q666" i="35"/>
  <c r="Q665" i="35"/>
  <c r="Q663" i="35"/>
  <c r="Q659" i="35"/>
  <c r="Q658" i="35"/>
  <c r="Q657" i="35"/>
  <c r="Q655" i="35"/>
  <c r="Q651" i="35"/>
  <c r="Q650" i="35"/>
  <c r="Q649" i="35"/>
  <c r="Q647" i="35"/>
  <c r="Q645" i="35"/>
  <c r="Q643" i="35"/>
  <c r="Q642" i="35"/>
  <c r="Q641" i="35"/>
  <c r="Q639" i="35"/>
  <c r="Q635" i="35"/>
  <c r="Q634" i="35"/>
  <c r="Q633" i="35"/>
  <c r="Q631" i="35"/>
  <c r="Q627" i="35"/>
  <c r="Q626" i="35"/>
  <c r="Q625" i="35"/>
  <c r="Q623" i="35"/>
  <c r="Q619" i="35"/>
  <c r="Q618" i="35"/>
  <c r="Q617" i="35"/>
  <c r="Q615" i="35"/>
  <c r="Q613" i="35"/>
  <c r="Q611" i="35"/>
  <c r="Q610" i="35"/>
  <c r="Q609" i="35"/>
  <c r="Q607" i="35"/>
  <c r="Q603" i="35"/>
  <c r="Q602" i="35"/>
  <c r="Q601" i="35"/>
  <c r="Q599" i="35"/>
  <c r="Q595" i="35"/>
  <c r="Q594" i="35"/>
  <c r="Q593" i="35"/>
  <c r="Q591" i="35"/>
  <c r="Q587" i="35"/>
  <c r="Q586" i="35"/>
  <c r="Q585" i="35"/>
  <c r="Q583" i="35"/>
  <c r="Q579" i="35"/>
  <c r="Q578" i="35"/>
  <c r="Q577" i="35"/>
  <c r="Q575" i="35"/>
  <c r="Q571" i="35"/>
  <c r="Q570" i="35"/>
  <c r="Q569" i="35"/>
  <c r="Q567" i="35"/>
  <c r="Q563" i="35"/>
  <c r="Q562" i="35"/>
  <c r="Q561" i="35"/>
  <c r="Q559" i="35"/>
  <c r="Q558" i="35"/>
  <c r="Q555" i="35"/>
  <c r="Q554" i="35"/>
  <c r="Q553" i="35"/>
  <c r="Q551" i="35"/>
  <c r="Q547" i="35"/>
  <c r="Q546" i="35"/>
  <c r="Q545" i="35"/>
  <c r="Q543" i="35"/>
  <c r="Q539" i="35"/>
  <c r="Q538" i="35"/>
  <c r="Q537" i="35"/>
  <c r="Q535" i="35"/>
  <c r="Q531" i="35"/>
  <c r="Q530" i="35"/>
  <c r="Q529" i="35"/>
  <c r="Q527" i="35"/>
  <c r="Q523" i="35"/>
  <c r="Q522" i="35"/>
  <c r="Q521" i="35"/>
  <c r="Q519" i="35"/>
  <c r="Q517" i="35"/>
  <c r="Q515" i="35"/>
  <c r="Q514" i="35"/>
  <c r="Q513" i="35"/>
  <c r="Q511" i="35"/>
  <c r="Q507" i="35"/>
  <c r="Q506" i="35"/>
  <c r="Q505" i="35"/>
  <c r="Q503" i="35"/>
  <c r="Q499" i="35"/>
  <c r="Q498" i="35"/>
  <c r="Q497" i="35"/>
  <c r="Q495" i="35"/>
  <c r="Q491" i="35"/>
  <c r="Q490" i="35"/>
  <c r="Q489" i="35"/>
  <c r="Q487" i="35"/>
  <c r="Q485" i="35"/>
  <c r="Q483" i="35"/>
  <c r="Q482" i="35"/>
  <c r="Q481" i="35"/>
  <c r="Q479" i="35"/>
  <c r="Q475" i="35"/>
  <c r="Q474" i="35"/>
  <c r="Q473" i="35"/>
  <c r="Q471" i="35"/>
  <c r="Q467" i="35"/>
  <c r="Q466" i="35"/>
  <c r="Q465" i="35"/>
  <c r="Q463" i="35"/>
  <c r="Q459" i="35"/>
  <c r="Q458" i="35"/>
  <c r="Q457" i="35"/>
  <c r="Q455" i="35"/>
  <c r="Q451" i="35"/>
  <c r="Q450" i="35"/>
  <c r="Q449" i="35"/>
  <c r="Q447" i="35"/>
  <c r="Q443" i="35"/>
  <c r="Q442" i="35"/>
  <c r="Q441" i="35"/>
  <c r="Q439" i="35"/>
  <c r="Q435" i="35"/>
  <c r="Q434" i="35"/>
  <c r="Q433" i="35"/>
  <c r="Q431" i="35"/>
  <c r="Q430" i="35"/>
  <c r="Q427" i="35"/>
  <c r="Q426" i="35"/>
  <c r="Q425" i="35"/>
  <c r="Q423" i="35"/>
  <c r="Q419" i="35"/>
  <c r="Q418" i="35"/>
  <c r="Q417" i="35"/>
  <c r="Q415" i="35"/>
  <c r="Q411" i="35"/>
  <c r="Q410" i="35"/>
  <c r="Q409" i="35"/>
  <c r="Q407" i="35"/>
  <c r="Q403" i="35"/>
  <c r="Q402" i="35"/>
  <c r="Q401" i="35"/>
  <c r="Q399" i="35"/>
  <c r="Q395" i="35"/>
  <c r="Q394" i="35"/>
  <c r="Q393" i="35"/>
  <c r="Q391" i="35"/>
  <c r="Q389" i="35"/>
  <c r="Q387" i="35"/>
  <c r="Q386" i="35"/>
  <c r="Q385" i="35"/>
  <c r="Q383" i="35"/>
  <c r="Q379" i="35"/>
  <c r="Q378" i="35"/>
  <c r="Q377" i="35"/>
  <c r="Q375" i="35"/>
  <c r="Q371" i="35"/>
  <c r="Q370" i="35"/>
  <c r="Q369" i="35"/>
  <c r="Q367" i="35"/>
  <c r="Q363" i="35"/>
  <c r="Q362" i="35"/>
  <c r="Q361" i="35"/>
  <c r="Q359" i="35"/>
  <c r="Q357" i="35"/>
  <c r="Q355" i="35"/>
  <c r="Q354" i="35"/>
  <c r="Q353" i="35"/>
  <c r="Q351" i="35"/>
  <c r="Q347" i="35"/>
  <c r="Q346" i="35"/>
  <c r="Q345" i="35"/>
  <c r="Q343" i="35"/>
  <c r="Q339" i="35"/>
  <c r="Q338" i="35"/>
  <c r="Q337" i="35"/>
  <c r="Q335" i="35"/>
  <c r="Q331" i="35"/>
  <c r="Q330" i="35"/>
  <c r="Q329" i="35"/>
  <c r="Q327" i="35"/>
  <c r="Q323" i="35"/>
  <c r="Q322" i="35"/>
  <c r="Q321" i="35"/>
  <c r="Q319" i="35"/>
  <c r="Q315" i="35"/>
  <c r="Q314" i="35"/>
  <c r="Q313" i="35"/>
  <c r="Q311" i="35"/>
  <c r="Q307" i="35"/>
  <c r="Q306" i="35"/>
  <c r="Q305" i="35"/>
  <c r="Q303" i="35"/>
  <c r="Q302" i="35"/>
  <c r="Q299" i="35"/>
  <c r="Q298" i="35"/>
  <c r="Q297" i="35"/>
  <c r="Q295" i="35"/>
  <c r="Q291" i="35"/>
  <c r="Q290" i="35"/>
  <c r="Q289" i="35"/>
  <c r="Q287" i="35"/>
  <c r="Q283" i="35"/>
  <c r="Q282" i="35"/>
  <c r="Q281" i="35"/>
  <c r="Q279" i="35"/>
  <c r="Q275" i="35"/>
  <c r="Q274" i="35"/>
  <c r="Q273" i="35"/>
  <c r="Q271" i="35"/>
  <c r="Q267" i="35"/>
  <c r="Q266" i="35"/>
  <c r="Q265" i="35"/>
  <c r="Q263" i="35"/>
  <c r="Q261" i="35"/>
  <c r="Q259" i="35"/>
  <c r="Q258" i="35"/>
  <c r="Q257" i="35"/>
  <c r="Q255" i="35"/>
  <c r="Q251" i="35"/>
  <c r="Q250" i="35"/>
  <c r="Q249" i="35"/>
  <c r="Q247" i="35"/>
  <c r="Q243" i="35"/>
  <c r="Q242" i="35"/>
  <c r="Q241" i="35"/>
  <c r="Q239" i="35"/>
  <c r="Q235" i="35"/>
  <c r="Q234" i="35"/>
  <c r="Q233" i="35"/>
  <c r="Q231" i="35"/>
  <c r="Q227" i="35"/>
  <c r="Q226" i="35"/>
  <c r="Q225" i="35"/>
  <c r="Q223" i="35"/>
  <c r="Q219" i="35"/>
  <c r="Q218" i="35"/>
  <c r="Q217" i="35"/>
  <c r="Q215" i="35"/>
  <c r="Q211" i="35"/>
  <c r="Q210" i="35"/>
  <c r="Q209" i="35"/>
  <c r="Q207" i="35"/>
  <c r="Q206" i="35"/>
  <c r="Q203" i="35"/>
  <c r="Q202" i="35"/>
  <c r="Q201" i="35"/>
  <c r="Q199" i="35"/>
  <c r="Q195" i="35"/>
  <c r="Q194" i="35"/>
  <c r="Q193" i="35"/>
  <c r="Q191" i="35"/>
  <c r="Q187" i="35"/>
  <c r="Q186" i="35"/>
  <c r="Q185" i="35"/>
  <c r="Q183" i="35"/>
  <c r="Q179" i="35"/>
  <c r="Q178" i="35"/>
  <c r="Q177" i="35"/>
  <c r="Q175" i="35"/>
  <c r="Q171" i="35"/>
  <c r="Q170" i="35"/>
  <c r="Q169" i="35"/>
  <c r="Q167" i="35"/>
  <c r="Q166" i="35"/>
  <c r="Q165" i="35"/>
  <c r="Q163" i="35"/>
  <c r="Q162" i="35"/>
  <c r="Q161" i="35"/>
  <c r="Q159" i="35"/>
  <c r="Q155" i="35"/>
  <c r="Q154" i="35"/>
  <c r="Q153" i="35"/>
  <c r="Q151" i="35"/>
  <c r="Q147" i="35"/>
  <c r="Q146" i="35"/>
  <c r="Q145" i="35"/>
  <c r="Q143" i="35"/>
  <c r="Q139" i="35"/>
  <c r="Q138" i="35"/>
  <c r="Q137" i="35"/>
  <c r="Q135" i="35"/>
  <c r="Q131" i="35"/>
  <c r="Q130" i="35"/>
  <c r="Q129" i="35"/>
  <c r="Q127" i="35"/>
  <c r="Q123" i="35"/>
  <c r="Q122" i="35"/>
  <c r="Q121" i="35"/>
  <c r="Q119" i="35"/>
  <c r="Q115" i="35"/>
  <c r="Q114" i="35"/>
  <c r="Q113" i="35"/>
  <c r="Q111" i="35"/>
  <c r="Q110" i="35"/>
  <c r="Q107" i="35"/>
  <c r="Q106" i="35"/>
  <c r="Q105" i="35"/>
  <c r="Q103" i="35"/>
  <c r="Q101" i="35"/>
  <c r="Q99" i="35"/>
  <c r="Q98" i="35"/>
  <c r="Q97" i="35"/>
  <c r="Q95" i="35"/>
  <c r="Q91" i="35"/>
  <c r="Q90" i="35"/>
  <c r="Q89" i="35"/>
  <c r="Q87" i="35"/>
  <c r="Q83" i="35"/>
  <c r="Q82" i="35"/>
  <c r="Q81" i="35"/>
  <c r="Q79" i="35"/>
  <c r="Q75" i="35"/>
  <c r="Q74" i="35"/>
  <c r="Q73" i="35"/>
  <c r="Q71" i="35"/>
  <c r="Q70" i="35"/>
  <c r="Q67" i="35"/>
  <c r="Q66" i="35"/>
  <c r="Q65" i="35"/>
  <c r="Q63" i="35"/>
  <c r="Q59" i="35"/>
  <c r="Q58" i="35"/>
  <c r="Q57" i="35"/>
  <c r="Q55" i="35"/>
  <c r="Q51" i="35"/>
  <c r="Q50" i="35"/>
  <c r="Q49" i="35"/>
  <c r="Q47" i="35"/>
  <c r="Q43" i="35"/>
  <c r="Q42" i="35"/>
  <c r="Q41" i="35"/>
  <c r="Q39" i="35"/>
  <c r="Q35" i="35"/>
  <c r="Q34" i="35"/>
  <c r="Q33" i="35"/>
  <c r="Q31" i="35"/>
  <c r="Q27" i="35"/>
  <c r="Q26" i="35"/>
  <c r="Q25" i="35"/>
  <c r="Q23" i="35"/>
  <c r="Q19" i="35"/>
  <c r="Q18" i="35"/>
  <c r="Q17" i="35"/>
  <c r="Q15" i="35"/>
  <c r="Q11" i="35"/>
  <c r="Q10" i="35"/>
  <c r="Q9" i="35"/>
  <c r="Q7" i="35"/>
  <c r="Q6" i="35"/>
  <c r="Q5" i="35"/>
  <c r="E4" i="35"/>
  <c r="B4" i="35" s="1"/>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K83" i="35"/>
  <c r="K84" i="35"/>
  <c r="K85" i="35"/>
  <c r="K86" i="35"/>
  <c r="K87" i="35"/>
  <c r="K88" i="35"/>
  <c r="K89" i="35"/>
  <c r="K90" i="35"/>
  <c r="K91" i="35"/>
  <c r="K92" i="35"/>
  <c r="K93" i="35"/>
  <c r="K94" i="35"/>
  <c r="K95" i="35"/>
  <c r="K96" i="35"/>
  <c r="K97" i="35"/>
  <c r="K98" i="35"/>
  <c r="K99" i="35"/>
  <c r="K100" i="35"/>
  <c r="K101" i="35"/>
  <c r="K102" i="35"/>
  <c r="K103" i="35"/>
  <c r="K104" i="35"/>
  <c r="K105" i="35"/>
  <c r="K106" i="35"/>
  <c r="K107" i="35"/>
  <c r="K108" i="35"/>
  <c r="K109" i="35"/>
  <c r="K110" i="35"/>
  <c r="K111" i="35"/>
  <c r="K112" i="35"/>
  <c r="K113" i="35"/>
  <c r="K114" i="35"/>
  <c r="K115" i="35"/>
  <c r="K116" i="35"/>
  <c r="K117" i="35"/>
  <c r="K118" i="35"/>
  <c r="K119" i="35"/>
  <c r="K120" i="35"/>
  <c r="K121" i="35"/>
  <c r="K122" i="35"/>
  <c r="K123" i="35"/>
  <c r="K124" i="35"/>
  <c r="K125" i="35"/>
  <c r="K126" i="35"/>
  <c r="K127" i="35"/>
  <c r="K128" i="35"/>
  <c r="K129" i="35"/>
  <c r="K130" i="35"/>
  <c r="K131" i="35"/>
  <c r="K132" i="35"/>
  <c r="K133" i="35"/>
  <c r="K134" i="35"/>
  <c r="K135" i="35"/>
  <c r="K136" i="35"/>
  <c r="K137" i="35"/>
  <c r="K138" i="35"/>
  <c r="K139" i="35"/>
  <c r="K140" i="35"/>
  <c r="K141" i="35"/>
  <c r="K142" i="35"/>
  <c r="K143" i="35"/>
  <c r="K144" i="35"/>
  <c r="K145" i="35"/>
  <c r="K146" i="35"/>
  <c r="K147" i="35"/>
  <c r="K148" i="35"/>
  <c r="K149" i="35"/>
  <c r="K150" i="35"/>
  <c r="K151" i="35"/>
  <c r="K152" i="35"/>
  <c r="K153" i="35"/>
  <c r="K154" i="35"/>
  <c r="K155" i="35"/>
  <c r="K156" i="35"/>
  <c r="K157" i="35"/>
  <c r="K158" i="35"/>
  <c r="K159" i="35"/>
  <c r="K160" i="35"/>
  <c r="K161" i="35"/>
  <c r="K162" i="35"/>
  <c r="K163" i="35"/>
  <c r="K164" i="35"/>
  <c r="K165" i="35"/>
  <c r="K166" i="35"/>
  <c r="K167" i="35"/>
  <c r="K168" i="35"/>
  <c r="K169" i="35"/>
  <c r="K170" i="35"/>
  <c r="K171" i="35"/>
  <c r="K172" i="35"/>
  <c r="K173" i="35"/>
  <c r="K174" i="35"/>
  <c r="K175" i="35"/>
  <c r="K176" i="35"/>
  <c r="K177" i="35"/>
  <c r="K178" i="35"/>
  <c r="K179" i="35"/>
  <c r="K180" i="35"/>
  <c r="K181" i="35"/>
  <c r="K182" i="35"/>
  <c r="K183" i="35"/>
  <c r="K184" i="35"/>
  <c r="K185" i="35"/>
  <c r="K186" i="35"/>
  <c r="K187" i="35"/>
  <c r="K188" i="35"/>
  <c r="K189" i="35"/>
  <c r="K190" i="35"/>
  <c r="K191" i="35"/>
  <c r="K192" i="35"/>
  <c r="K193" i="35"/>
  <c r="K194" i="35"/>
  <c r="K195" i="35"/>
  <c r="K196" i="35"/>
  <c r="K197" i="35"/>
  <c r="K198" i="35"/>
  <c r="K199" i="35"/>
  <c r="K200" i="35"/>
  <c r="K201" i="35"/>
  <c r="K202" i="35"/>
  <c r="K203" i="35"/>
  <c r="K204" i="35"/>
  <c r="K205" i="35"/>
  <c r="K206" i="35"/>
  <c r="K207" i="35"/>
  <c r="K208" i="35"/>
  <c r="K209" i="35"/>
  <c r="K210" i="35"/>
  <c r="K211" i="35"/>
  <c r="K212" i="35"/>
  <c r="K213" i="35"/>
  <c r="K214" i="35"/>
  <c r="K215" i="35"/>
  <c r="K216" i="35"/>
  <c r="K217" i="35"/>
  <c r="K218" i="35"/>
  <c r="K219" i="35"/>
  <c r="K220" i="35"/>
  <c r="K221" i="35"/>
  <c r="K222" i="35"/>
  <c r="K223" i="35"/>
  <c r="K224" i="35"/>
  <c r="K225" i="35"/>
  <c r="K226" i="35"/>
  <c r="K227" i="35"/>
  <c r="K228" i="35"/>
  <c r="K229" i="35"/>
  <c r="K230" i="35"/>
  <c r="K231" i="35"/>
  <c r="K232" i="35"/>
  <c r="K233" i="35"/>
  <c r="K234" i="35"/>
  <c r="K235" i="35"/>
  <c r="K236" i="35"/>
  <c r="K237" i="35"/>
  <c r="K238" i="35"/>
  <c r="K239" i="35"/>
  <c r="K240" i="35"/>
  <c r="K241" i="35"/>
  <c r="K242" i="35"/>
  <c r="K243" i="35"/>
  <c r="K244" i="35"/>
  <c r="K245" i="35"/>
  <c r="K246" i="35"/>
  <c r="K247" i="35"/>
  <c r="K248" i="35"/>
  <c r="K249" i="35"/>
  <c r="K250" i="35"/>
  <c r="K251" i="35"/>
  <c r="K252" i="35"/>
  <c r="K253" i="35"/>
  <c r="K254" i="35"/>
  <c r="K255" i="35"/>
  <c r="K256" i="35"/>
  <c r="K257" i="35"/>
  <c r="K258" i="35"/>
  <c r="K259" i="35"/>
  <c r="K260" i="35"/>
  <c r="K261" i="35"/>
  <c r="K262" i="35"/>
  <c r="K263" i="35"/>
  <c r="K264" i="35"/>
  <c r="K265" i="35"/>
  <c r="K266" i="35"/>
  <c r="K267" i="35"/>
  <c r="K268" i="35"/>
  <c r="K269" i="35"/>
  <c r="K270" i="35"/>
  <c r="K271" i="35"/>
  <c r="K272" i="35"/>
  <c r="K273" i="35"/>
  <c r="K274" i="35"/>
  <c r="K275" i="35"/>
  <c r="K276" i="35"/>
  <c r="K277" i="35"/>
  <c r="K278" i="35"/>
  <c r="K279" i="35"/>
  <c r="K280" i="35"/>
  <c r="K281" i="35"/>
  <c r="K282" i="35"/>
  <c r="K283" i="35"/>
  <c r="K284" i="35"/>
  <c r="K285" i="35"/>
  <c r="K286" i="35"/>
  <c r="K287" i="35"/>
  <c r="K288" i="35"/>
  <c r="K289" i="35"/>
  <c r="K290" i="35"/>
  <c r="K291" i="35"/>
  <c r="K292" i="35"/>
  <c r="K293" i="35"/>
  <c r="K294" i="35"/>
  <c r="K295" i="35"/>
  <c r="K296" i="35"/>
  <c r="K297" i="35"/>
  <c r="K298" i="35"/>
  <c r="K299" i="35"/>
  <c r="K300" i="35"/>
  <c r="K301" i="35"/>
  <c r="K302" i="35"/>
  <c r="K303" i="35"/>
  <c r="K304" i="35"/>
  <c r="K305" i="35"/>
  <c r="K306" i="35"/>
  <c r="K307" i="35"/>
  <c r="K308" i="35"/>
  <c r="K309" i="35"/>
  <c r="K310" i="35"/>
  <c r="K311" i="35"/>
  <c r="K312" i="35"/>
  <c r="K313" i="35"/>
  <c r="K314" i="35"/>
  <c r="K315" i="35"/>
  <c r="K316" i="35"/>
  <c r="K317" i="35"/>
  <c r="K318" i="35"/>
  <c r="K319" i="35"/>
  <c r="K320" i="35"/>
  <c r="K321" i="35"/>
  <c r="K322" i="35"/>
  <c r="K323" i="35"/>
  <c r="K324" i="35"/>
  <c r="K325" i="35"/>
  <c r="K326" i="35"/>
  <c r="K327" i="35"/>
  <c r="K328" i="35"/>
  <c r="K329" i="35"/>
  <c r="K330" i="35"/>
  <c r="K331" i="35"/>
  <c r="K332" i="35"/>
  <c r="K333" i="35"/>
  <c r="K334" i="35"/>
  <c r="K335" i="35"/>
  <c r="K336" i="35"/>
  <c r="K337" i="35"/>
  <c r="K338" i="35"/>
  <c r="K339" i="35"/>
  <c r="K340" i="35"/>
  <c r="K341" i="35"/>
  <c r="K342" i="35"/>
  <c r="K343" i="35"/>
  <c r="K344" i="35"/>
  <c r="K345" i="35"/>
  <c r="K346" i="35"/>
  <c r="K347" i="35"/>
  <c r="K348" i="35"/>
  <c r="K349" i="35"/>
  <c r="K350" i="35"/>
  <c r="K351" i="35"/>
  <c r="K352" i="35"/>
  <c r="K353" i="35"/>
  <c r="K354" i="35"/>
  <c r="K355" i="35"/>
  <c r="K356" i="35"/>
  <c r="K357" i="35"/>
  <c r="K358" i="35"/>
  <c r="K359" i="35"/>
  <c r="K360" i="35"/>
  <c r="K361" i="35"/>
  <c r="K362" i="35"/>
  <c r="K363" i="35"/>
  <c r="K364" i="35"/>
  <c r="K365" i="35"/>
  <c r="K366" i="35"/>
  <c r="K367" i="35"/>
  <c r="K368" i="35"/>
  <c r="K369" i="35"/>
  <c r="K370" i="35"/>
  <c r="K371" i="35"/>
  <c r="K372" i="35"/>
  <c r="K373" i="35"/>
  <c r="K374" i="35"/>
  <c r="K375" i="35"/>
  <c r="K376" i="35"/>
  <c r="K377" i="35"/>
  <c r="K378" i="35"/>
  <c r="K379" i="35"/>
  <c r="K380" i="35"/>
  <c r="K381" i="35"/>
  <c r="K382" i="35"/>
  <c r="K383" i="35"/>
  <c r="K384" i="35"/>
  <c r="K385" i="35"/>
  <c r="K386" i="35"/>
  <c r="K387" i="35"/>
  <c r="K388" i="35"/>
  <c r="K389" i="35"/>
  <c r="K390" i="35"/>
  <c r="K391" i="35"/>
  <c r="K392" i="35"/>
  <c r="K393" i="35"/>
  <c r="K394" i="35"/>
  <c r="K395" i="35"/>
  <c r="K396" i="35"/>
  <c r="K397" i="35"/>
  <c r="K398" i="35"/>
  <c r="K399" i="35"/>
  <c r="K400" i="35"/>
  <c r="K401" i="35"/>
  <c r="K402" i="35"/>
  <c r="K403" i="35"/>
  <c r="K404" i="35"/>
  <c r="K405" i="35"/>
  <c r="K406" i="35"/>
  <c r="K407" i="35"/>
  <c r="K408" i="35"/>
  <c r="K409" i="35"/>
  <c r="K410" i="35"/>
  <c r="K411" i="35"/>
  <c r="K412" i="35"/>
  <c r="K413" i="35"/>
  <c r="K414" i="35"/>
  <c r="K415" i="35"/>
  <c r="K416" i="35"/>
  <c r="K417" i="35"/>
  <c r="K418" i="35"/>
  <c r="K419" i="35"/>
  <c r="K420" i="35"/>
  <c r="K421" i="35"/>
  <c r="K422" i="35"/>
  <c r="K423" i="35"/>
  <c r="K424" i="35"/>
  <c r="K425" i="35"/>
  <c r="K426" i="35"/>
  <c r="K427" i="35"/>
  <c r="K428" i="35"/>
  <c r="K429" i="35"/>
  <c r="K430" i="35"/>
  <c r="K431" i="35"/>
  <c r="K432" i="35"/>
  <c r="K433" i="35"/>
  <c r="K434" i="35"/>
  <c r="K435" i="35"/>
  <c r="K436" i="35"/>
  <c r="K437" i="35"/>
  <c r="K438" i="35"/>
  <c r="K439" i="35"/>
  <c r="K440" i="35"/>
  <c r="K441" i="35"/>
  <c r="K442" i="35"/>
  <c r="K443" i="35"/>
  <c r="K444" i="35"/>
  <c r="K445" i="35"/>
  <c r="K446" i="35"/>
  <c r="K447" i="35"/>
  <c r="K448" i="35"/>
  <c r="K449" i="35"/>
  <c r="K450" i="35"/>
  <c r="K451" i="35"/>
  <c r="K452" i="35"/>
  <c r="K453" i="35"/>
  <c r="K454" i="35"/>
  <c r="K455" i="35"/>
  <c r="K456" i="35"/>
  <c r="K457" i="35"/>
  <c r="K458" i="35"/>
  <c r="K459" i="35"/>
  <c r="K460" i="35"/>
  <c r="K461" i="35"/>
  <c r="K462" i="35"/>
  <c r="K463" i="35"/>
  <c r="K464" i="35"/>
  <c r="K465" i="35"/>
  <c r="K466" i="35"/>
  <c r="K467" i="35"/>
  <c r="K468" i="35"/>
  <c r="K469" i="35"/>
  <c r="K470" i="35"/>
  <c r="K471" i="35"/>
  <c r="K472" i="35"/>
  <c r="K473" i="35"/>
  <c r="K474" i="35"/>
  <c r="K475" i="35"/>
  <c r="K476" i="35"/>
  <c r="K477" i="35"/>
  <c r="K478" i="35"/>
  <c r="K479" i="35"/>
  <c r="K480" i="35"/>
  <c r="K481" i="35"/>
  <c r="K482" i="35"/>
  <c r="K483" i="35"/>
  <c r="K484" i="35"/>
  <c r="K485" i="35"/>
  <c r="K486" i="35"/>
  <c r="K487" i="35"/>
  <c r="K488" i="35"/>
  <c r="K489" i="35"/>
  <c r="K490" i="35"/>
  <c r="K491" i="35"/>
  <c r="K492" i="35"/>
  <c r="K493" i="35"/>
  <c r="K494" i="35"/>
  <c r="K495" i="35"/>
  <c r="K496" i="35"/>
  <c r="K497" i="35"/>
  <c r="K498" i="35"/>
  <c r="K499" i="35"/>
  <c r="K500" i="35"/>
  <c r="K501" i="35"/>
  <c r="K502" i="35"/>
  <c r="K503" i="35"/>
  <c r="K504" i="35"/>
  <c r="K505" i="35"/>
  <c r="K506" i="35"/>
  <c r="K507" i="35"/>
  <c r="K508" i="35"/>
  <c r="K509" i="35"/>
  <c r="K510" i="35"/>
  <c r="K511" i="35"/>
  <c r="K512" i="35"/>
  <c r="K513" i="35"/>
  <c r="K514" i="35"/>
  <c r="K515" i="35"/>
  <c r="K516" i="35"/>
  <c r="K517" i="35"/>
  <c r="K518" i="35"/>
  <c r="K519" i="35"/>
  <c r="K520" i="35"/>
  <c r="K521" i="35"/>
  <c r="K522" i="35"/>
  <c r="K523" i="35"/>
  <c r="K524" i="35"/>
  <c r="K525" i="35"/>
  <c r="K526" i="35"/>
  <c r="K527" i="35"/>
  <c r="K528" i="35"/>
  <c r="K529" i="35"/>
  <c r="K530" i="35"/>
  <c r="K531" i="35"/>
  <c r="K532" i="35"/>
  <c r="K533" i="35"/>
  <c r="K534" i="35"/>
  <c r="K535" i="35"/>
  <c r="K536" i="35"/>
  <c r="K537" i="35"/>
  <c r="K538" i="35"/>
  <c r="K539" i="35"/>
  <c r="K540" i="35"/>
  <c r="K541" i="35"/>
  <c r="K542" i="35"/>
  <c r="K543" i="35"/>
  <c r="K544" i="35"/>
  <c r="K545" i="35"/>
  <c r="K546" i="35"/>
  <c r="K547" i="35"/>
  <c r="K548" i="35"/>
  <c r="K549" i="35"/>
  <c r="K550" i="35"/>
  <c r="K551" i="35"/>
  <c r="K552" i="35"/>
  <c r="K553" i="35"/>
  <c r="K554" i="35"/>
  <c r="K555" i="35"/>
  <c r="K556" i="35"/>
  <c r="K557" i="35"/>
  <c r="K558" i="35"/>
  <c r="K559" i="35"/>
  <c r="K560" i="35"/>
  <c r="K561" i="35"/>
  <c r="K562" i="35"/>
  <c r="K563" i="35"/>
  <c r="K564" i="35"/>
  <c r="K565" i="35"/>
  <c r="K566" i="35"/>
  <c r="K567" i="35"/>
  <c r="K568" i="35"/>
  <c r="K569" i="35"/>
  <c r="K570" i="35"/>
  <c r="K571" i="35"/>
  <c r="K572" i="35"/>
  <c r="K573" i="35"/>
  <c r="K574" i="35"/>
  <c r="K575" i="35"/>
  <c r="K576" i="35"/>
  <c r="K577" i="35"/>
  <c r="K578" i="35"/>
  <c r="K579" i="35"/>
  <c r="K580" i="35"/>
  <c r="K581" i="35"/>
  <c r="K582" i="35"/>
  <c r="K583" i="35"/>
  <c r="K584" i="35"/>
  <c r="K585" i="35"/>
  <c r="K586" i="35"/>
  <c r="K587" i="35"/>
  <c r="K588" i="35"/>
  <c r="K589" i="35"/>
  <c r="K590" i="35"/>
  <c r="K591" i="35"/>
  <c r="K592" i="35"/>
  <c r="K593" i="35"/>
  <c r="K594" i="35"/>
  <c r="K595" i="35"/>
  <c r="K596" i="35"/>
  <c r="K597" i="35"/>
  <c r="K598" i="35"/>
  <c r="K599" i="35"/>
  <c r="K600" i="35"/>
  <c r="K601" i="35"/>
  <c r="K602" i="35"/>
  <c r="K603" i="35"/>
  <c r="K604" i="35"/>
  <c r="K605" i="35"/>
  <c r="K606" i="35"/>
  <c r="K607" i="35"/>
  <c r="K608" i="35"/>
  <c r="K609" i="35"/>
  <c r="K610" i="35"/>
  <c r="K611" i="35"/>
  <c r="K612" i="35"/>
  <c r="K613" i="35"/>
  <c r="K614" i="35"/>
  <c r="K615" i="35"/>
  <c r="K616" i="35"/>
  <c r="K617" i="35"/>
  <c r="K618" i="35"/>
  <c r="K619" i="35"/>
  <c r="K620" i="35"/>
  <c r="K621" i="35"/>
  <c r="K622" i="35"/>
  <c r="K623" i="35"/>
  <c r="K624" i="35"/>
  <c r="K625" i="35"/>
  <c r="K626" i="35"/>
  <c r="K627" i="35"/>
  <c r="K628" i="35"/>
  <c r="K629" i="35"/>
  <c r="K630" i="35"/>
  <c r="K631" i="35"/>
  <c r="K632" i="35"/>
  <c r="K633" i="35"/>
  <c r="K634" i="35"/>
  <c r="K635" i="35"/>
  <c r="K636" i="35"/>
  <c r="K637" i="35"/>
  <c r="K638" i="35"/>
  <c r="K639" i="35"/>
  <c r="K640" i="35"/>
  <c r="K641" i="35"/>
  <c r="K642" i="35"/>
  <c r="K643" i="35"/>
  <c r="K644" i="35"/>
  <c r="K645" i="35"/>
  <c r="K646" i="35"/>
  <c r="K647" i="35"/>
  <c r="K648" i="35"/>
  <c r="K649" i="35"/>
  <c r="K650" i="35"/>
  <c r="K651" i="35"/>
  <c r="K652" i="35"/>
  <c r="K653" i="35"/>
  <c r="K654" i="35"/>
  <c r="K655" i="35"/>
  <c r="K656" i="35"/>
  <c r="K657" i="35"/>
  <c r="K658" i="35"/>
  <c r="K659" i="35"/>
  <c r="K660" i="35"/>
  <c r="K661" i="35"/>
  <c r="K662" i="35"/>
  <c r="K663" i="35"/>
  <c r="K664" i="35"/>
  <c r="K665" i="35"/>
  <c r="K666" i="35"/>
  <c r="K667" i="35"/>
  <c r="K668" i="35"/>
  <c r="K669" i="35"/>
  <c r="K670" i="35"/>
  <c r="K671" i="35"/>
  <c r="K672" i="35"/>
  <c r="K673" i="35"/>
  <c r="K674" i="35"/>
  <c r="K675" i="35"/>
  <c r="K676" i="35"/>
  <c r="K677" i="35"/>
  <c r="K678" i="35"/>
  <c r="K679" i="35"/>
  <c r="K680" i="35"/>
  <c r="K681" i="35"/>
  <c r="K682" i="35"/>
  <c r="K683" i="35"/>
  <c r="K684" i="35"/>
  <c r="K685" i="35"/>
  <c r="K686" i="35"/>
  <c r="K687" i="35"/>
  <c r="K688" i="35"/>
  <c r="K689" i="35"/>
  <c r="K690" i="35"/>
  <c r="K691" i="35"/>
  <c r="K692" i="35"/>
  <c r="K693" i="35"/>
  <c r="K694" i="35"/>
  <c r="K695" i="35"/>
  <c r="K696" i="35"/>
  <c r="K697" i="35"/>
  <c r="K698" i="35"/>
  <c r="K699" i="35"/>
  <c r="K700" i="35"/>
  <c r="K701" i="35"/>
  <c r="K702" i="35"/>
  <c r="K703" i="35"/>
  <c r="K704" i="35"/>
  <c r="K705" i="35"/>
  <c r="K706" i="35"/>
  <c r="K707" i="35"/>
  <c r="K708" i="35"/>
  <c r="K709" i="35"/>
  <c r="K710" i="35"/>
  <c r="K711" i="35"/>
  <c r="K712" i="35"/>
  <c r="K713" i="35"/>
  <c r="K714" i="35"/>
  <c r="K715" i="35"/>
  <c r="K716" i="35"/>
  <c r="K717" i="35"/>
  <c r="K718" i="35"/>
  <c r="K719" i="35"/>
  <c r="K720" i="35"/>
  <c r="K721" i="35"/>
  <c r="K722" i="35"/>
  <c r="K723" i="35"/>
  <c r="K724" i="35"/>
  <c r="K725" i="35"/>
  <c r="K726" i="35"/>
  <c r="K727" i="35"/>
  <c r="K728" i="35"/>
  <c r="K729" i="35"/>
  <c r="K730" i="35"/>
  <c r="K731" i="35"/>
  <c r="K732" i="35"/>
  <c r="K733" i="35"/>
  <c r="K734" i="35"/>
  <c r="K735" i="35"/>
  <c r="K736" i="35"/>
  <c r="K737" i="35"/>
  <c r="K738" i="35"/>
  <c r="K739" i="35"/>
  <c r="K740" i="35"/>
  <c r="K741" i="35"/>
  <c r="K742" i="35"/>
  <c r="K743" i="35"/>
  <c r="K744" i="35"/>
  <c r="K745" i="35"/>
  <c r="K746" i="35"/>
  <c r="K747" i="35"/>
  <c r="K748" i="35"/>
  <c r="K749" i="35"/>
  <c r="K750" i="35"/>
  <c r="K751" i="35"/>
  <c r="K752" i="35"/>
  <c r="K753" i="35"/>
  <c r="K754" i="35"/>
  <c r="K755" i="35"/>
  <c r="K756" i="35"/>
  <c r="K757" i="35"/>
  <c r="K758" i="35"/>
  <c r="K759" i="35"/>
  <c r="K760" i="35"/>
  <c r="K761" i="35"/>
  <c r="K762" i="35"/>
  <c r="K763" i="35"/>
  <c r="K764" i="35"/>
  <c r="K765" i="35"/>
  <c r="K766" i="35"/>
  <c r="K767" i="35"/>
  <c r="K768" i="35"/>
  <c r="K769" i="35"/>
  <c r="K770" i="35"/>
  <c r="K771" i="35"/>
  <c r="K772" i="35"/>
  <c r="K773" i="35"/>
  <c r="K774" i="35"/>
  <c r="K775" i="35"/>
  <c r="K776" i="35"/>
  <c r="K777" i="35"/>
  <c r="K778" i="35"/>
  <c r="K779" i="35"/>
  <c r="K780" i="35"/>
  <c r="K781" i="35"/>
  <c r="K782" i="35"/>
  <c r="K783" i="35"/>
  <c r="K784" i="35"/>
  <c r="K785" i="35"/>
  <c r="K786" i="35"/>
  <c r="K787" i="35"/>
  <c r="K788" i="35"/>
  <c r="K789" i="35"/>
  <c r="K790" i="35"/>
  <c r="K791" i="35"/>
  <c r="K792" i="35"/>
  <c r="K793" i="35"/>
  <c r="K794" i="35"/>
  <c r="K795" i="35"/>
  <c r="K796" i="35"/>
  <c r="K797" i="35"/>
  <c r="K798" i="35"/>
  <c r="K799" i="35"/>
  <c r="K800" i="35"/>
  <c r="K801" i="35"/>
  <c r="K802" i="35"/>
  <c r="K803" i="35"/>
  <c r="K804" i="35"/>
  <c r="K805" i="35"/>
  <c r="K806" i="35"/>
  <c r="K807" i="35"/>
  <c r="K808" i="35"/>
  <c r="K809" i="35"/>
  <c r="K810" i="35"/>
  <c r="K811" i="35"/>
  <c r="K812" i="35"/>
  <c r="K813" i="35"/>
  <c r="K814" i="35"/>
  <c r="K815" i="35"/>
  <c r="K816" i="35"/>
  <c r="K817" i="35"/>
  <c r="K818" i="35"/>
  <c r="K819" i="35"/>
  <c r="K820" i="35"/>
  <c r="K821" i="35"/>
  <c r="K822" i="35"/>
  <c r="K823" i="35"/>
  <c r="K824" i="35"/>
  <c r="K825" i="35"/>
  <c r="K826" i="35"/>
  <c r="K827" i="35"/>
  <c r="K828" i="35"/>
  <c r="K829" i="35"/>
  <c r="K830" i="35"/>
  <c r="K831" i="35"/>
  <c r="K832" i="35"/>
  <c r="K833" i="35"/>
  <c r="K834" i="35"/>
  <c r="K835" i="35"/>
  <c r="K836" i="35"/>
  <c r="K837" i="35"/>
  <c r="K838" i="35"/>
  <c r="K839" i="35"/>
  <c r="K840" i="35"/>
  <c r="K841" i="35"/>
  <c r="K842" i="35"/>
  <c r="K843" i="35"/>
  <c r="K844" i="35"/>
  <c r="K845" i="35"/>
  <c r="K846" i="35"/>
  <c r="K847" i="35"/>
  <c r="K848" i="35"/>
  <c r="K849" i="35"/>
  <c r="K850" i="35"/>
  <c r="K851" i="35"/>
  <c r="K852" i="35"/>
  <c r="K853" i="35"/>
  <c r="K854" i="35"/>
  <c r="K855" i="35"/>
  <c r="K856" i="35"/>
  <c r="K857" i="35"/>
  <c r="K858" i="35"/>
  <c r="K859" i="35"/>
  <c r="K860" i="35"/>
  <c r="K861" i="35"/>
  <c r="K862" i="35"/>
  <c r="K863" i="35"/>
  <c r="K864" i="35"/>
  <c r="K865" i="35"/>
  <c r="K866" i="35"/>
  <c r="K867" i="35"/>
  <c r="K868" i="35"/>
  <c r="K869" i="35"/>
  <c r="K870" i="35"/>
  <c r="K871" i="35"/>
  <c r="K872" i="35"/>
  <c r="K873" i="35"/>
  <c r="K874" i="35"/>
  <c r="K875" i="35"/>
  <c r="K876" i="35"/>
  <c r="K877" i="35"/>
  <c r="K878" i="35"/>
  <c r="K879" i="35"/>
  <c r="K880" i="35"/>
  <c r="K881" i="35"/>
  <c r="K882" i="35"/>
  <c r="K883" i="35"/>
  <c r="K884" i="35"/>
  <c r="K885" i="35"/>
  <c r="K886" i="35"/>
  <c r="K887" i="35"/>
  <c r="K888" i="35"/>
  <c r="K889" i="35"/>
  <c r="K890" i="35"/>
  <c r="K891" i="35"/>
  <c r="K892" i="35"/>
  <c r="K893" i="35"/>
  <c r="K894" i="35"/>
  <c r="K895" i="35"/>
  <c r="K896" i="35"/>
  <c r="K897" i="35"/>
  <c r="K898" i="35"/>
  <c r="K899" i="35"/>
  <c r="K900" i="35"/>
  <c r="K901" i="35"/>
  <c r="K902" i="35"/>
  <c r="K903" i="35"/>
  <c r="K904" i="35"/>
  <c r="K905" i="35"/>
  <c r="K906" i="35"/>
  <c r="K907" i="35"/>
  <c r="K908" i="35"/>
  <c r="K909" i="35"/>
  <c r="K910" i="35"/>
  <c r="K911" i="35"/>
  <c r="K912" i="35"/>
  <c r="K913" i="35"/>
  <c r="K914" i="35"/>
  <c r="K915" i="35"/>
  <c r="K916" i="35"/>
  <c r="K917" i="35"/>
  <c r="K918" i="35"/>
  <c r="K919" i="35"/>
  <c r="K920" i="35"/>
  <c r="K921" i="35"/>
  <c r="K922" i="35"/>
  <c r="K923" i="35"/>
  <c r="K924" i="35"/>
  <c r="K925" i="35"/>
  <c r="K926" i="35"/>
  <c r="K927" i="35"/>
  <c r="K928" i="35"/>
  <c r="K929" i="35"/>
  <c r="K930" i="35"/>
  <c r="K931" i="35"/>
  <c r="K932" i="35"/>
  <c r="K933" i="35"/>
  <c r="K934" i="35"/>
  <c r="K935" i="35"/>
  <c r="K936" i="35"/>
  <c r="K937" i="35"/>
  <c r="K938" i="35"/>
  <c r="K939" i="35"/>
  <c r="K940" i="35"/>
  <c r="K941" i="35"/>
  <c r="K942" i="35"/>
  <c r="K943" i="35"/>
  <c r="K944" i="35"/>
  <c r="K945" i="35"/>
  <c r="K946" i="35"/>
  <c r="K947" i="35"/>
  <c r="K948" i="35"/>
  <c r="K949" i="35"/>
  <c r="K950" i="35"/>
  <c r="K951" i="35"/>
  <c r="K952" i="35"/>
  <c r="K953" i="35"/>
  <c r="K954" i="35"/>
  <c r="K955" i="35"/>
  <c r="K956" i="35"/>
  <c r="K957" i="35"/>
  <c r="K958" i="35"/>
  <c r="K959" i="35"/>
  <c r="K960" i="35"/>
  <c r="K961" i="35"/>
  <c r="K962" i="35"/>
  <c r="K963" i="35"/>
  <c r="K964" i="35"/>
  <c r="K965" i="35"/>
  <c r="K966" i="35"/>
  <c r="K967" i="35"/>
  <c r="K968" i="35"/>
  <c r="K969" i="35"/>
  <c r="K970" i="35"/>
  <c r="K971" i="35"/>
  <c r="K972" i="35"/>
  <c r="K973" i="35"/>
  <c r="K974" i="35"/>
  <c r="K975" i="35"/>
  <c r="K976" i="35"/>
  <c r="K977" i="35"/>
  <c r="K978" i="35"/>
  <c r="K979" i="35"/>
  <c r="K980" i="35"/>
  <c r="K981" i="35"/>
  <c r="K982" i="35"/>
  <c r="K983" i="35"/>
  <c r="K984" i="35"/>
  <c r="K985" i="35"/>
  <c r="K986" i="35"/>
  <c r="K987" i="35"/>
  <c r="K988" i="35"/>
  <c r="K989" i="35"/>
  <c r="K990" i="35"/>
  <c r="K991" i="35"/>
  <c r="K992" i="35"/>
  <c r="K993" i="35"/>
  <c r="K994" i="35"/>
  <c r="K995" i="35"/>
  <c r="K996" i="35"/>
  <c r="K997" i="35"/>
  <c r="K998" i="35"/>
  <c r="K999" i="35"/>
  <c r="K1000" i="35"/>
  <c r="K1001" i="35"/>
  <c r="K1002" i="35"/>
  <c r="K1003" i="35"/>
  <c r="K4" i="35"/>
  <c r="B31" i="35"/>
  <c r="B55" i="35"/>
  <c r="B61" i="35"/>
  <c r="B74" i="35"/>
  <c r="B75" i="35"/>
  <c r="B94" i="35"/>
  <c r="B109" i="35"/>
  <c r="B111" i="35"/>
  <c r="B125" i="35"/>
  <c r="B127" i="35"/>
  <c r="B143" i="35"/>
  <c r="B158" i="35"/>
  <c r="B159" i="35"/>
  <c r="B163" i="35"/>
  <c r="B175" i="35"/>
  <c r="B191" i="35"/>
  <c r="B197" i="35"/>
  <c r="B199" i="35"/>
  <c r="B207" i="35"/>
  <c r="B215" i="35"/>
  <c r="B223" i="35"/>
  <c r="B229" i="35"/>
  <c r="B231" i="35"/>
  <c r="B245" i="35"/>
  <c r="B247" i="35"/>
  <c r="B249" i="35"/>
  <c r="B263" i="35"/>
  <c r="B265" i="35"/>
  <c r="B266" i="35"/>
  <c r="B279" i="35"/>
  <c r="B281" i="35"/>
  <c r="B283" i="35"/>
  <c r="B295" i="35"/>
  <c r="B297" i="35"/>
  <c r="B311" i="35"/>
  <c r="B313" i="35"/>
  <c r="B317" i="35"/>
  <c r="B329" i="35"/>
  <c r="B330" i="35"/>
  <c r="B345" i="35"/>
  <c r="B349" i="35"/>
  <c r="B350" i="35"/>
  <c r="B361" i="35"/>
  <c r="B367" i="35"/>
  <c r="B383" i="35"/>
  <c r="B397" i="35"/>
  <c r="B399" i="35"/>
  <c r="B414" i="35"/>
  <c r="B415" i="35"/>
  <c r="B431" i="35"/>
  <c r="B437" i="35"/>
  <c r="B447" i="35"/>
  <c r="B455" i="35"/>
  <c r="B463" i="35"/>
  <c r="B469" i="35"/>
  <c r="B471" i="35"/>
  <c r="B479" i="35"/>
  <c r="B487" i="35"/>
  <c r="B503" i="35"/>
  <c r="D5" i="35"/>
  <c r="D6" i="35"/>
  <c r="D7" i="35"/>
  <c r="D8" i="35"/>
  <c r="D9" i="35"/>
  <c r="D10" i="35"/>
  <c r="D11" i="35"/>
  <c r="D12" i="35"/>
  <c r="D13" i="35"/>
  <c r="D14" i="35"/>
  <c r="D15" i="35"/>
  <c r="D16" i="35"/>
  <c r="D17" i="35"/>
  <c r="D18" i="35"/>
  <c r="D19" i="35"/>
  <c r="D20" i="35"/>
  <c r="D21" i="35"/>
  <c r="D22" i="35"/>
  <c r="D23" i="35"/>
  <c r="D24" i="35"/>
  <c r="D25" i="35"/>
  <c r="D26" i="35"/>
  <c r="D27" i="35"/>
  <c r="D28" i="35"/>
  <c r="D29" i="35"/>
  <c r="D30" i="35"/>
  <c r="D31" i="35"/>
  <c r="D32" i="35"/>
  <c r="D33" i="35"/>
  <c r="D34" i="35"/>
  <c r="D35" i="35"/>
  <c r="D36" i="35"/>
  <c r="D37" i="35"/>
  <c r="D38" i="35"/>
  <c r="D39" i="35"/>
  <c r="D40" i="35"/>
  <c r="D41" i="35"/>
  <c r="D42" i="35"/>
  <c r="D43" i="35"/>
  <c r="D44" i="35"/>
  <c r="D45" i="35"/>
  <c r="D46" i="35"/>
  <c r="D47" i="35"/>
  <c r="D48" i="35"/>
  <c r="D49" i="35"/>
  <c r="D50" i="35"/>
  <c r="D51" i="35"/>
  <c r="D52" i="35"/>
  <c r="D53" i="35"/>
  <c r="D54" i="35"/>
  <c r="D55" i="35"/>
  <c r="D56" i="35"/>
  <c r="D57" i="35"/>
  <c r="D58" i="35"/>
  <c r="D59" i="35"/>
  <c r="D60" i="35"/>
  <c r="D61" i="35"/>
  <c r="D62" i="35"/>
  <c r="D63" i="35"/>
  <c r="D64" i="35"/>
  <c r="D65" i="35"/>
  <c r="D66" i="35"/>
  <c r="D67" i="35"/>
  <c r="D68" i="35"/>
  <c r="D69" i="35"/>
  <c r="D70" i="35"/>
  <c r="D71" i="35"/>
  <c r="D72" i="35"/>
  <c r="D73" i="35"/>
  <c r="D74" i="35"/>
  <c r="D75" i="35"/>
  <c r="D76" i="35"/>
  <c r="D77" i="35"/>
  <c r="D78" i="35"/>
  <c r="D79" i="35"/>
  <c r="D80" i="35"/>
  <c r="D81" i="35"/>
  <c r="D82" i="35"/>
  <c r="D83" i="35"/>
  <c r="D84" i="35"/>
  <c r="D85" i="35"/>
  <c r="D86" i="35"/>
  <c r="D87" i="35"/>
  <c r="D88" i="35"/>
  <c r="D89" i="35"/>
  <c r="D90" i="35"/>
  <c r="D91" i="35"/>
  <c r="D92" i="35"/>
  <c r="D93" i="35"/>
  <c r="D94" i="35"/>
  <c r="D95" i="35"/>
  <c r="D96" i="35"/>
  <c r="D97" i="35"/>
  <c r="D98" i="35"/>
  <c r="D99" i="35"/>
  <c r="D100" i="35"/>
  <c r="D101" i="35"/>
  <c r="D102" i="35"/>
  <c r="D103" i="35"/>
  <c r="D104" i="35"/>
  <c r="D105" i="35"/>
  <c r="D106" i="35"/>
  <c r="D107" i="35"/>
  <c r="D108" i="35"/>
  <c r="D109" i="35"/>
  <c r="D110" i="35"/>
  <c r="D111" i="35"/>
  <c r="D112" i="35"/>
  <c r="D113" i="35"/>
  <c r="D114" i="35"/>
  <c r="D115" i="35"/>
  <c r="D116" i="35"/>
  <c r="D117" i="35"/>
  <c r="D118" i="35"/>
  <c r="D119" i="35"/>
  <c r="D120" i="35"/>
  <c r="D121" i="35"/>
  <c r="D122" i="35"/>
  <c r="D123" i="35"/>
  <c r="D124" i="35"/>
  <c r="D125" i="35"/>
  <c r="D126" i="35"/>
  <c r="D127" i="35"/>
  <c r="D128" i="35"/>
  <c r="D129" i="35"/>
  <c r="D130" i="35"/>
  <c r="D131" i="35"/>
  <c r="D132" i="35"/>
  <c r="D133" i="35"/>
  <c r="D134" i="35"/>
  <c r="D135" i="35"/>
  <c r="D136" i="35"/>
  <c r="D137" i="35"/>
  <c r="D138" i="35"/>
  <c r="D139" i="35"/>
  <c r="D140" i="35"/>
  <c r="D141" i="35"/>
  <c r="D142" i="35"/>
  <c r="D143" i="35"/>
  <c r="D144" i="35"/>
  <c r="D145" i="35"/>
  <c r="D146" i="35"/>
  <c r="D147" i="35"/>
  <c r="D148" i="35"/>
  <c r="D149" i="35"/>
  <c r="D150" i="35"/>
  <c r="D151" i="35"/>
  <c r="D152" i="35"/>
  <c r="D153" i="35"/>
  <c r="D154" i="35"/>
  <c r="D155" i="35"/>
  <c r="D156" i="35"/>
  <c r="D157" i="35"/>
  <c r="D158" i="35"/>
  <c r="D159" i="35"/>
  <c r="D160" i="35"/>
  <c r="D161" i="35"/>
  <c r="D162" i="35"/>
  <c r="D163" i="35"/>
  <c r="D164" i="35"/>
  <c r="D165" i="35"/>
  <c r="D166" i="35"/>
  <c r="D167" i="35"/>
  <c r="D168" i="35"/>
  <c r="D169" i="35"/>
  <c r="D170" i="35"/>
  <c r="D171" i="35"/>
  <c r="D172" i="35"/>
  <c r="D173" i="35"/>
  <c r="D174" i="35"/>
  <c r="D175" i="35"/>
  <c r="D176" i="35"/>
  <c r="D177" i="35"/>
  <c r="D178" i="35"/>
  <c r="D179" i="35"/>
  <c r="D180" i="35"/>
  <c r="D181" i="35"/>
  <c r="D182" i="35"/>
  <c r="D183" i="35"/>
  <c r="D184" i="35"/>
  <c r="D185" i="35"/>
  <c r="D186" i="35"/>
  <c r="D187" i="35"/>
  <c r="D188" i="35"/>
  <c r="D189" i="35"/>
  <c r="D190" i="35"/>
  <c r="D191" i="35"/>
  <c r="D192" i="35"/>
  <c r="D193" i="35"/>
  <c r="D194" i="35"/>
  <c r="D195" i="35"/>
  <c r="D196" i="35"/>
  <c r="D197" i="35"/>
  <c r="D198" i="35"/>
  <c r="D199" i="35"/>
  <c r="D200" i="35"/>
  <c r="D201" i="35"/>
  <c r="D202" i="35"/>
  <c r="D203" i="35"/>
  <c r="D204" i="35"/>
  <c r="D205" i="35"/>
  <c r="D206" i="35"/>
  <c r="D207" i="35"/>
  <c r="D208" i="35"/>
  <c r="D209" i="35"/>
  <c r="D210" i="35"/>
  <c r="D211" i="35"/>
  <c r="D212" i="35"/>
  <c r="D213" i="35"/>
  <c r="D214" i="35"/>
  <c r="D215" i="35"/>
  <c r="D216" i="35"/>
  <c r="D217" i="35"/>
  <c r="D218" i="35"/>
  <c r="D219" i="35"/>
  <c r="D220" i="35"/>
  <c r="D221" i="35"/>
  <c r="D222" i="35"/>
  <c r="D223" i="35"/>
  <c r="D224" i="35"/>
  <c r="D225" i="35"/>
  <c r="D226" i="35"/>
  <c r="D227" i="35"/>
  <c r="D228" i="35"/>
  <c r="D229" i="35"/>
  <c r="D230" i="35"/>
  <c r="D231" i="35"/>
  <c r="D232" i="35"/>
  <c r="D233" i="35"/>
  <c r="D234" i="35"/>
  <c r="D235" i="35"/>
  <c r="D236" i="35"/>
  <c r="D237" i="35"/>
  <c r="D238" i="35"/>
  <c r="D239" i="35"/>
  <c r="D240" i="35"/>
  <c r="D241" i="35"/>
  <c r="D242" i="35"/>
  <c r="D243" i="35"/>
  <c r="D244" i="35"/>
  <c r="D245" i="35"/>
  <c r="D246" i="35"/>
  <c r="D247" i="35"/>
  <c r="D248" i="35"/>
  <c r="D249" i="35"/>
  <c r="D250" i="35"/>
  <c r="D251" i="35"/>
  <c r="D252" i="35"/>
  <c r="D253" i="35"/>
  <c r="D254" i="35"/>
  <c r="D255" i="35"/>
  <c r="D256" i="35"/>
  <c r="D257" i="35"/>
  <c r="D258" i="35"/>
  <c r="D259" i="35"/>
  <c r="D260" i="35"/>
  <c r="D261" i="35"/>
  <c r="D262" i="35"/>
  <c r="D263" i="35"/>
  <c r="D264" i="35"/>
  <c r="D265" i="35"/>
  <c r="D266" i="35"/>
  <c r="D267" i="35"/>
  <c r="D268" i="35"/>
  <c r="D269" i="35"/>
  <c r="D270" i="35"/>
  <c r="D271" i="35"/>
  <c r="D272" i="35"/>
  <c r="D273" i="35"/>
  <c r="D274" i="35"/>
  <c r="D275" i="35"/>
  <c r="D276" i="35"/>
  <c r="D277" i="35"/>
  <c r="D278" i="35"/>
  <c r="D279" i="35"/>
  <c r="D280" i="35"/>
  <c r="D281" i="35"/>
  <c r="D282" i="35"/>
  <c r="D283" i="35"/>
  <c r="D284" i="35"/>
  <c r="D285" i="35"/>
  <c r="D286" i="35"/>
  <c r="D287" i="35"/>
  <c r="D288" i="35"/>
  <c r="D289" i="35"/>
  <c r="D290" i="35"/>
  <c r="D291" i="35"/>
  <c r="D292" i="35"/>
  <c r="D293" i="35"/>
  <c r="D294" i="35"/>
  <c r="D295" i="35"/>
  <c r="D296" i="35"/>
  <c r="D297" i="35"/>
  <c r="D298" i="35"/>
  <c r="D299" i="35"/>
  <c r="D300" i="35"/>
  <c r="D301" i="35"/>
  <c r="D302" i="35"/>
  <c r="D303" i="35"/>
  <c r="D304" i="35"/>
  <c r="D305" i="35"/>
  <c r="D306" i="35"/>
  <c r="D307" i="35"/>
  <c r="D308" i="35"/>
  <c r="D309" i="35"/>
  <c r="D310" i="35"/>
  <c r="D311" i="35"/>
  <c r="D312" i="35"/>
  <c r="D313" i="35"/>
  <c r="D314" i="35"/>
  <c r="D315" i="35"/>
  <c r="D316" i="35"/>
  <c r="D317" i="35"/>
  <c r="D318" i="35"/>
  <c r="D319" i="35"/>
  <c r="D320" i="35"/>
  <c r="D321" i="35"/>
  <c r="D322" i="35"/>
  <c r="D323" i="35"/>
  <c r="D324" i="35"/>
  <c r="D325" i="35"/>
  <c r="D326" i="35"/>
  <c r="D327" i="35"/>
  <c r="D328" i="35"/>
  <c r="D329" i="35"/>
  <c r="D330" i="35"/>
  <c r="D331" i="35"/>
  <c r="D332" i="35"/>
  <c r="D333" i="35"/>
  <c r="D334" i="35"/>
  <c r="D335" i="35"/>
  <c r="D336" i="35"/>
  <c r="D337" i="35"/>
  <c r="D338" i="35"/>
  <c r="D339" i="35"/>
  <c r="D340" i="35"/>
  <c r="D341" i="35"/>
  <c r="D342" i="35"/>
  <c r="D343" i="35"/>
  <c r="D344" i="35"/>
  <c r="D345" i="35"/>
  <c r="D346" i="35"/>
  <c r="D347" i="35"/>
  <c r="D348" i="35"/>
  <c r="D349" i="35"/>
  <c r="D350" i="35"/>
  <c r="D351" i="35"/>
  <c r="D352" i="35"/>
  <c r="D353" i="35"/>
  <c r="D354" i="35"/>
  <c r="D355" i="35"/>
  <c r="D356" i="35"/>
  <c r="D357" i="35"/>
  <c r="D358" i="35"/>
  <c r="D359" i="35"/>
  <c r="D360" i="35"/>
  <c r="D361" i="35"/>
  <c r="D362" i="35"/>
  <c r="D363" i="35"/>
  <c r="D364" i="35"/>
  <c r="D365" i="35"/>
  <c r="D366" i="35"/>
  <c r="D367" i="35"/>
  <c r="D368" i="35"/>
  <c r="D369" i="35"/>
  <c r="D370" i="35"/>
  <c r="D371" i="35"/>
  <c r="D372" i="35"/>
  <c r="D373" i="35"/>
  <c r="D374" i="35"/>
  <c r="D375" i="35"/>
  <c r="D376" i="35"/>
  <c r="D377" i="35"/>
  <c r="D378" i="35"/>
  <c r="D379" i="35"/>
  <c r="D380" i="35"/>
  <c r="D381" i="35"/>
  <c r="D382" i="35"/>
  <c r="D383" i="35"/>
  <c r="D384" i="35"/>
  <c r="D385" i="35"/>
  <c r="D386" i="35"/>
  <c r="D387" i="35"/>
  <c r="D388" i="35"/>
  <c r="D389" i="35"/>
  <c r="D390" i="35"/>
  <c r="D391" i="35"/>
  <c r="D392" i="35"/>
  <c r="D393" i="35"/>
  <c r="D394" i="35"/>
  <c r="D395" i="35"/>
  <c r="D396" i="35"/>
  <c r="D397" i="35"/>
  <c r="D398" i="35"/>
  <c r="D399" i="35"/>
  <c r="D400" i="35"/>
  <c r="D401" i="35"/>
  <c r="D402" i="35"/>
  <c r="D403" i="35"/>
  <c r="D404" i="35"/>
  <c r="D405" i="35"/>
  <c r="D406" i="35"/>
  <c r="D407" i="35"/>
  <c r="D408" i="35"/>
  <c r="D409" i="35"/>
  <c r="D410" i="35"/>
  <c r="D411" i="35"/>
  <c r="D412" i="35"/>
  <c r="D413" i="35"/>
  <c r="D414" i="35"/>
  <c r="D415" i="35"/>
  <c r="D416" i="35"/>
  <c r="D417" i="35"/>
  <c r="D418" i="35"/>
  <c r="D419" i="35"/>
  <c r="D420" i="35"/>
  <c r="D421" i="35"/>
  <c r="D422" i="35"/>
  <c r="D423" i="35"/>
  <c r="D424" i="35"/>
  <c r="D425" i="35"/>
  <c r="D426" i="35"/>
  <c r="D427" i="35"/>
  <c r="D428" i="35"/>
  <c r="D429" i="35"/>
  <c r="D430" i="35"/>
  <c r="D431" i="35"/>
  <c r="D432" i="35"/>
  <c r="D433" i="35"/>
  <c r="D434" i="35"/>
  <c r="D435" i="35"/>
  <c r="D436" i="35"/>
  <c r="D437" i="35"/>
  <c r="D438" i="35"/>
  <c r="D439" i="35"/>
  <c r="D440" i="35"/>
  <c r="D441" i="35"/>
  <c r="D442" i="35"/>
  <c r="D443" i="35"/>
  <c r="D444" i="35"/>
  <c r="D445" i="35"/>
  <c r="D446" i="35"/>
  <c r="D447" i="35"/>
  <c r="D448" i="35"/>
  <c r="D449" i="35"/>
  <c r="D450" i="35"/>
  <c r="D451" i="35"/>
  <c r="D452" i="35"/>
  <c r="D453" i="35"/>
  <c r="D454" i="35"/>
  <c r="D455" i="35"/>
  <c r="D456" i="35"/>
  <c r="D457" i="35"/>
  <c r="D458" i="35"/>
  <c r="D459" i="35"/>
  <c r="D460" i="35"/>
  <c r="D461" i="35"/>
  <c r="D462" i="35"/>
  <c r="D463" i="35"/>
  <c r="D464" i="35"/>
  <c r="D465" i="35"/>
  <c r="D466" i="35"/>
  <c r="D467" i="35"/>
  <c r="D468" i="35"/>
  <c r="D469" i="35"/>
  <c r="D470" i="35"/>
  <c r="D471" i="35"/>
  <c r="D472" i="35"/>
  <c r="D473" i="35"/>
  <c r="D474" i="35"/>
  <c r="D475" i="35"/>
  <c r="D476" i="35"/>
  <c r="D477" i="35"/>
  <c r="D478" i="35"/>
  <c r="D479" i="35"/>
  <c r="D480" i="35"/>
  <c r="D481" i="35"/>
  <c r="D482" i="35"/>
  <c r="D483" i="35"/>
  <c r="D484" i="35"/>
  <c r="D485" i="35"/>
  <c r="D486" i="35"/>
  <c r="D487" i="35"/>
  <c r="D488" i="35"/>
  <c r="D489" i="35"/>
  <c r="D490" i="35"/>
  <c r="D491" i="35"/>
  <c r="D492" i="35"/>
  <c r="D493" i="35"/>
  <c r="D494" i="35"/>
  <c r="D495" i="35"/>
  <c r="D496" i="35"/>
  <c r="D497" i="35"/>
  <c r="D498" i="35"/>
  <c r="D499" i="35"/>
  <c r="D500" i="35"/>
  <c r="D501" i="35"/>
  <c r="D502" i="35"/>
  <c r="D503" i="35"/>
  <c r="D4" i="35"/>
  <c r="E503" i="35"/>
  <c r="E502" i="35"/>
  <c r="B502" i="35" s="1"/>
  <c r="E501" i="35"/>
  <c r="B501" i="35" s="1"/>
  <c r="E500" i="35"/>
  <c r="B500" i="35" s="1"/>
  <c r="E499" i="35"/>
  <c r="B499" i="35" s="1"/>
  <c r="E498" i="35"/>
  <c r="B498" i="35" s="1"/>
  <c r="E497" i="35"/>
  <c r="B497" i="35" s="1"/>
  <c r="E496" i="35"/>
  <c r="B496" i="35" s="1"/>
  <c r="E495" i="35"/>
  <c r="B495" i="35" s="1"/>
  <c r="E494" i="35"/>
  <c r="B494" i="35" s="1"/>
  <c r="E493" i="35"/>
  <c r="B493" i="35" s="1"/>
  <c r="E492" i="35"/>
  <c r="B492" i="35" s="1"/>
  <c r="E491" i="35"/>
  <c r="B491" i="35" s="1"/>
  <c r="E490" i="35"/>
  <c r="B490" i="35" s="1"/>
  <c r="E489" i="35"/>
  <c r="B489" i="35" s="1"/>
  <c r="E488" i="35"/>
  <c r="B488" i="35" s="1"/>
  <c r="E487" i="35"/>
  <c r="E486" i="35"/>
  <c r="B486" i="35" s="1"/>
  <c r="E485" i="35"/>
  <c r="B485" i="35" s="1"/>
  <c r="E484" i="35"/>
  <c r="B484" i="35" s="1"/>
  <c r="E483" i="35"/>
  <c r="B483" i="35" s="1"/>
  <c r="E482" i="35"/>
  <c r="B482" i="35" s="1"/>
  <c r="E481" i="35"/>
  <c r="B481" i="35" s="1"/>
  <c r="E480" i="35"/>
  <c r="B480" i="35" s="1"/>
  <c r="E479" i="35"/>
  <c r="E478" i="35"/>
  <c r="B478" i="35" s="1"/>
  <c r="E477" i="35"/>
  <c r="B477" i="35" s="1"/>
  <c r="E476" i="35"/>
  <c r="B476" i="35" s="1"/>
  <c r="E475" i="35"/>
  <c r="B475" i="35" s="1"/>
  <c r="E474" i="35"/>
  <c r="B474" i="35" s="1"/>
  <c r="E473" i="35"/>
  <c r="B473" i="35" s="1"/>
  <c r="E472" i="35"/>
  <c r="B472" i="35" s="1"/>
  <c r="E471" i="35"/>
  <c r="E470" i="35"/>
  <c r="B470" i="35" s="1"/>
  <c r="E469" i="35"/>
  <c r="E468" i="35"/>
  <c r="B468" i="35" s="1"/>
  <c r="E467" i="35"/>
  <c r="B467" i="35" s="1"/>
  <c r="E466" i="35"/>
  <c r="B466" i="35" s="1"/>
  <c r="E465" i="35"/>
  <c r="B465" i="35" s="1"/>
  <c r="E464" i="35"/>
  <c r="B464" i="35" s="1"/>
  <c r="E463" i="35"/>
  <c r="E462" i="35"/>
  <c r="B462" i="35" s="1"/>
  <c r="E461" i="35"/>
  <c r="B461" i="35" s="1"/>
  <c r="E460" i="35"/>
  <c r="B460" i="35" s="1"/>
  <c r="E459" i="35"/>
  <c r="B459" i="35" s="1"/>
  <c r="E458" i="35"/>
  <c r="B458" i="35" s="1"/>
  <c r="E457" i="35"/>
  <c r="B457" i="35" s="1"/>
  <c r="E456" i="35"/>
  <c r="B456" i="35" s="1"/>
  <c r="E455" i="35"/>
  <c r="E454" i="35"/>
  <c r="B454" i="35" s="1"/>
  <c r="E453" i="35"/>
  <c r="B453" i="35" s="1"/>
  <c r="E452" i="35"/>
  <c r="B452" i="35" s="1"/>
  <c r="E451" i="35"/>
  <c r="B451" i="35" s="1"/>
  <c r="E450" i="35"/>
  <c r="B450" i="35" s="1"/>
  <c r="E449" i="35"/>
  <c r="B449" i="35" s="1"/>
  <c r="E448" i="35"/>
  <c r="B448" i="35" s="1"/>
  <c r="E447" i="35"/>
  <c r="E446" i="35"/>
  <c r="B446" i="35" s="1"/>
  <c r="E445" i="35"/>
  <c r="B445" i="35" s="1"/>
  <c r="E444" i="35"/>
  <c r="B444" i="35" s="1"/>
  <c r="E443" i="35"/>
  <c r="B443" i="35" s="1"/>
  <c r="E442" i="35"/>
  <c r="B442" i="35" s="1"/>
  <c r="E441" i="35"/>
  <c r="B441" i="35" s="1"/>
  <c r="E440" i="35"/>
  <c r="B440" i="35" s="1"/>
  <c r="E439" i="35"/>
  <c r="B439" i="35" s="1"/>
  <c r="E438" i="35"/>
  <c r="B438" i="35" s="1"/>
  <c r="E437" i="35"/>
  <c r="E436" i="35"/>
  <c r="B436" i="35" s="1"/>
  <c r="E435" i="35"/>
  <c r="B435" i="35" s="1"/>
  <c r="E434" i="35"/>
  <c r="B434" i="35" s="1"/>
  <c r="E433" i="35"/>
  <c r="B433" i="35" s="1"/>
  <c r="E432" i="35"/>
  <c r="B432" i="35" s="1"/>
  <c r="E431" i="35"/>
  <c r="E430" i="35"/>
  <c r="B430" i="35" s="1"/>
  <c r="E429" i="35"/>
  <c r="B429" i="35" s="1"/>
  <c r="E428" i="35"/>
  <c r="B428" i="35" s="1"/>
  <c r="E427" i="35"/>
  <c r="B427" i="35" s="1"/>
  <c r="E426" i="35"/>
  <c r="B426" i="35" s="1"/>
  <c r="E425" i="35"/>
  <c r="B425" i="35" s="1"/>
  <c r="E424" i="35"/>
  <c r="B424" i="35" s="1"/>
  <c r="E423" i="35"/>
  <c r="B423" i="35" s="1"/>
  <c r="E422" i="35"/>
  <c r="B422" i="35" s="1"/>
  <c r="E421" i="35"/>
  <c r="B421" i="35" s="1"/>
  <c r="E420" i="35"/>
  <c r="B420" i="35" s="1"/>
  <c r="E419" i="35"/>
  <c r="B419" i="35" s="1"/>
  <c r="E418" i="35"/>
  <c r="B418" i="35" s="1"/>
  <c r="E417" i="35"/>
  <c r="B417" i="35" s="1"/>
  <c r="E416" i="35"/>
  <c r="B416" i="35" s="1"/>
  <c r="E415" i="35"/>
  <c r="E414" i="35"/>
  <c r="E413" i="35"/>
  <c r="B413" i="35" s="1"/>
  <c r="E412" i="35"/>
  <c r="B412" i="35" s="1"/>
  <c r="E411" i="35"/>
  <c r="B411" i="35" s="1"/>
  <c r="E410" i="35"/>
  <c r="B410" i="35" s="1"/>
  <c r="E409" i="35"/>
  <c r="B409" i="35" s="1"/>
  <c r="E408" i="35"/>
  <c r="B408" i="35" s="1"/>
  <c r="E407" i="35"/>
  <c r="B407" i="35" s="1"/>
  <c r="E406" i="35"/>
  <c r="B406" i="35" s="1"/>
  <c r="E405" i="35"/>
  <c r="B405" i="35" s="1"/>
  <c r="E404" i="35"/>
  <c r="B404" i="35" s="1"/>
  <c r="E403" i="35"/>
  <c r="B403" i="35" s="1"/>
  <c r="E402" i="35"/>
  <c r="B402" i="35" s="1"/>
  <c r="E401" i="35"/>
  <c r="B401" i="35" s="1"/>
  <c r="E400" i="35"/>
  <c r="B400" i="35" s="1"/>
  <c r="E399" i="35"/>
  <c r="E398" i="35"/>
  <c r="B398" i="35" s="1"/>
  <c r="E397" i="35"/>
  <c r="E396" i="35"/>
  <c r="B396" i="35" s="1"/>
  <c r="E395" i="35"/>
  <c r="B395" i="35" s="1"/>
  <c r="E394" i="35"/>
  <c r="B394" i="35" s="1"/>
  <c r="E393" i="35"/>
  <c r="B393" i="35" s="1"/>
  <c r="E392" i="35"/>
  <c r="B392" i="35" s="1"/>
  <c r="E391" i="35"/>
  <c r="B391" i="35" s="1"/>
  <c r="E390" i="35"/>
  <c r="B390" i="35" s="1"/>
  <c r="E389" i="35"/>
  <c r="B389" i="35" s="1"/>
  <c r="E388" i="35"/>
  <c r="B388" i="35" s="1"/>
  <c r="E387" i="35"/>
  <c r="B387" i="35" s="1"/>
  <c r="E386" i="35"/>
  <c r="B386" i="35" s="1"/>
  <c r="E385" i="35"/>
  <c r="B385" i="35" s="1"/>
  <c r="E384" i="35"/>
  <c r="B384" i="35" s="1"/>
  <c r="E383" i="35"/>
  <c r="E382" i="35"/>
  <c r="B382" i="35" s="1"/>
  <c r="E381" i="35"/>
  <c r="B381" i="35" s="1"/>
  <c r="E380" i="35"/>
  <c r="B380" i="35" s="1"/>
  <c r="E379" i="35"/>
  <c r="B379" i="35" s="1"/>
  <c r="E378" i="35"/>
  <c r="B378" i="35" s="1"/>
  <c r="E377" i="35"/>
  <c r="B377" i="35" s="1"/>
  <c r="E376" i="35"/>
  <c r="B376" i="35" s="1"/>
  <c r="E375" i="35"/>
  <c r="B375" i="35" s="1"/>
  <c r="E374" i="35"/>
  <c r="B374" i="35" s="1"/>
  <c r="E373" i="35"/>
  <c r="B373" i="35" s="1"/>
  <c r="E372" i="35"/>
  <c r="B372" i="35" s="1"/>
  <c r="E371" i="35"/>
  <c r="B371" i="35" s="1"/>
  <c r="E370" i="35"/>
  <c r="B370" i="35" s="1"/>
  <c r="E369" i="35"/>
  <c r="B369" i="35" s="1"/>
  <c r="E368" i="35"/>
  <c r="B368" i="35" s="1"/>
  <c r="E367" i="35"/>
  <c r="E366" i="35"/>
  <c r="B366" i="35" s="1"/>
  <c r="E365" i="35"/>
  <c r="B365" i="35" s="1"/>
  <c r="E364" i="35"/>
  <c r="B364" i="35" s="1"/>
  <c r="E363" i="35"/>
  <c r="B363" i="35" s="1"/>
  <c r="E362" i="35"/>
  <c r="B362" i="35" s="1"/>
  <c r="E361" i="35"/>
  <c r="E360" i="35"/>
  <c r="B360" i="35" s="1"/>
  <c r="E359" i="35"/>
  <c r="B359" i="35" s="1"/>
  <c r="E358" i="35"/>
  <c r="B358" i="35" s="1"/>
  <c r="E357" i="35"/>
  <c r="B357" i="35" s="1"/>
  <c r="E356" i="35"/>
  <c r="B356" i="35" s="1"/>
  <c r="E355" i="35"/>
  <c r="B355" i="35" s="1"/>
  <c r="E354" i="35"/>
  <c r="B354" i="35" s="1"/>
  <c r="E353" i="35"/>
  <c r="B353" i="35" s="1"/>
  <c r="E352" i="35"/>
  <c r="B352" i="35" s="1"/>
  <c r="E351" i="35"/>
  <c r="B351" i="35" s="1"/>
  <c r="E350" i="35"/>
  <c r="E349" i="35"/>
  <c r="E348" i="35"/>
  <c r="B348" i="35" s="1"/>
  <c r="E347" i="35"/>
  <c r="B347" i="35" s="1"/>
  <c r="E346" i="35"/>
  <c r="B346" i="35" s="1"/>
  <c r="E345" i="35"/>
  <c r="E344" i="35"/>
  <c r="B344" i="35" s="1"/>
  <c r="E343" i="35"/>
  <c r="B343" i="35" s="1"/>
  <c r="E342" i="35"/>
  <c r="B342" i="35" s="1"/>
  <c r="E341" i="35"/>
  <c r="B341" i="35" s="1"/>
  <c r="E340" i="35"/>
  <c r="B340" i="35" s="1"/>
  <c r="E339" i="35"/>
  <c r="B339" i="35" s="1"/>
  <c r="E338" i="35"/>
  <c r="B338" i="35" s="1"/>
  <c r="E337" i="35"/>
  <c r="B337" i="35" s="1"/>
  <c r="E336" i="35"/>
  <c r="B336" i="35" s="1"/>
  <c r="E335" i="35"/>
  <c r="B335" i="35" s="1"/>
  <c r="E334" i="35"/>
  <c r="B334" i="35" s="1"/>
  <c r="E333" i="35"/>
  <c r="B333" i="35" s="1"/>
  <c r="E332" i="35"/>
  <c r="B332" i="35" s="1"/>
  <c r="E331" i="35"/>
  <c r="B331" i="35" s="1"/>
  <c r="E330" i="35"/>
  <c r="E329" i="35"/>
  <c r="E328" i="35"/>
  <c r="B328" i="35" s="1"/>
  <c r="E327" i="35"/>
  <c r="B327" i="35" s="1"/>
  <c r="E326" i="35"/>
  <c r="B326" i="35" s="1"/>
  <c r="E325" i="35"/>
  <c r="B325" i="35" s="1"/>
  <c r="E324" i="35"/>
  <c r="B324" i="35" s="1"/>
  <c r="E323" i="35"/>
  <c r="B323" i="35" s="1"/>
  <c r="E322" i="35"/>
  <c r="B322" i="35" s="1"/>
  <c r="E321" i="35"/>
  <c r="B321" i="35" s="1"/>
  <c r="E320" i="35"/>
  <c r="B320" i="35" s="1"/>
  <c r="E319" i="35"/>
  <c r="B319" i="35" s="1"/>
  <c r="E318" i="35"/>
  <c r="B318" i="35" s="1"/>
  <c r="E317" i="35"/>
  <c r="E316" i="35"/>
  <c r="B316" i="35" s="1"/>
  <c r="E315" i="35"/>
  <c r="B315" i="35" s="1"/>
  <c r="E314" i="35"/>
  <c r="B314" i="35" s="1"/>
  <c r="E313" i="35"/>
  <c r="E312" i="35"/>
  <c r="B312" i="35" s="1"/>
  <c r="E311" i="35"/>
  <c r="E310" i="35"/>
  <c r="B310" i="35" s="1"/>
  <c r="E309" i="35"/>
  <c r="B309" i="35" s="1"/>
  <c r="E308" i="35"/>
  <c r="B308" i="35" s="1"/>
  <c r="E307" i="35"/>
  <c r="B307" i="35" s="1"/>
  <c r="E306" i="35"/>
  <c r="B306" i="35" s="1"/>
  <c r="E305" i="35"/>
  <c r="B305" i="35" s="1"/>
  <c r="E304" i="35"/>
  <c r="B304" i="35" s="1"/>
  <c r="E303" i="35"/>
  <c r="B303" i="35" s="1"/>
  <c r="E302" i="35"/>
  <c r="B302" i="35" s="1"/>
  <c r="E301" i="35"/>
  <c r="B301" i="35" s="1"/>
  <c r="E300" i="35"/>
  <c r="B300" i="35" s="1"/>
  <c r="E299" i="35"/>
  <c r="B299" i="35" s="1"/>
  <c r="E298" i="35"/>
  <c r="B298" i="35" s="1"/>
  <c r="E297" i="35"/>
  <c r="E296" i="35"/>
  <c r="B296" i="35" s="1"/>
  <c r="E295" i="35"/>
  <c r="E294" i="35"/>
  <c r="B294" i="35" s="1"/>
  <c r="E293" i="35"/>
  <c r="B293" i="35" s="1"/>
  <c r="E292" i="35"/>
  <c r="B292" i="35" s="1"/>
  <c r="E291" i="35"/>
  <c r="B291" i="35" s="1"/>
  <c r="E290" i="35"/>
  <c r="B290" i="35" s="1"/>
  <c r="E289" i="35"/>
  <c r="B289" i="35" s="1"/>
  <c r="E288" i="35"/>
  <c r="B288" i="35" s="1"/>
  <c r="E287" i="35"/>
  <c r="B287" i="35" s="1"/>
  <c r="E286" i="35"/>
  <c r="B286" i="35" s="1"/>
  <c r="E285" i="35"/>
  <c r="B285" i="35" s="1"/>
  <c r="E284" i="35"/>
  <c r="B284" i="35" s="1"/>
  <c r="E283" i="35"/>
  <c r="E282" i="35"/>
  <c r="B282" i="35" s="1"/>
  <c r="E281" i="35"/>
  <c r="E280" i="35"/>
  <c r="B280" i="35" s="1"/>
  <c r="E279" i="35"/>
  <c r="E278" i="35"/>
  <c r="B278" i="35" s="1"/>
  <c r="E277" i="35"/>
  <c r="B277" i="35" s="1"/>
  <c r="E276" i="35"/>
  <c r="B276" i="35" s="1"/>
  <c r="E275" i="35"/>
  <c r="B275" i="35" s="1"/>
  <c r="E274" i="35"/>
  <c r="B274" i="35" s="1"/>
  <c r="E273" i="35"/>
  <c r="B273" i="35" s="1"/>
  <c r="E272" i="35"/>
  <c r="B272" i="35" s="1"/>
  <c r="E271" i="35"/>
  <c r="B271" i="35" s="1"/>
  <c r="E270" i="35"/>
  <c r="B270" i="35" s="1"/>
  <c r="E269" i="35"/>
  <c r="B269" i="35" s="1"/>
  <c r="E268" i="35"/>
  <c r="B268" i="35" s="1"/>
  <c r="E267" i="35"/>
  <c r="B267" i="35" s="1"/>
  <c r="E266" i="35"/>
  <c r="E265" i="35"/>
  <c r="E264" i="35"/>
  <c r="B264" i="35" s="1"/>
  <c r="E263" i="35"/>
  <c r="E262" i="35"/>
  <c r="B262" i="35" s="1"/>
  <c r="E261" i="35"/>
  <c r="B261" i="35" s="1"/>
  <c r="E260" i="35"/>
  <c r="B260" i="35" s="1"/>
  <c r="E259" i="35"/>
  <c r="B259" i="35" s="1"/>
  <c r="E258" i="35"/>
  <c r="B258" i="35" s="1"/>
  <c r="E257" i="35"/>
  <c r="B257" i="35" s="1"/>
  <c r="E256" i="35"/>
  <c r="B256" i="35" s="1"/>
  <c r="E255" i="35"/>
  <c r="B255" i="35" s="1"/>
  <c r="E254" i="35"/>
  <c r="B254" i="35" s="1"/>
  <c r="E253" i="35"/>
  <c r="B253" i="35" s="1"/>
  <c r="E252" i="35"/>
  <c r="B252" i="35" s="1"/>
  <c r="E251" i="35"/>
  <c r="B251" i="35" s="1"/>
  <c r="E250" i="35"/>
  <c r="B250" i="35" s="1"/>
  <c r="E249" i="35"/>
  <c r="E248" i="35"/>
  <c r="B248" i="35" s="1"/>
  <c r="E247" i="35"/>
  <c r="E246" i="35"/>
  <c r="B246" i="35" s="1"/>
  <c r="E245" i="35"/>
  <c r="E244" i="35"/>
  <c r="B244" i="35" s="1"/>
  <c r="E243" i="35"/>
  <c r="B243" i="35" s="1"/>
  <c r="E242" i="35"/>
  <c r="B242" i="35" s="1"/>
  <c r="E241" i="35"/>
  <c r="B241" i="35" s="1"/>
  <c r="E240" i="35"/>
  <c r="B240" i="35" s="1"/>
  <c r="E239" i="35"/>
  <c r="B239" i="35" s="1"/>
  <c r="E238" i="35"/>
  <c r="B238" i="35" s="1"/>
  <c r="E237" i="35"/>
  <c r="B237" i="35" s="1"/>
  <c r="E236" i="35"/>
  <c r="B236" i="35" s="1"/>
  <c r="E235" i="35"/>
  <c r="B235" i="35" s="1"/>
  <c r="E234" i="35"/>
  <c r="B234" i="35" s="1"/>
  <c r="E233" i="35"/>
  <c r="B233" i="35" s="1"/>
  <c r="E232" i="35"/>
  <c r="B232" i="35" s="1"/>
  <c r="E231" i="35"/>
  <c r="E230" i="35"/>
  <c r="B230" i="35" s="1"/>
  <c r="E229" i="35"/>
  <c r="E228" i="35"/>
  <c r="B228" i="35" s="1"/>
  <c r="E227" i="35"/>
  <c r="B227" i="35" s="1"/>
  <c r="E226" i="35"/>
  <c r="B226" i="35" s="1"/>
  <c r="E225" i="35"/>
  <c r="B225" i="35" s="1"/>
  <c r="E224" i="35"/>
  <c r="B224" i="35" s="1"/>
  <c r="E223" i="35"/>
  <c r="E222" i="35"/>
  <c r="B222" i="35" s="1"/>
  <c r="E221" i="35"/>
  <c r="B221" i="35" s="1"/>
  <c r="E220" i="35"/>
  <c r="B220" i="35" s="1"/>
  <c r="E219" i="35"/>
  <c r="B219" i="35" s="1"/>
  <c r="E218" i="35"/>
  <c r="B218" i="35" s="1"/>
  <c r="E217" i="35"/>
  <c r="B217" i="35" s="1"/>
  <c r="E216" i="35"/>
  <c r="B216" i="35" s="1"/>
  <c r="E215" i="35"/>
  <c r="E214" i="35"/>
  <c r="B214" i="35" s="1"/>
  <c r="E213" i="35"/>
  <c r="B213" i="35" s="1"/>
  <c r="E212" i="35"/>
  <c r="B212" i="35" s="1"/>
  <c r="E211" i="35"/>
  <c r="B211" i="35" s="1"/>
  <c r="E210" i="35"/>
  <c r="B210" i="35" s="1"/>
  <c r="E209" i="35"/>
  <c r="B209" i="35" s="1"/>
  <c r="E208" i="35"/>
  <c r="B208" i="35" s="1"/>
  <c r="E207" i="35"/>
  <c r="E206" i="35"/>
  <c r="B206" i="35" s="1"/>
  <c r="E205" i="35"/>
  <c r="B205" i="35" s="1"/>
  <c r="E204" i="35"/>
  <c r="B204" i="35" s="1"/>
  <c r="E203" i="35"/>
  <c r="B203" i="35" s="1"/>
  <c r="E202" i="35"/>
  <c r="B202" i="35" s="1"/>
  <c r="E201" i="35"/>
  <c r="B201" i="35" s="1"/>
  <c r="E200" i="35"/>
  <c r="B200" i="35" s="1"/>
  <c r="E199" i="35"/>
  <c r="E198" i="35"/>
  <c r="B198" i="35" s="1"/>
  <c r="E197" i="35"/>
  <c r="E196" i="35"/>
  <c r="B196" i="35" s="1"/>
  <c r="E195" i="35"/>
  <c r="B195" i="35" s="1"/>
  <c r="E194" i="35"/>
  <c r="B194" i="35" s="1"/>
  <c r="E193" i="35"/>
  <c r="B193" i="35" s="1"/>
  <c r="E192" i="35"/>
  <c r="B192" i="35" s="1"/>
  <c r="E191" i="35"/>
  <c r="E190" i="35"/>
  <c r="B190" i="35" s="1"/>
  <c r="E189" i="35"/>
  <c r="B189" i="35" s="1"/>
  <c r="E188" i="35"/>
  <c r="B188" i="35" s="1"/>
  <c r="E187" i="35"/>
  <c r="B187" i="35" s="1"/>
  <c r="E186" i="35"/>
  <c r="B186" i="35" s="1"/>
  <c r="E185" i="35"/>
  <c r="B185" i="35" s="1"/>
  <c r="E184" i="35"/>
  <c r="B184" i="35" s="1"/>
  <c r="E183" i="35"/>
  <c r="B183" i="35" s="1"/>
  <c r="E182" i="35"/>
  <c r="B182" i="35" s="1"/>
  <c r="E181" i="35"/>
  <c r="B181" i="35" s="1"/>
  <c r="E180" i="35"/>
  <c r="B180" i="35" s="1"/>
  <c r="E179" i="35"/>
  <c r="B179" i="35" s="1"/>
  <c r="E178" i="35"/>
  <c r="B178" i="35" s="1"/>
  <c r="E177" i="35"/>
  <c r="B177" i="35" s="1"/>
  <c r="E176" i="35"/>
  <c r="B176" i="35" s="1"/>
  <c r="E175" i="35"/>
  <c r="E174" i="35"/>
  <c r="B174" i="35" s="1"/>
  <c r="E173" i="35"/>
  <c r="B173" i="35" s="1"/>
  <c r="E172" i="35"/>
  <c r="B172" i="35" s="1"/>
  <c r="E171" i="35"/>
  <c r="B171" i="35" s="1"/>
  <c r="E170" i="35"/>
  <c r="B170" i="35" s="1"/>
  <c r="E169" i="35"/>
  <c r="B169" i="35" s="1"/>
  <c r="E168" i="35"/>
  <c r="B168" i="35" s="1"/>
  <c r="E167" i="35"/>
  <c r="B167" i="35" s="1"/>
  <c r="E166" i="35"/>
  <c r="B166" i="35" s="1"/>
  <c r="E165" i="35"/>
  <c r="B165" i="35" s="1"/>
  <c r="E164" i="35"/>
  <c r="B164" i="35" s="1"/>
  <c r="E163" i="35"/>
  <c r="E162" i="35"/>
  <c r="B162" i="35" s="1"/>
  <c r="E161" i="35"/>
  <c r="B161" i="35" s="1"/>
  <c r="E160" i="35"/>
  <c r="B160" i="35" s="1"/>
  <c r="E159" i="35"/>
  <c r="E158" i="35"/>
  <c r="E157" i="35"/>
  <c r="B157" i="35" s="1"/>
  <c r="E156" i="35"/>
  <c r="B156" i="35" s="1"/>
  <c r="E155" i="35"/>
  <c r="B155" i="35" s="1"/>
  <c r="E154" i="35"/>
  <c r="B154" i="35" s="1"/>
  <c r="E153" i="35"/>
  <c r="B153" i="35" s="1"/>
  <c r="E152" i="35"/>
  <c r="B152" i="35" s="1"/>
  <c r="E151" i="35"/>
  <c r="B151" i="35" s="1"/>
  <c r="E150" i="35"/>
  <c r="B150" i="35" s="1"/>
  <c r="E149" i="35"/>
  <c r="B149" i="35" s="1"/>
  <c r="E148" i="35"/>
  <c r="B148" i="35" s="1"/>
  <c r="E147" i="35"/>
  <c r="B147" i="35" s="1"/>
  <c r="E146" i="35"/>
  <c r="B146" i="35" s="1"/>
  <c r="E145" i="35"/>
  <c r="B145" i="35" s="1"/>
  <c r="E144" i="35"/>
  <c r="B144" i="35" s="1"/>
  <c r="E143" i="35"/>
  <c r="E142" i="35"/>
  <c r="B142" i="35" s="1"/>
  <c r="E141" i="35"/>
  <c r="B141" i="35" s="1"/>
  <c r="E140" i="35"/>
  <c r="B140" i="35" s="1"/>
  <c r="E139" i="35"/>
  <c r="B139" i="35" s="1"/>
  <c r="E138" i="35"/>
  <c r="B138" i="35" s="1"/>
  <c r="E137" i="35"/>
  <c r="B137" i="35" s="1"/>
  <c r="E136" i="35"/>
  <c r="B136" i="35" s="1"/>
  <c r="E135" i="35"/>
  <c r="B135" i="35" s="1"/>
  <c r="E134" i="35"/>
  <c r="B134" i="35" s="1"/>
  <c r="E133" i="35"/>
  <c r="B133" i="35" s="1"/>
  <c r="E132" i="35"/>
  <c r="B132" i="35" s="1"/>
  <c r="E131" i="35"/>
  <c r="B131" i="35" s="1"/>
  <c r="E130" i="35"/>
  <c r="B130" i="35" s="1"/>
  <c r="E129" i="35"/>
  <c r="B129" i="35" s="1"/>
  <c r="E128" i="35"/>
  <c r="B128" i="35" s="1"/>
  <c r="E127" i="35"/>
  <c r="E126" i="35"/>
  <c r="B126" i="35" s="1"/>
  <c r="E125" i="35"/>
  <c r="E124" i="35"/>
  <c r="B124" i="35" s="1"/>
  <c r="E123" i="35"/>
  <c r="B123" i="35" s="1"/>
  <c r="E122" i="35"/>
  <c r="B122" i="35" s="1"/>
  <c r="E121" i="35"/>
  <c r="B121" i="35" s="1"/>
  <c r="E120" i="35"/>
  <c r="B120" i="35" s="1"/>
  <c r="E119" i="35"/>
  <c r="B119" i="35" s="1"/>
  <c r="E118" i="35"/>
  <c r="B118" i="35" s="1"/>
  <c r="E117" i="35"/>
  <c r="B117" i="35" s="1"/>
  <c r="E116" i="35"/>
  <c r="B116" i="35" s="1"/>
  <c r="E115" i="35"/>
  <c r="B115" i="35" s="1"/>
  <c r="E114" i="35"/>
  <c r="B114" i="35" s="1"/>
  <c r="E113" i="35"/>
  <c r="B113" i="35" s="1"/>
  <c r="E112" i="35"/>
  <c r="B112" i="35" s="1"/>
  <c r="E111" i="35"/>
  <c r="E110" i="35"/>
  <c r="B110" i="35" s="1"/>
  <c r="E109" i="35"/>
  <c r="E108" i="35"/>
  <c r="B108" i="35" s="1"/>
  <c r="E107" i="35"/>
  <c r="B107" i="35" s="1"/>
  <c r="E106" i="35"/>
  <c r="B106" i="35" s="1"/>
  <c r="E105" i="35"/>
  <c r="B105" i="35" s="1"/>
  <c r="E104" i="35"/>
  <c r="B104" i="35" s="1"/>
  <c r="E103" i="35"/>
  <c r="B103" i="35" s="1"/>
  <c r="E102" i="35"/>
  <c r="B102" i="35" s="1"/>
  <c r="E101" i="35"/>
  <c r="B101" i="35" s="1"/>
  <c r="E100" i="35"/>
  <c r="B100" i="35" s="1"/>
  <c r="E99" i="35"/>
  <c r="B99" i="35" s="1"/>
  <c r="E98" i="35"/>
  <c r="B98" i="35" s="1"/>
  <c r="E97" i="35"/>
  <c r="B97" i="35" s="1"/>
  <c r="E96" i="35"/>
  <c r="B96" i="35" s="1"/>
  <c r="E95" i="35"/>
  <c r="B95" i="35" s="1"/>
  <c r="E94" i="35"/>
  <c r="E93" i="35"/>
  <c r="B93" i="35" s="1"/>
  <c r="E92" i="35"/>
  <c r="B92" i="35" s="1"/>
  <c r="E91" i="35"/>
  <c r="B91" i="35" s="1"/>
  <c r="E90" i="35"/>
  <c r="B90" i="35" s="1"/>
  <c r="E89" i="35"/>
  <c r="B89" i="35" s="1"/>
  <c r="E88" i="35"/>
  <c r="B88" i="35" s="1"/>
  <c r="E87" i="35"/>
  <c r="B87" i="35" s="1"/>
  <c r="E86" i="35"/>
  <c r="B86" i="35" s="1"/>
  <c r="E85" i="35"/>
  <c r="B85" i="35" s="1"/>
  <c r="E84" i="35"/>
  <c r="B84" i="35" s="1"/>
  <c r="E83" i="35"/>
  <c r="B83" i="35" s="1"/>
  <c r="E82" i="35"/>
  <c r="B82" i="35" s="1"/>
  <c r="E81" i="35"/>
  <c r="B81" i="35" s="1"/>
  <c r="E80" i="35"/>
  <c r="B80" i="35" s="1"/>
  <c r="E79" i="35"/>
  <c r="B79" i="35" s="1"/>
  <c r="E78" i="35"/>
  <c r="B78" i="35" s="1"/>
  <c r="E77" i="35"/>
  <c r="B77" i="35" s="1"/>
  <c r="E76" i="35"/>
  <c r="B76" i="35" s="1"/>
  <c r="E75" i="35"/>
  <c r="E74" i="35"/>
  <c r="E73" i="35"/>
  <c r="B73" i="35" s="1"/>
  <c r="E72" i="35"/>
  <c r="B72" i="35" s="1"/>
  <c r="E71" i="35"/>
  <c r="B71" i="35" s="1"/>
  <c r="E70" i="35"/>
  <c r="B70" i="35" s="1"/>
  <c r="E69" i="35"/>
  <c r="B69" i="35" s="1"/>
  <c r="E68" i="35"/>
  <c r="B68" i="35" s="1"/>
  <c r="E67" i="35"/>
  <c r="B67" i="35" s="1"/>
  <c r="E66" i="35"/>
  <c r="B66" i="35" s="1"/>
  <c r="E65" i="35"/>
  <c r="B65" i="35" s="1"/>
  <c r="E64" i="35"/>
  <c r="B64" i="35" s="1"/>
  <c r="E63" i="35"/>
  <c r="B63" i="35" s="1"/>
  <c r="E62" i="35"/>
  <c r="B62" i="35" s="1"/>
  <c r="E61" i="35"/>
  <c r="E60" i="35"/>
  <c r="B60" i="35" s="1"/>
  <c r="E59" i="35"/>
  <c r="B59" i="35" s="1"/>
  <c r="E58" i="35"/>
  <c r="B58" i="35" s="1"/>
  <c r="E57" i="35"/>
  <c r="B57" i="35" s="1"/>
  <c r="E56" i="35"/>
  <c r="B56" i="35" s="1"/>
  <c r="E55" i="35"/>
  <c r="E54" i="35"/>
  <c r="B54" i="35" s="1"/>
  <c r="E53" i="35"/>
  <c r="B53" i="35" s="1"/>
  <c r="E52" i="35"/>
  <c r="B52" i="35" s="1"/>
  <c r="E51" i="35"/>
  <c r="B51" i="35" s="1"/>
  <c r="E50" i="35"/>
  <c r="B50" i="35" s="1"/>
  <c r="E49" i="35"/>
  <c r="B49" i="35" s="1"/>
  <c r="E48" i="35"/>
  <c r="B48" i="35" s="1"/>
  <c r="E47" i="35"/>
  <c r="B47" i="35" s="1"/>
  <c r="E46" i="35"/>
  <c r="B46" i="35" s="1"/>
  <c r="E45" i="35"/>
  <c r="B45" i="35" s="1"/>
  <c r="E44" i="35"/>
  <c r="B44" i="35" s="1"/>
  <c r="E43" i="35"/>
  <c r="B43" i="35" s="1"/>
  <c r="E42" i="35"/>
  <c r="B42" i="35" s="1"/>
  <c r="E41" i="35"/>
  <c r="B41" i="35" s="1"/>
  <c r="E40" i="35"/>
  <c r="B40" i="35" s="1"/>
  <c r="E39" i="35"/>
  <c r="B39" i="35" s="1"/>
  <c r="E38" i="35"/>
  <c r="B38" i="35" s="1"/>
  <c r="E37" i="35"/>
  <c r="B37" i="35" s="1"/>
  <c r="E36" i="35"/>
  <c r="B36" i="35" s="1"/>
  <c r="E35" i="35"/>
  <c r="B35" i="35" s="1"/>
  <c r="E34" i="35"/>
  <c r="B34" i="35" s="1"/>
  <c r="E33" i="35"/>
  <c r="B33" i="35" s="1"/>
  <c r="E32" i="35"/>
  <c r="B32" i="35" s="1"/>
  <c r="E31" i="35"/>
  <c r="E30" i="35"/>
  <c r="B30" i="35" s="1"/>
  <c r="E29" i="35"/>
  <c r="B29" i="35" s="1"/>
  <c r="E28" i="35"/>
  <c r="B28" i="35" s="1"/>
  <c r="E27" i="35"/>
  <c r="B27" i="35" s="1"/>
  <c r="E26" i="35"/>
  <c r="B26" i="35" s="1"/>
  <c r="E25" i="35"/>
  <c r="B25" i="35" s="1"/>
  <c r="E24" i="35"/>
  <c r="B24" i="35" s="1"/>
  <c r="E23" i="35"/>
  <c r="B23" i="35" s="1"/>
  <c r="E22" i="35"/>
  <c r="B22" i="35" s="1"/>
  <c r="E21" i="35"/>
  <c r="B21" i="35" s="1"/>
  <c r="E20" i="35"/>
  <c r="B20" i="35" s="1"/>
  <c r="E19" i="35"/>
  <c r="B19" i="35" s="1"/>
  <c r="E18" i="35"/>
  <c r="B18" i="35" s="1"/>
  <c r="E17" i="35"/>
  <c r="B17" i="35" s="1"/>
  <c r="E16" i="35"/>
  <c r="B16" i="35" s="1"/>
  <c r="E15" i="35"/>
  <c r="B15" i="35" s="1"/>
  <c r="E14" i="35"/>
  <c r="B14" i="35" s="1"/>
  <c r="E13" i="35"/>
  <c r="B13" i="35" s="1"/>
  <c r="E12" i="35"/>
  <c r="B12" i="35" s="1"/>
  <c r="E11" i="35"/>
  <c r="B11" i="35" s="1"/>
  <c r="E10" i="35"/>
  <c r="B10" i="35" s="1"/>
  <c r="E9" i="35"/>
  <c r="B9" i="35" s="1"/>
  <c r="E8" i="35"/>
  <c r="B8" i="35" s="1"/>
  <c r="E7" i="35"/>
  <c r="B7" i="35" s="1"/>
  <c r="E6" i="35"/>
  <c r="E5" i="35"/>
  <c r="B5" i="35" s="1"/>
  <c r="E3" i="37"/>
  <c r="B1005" i="1"/>
  <c r="B1004"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6" i="1"/>
  <c r="B5" i="1" l="1"/>
  <c r="C6" i="1" s="1"/>
  <c r="C8" i="1" s="1"/>
  <c r="D8" i="40" s="1"/>
  <c r="T8" i="35"/>
  <c r="U8" i="35" s="1"/>
  <c r="T6" i="35"/>
  <c r="U6" i="35" s="1"/>
  <c r="T4" i="35"/>
  <c r="T5" i="35"/>
  <c r="U5" i="35" s="1"/>
  <c r="T7" i="35"/>
  <c r="U7" i="35" s="1"/>
  <c r="F4" i="35"/>
  <c r="F6" i="35"/>
  <c r="H6" i="35" s="1"/>
  <c r="V8" i="35"/>
  <c r="B6" i="35"/>
  <c r="F8" i="35"/>
  <c r="F7" i="35"/>
  <c r="F5" i="35"/>
  <c r="F9" i="35"/>
  <c r="I10" i="37"/>
  <c r="L9" i="35" s="1"/>
  <c r="J9" i="35" s="1"/>
  <c r="I11" i="37"/>
  <c r="L10" i="35" s="1"/>
  <c r="J10" i="35" s="1"/>
  <c r="I12" i="37"/>
  <c r="L11" i="35" s="1"/>
  <c r="J11" i="35" s="1"/>
  <c r="I13" i="37"/>
  <c r="L12" i="35" s="1"/>
  <c r="J12" i="35" s="1"/>
  <c r="I14" i="37"/>
  <c r="L13" i="35" s="1"/>
  <c r="J13" i="35" s="1"/>
  <c r="I15" i="37"/>
  <c r="L14" i="35" s="1"/>
  <c r="J14" i="35" s="1"/>
  <c r="I16" i="37"/>
  <c r="L15" i="35" s="1"/>
  <c r="J15" i="35" s="1"/>
  <c r="I17" i="37"/>
  <c r="L16" i="35" s="1"/>
  <c r="J16" i="35" s="1"/>
  <c r="I18" i="37"/>
  <c r="L17" i="35" s="1"/>
  <c r="J17" i="35" s="1"/>
  <c r="I19" i="37"/>
  <c r="L18" i="35" s="1"/>
  <c r="J18" i="35" s="1"/>
  <c r="I20" i="37"/>
  <c r="L19" i="35" s="1"/>
  <c r="J19" i="35" s="1"/>
  <c r="I21" i="37"/>
  <c r="L20" i="35" s="1"/>
  <c r="J20" i="35" s="1"/>
  <c r="I22" i="37"/>
  <c r="L21" i="35" s="1"/>
  <c r="J21" i="35" s="1"/>
  <c r="I23" i="37"/>
  <c r="L22" i="35" s="1"/>
  <c r="J22" i="35" s="1"/>
  <c r="I24" i="37"/>
  <c r="L23" i="35" s="1"/>
  <c r="J23" i="35" s="1"/>
  <c r="I25" i="37"/>
  <c r="L24" i="35" s="1"/>
  <c r="J24" i="35" s="1"/>
  <c r="I26" i="37"/>
  <c r="L25" i="35" s="1"/>
  <c r="J25" i="35" s="1"/>
  <c r="I27" i="37"/>
  <c r="L26" i="35" s="1"/>
  <c r="J26" i="35" s="1"/>
  <c r="I28" i="37"/>
  <c r="L27" i="35" s="1"/>
  <c r="J27" i="35" s="1"/>
  <c r="I29" i="37"/>
  <c r="L28" i="35" s="1"/>
  <c r="J28" i="35" s="1"/>
  <c r="I30" i="37"/>
  <c r="L29" i="35" s="1"/>
  <c r="J29" i="35" s="1"/>
  <c r="I31" i="37"/>
  <c r="L30" i="35" s="1"/>
  <c r="J30" i="35" s="1"/>
  <c r="I32" i="37"/>
  <c r="L31" i="35" s="1"/>
  <c r="J31" i="35" s="1"/>
  <c r="I33" i="37"/>
  <c r="L32" i="35" s="1"/>
  <c r="J32" i="35" s="1"/>
  <c r="I34" i="37"/>
  <c r="L33" i="35" s="1"/>
  <c r="J33" i="35" s="1"/>
  <c r="I35" i="37"/>
  <c r="L34" i="35" s="1"/>
  <c r="J34" i="35" s="1"/>
  <c r="I36" i="37"/>
  <c r="L35" i="35" s="1"/>
  <c r="J35" i="35" s="1"/>
  <c r="I37" i="37"/>
  <c r="L36" i="35" s="1"/>
  <c r="J36" i="35" s="1"/>
  <c r="I38" i="37"/>
  <c r="L37" i="35" s="1"/>
  <c r="J37" i="35" s="1"/>
  <c r="I39" i="37"/>
  <c r="L38" i="35" s="1"/>
  <c r="J38" i="35" s="1"/>
  <c r="I40" i="37"/>
  <c r="L39" i="35" s="1"/>
  <c r="J39" i="35" s="1"/>
  <c r="I41" i="37"/>
  <c r="L40" i="35" s="1"/>
  <c r="J40" i="35" s="1"/>
  <c r="I42" i="37"/>
  <c r="L41" i="35" s="1"/>
  <c r="J41" i="35" s="1"/>
  <c r="I43" i="37"/>
  <c r="L42" i="35" s="1"/>
  <c r="J42" i="35" s="1"/>
  <c r="I44" i="37"/>
  <c r="L43" i="35" s="1"/>
  <c r="J43" i="35" s="1"/>
  <c r="I45" i="37"/>
  <c r="L44" i="35" s="1"/>
  <c r="J44" i="35" s="1"/>
  <c r="I46" i="37"/>
  <c r="L45" i="35" s="1"/>
  <c r="J45" i="35" s="1"/>
  <c r="I47" i="37"/>
  <c r="L46" i="35" s="1"/>
  <c r="J46" i="35" s="1"/>
  <c r="I48" i="37"/>
  <c r="L47" i="35" s="1"/>
  <c r="J47" i="35" s="1"/>
  <c r="I49" i="37"/>
  <c r="L48" i="35" s="1"/>
  <c r="J48" i="35" s="1"/>
  <c r="I50" i="37"/>
  <c r="L49" i="35" s="1"/>
  <c r="J49" i="35" s="1"/>
  <c r="I51" i="37"/>
  <c r="L50" i="35" s="1"/>
  <c r="J50" i="35" s="1"/>
  <c r="I52" i="37"/>
  <c r="L51" i="35" s="1"/>
  <c r="J51" i="35" s="1"/>
  <c r="I53" i="37"/>
  <c r="L52" i="35" s="1"/>
  <c r="J52" i="35" s="1"/>
  <c r="I54" i="37"/>
  <c r="L53" i="35" s="1"/>
  <c r="J53" i="35" s="1"/>
  <c r="I55" i="37"/>
  <c r="L54" i="35" s="1"/>
  <c r="J54" i="35" s="1"/>
  <c r="I56" i="37"/>
  <c r="L55" i="35" s="1"/>
  <c r="J55" i="35" s="1"/>
  <c r="I57" i="37"/>
  <c r="L56" i="35" s="1"/>
  <c r="J56" i="35" s="1"/>
  <c r="I58" i="37"/>
  <c r="L57" i="35" s="1"/>
  <c r="J57" i="35" s="1"/>
  <c r="I59" i="37"/>
  <c r="L58" i="35" s="1"/>
  <c r="J58" i="35" s="1"/>
  <c r="I60" i="37"/>
  <c r="L59" i="35" s="1"/>
  <c r="J59" i="35" s="1"/>
  <c r="I61" i="37"/>
  <c r="L60" i="35" s="1"/>
  <c r="J60" i="35" s="1"/>
  <c r="I62" i="37"/>
  <c r="L61" i="35" s="1"/>
  <c r="J61" i="35" s="1"/>
  <c r="I63" i="37"/>
  <c r="L62" i="35" s="1"/>
  <c r="J62" i="35" s="1"/>
  <c r="I64" i="37"/>
  <c r="L63" i="35" s="1"/>
  <c r="J63" i="35" s="1"/>
  <c r="I65" i="37"/>
  <c r="L64" i="35" s="1"/>
  <c r="J64" i="35" s="1"/>
  <c r="I66" i="37"/>
  <c r="L65" i="35" s="1"/>
  <c r="J65" i="35" s="1"/>
  <c r="I67" i="37"/>
  <c r="L66" i="35" s="1"/>
  <c r="J66" i="35" s="1"/>
  <c r="I68" i="37"/>
  <c r="L67" i="35" s="1"/>
  <c r="J67" i="35" s="1"/>
  <c r="I69" i="37"/>
  <c r="L68" i="35" s="1"/>
  <c r="J68" i="35" s="1"/>
  <c r="I70" i="37"/>
  <c r="L69" i="35" s="1"/>
  <c r="J69" i="35" s="1"/>
  <c r="I71" i="37"/>
  <c r="L70" i="35" s="1"/>
  <c r="J70" i="35" s="1"/>
  <c r="I72" i="37"/>
  <c r="L71" i="35" s="1"/>
  <c r="J71" i="35" s="1"/>
  <c r="I73" i="37"/>
  <c r="L72" i="35" s="1"/>
  <c r="J72" i="35" s="1"/>
  <c r="I74" i="37"/>
  <c r="L73" i="35" s="1"/>
  <c r="J73" i="35" s="1"/>
  <c r="I75" i="37"/>
  <c r="L74" i="35" s="1"/>
  <c r="J74" i="35" s="1"/>
  <c r="I76" i="37"/>
  <c r="L75" i="35" s="1"/>
  <c r="J75" i="35" s="1"/>
  <c r="I77" i="37"/>
  <c r="L76" i="35" s="1"/>
  <c r="J76" i="35" s="1"/>
  <c r="I78" i="37"/>
  <c r="L77" i="35" s="1"/>
  <c r="J77" i="35" s="1"/>
  <c r="I79" i="37"/>
  <c r="L78" i="35" s="1"/>
  <c r="J78" i="35" s="1"/>
  <c r="I80" i="37"/>
  <c r="L79" i="35" s="1"/>
  <c r="J79" i="35" s="1"/>
  <c r="I81" i="37"/>
  <c r="L80" i="35" s="1"/>
  <c r="J80" i="35" s="1"/>
  <c r="I82" i="37"/>
  <c r="L81" i="35" s="1"/>
  <c r="J81" i="35" s="1"/>
  <c r="I83" i="37"/>
  <c r="L82" i="35" s="1"/>
  <c r="J82" i="35" s="1"/>
  <c r="I84" i="37"/>
  <c r="L83" i="35" s="1"/>
  <c r="J83" i="35" s="1"/>
  <c r="I85" i="37"/>
  <c r="L84" i="35" s="1"/>
  <c r="J84" i="35" s="1"/>
  <c r="I86" i="37"/>
  <c r="L85" i="35" s="1"/>
  <c r="J85" i="35" s="1"/>
  <c r="I87" i="37"/>
  <c r="L86" i="35" s="1"/>
  <c r="J86" i="35" s="1"/>
  <c r="I88" i="37"/>
  <c r="L87" i="35" s="1"/>
  <c r="J87" i="35" s="1"/>
  <c r="I89" i="37"/>
  <c r="L88" i="35" s="1"/>
  <c r="J88" i="35" s="1"/>
  <c r="I90" i="37"/>
  <c r="L89" i="35" s="1"/>
  <c r="J89" i="35" s="1"/>
  <c r="I91" i="37"/>
  <c r="L90" i="35" s="1"/>
  <c r="J90" i="35" s="1"/>
  <c r="I92" i="37"/>
  <c r="L91" i="35" s="1"/>
  <c r="J91" i="35" s="1"/>
  <c r="I93" i="37"/>
  <c r="L92" i="35" s="1"/>
  <c r="J92" i="35" s="1"/>
  <c r="I94" i="37"/>
  <c r="L93" i="35" s="1"/>
  <c r="J93" i="35" s="1"/>
  <c r="I95" i="37"/>
  <c r="L94" i="35" s="1"/>
  <c r="J94" i="35" s="1"/>
  <c r="I96" i="37"/>
  <c r="L95" i="35" s="1"/>
  <c r="J95" i="35" s="1"/>
  <c r="I97" i="37"/>
  <c r="L96" i="35" s="1"/>
  <c r="J96" i="35" s="1"/>
  <c r="I98" i="37"/>
  <c r="L97" i="35" s="1"/>
  <c r="J97" i="35" s="1"/>
  <c r="I99" i="37"/>
  <c r="L98" i="35" s="1"/>
  <c r="J98" i="35" s="1"/>
  <c r="I100" i="37"/>
  <c r="L99" i="35" s="1"/>
  <c r="J99" i="35" s="1"/>
  <c r="I101" i="37"/>
  <c r="L100" i="35" s="1"/>
  <c r="J100" i="35" s="1"/>
  <c r="I102" i="37"/>
  <c r="L101" i="35" s="1"/>
  <c r="J101" i="35" s="1"/>
  <c r="I103" i="37"/>
  <c r="L102" i="35" s="1"/>
  <c r="J102" i="35" s="1"/>
  <c r="I104" i="37"/>
  <c r="L103" i="35" s="1"/>
  <c r="J103" i="35" s="1"/>
  <c r="I105" i="37"/>
  <c r="L104" i="35" s="1"/>
  <c r="J104" i="35" s="1"/>
  <c r="I106" i="37"/>
  <c r="L105" i="35" s="1"/>
  <c r="J105" i="35" s="1"/>
  <c r="I107" i="37"/>
  <c r="L106" i="35" s="1"/>
  <c r="J106" i="35" s="1"/>
  <c r="I108" i="37"/>
  <c r="L107" i="35" s="1"/>
  <c r="J107" i="35" s="1"/>
  <c r="I109" i="37"/>
  <c r="L108" i="35" s="1"/>
  <c r="J108" i="35" s="1"/>
  <c r="I110" i="37"/>
  <c r="L109" i="35" s="1"/>
  <c r="J109" i="35" s="1"/>
  <c r="I111" i="37"/>
  <c r="L110" i="35" s="1"/>
  <c r="J110" i="35" s="1"/>
  <c r="I112" i="37"/>
  <c r="L111" i="35" s="1"/>
  <c r="J111" i="35" s="1"/>
  <c r="I113" i="37"/>
  <c r="L112" i="35" s="1"/>
  <c r="J112" i="35" s="1"/>
  <c r="I114" i="37"/>
  <c r="L113" i="35" s="1"/>
  <c r="J113" i="35" s="1"/>
  <c r="I115" i="37"/>
  <c r="L114" i="35" s="1"/>
  <c r="J114" i="35" s="1"/>
  <c r="I116" i="37"/>
  <c r="L115" i="35" s="1"/>
  <c r="J115" i="35" s="1"/>
  <c r="I117" i="37"/>
  <c r="L116" i="35" s="1"/>
  <c r="J116" i="35" s="1"/>
  <c r="I118" i="37"/>
  <c r="L117" i="35" s="1"/>
  <c r="J117" i="35" s="1"/>
  <c r="I119" i="37"/>
  <c r="L118" i="35" s="1"/>
  <c r="J118" i="35" s="1"/>
  <c r="I120" i="37"/>
  <c r="L119" i="35" s="1"/>
  <c r="J119" i="35" s="1"/>
  <c r="I121" i="37"/>
  <c r="L120" i="35" s="1"/>
  <c r="J120" i="35" s="1"/>
  <c r="I122" i="37"/>
  <c r="L121" i="35" s="1"/>
  <c r="J121" i="35" s="1"/>
  <c r="I123" i="37"/>
  <c r="L122" i="35" s="1"/>
  <c r="J122" i="35" s="1"/>
  <c r="I124" i="37"/>
  <c r="L123" i="35" s="1"/>
  <c r="J123" i="35" s="1"/>
  <c r="I125" i="37"/>
  <c r="L124" i="35" s="1"/>
  <c r="J124" i="35" s="1"/>
  <c r="I126" i="37"/>
  <c r="L125" i="35" s="1"/>
  <c r="J125" i="35" s="1"/>
  <c r="I127" i="37"/>
  <c r="L126" i="35" s="1"/>
  <c r="J126" i="35" s="1"/>
  <c r="I128" i="37"/>
  <c r="L127" i="35" s="1"/>
  <c r="J127" i="35" s="1"/>
  <c r="I129" i="37"/>
  <c r="L128" i="35" s="1"/>
  <c r="J128" i="35" s="1"/>
  <c r="I130" i="37"/>
  <c r="L129" i="35" s="1"/>
  <c r="J129" i="35" s="1"/>
  <c r="I131" i="37"/>
  <c r="L130" i="35" s="1"/>
  <c r="J130" i="35" s="1"/>
  <c r="I132" i="37"/>
  <c r="L131" i="35" s="1"/>
  <c r="J131" i="35" s="1"/>
  <c r="I133" i="37"/>
  <c r="L132" i="35" s="1"/>
  <c r="J132" i="35" s="1"/>
  <c r="I134" i="37"/>
  <c r="L133" i="35" s="1"/>
  <c r="J133" i="35" s="1"/>
  <c r="I135" i="37"/>
  <c r="L134" i="35" s="1"/>
  <c r="J134" i="35" s="1"/>
  <c r="I136" i="37"/>
  <c r="L135" i="35" s="1"/>
  <c r="J135" i="35" s="1"/>
  <c r="I137" i="37"/>
  <c r="L136" i="35" s="1"/>
  <c r="J136" i="35" s="1"/>
  <c r="I138" i="37"/>
  <c r="L137" i="35" s="1"/>
  <c r="J137" i="35" s="1"/>
  <c r="I139" i="37"/>
  <c r="L138" i="35" s="1"/>
  <c r="J138" i="35" s="1"/>
  <c r="I140" i="37"/>
  <c r="L139" i="35" s="1"/>
  <c r="J139" i="35" s="1"/>
  <c r="I141" i="37"/>
  <c r="L140" i="35" s="1"/>
  <c r="J140" i="35" s="1"/>
  <c r="I142" i="37"/>
  <c r="L141" i="35" s="1"/>
  <c r="J141" i="35" s="1"/>
  <c r="I143" i="37"/>
  <c r="L142" i="35" s="1"/>
  <c r="J142" i="35" s="1"/>
  <c r="I144" i="37"/>
  <c r="L143" i="35" s="1"/>
  <c r="J143" i="35" s="1"/>
  <c r="I145" i="37"/>
  <c r="L144" i="35" s="1"/>
  <c r="J144" i="35" s="1"/>
  <c r="I146" i="37"/>
  <c r="L145" i="35" s="1"/>
  <c r="J145" i="35" s="1"/>
  <c r="I147" i="37"/>
  <c r="L146" i="35" s="1"/>
  <c r="J146" i="35" s="1"/>
  <c r="I148" i="37"/>
  <c r="L147" i="35" s="1"/>
  <c r="J147" i="35" s="1"/>
  <c r="I149" i="37"/>
  <c r="L148" i="35" s="1"/>
  <c r="J148" i="35" s="1"/>
  <c r="I150" i="37"/>
  <c r="L149" i="35" s="1"/>
  <c r="J149" i="35" s="1"/>
  <c r="I151" i="37"/>
  <c r="L150" i="35" s="1"/>
  <c r="J150" i="35" s="1"/>
  <c r="I152" i="37"/>
  <c r="L151" i="35" s="1"/>
  <c r="J151" i="35" s="1"/>
  <c r="I153" i="37"/>
  <c r="L152" i="35" s="1"/>
  <c r="J152" i="35" s="1"/>
  <c r="I154" i="37"/>
  <c r="L153" i="35" s="1"/>
  <c r="J153" i="35" s="1"/>
  <c r="I155" i="37"/>
  <c r="L154" i="35" s="1"/>
  <c r="J154" i="35" s="1"/>
  <c r="I156" i="37"/>
  <c r="L155" i="35" s="1"/>
  <c r="J155" i="35" s="1"/>
  <c r="I157" i="37"/>
  <c r="L156" i="35" s="1"/>
  <c r="J156" i="35" s="1"/>
  <c r="I158" i="37"/>
  <c r="L157" i="35" s="1"/>
  <c r="J157" i="35" s="1"/>
  <c r="I159" i="37"/>
  <c r="L158" i="35" s="1"/>
  <c r="J158" i="35" s="1"/>
  <c r="I160" i="37"/>
  <c r="L159" i="35" s="1"/>
  <c r="J159" i="35" s="1"/>
  <c r="I161" i="37"/>
  <c r="L160" i="35" s="1"/>
  <c r="J160" i="35" s="1"/>
  <c r="I162" i="37"/>
  <c r="L161" i="35" s="1"/>
  <c r="J161" i="35" s="1"/>
  <c r="I163" i="37"/>
  <c r="L162" i="35" s="1"/>
  <c r="J162" i="35" s="1"/>
  <c r="I164" i="37"/>
  <c r="L163" i="35" s="1"/>
  <c r="J163" i="35" s="1"/>
  <c r="I165" i="37"/>
  <c r="L164" i="35" s="1"/>
  <c r="J164" i="35" s="1"/>
  <c r="I166" i="37"/>
  <c r="L165" i="35" s="1"/>
  <c r="J165" i="35" s="1"/>
  <c r="I167" i="37"/>
  <c r="L166" i="35" s="1"/>
  <c r="J166" i="35" s="1"/>
  <c r="I168" i="37"/>
  <c r="L167" i="35" s="1"/>
  <c r="J167" i="35" s="1"/>
  <c r="I169" i="37"/>
  <c r="L168" i="35" s="1"/>
  <c r="J168" i="35" s="1"/>
  <c r="I170" i="37"/>
  <c r="L169" i="35" s="1"/>
  <c r="J169" i="35" s="1"/>
  <c r="I171" i="37"/>
  <c r="L170" i="35" s="1"/>
  <c r="J170" i="35" s="1"/>
  <c r="I172" i="37"/>
  <c r="L171" i="35" s="1"/>
  <c r="J171" i="35" s="1"/>
  <c r="I173" i="37"/>
  <c r="L172" i="35" s="1"/>
  <c r="J172" i="35" s="1"/>
  <c r="I174" i="37"/>
  <c r="L173" i="35" s="1"/>
  <c r="J173" i="35" s="1"/>
  <c r="I175" i="37"/>
  <c r="L174" i="35" s="1"/>
  <c r="J174" i="35" s="1"/>
  <c r="I176" i="37"/>
  <c r="L175" i="35" s="1"/>
  <c r="J175" i="35" s="1"/>
  <c r="I177" i="37"/>
  <c r="L176" i="35" s="1"/>
  <c r="J176" i="35" s="1"/>
  <c r="I178" i="37"/>
  <c r="L177" i="35" s="1"/>
  <c r="J177" i="35" s="1"/>
  <c r="I179" i="37"/>
  <c r="L178" i="35" s="1"/>
  <c r="J178" i="35" s="1"/>
  <c r="I180" i="37"/>
  <c r="L179" i="35" s="1"/>
  <c r="J179" i="35" s="1"/>
  <c r="I181" i="37"/>
  <c r="L180" i="35" s="1"/>
  <c r="J180" i="35" s="1"/>
  <c r="I182" i="37"/>
  <c r="L181" i="35" s="1"/>
  <c r="J181" i="35" s="1"/>
  <c r="I183" i="37"/>
  <c r="L182" i="35" s="1"/>
  <c r="J182" i="35" s="1"/>
  <c r="I184" i="37"/>
  <c r="L183" i="35" s="1"/>
  <c r="J183" i="35" s="1"/>
  <c r="I185" i="37"/>
  <c r="L184" i="35" s="1"/>
  <c r="J184" i="35" s="1"/>
  <c r="I186" i="37"/>
  <c r="L185" i="35" s="1"/>
  <c r="J185" i="35" s="1"/>
  <c r="I187" i="37"/>
  <c r="L186" i="35" s="1"/>
  <c r="J186" i="35" s="1"/>
  <c r="I188" i="37"/>
  <c r="L187" i="35" s="1"/>
  <c r="J187" i="35" s="1"/>
  <c r="I189" i="37"/>
  <c r="L188" i="35" s="1"/>
  <c r="J188" i="35" s="1"/>
  <c r="I190" i="37"/>
  <c r="L189" i="35" s="1"/>
  <c r="J189" i="35" s="1"/>
  <c r="I191" i="37"/>
  <c r="L190" i="35" s="1"/>
  <c r="J190" i="35" s="1"/>
  <c r="I192" i="37"/>
  <c r="L191" i="35" s="1"/>
  <c r="J191" i="35" s="1"/>
  <c r="I193" i="37"/>
  <c r="L192" i="35" s="1"/>
  <c r="J192" i="35" s="1"/>
  <c r="I194" i="37"/>
  <c r="L193" i="35" s="1"/>
  <c r="J193" i="35" s="1"/>
  <c r="I195" i="37"/>
  <c r="L194" i="35" s="1"/>
  <c r="J194" i="35" s="1"/>
  <c r="I196" i="37"/>
  <c r="L195" i="35" s="1"/>
  <c r="J195" i="35" s="1"/>
  <c r="I197" i="37"/>
  <c r="L196" i="35" s="1"/>
  <c r="J196" i="35" s="1"/>
  <c r="I198" i="37"/>
  <c r="L197" i="35" s="1"/>
  <c r="J197" i="35" s="1"/>
  <c r="I199" i="37"/>
  <c r="L198" i="35" s="1"/>
  <c r="J198" i="35" s="1"/>
  <c r="I200" i="37"/>
  <c r="L199" i="35" s="1"/>
  <c r="J199" i="35" s="1"/>
  <c r="I201" i="37"/>
  <c r="L200" i="35" s="1"/>
  <c r="J200" i="35" s="1"/>
  <c r="I202" i="37"/>
  <c r="L201" i="35" s="1"/>
  <c r="J201" i="35" s="1"/>
  <c r="I203" i="37"/>
  <c r="L202" i="35" s="1"/>
  <c r="J202" i="35" s="1"/>
  <c r="I204" i="37"/>
  <c r="L203" i="35" s="1"/>
  <c r="J203" i="35" s="1"/>
  <c r="I205" i="37"/>
  <c r="L204" i="35" s="1"/>
  <c r="J204" i="35" s="1"/>
  <c r="I206" i="37"/>
  <c r="L205" i="35" s="1"/>
  <c r="J205" i="35" s="1"/>
  <c r="I207" i="37"/>
  <c r="L206" i="35" s="1"/>
  <c r="J206" i="35" s="1"/>
  <c r="I208" i="37"/>
  <c r="L207" i="35" s="1"/>
  <c r="J207" i="35" s="1"/>
  <c r="I209" i="37"/>
  <c r="L208" i="35" s="1"/>
  <c r="J208" i="35" s="1"/>
  <c r="I210" i="37"/>
  <c r="L209" i="35" s="1"/>
  <c r="J209" i="35" s="1"/>
  <c r="I211" i="37"/>
  <c r="L210" i="35" s="1"/>
  <c r="J210" i="35" s="1"/>
  <c r="I212" i="37"/>
  <c r="L211" i="35" s="1"/>
  <c r="J211" i="35" s="1"/>
  <c r="I213" i="37"/>
  <c r="L212" i="35" s="1"/>
  <c r="J212" i="35" s="1"/>
  <c r="I214" i="37"/>
  <c r="L213" i="35" s="1"/>
  <c r="J213" i="35" s="1"/>
  <c r="I215" i="37"/>
  <c r="L214" i="35" s="1"/>
  <c r="J214" i="35" s="1"/>
  <c r="I216" i="37"/>
  <c r="L215" i="35" s="1"/>
  <c r="J215" i="35" s="1"/>
  <c r="I217" i="37"/>
  <c r="L216" i="35" s="1"/>
  <c r="J216" i="35" s="1"/>
  <c r="I218" i="37"/>
  <c r="L217" i="35" s="1"/>
  <c r="J217" i="35" s="1"/>
  <c r="I219" i="37"/>
  <c r="L218" i="35" s="1"/>
  <c r="J218" i="35" s="1"/>
  <c r="I220" i="37"/>
  <c r="L219" i="35" s="1"/>
  <c r="J219" i="35" s="1"/>
  <c r="I221" i="37"/>
  <c r="L220" i="35" s="1"/>
  <c r="J220" i="35" s="1"/>
  <c r="I222" i="37"/>
  <c r="L221" i="35" s="1"/>
  <c r="J221" i="35" s="1"/>
  <c r="I223" i="37"/>
  <c r="L222" i="35" s="1"/>
  <c r="J222" i="35" s="1"/>
  <c r="I224" i="37"/>
  <c r="L223" i="35" s="1"/>
  <c r="J223" i="35" s="1"/>
  <c r="I225" i="37"/>
  <c r="L224" i="35" s="1"/>
  <c r="J224" i="35" s="1"/>
  <c r="I226" i="37"/>
  <c r="L225" i="35" s="1"/>
  <c r="J225" i="35" s="1"/>
  <c r="I227" i="37"/>
  <c r="L226" i="35" s="1"/>
  <c r="J226" i="35" s="1"/>
  <c r="I228" i="37"/>
  <c r="L227" i="35" s="1"/>
  <c r="J227" i="35" s="1"/>
  <c r="I229" i="37"/>
  <c r="L228" i="35" s="1"/>
  <c r="J228" i="35" s="1"/>
  <c r="I230" i="37"/>
  <c r="L229" i="35" s="1"/>
  <c r="J229" i="35" s="1"/>
  <c r="I231" i="37"/>
  <c r="L230" i="35" s="1"/>
  <c r="J230" i="35" s="1"/>
  <c r="I232" i="37"/>
  <c r="L231" i="35" s="1"/>
  <c r="J231" i="35" s="1"/>
  <c r="I233" i="37"/>
  <c r="L232" i="35" s="1"/>
  <c r="J232" i="35" s="1"/>
  <c r="I234" i="37"/>
  <c r="L233" i="35" s="1"/>
  <c r="J233" i="35" s="1"/>
  <c r="I235" i="37"/>
  <c r="L234" i="35" s="1"/>
  <c r="J234" i="35" s="1"/>
  <c r="I236" i="37"/>
  <c r="L235" i="35" s="1"/>
  <c r="J235" i="35" s="1"/>
  <c r="I237" i="37"/>
  <c r="L236" i="35" s="1"/>
  <c r="J236" i="35" s="1"/>
  <c r="I238" i="37"/>
  <c r="L237" i="35" s="1"/>
  <c r="J237" i="35" s="1"/>
  <c r="I239" i="37"/>
  <c r="L238" i="35" s="1"/>
  <c r="J238" i="35" s="1"/>
  <c r="I240" i="37"/>
  <c r="L239" i="35" s="1"/>
  <c r="J239" i="35" s="1"/>
  <c r="I241" i="37"/>
  <c r="L240" i="35" s="1"/>
  <c r="J240" i="35" s="1"/>
  <c r="I242" i="37"/>
  <c r="L241" i="35" s="1"/>
  <c r="J241" i="35" s="1"/>
  <c r="I243" i="37"/>
  <c r="L242" i="35" s="1"/>
  <c r="J242" i="35" s="1"/>
  <c r="I244" i="37"/>
  <c r="L243" i="35" s="1"/>
  <c r="J243" i="35" s="1"/>
  <c r="I245" i="37"/>
  <c r="L244" i="35" s="1"/>
  <c r="J244" i="35" s="1"/>
  <c r="I246" i="37"/>
  <c r="L245" i="35" s="1"/>
  <c r="J245" i="35" s="1"/>
  <c r="I247" i="37"/>
  <c r="L246" i="35" s="1"/>
  <c r="J246" i="35" s="1"/>
  <c r="I248" i="37"/>
  <c r="L247" i="35" s="1"/>
  <c r="J247" i="35" s="1"/>
  <c r="I249" i="37"/>
  <c r="L248" i="35" s="1"/>
  <c r="J248" i="35" s="1"/>
  <c r="I250" i="37"/>
  <c r="L249" i="35" s="1"/>
  <c r="J249" i="35" s="1"/>
  <c r="I251" i="37"/>
  <c r="L250" i="35" s="1"/>
  <c r="J250" i="35" s="1"/>
  <c r="I252" i="37"/>
  <c r="L251" i="35" s="1"/>
  <c r="J251" i="35" s="1"/>
  <c r="I253" i="37"/>
  <c r="L252" i="35" s="1"/>
  <c r="J252" i="35" s="1"/>
  <c r="I254" i="37"/>
  <c r="L253" i="35" s="1"/>
  <c r="J253" i="35" s="1"/>
  <c r="I255" i="37"/>
  <c r="L254" i="35" s="1"/>
  <c r="J254" i="35" s="1"/>
  <c r="I256" i="37"/>
  <c r="L255" i="35" s="1"/>
  <c r="J255" i="35" s="1"/>
  <c r="I257" i="37"/>
  <c r="L256" i="35" s="1"/>
  <c r="J256" i="35" s="1"/>
  <c r="I258" i="37"/>
  <c r="L257" i="35" s="1"/>
  <c r="J257" i="35" s="1"/>
  <c r="I259" i="37"/>
  <c r="L258" i="35" s="1"/>
  <c r="J258" i="35" s="1"/>
  <c r="I260" i="37"/>
  <c r="L259" i="35" s="1"/>
  <c r="J259" i="35" s="1"/>
  <c r="I261" i="37"/>
  <c r="L260" i="35" s="1"/>
  <c r="J260" i="35" s="1"/>
  <c r="I262" i="37"/>
  <c r="L261" i="35" s="1"/>
  <c r="J261" i="35" s="1"/>
  <c r="I263" i="37"/>
  <c r="L262" i="35" s="1"/>
  <c r="J262" i="35" s="1"/>
  <c r="I264" i="37"/>
  <c r="L263" i="35" s="1"/>
  <c r="J263" i="35" s="1"/>
  <c r="I265" i="37"/>
  <c r="L264" i="35" s="1"/>
  <c r="J264" i="35" s="1"/>
  <c r="I266" i="37"/>
  <c r="L265" i="35" s="1"/>
  <c r="J265" i="35" s="1"/>
  <c r="I267" i="37"/>
  <c r="L266" i="35" s="1"/>
  <c r="J266" i="35" s="1"/>
  <c r="I268" i="37"/>
  <c r="L267" i="35" s="1"/>
  <c r="J267" i="35" s="1"/>
  <c r="I269" i="37"/>
  <c r="L268" i="35" s="1"/>
  <c r="J268" i="35" s="1"/>
  <c r="I270" i="37"/>
  <c r="L269" i="35" s="1"/>
  <c r="J269" i="35" s="1"/>
  <c r="I271" i="37"/>
  <c r="L270" i="35" s="1"/>
  <c r="J270" i="35" s="1"/>
  <c r="I272" i="37"/>
  <c r="L271" i="35" s="1"/>
  <c r="J271" i="35" s="1"/>
  <c r="I273" i="37"/>
  <c r="L272" i="35" s="1"/>
  <c r="J272" i="35" s="1"/>
  <c r="I274" i="37"/>
  <c r="L273" i="35" s="1"/>
  <c r="J273" i="35" s="1"/>
  <c r="I275" i="37"/>
  <c r="L274" i="35" s="1"/>
  <c r="J274" i="35" s="1"/>
  <c r="I276" i="37"/>
  <c r="L275" i="35" s="1"/>
  <c r="J275" i="35" s="1"/>
  <c r="I277" i="37"/>
  <c r="L276" i="35" s="1"/>
  <c r="J276" i="35" s="1"/>
  <c r="I278" i="37"/>
  <c r="L277" i="35" s="1"/>
  <c r="J277" i="35" s="1"/>
  <c r="I279" i="37"/>
  <c r="L278" i="35" s="1"/>
  <c r="J278" i="35" s="1"/>
  <c r="I280" i="37"/>
  <c r="L279" i="35" s="1"/>
  <c r="J279" i="35" s="1"/>
  <c r="I281" i="37"/>
  <c r="L280" i="35" s="1"/>
  <c r="J280" i="35" s="1"/>
  <c r="I282" i="37"/>
  <c r="L281" i="35" s="1"/>
  <c r="J281" i="35" s="1"/>
  <c r="I283" i="37"/>
  <c r="L282" i="35" s="1"/>
  <c r="J282" i="35" s="1"/>
  <c r="I284" i="37"/>
  <c r="L283" i="35" s="1"/>
  <c r="J283" i="35" s="1"/>
  <c r="I285" i="37"/>
  <c r="L284" i="35" s="1"/>
  <c r="J284" i="35" s="1"/>
  <c r="I286" i="37"/>
  <c r="L285" i="35" s="1"/>
  <c r="J285" i="35" s="1"/>
  <c r="I287" i="37"/>
  <c r="L286" i="35" s="1"/>
  <c r="J286" i="35" s="1"/>
  <c r="I288" i="37"/>
  <c r="L287" i="35" s="1"/>
  <c r="J287" i="35" s="1"/>
  <c r="I289" i="37"/>
  <c r="L288" i="35" s="1"/>
  <c r="J288" i="35" s="1"/>
  <c r="I290" i="37"/>
  <c r="L289" i="35" s="1"/>
  <c r="J289" i="35" s="1"/>
  <c r="I291" i="37"/>
  <c r="L290" i="35" s="1"/>
  <c r="J290" i="35" s="1"/>
  <c r="I292" i="37"/>
  <c r="L291" i="35" s="1"/>
  <c r="J291" i="35" s="1"/>
  <c r="I293" i="37"/>
  <c r="L292" i="35" s="1"/>
  <c r="J292" i="35" s="1"/>
  <c r="I294" i="37"/>
  <c r="L293" i="35" s="1"/>
  <c r="J293" i="35" s="1"/>
  <c r="I295" i="37"/>
  <c r="L294" i="35" s="1"/>
  <c r="J294" i="35" s="1"/>
  <c r="I296" i="37"/>
  <c r="L295" i="35" s="1"/>
  <c r="J295" i="35" s="1"/>
  <c r="I297" i="37"/>
  <c r="L296" i="35" s="1"/>
  <c r="J296" i="35" s="1"/>
  <c r="I298" i="37"/>
  <c r="L297" i="35" s="1"/>
  <c r="J297" i="35" s="1"/>
  <c r="I299" i="37"/>
  <c r="L298" i="35" s="1"/>
  <c r="J298" i="35" s="1"/>
  <c r="I300" i="37"/>
  <c r="L299" i="35" s="1"/>
  <c r="J299" i="35" s="1"/>
  <c r="I301" i="37"/>
  <c r="L300" i="35" s="1"/>
  <c r="J300" i="35" s="1"/>
  <c r="I302" i="37"/>
  <c r="L301" i="35" s="1"/>
  <c r="J301" i="35" s="1"/>
  <c r="I303" i="37"/>
  <c r="L302" i="35" s="1"/>
  <c r="J302" i="35" s="1"/>
  <c r="I304" i="37"/>
  <c r="L303" i="35" s="1"/>
  <c r="J303" i="35" s="1"/>
  <c r="I305" i="37"/>
  <c r="L304" i="35" s="1"/>
  <c r="J304" i="35" s="1"/>
  <c r="I306" i="37"/>
  <c r="L305" i="35" s="1"/>
  <c r="J305" i="35" s="1"/>
  <c r="I307" i="37"/>
  <c r="L306" i="35" s="1"/>
  <c r="J306" i="35" s="1"/>
  <c r="I308" i="37"/>
  <c r="L307" i="35" s="1"/>
  <c r="J307" i="35" s="1"/>
  <c r="I309" i="37"/>
  <c r="L308" i="35" s="1"/>
  <c r="J308" i="35" s="1"/>
  <c r="I310" i="37"/>
  <c r="L309" i="35" s="1"/>
  <c r="J309" i="35" s="1"/>
  <c r="I311" i="37"/>
  <c r="L310" i="35" s="1"/>
  <c r="J310" i="35" s="1"/>
  <c r="I312" i="37"/>
  <c r="L311" i="35" s="1"/>
  <c r="J311" i="35" s="1"/>
  <c r="I313" i="37"/>
  <c r="L312" i="35" s="1"/>
  <c r="J312" i="35" s="1"/>
  <c r="I314" i="37"/>
  <c r="L313" i="35" s="1"/>
  <c r="J313" i="35" s="1"/>
  <c r="I315" i="37"/>
  <c r="L314" i="35" s="1"/>
  <c r="J314" i="35" s="1"/>
  <c r="I316" i="37"/>
  <c r="L315" i="35" s="1"/>
  <c r="J315" i="35" s="1"/>
  <c r="I317" i="37"/>
  <c r="L316" i="35" s="1"/>
  <c r="J316" i="35" s="1"/>
  <c r="I318" i="37"/>
  <c r="L317" i="35" s="1"/>
  <c r="J317" i="35" s="1"/>
  <c r="I319" i="37"/>
  <c r="L318" i="35" s="1"/>
  <c r="J318" i="35" s="1"/>
  <c r="I320" i="37"/>
  <c r="L319" i="35" s="1"/>
  <c r="J319" i="35" s="1"/>
  <c r="I321" i="37"/>
  <c r="L320" i="35" s="1"/>
  <c r="J320" i="35" s="1"/>
  <c r="I322" i="37"/>
  <c r="L321" i="35" s="1"/>
  <c r="J321" i="35" s="1"/>
  <c r="I323" i="37"/>
  <c r="L322" i="35" s="1"/>
  <c r="J322" i="35" s="1"/>
  <c r="I324" i="37"/>
  <c r="L323" i="35" s="1"/>
  <c r="J323" i="35" s="1"/>
  <c r="I325" i="37"/>
  <c r="L324" i="35" s="1"/>
  <c r="J324" i="35" s="1"/>
  <c r="I326" i="37"/>
  <c r="L325" i="35" s="1"/>
  <c r="J325" i="35" s="1"/>
  <c r="I327" i="37"/>
  <c r="L326" i="35" s="1"/>
  <c r="J326" i="35" s="1"/>
  <c r="I328" i="37"/>
  <c r="L327" i="35" s="1"/>
  <c r="J327" i="35" s="1"/>
  <c r="I329" i="37"/>
  <c r="L328" i="35" s="1"/>
  <c r="J328" i="35" s="1"/>
  <c r="I330" i="37"/>
  <c r="L329" i="35" s="1"/>
  <c r="J329" i="35" s="1"/>
  <c r="I331" i="37"/>
  <c r="L330" i="35" s="1"/>
  <c r="J330" i="35" s="1"/>
  <c r="I332" i="37"/>
  <c r="L331" i="35" s="1"/>
  <c r="J331" i="35" s="1"/>
  <c r="I333" i="37"/>
  <c r="L332" i="35" s="1"/>
  <c r="J332" i="35" s="1"/>
  <c r="I334" i="37"/>
  <c r="L333" i="35" s="1"/>
  <c r="J333" i="35" s="1"/>
  <c r="I335" i="37"/>
  <c r="L334" i="35" s="1"/>
  <c r="J334" i="35" s="1"/>
  <c r="I336" i="37"/>
  <c r="L335" i="35" s="1"/>
  <c r="J335" i="35" s="1"/>
  <c r="I337" i="37"/>
  <c r="L336" i="35" s="1"/>
  <c r="J336" i="35" s="1"/>
  <c r="I338" i="37"/>
  <c r="L337" i="35" s="1"/>
  <c r="J337" i="35" s="1"/>
  <c r="I339" i="37"/>
  <c r="L338" i="35" s="1"/>
  <c r="J338" i="35" s="1"/>
  <c r="I340" i="37"/>
  <c r="L339" i="35" s="1"/>
  <c r="J339" i="35" s="1"/>
  <c r="I341" i="37"/>
  <c r="L340" i="35" s="1"/>
  <c r="J340" i="35" s="1"/>
  <c r="I342" i="37"/>
  <c r="L341" i="35" s="1"/>
  <c r="J341" i="35" s="1"/>
  <c r="I343" i="37"/>
  <c r="L342" i="35" s="1"/>
  <c r="J342" i="35" s="1"/>
  <c r="I344" i="37"/>
  <c r="L343" i="35" s="1"/>
  <c r="J343" i="35" s="1"/>
  <c r="I345" i="37"/>
  <c r="L344" i="35" s="1"/>
  <c r="J344" i="35" s="1"/>
  <c r="I346" i="37"/>
  <c r="L345" i="35" s="1"/>
  <c r="J345" i="35" s="1"/>
  <c r="I347" i="37"/>
  <c r="L346" i="35" s="1"/>
  <c r="J346" i="35" s="1"/>
  <c r="I348" i="37"/>
  <c r="L347" i="35" s="1"/>
  <c r="J347" i="35" s="1"/>
  <c r="I349" i="37"/>
  <c r="L348" i="35" s="1"/>
  <c r="J348" i="35" s="1"/>
  <c r="I350" i="37"/>
  <c r="L349" i="35" s="1"/>
  <c r="J349" i="35" s="1"/>
  <c r="I351" i="37"/>
  <c r="L350" i="35" s="1"/>
  <c r="J350" i="35" s="1"/>
  <c r="I352" i="37"/>
  <c r="L351" i="35" s="1"/>
  <c r="J351" i="35" s="1"/>
  <c r="I353" i="37"/>
  <c r="L352" i="35" s="1"/>
  <c r="J352" i="35" s="1"/>
  <c r="I354" i="37"/>
  <c r="L353" i="35" s="1"/>
  <c r="J353" i="35" s="1"/>
  <c r="I355" i="37"/>
  <c r="L354" i="35" s="1"/>
  <c r="J354" i="35" s="1"/>
  <c r="I356" i="37"/>
  <c r="L355" i="35" s="1"/>
  <c r="J355" i="35" s="1"/>
  <c r="I357" i="37"/>
  <c r="L356" i="35" s="1"/>
  <c r="J356" i="35" s="1"/>
  <c r="I358" i="37"/>
  <c r="L357" i="35" s="1"/>
  <c r="J357" i="35" s="1"/>
  <c r="I359" i="37"/>
  <c r="L358" i="35" s="1"/>
  <c r="J358" i="35" s="1"/>
  <c r="I360" i="37"/>
  <c r="L359" i="35" s="1"/>
  <c r="J359" i="35" s="1"/>
  <c r="I361" i="37"/>
  <c r="L360" i="35" s="1"/>
  <c r="J360" i="35" s="1"/>
  <c r="I362" i="37"/>
  <c r="L361" i="35" s="1"/>
  <c r="J361" i="35" s="1"/>
  <c r="I363" i="37"/>
  <c r="L362" i="35" s="1"/>
  <c r="J362" i="35" s="1"/>
  <c r="I364" i="37"/>
  <c r="L363" i="35" s="1"/>
  <c r="J363" i="35" s="1"/>
  <c r="I365" i="37"/>
  <c r="L364" i="35" s="1"/>
  <c r="J364" i="35" s="1"/>
  <c r="I366" i="37"/>
  <c r="L365" i="35" s="1"/>
  <c r="J365" i="35" s="1"/>
  <c r="I367" i="37"/>
  <c r="L366" i="35" s="1"/>
  <c r="J366" i="35" s="1"/>
  <c r="I368" i="37"/>
  <c r="L367" i="35" s="1"/>
  <c r="J367" i="35" s="1"/>
  <c r="I369" i="37"/>
  <c r="L368" i="35" s="1"/>
  <c r="J368" i="35" s="1"/>
  <c r="I370" i="37"/>
  <c r="L369" i="35" s="1"/>
  <c r="J369" i="35" s="1"/>
  <c r="I371" i="37"/>
  <c r="L370" i="35" s="1"/>
  <c r="J370" i="35" s="1"/>
  <c r="I372" i="37"/>
  <c r="L371" i="35" s="1"/>
  <c r="J371" i="35" s="1"/>
  <c r="I373" i="37"/>
  <c r="L372" i="35" s="1"/>
  <c r="J372" i="35" s="1"/>
  <c r="I374" i="37"/>
  <c r="L373" i="35" s="1"/>
  <c r="J373" i="35" s="1"/>
  <c r="I375" i="37"/>
  <c r="L374" i="35" s="1"/>
  <c r="J374" i="35" s="1"/>
  <c r="I376" i="37"/>
  <c r="L375" i="35" s="1"/>
  <c r="J375" i="35" s="1"/>
  <c r="I377" i="37"/>
  <c r="L376" i="35" s="1"/>
  <c r="J376" i="35" s="1"/>
  <c r="I378" i="37"/>
  <c r="L377" i="35" s="1"/>
  <c r="J377" i="35" s="1"/>
  <c r="I379" i="37"/>
  <c r="L378" i="35" s="1"/>
  <c r="J378" i="35" s="1"/>
  <c r="I380" i="37"/>
  <c r="L379" i="35" s="1"/>
  <c r="J379" i="35" s="1"/>
  <c r="I381" i="37"/>
  <c r="L380" i="35" s="1"/>
  <c r="J380" i="35" s="1"/>
  <c r="I382" i="37"/>
  <c r="L381" i="35" s="1"/>
  <c r="J381" i="35" s="1"/>
  <c r="I383" i="37"/>
  <c r="L382" i="35" s="1"/>
  <c r="J382" i="35" s="1"/>
  <c r="I384" i="37"/>
  <c r="L383" i="35" s="1"/>
  <c r="J383" i="35" s="1"/>
  <c r="I385" i="37"/>
  <c r="L384" i="35" s="1"/>
  <c r="J384" i="35" s="1"/>
  <c r="I386" i="37"/>
  <c r="L385" i="35" s="1"/>
  <c r="J385" i="35" s="1"/>
  <c r="I387" i="37"/>
  <c r="L386" i="35" s="1"/>
  <c r="J386" i="35" s="1"/>
  <c r="I388" i="37"/>
  <c r="L387" i="35" s="1"/>
  <c r="J387" i="35" s="1"/>
  <c r="I389" i="37"/>
  <c r="L388" i="35" s="1"/>
  <c r="J388" i="35" s="1"/>
  <c r="I390" i="37"/>
  <c r="L389" i="35" s="1"/>
  <c r="J389" i="35" s="1"/>
  <c r="I391" i="37"/>
  <c r="L390" i="35" s="1"/>
  <c r="J390" i="35" s="1"/>
  <c r="I392" i="37"/>
  <c r="L391" i="35" s="1"/>
  <c r="J391" i="35" s="1"/>
  <c r="I393" i="37"/>
  <c r="L392" i="35" s="1"/>
  <c r="J392" i="35" s="1"/>
  <c r="I394" i="37"/>
  <c r="L393" i="35" s="1"/>
  <c r="J393" i="35" s="1"/>
  <c r="I395" i="37"/>
  <c r="L394" i="35" s="1"/>
  <c r="J394" i="35" s="1"/>
  <c r="I396" i="37"/>
  <c r="L395" i="35" s="1"/>
  <c r="J395" i="35" s="1"/>
  <c r="I397" i="37"/>
  <c r="L396" i="35" s="1"/>
  <c r="J396" i="35" s="1"/>
  <c r="I398" i="37"/>
  <c r="L397" i="35" s="1"/>
  <c r="J397" i="35" s="1"/>
  <c r="I399" i="37"/>
  <c r="L398" i="35" s="1"/>
  <c r="J398" i="35" s="1"/>
  <c r="I400" i="37"/>
  <c r="L399" i="35" s="1"/>
  <c r="J399" i="35" s="1"/>
  <c r="I401" i="37"/>
  <c r="L400" i="35" s="1"/>
  <c r="J400" i="35" s="1"/>
  <c r="I402" i="37"/>
  <c r="L401" i="35" s="1"/>
  <c r="J401" i="35" s="1"/>
  <c r="I403" i="37"/>
  <c r="L402" i="35" s="1"/>
  <c r="J402" i="35" s="1"/>
  <c r="I404" i="37"/>
  <c r="L403" i="35" s="1"/>
  <c r="J403" i="35" s="1"/>
  <c r="I405" i="37"/>
  <c r="L404" i="35" s="1"/>
  <c r="J404" i="35" s="1"/>
  <c r="I406" i="37"/>
  <c r="L405" i="35" s="1"/>
  <c r="J405" i="35" s="1"/>
  <c r="I407" i="37"/>
  <c r="L406" i="35" s="1"/>
  <c r="J406" i="35" s="1"/>
  <c r="I408" i="37"/>
  <c r="L407" i="35" s="1"/>
  <c r="J407" i="35" s="1"/>
  <c r="I409" i="37"/>
  <c r="L408" i="35" s="1"/>
  <c r="J408" i="35" s="1"/>
  <c r="I410" i="37"/>
  <c r="L409" i="35" s="1"/>
  <c r="J409" i="35" s="1"/>
  <c r="I411" i="37"/>
  <c r="L410" i="35" s="1"/>
  <c r="J410" i="35" s="1"/>
  <c r="I412" i="37"/>
  <c r="L411" i="35" s="1"/>
  <c r="J411" i="35" s="1"/>
  <c r="I413" i="37"/>
  <c r="L412" i="35" s="1"/>
  <c r="J412" i="35" s="1"/>
  <c r="I414" i="37"/>
  <c r="L413" i="35" s="1"/>
  <c r="J413" i="35" s="1"/>
  <c r="I415" i="37"/>
  <c r="L414" i="35" s="1"/>
  <c r="J414" i="35" s="1"/>
  <c r="I416" i="37"/>
  <c r="L415" i="35" s="1"/>
  <c r="J415" i="35" s="1"/>
  <c r="I417" i="37"/>
  <c r="L416" i="35" s="1"/>
  <c r="J416" i="35" s="1"/>
  <c r="I418" i="37"/>
  <c r="L417" i="35" s="1"/>
  <c r="J417" i="35" s="1"/>
  <c r="I419" i="37"/>
  <c r="L418" i="35" s="1"/>
  <c r="J418" i="35" s="1"/>
  <c r="I420" i="37"/>
  <c r="L419" i="35" s="1"/>
  <c r="J419" i="35" s="1"/>
  <c r="I421" i="37"/>
  <c r="L420" i="35" s="1"/>
  <c r="J420" i="35" s="1"/>
  <c r="I422" i="37"/>
  <c r="L421" i="35" s="1"/>
  <c r="J421" i="35" s="1"/>
  <c r="I423" i="37"/>
  <c r="L422" i="35" s="1"/>
  <c r="J422" i="35" s="1"/>
  <c r="I424" i="37"/>
  <c r="L423" i="35" s="1"/>
  <c r="J423" i="35" s="1"/>
  <c r="I425" i="37"/>
  <c r="L424" i="35" s="1"/>
  <c r="J424" i="35" s="1"/>
  <c r="I426" i="37"/>
  <c r="L425" i="35" s="1"/>
  <c r="J425" i="35" s="1"/>
  <c r="I427" i="37"/>
  <c r="L426" i="35" s="1"/>
  <c r="J426" i="35" s="1"/>
  <c r="I428" i="37"/>
  <c r="L427" i="35" s="1"/>
  <c r="J427" i="35" s="1"/>
  <c r="I429" i="37"/>
  <c r="L428" i="35" s="1"/>
  <c r="J428" i="35" s="1"/>
  <c r="I430" i="37"/>
  <c r="L429" i="35" s="1"/>
  <c r="J429" i="35" s="1"/>
  <c r="I431" i="37"/>
  <c r="L430" i="35" s="1"/>
  <c r="J430" i="35" s="1"/>
  <c r="I432" i="37"/>
  <c r="L431" i="35" s="1"/>
  <c r="J431" i="35" s="1"/>
  <c r="I433" i="37"/>
  <c r="L432" i="35" s="1"/>
  <c r="J432" i="35" s="1"/>
  <c r="I434" i="37"/>
  <c r="L433" i="35" s="1"/>
  <c r="J433" i="35" s="1"/>
  <c r="I435" i="37"/>
  <c r="L434" i="35" s="1"/>
  <c r="J434" i="35" s="1"/>
  <c r="I436" i="37"/>
  <c r="L435" i="35" s="1"/>
  <c r="J435" i="35" s="1"/>
  <c r="I437" i="37"/>
  <c r="L436" i="35" s="1"/>
  <c r="J436" i="35" s="1"/>
  <c r="I438" i="37"/>
  <c r="L437" i="35" s="1"/>
  <c r="J437" i="35" s="1"/>
  <c r="I439" i="37"/>
  <c r="L438" i="35" s="1"/>
  <c r="J438" i="35" s="1"/>
  <c r="I440" i="37"/>
  <c r="L439" i="35" s="1"/>
  <c r="J439" i="35" s="1"/>
  <c r="I441" i="37"/>
  <c r="L440" i="35" s="1"/>
  <c r="J440" i="35" s="1"/>
  <c r="I442" i="37"/>
  <c r="L441" i="35" s="1"/>
  <c r="J441" i="35" s="1"/>
  <c r="I443" i="37"/>
  <c r="L442" i="35" s="1"/>
  <c r="J442" i="35" s="1"/>
  <c r="I444" i="37"/>
  <c r="L443" i="35" s="1"/>
  <c r="J443" i="35" s="1"/>
  <c r="I445" i="37"/>
  <c r="L444" i="35" s="1"/>
  <c r="J444" i="35" s="1"/>
  <c r="I446" i="37"/>
  <c r="L445" i="35" s="1"/>
  <c r="J445" i="35" s="1"/>
  <c r="I447" i="37"/>
  <c r="L446" i="35" s="1"/>
  <c r="J446" i="35" s="1"/>
  <c r="I448" i="37"/>
  <c r="L447" i="35" s="1"/>
  <c r="J447" i="35" s="1"/>
  <c r="I449" i="37"/>
  <c r="L448" i="35" s="1"/>
  <c r="J448" i="35" s="1"/>
  <c r="I450" i="37"/>
  <c r="L449" i="35" s="1"/>
  <c r="J449" i="35" s="1"/>
  <c r="I451" i="37"/>
  <c r="L450" i="35" s="1"/>
  <c r="J450" i="35" s="1"/>
  <c r="I452" i="37"/>
  <c r="L451" i="35" s="1"/>
  <c r="J451" i="35" s="1"/>
  <c r="I453" i="37"/>
  <c r="L452" i="35" s="1"/>
  <c r="J452" i="35" s="1"/>
  <c r="I454" i="37"/>
  <c r="L453" i="35" s="1"/>
  <c r="J453" i="35" s="1"/>
  <c r="I455" i="37"/>
  <c r="L454" i="35" s="1"/>
  <c r="J454" i="35" s="1"/>
  <c r="I456" i="37"/>
  <c r="L455" i="35" s="1"/>
  <c r="J455" i="35" s="1"/>
  <c r="I457" i="37"/>
  <c r="L456" i="35" s="1"/>
  <c r="J456" i="35" s="1"/>
  <c r="I458" i="37"/>
  <c r="L457" i="35" s="1"/>
  <c r="J457" i="35" s="1"/>
  <c r="I459" i="37"/>
  <c r="L458" i="35" s="1"/>
  <c r="J458" i="35" s="1"/>
  <c r="I460" i="37"/>
  <c r="L459" i="35" s="1"/>
  <c r="J459" i="35" s="1"/>
  <c r="I461" i="37"/>
  <c r="L460" i="35" s="1"/>
  <c r="J460" i="35" s="1"/>
  <c r="I462" i="37"/>
  <c r="L461" i="35" s="1"/>
  <c r="J461" i="35" s="1"/>
  <c r="I463" i="37"/>
  <c r="L462" i="35" s="1"/>
  <c r="J462" i="35" s="1"/>
  <c r="I464" i="37"/>
  <c r="L463" i="35" s="1"/>
  <c r="J463" i="35" s="1"/>
  <c r="I465" i="37"/>
  <c r="L464" i="35" s="1"/>
  <c r="J464" i="35" s="1"/>
  <c r="I466" i="37"/>
  <c r="L465" i="35" s="1"/>
  <c r="J465" i="35" s="1"/>
  <c r="I467" i="37"/>
  <c r="L466" i="35" s="1"/>
  <c r="J466" i="35" s="1"/>
  <c r="I468" i="37"/>
  <c r="L467" i="35" s="1"/>
  <c r="J467" i="35" s="1"/>
  <c r="I469" i="37"/>
  <c r="L468" i="35" s="1"/>
  <c r="J468" i="35" s="1"/>
  <c r="I470" i="37"/>
  <c r="L469" i="35" s="1"/>
  <c r="J469" i="35" s="1"/>
  <c r="I471" i="37"/>
  <c r="L470" i="35" s="1"/>
  <c r="J470" i="35" s="1"/>
  <c r="I472" i="37"/>
  <c r="L471" i="35" s="1"/>
  <c r="J471" i="35" s="1"/>
  <c r="I473" i="37"/>
  <c r="L472" i="35" s="1"/>
  <c r="J472" i="35" s="1"/>
  <c r="I474" i="37"/>
  <c r="L473" i="35" s="1"/>
  <c r="J473" i="35" s="1"/>
  <c r="I475" i="37"/>
  <c r="L474" i="35" s="1"/>
  <c r="J474" i="35" s="1"/>
  <c r="I476" i="37"/>
  <c r="L475" i="35" s="1"/>
  <c r="J475" i="35" s="1"/>
  <c r="I477" i="37"/>
  <c r="L476" i="35" s="1"/>
  <c r="J476" i="35" s="1"/>
  <c r="I478" i="37"/>
  <c r="L477" i="35" s="1"/>
  <c r="J477" i="35" s="1"/>
  <c r="I479" i="37"/>
  <c r="L478" i="35" s="1"/>
  <c r="J478" i="35" s="1"/>
  <c r="I480" i="37"/>
  <c r="L479" i="35" s="1"/>
  <c r="J479" i="35" s="1"/>
  <c r="I481" i="37"/>
  <c r="L480" i="35" s="1"/>
  <c r="J480" i="35" s="1"/>
  <c r="I482" i="37"/>
  <c r="L481" i="35" s="1"/>
  <c r="J481" i="35" s="1"/>
  <c r="I483" i="37"/>
  <c r="L482" i="35" s="1"/>
  <c r="J482" i="35" s="1"/>
  <c r="I484" i="37"/>
  <c r="L483" i="35" s="1"/>
  <c r="J483" i="35" s="1"/>
  <c r="I485" i="37"/>
  <c r="L484" i="35" s="1"/>
  <c r="J484" i="35" s="1"/>
  <c r="I486" i="37"/>
  <c r="L485" i="35" s="1"/>
  <c r="J485" i="35" s="1"/>
  <c r="I487" i="37"/>
  <c r="L486" i="35" s="1"/>
  <c r="J486" i="35" s="1"/>
  <c r="I488" i="37"/>
  <c r="L487" i="35" s="1"/>
  <c r="J487" i="35" s="1"/>
  <c r="I489" i="37"/>
  <c r="L488" i="35" s="1"/>
  <c r="J488" i="35" s="1"/>
  <c r="I490" i="37"/>
  <c r="L489" i="35" s="1"/>
  <c r="J489" i="35" s="1"/>
  <c r="I491" i="37"/>
  <c r="L490" i="35" s="1"/>
  <c r="J490" i="35" s="1"/>
  <c r="I492" i="37"/>
  <c r="L491" i="35" s="1"/>
  <c r="J491" i="35" s="1"/>
  <c r="I493" i="37"/>
  <c r="L492" i="35" s="1"/>
  <c r="J492" i="35" s="1"/>
  <c r="I494" i="37"/>
  <c r="L493" i="35" s="1"/>
  <c r="J493" i="35" s="1"/>
  <c r="I495" i="37"/>
  <c r="L494" i="35" s="1"/>
  <c r="J494" i="35" s="1"/>
  <c r="I496" i="37"/>
  <c r="L495" i="35" s="1"/>
  <c r="J495" i="35" s="1"/>
  <c r="I497" i="37"/>
  <c r="L496" i="35" s="1"/>
  <c r="J496" i="35" s="1"/>
  <c r="I498" i="37"/>
  <c r="L497" i="35" s="1"/>
  <c r="J497" i="35" s="1"/>
  <c r="I499" i="37"/>
  <c r="L498" i="35" s="1"/>
  <c r="J498" i="35" s="1"/>
  <c r="I500" i="37"/>
  <c r="L499" i="35" s="1"/>
  <c r="J499" i="35" s="1"/>
  <c r="I501" i="37"/>
  <c r="L500" i="35" s="1"/>
  <c r="J500" i="35" s="1"/>
  <c r="I502" i="37"/>
  <c r="L501" i="35" s="1"/>
  <c r="J501" i="35" s="1"/>
  <c r="I503" i="37"/>
  <c r="L502" i="35" s="1"/>
  <c r="J502" i="35" s="1"/>
  <c r="I504" i="37"/>
  <c r="L503" i="35" s="1"/>
  <c r="J503" i="35" s="1"/>
  <c r="I505" i="37"/>
  <c r="L504" i="35" s="1"/>
  <c r="J504" i="35" s="1"/>
  <c r="I506" i="37"/>
  <c r="L505" i="35" s="1"/>
  <c r="J505" i="35" s="1"/>
  <c r="I507" i="37"/>
  <c r="L506" i="35" s="1"/>
  <c r="J506" i="35" s="1"/>
  <c r="I508" i="37"/>
  <c r="L507" i="35" s="1"/>
  <c r="J507" i="35" s="1"/>
  <c r="I509" i="37"/>
  <c r="L508" i="35" s="1"/>
  <c r="J508" i="35" s="1"/>
  <c r="I510" i="37"/>
  <c r="L509" i="35" s="1"/>
  <c r="J509" i="35" s="1"/>
  <c r="I511" i="37"/>
  <c r="L510" i="35" s="1"/>
  <c r="J510" i="35" s="1"/>
  <c r="I512" i="37"/>
  <c r="L511" i="35" s="1"/>
  <c r="J511" i="35" s="1"/>
  <c r="I513" i="37"/>
  <c r="L512" i="35" s="1"/>
  <c r="J512" i="35" s="1"/>
  <c r="I514" i="37"/>
  <c r="L513" i="35" s="1"/>
  <c r="J513" i="35" s="1"/>
  <c r="I515" i="37"/>
  <c r="L514" i="35" s="1"/>
  <c r="J514" i="35" s="1"/>
  <c r="I516" i="37"/>
  <c r="L515" i="35" s="1"/>
  <c r="J515" i="35" s="1"/>
  <c r="I517" i="37"/>
  <c r="L516" i="35" s="1"/>
  <c r="J516" i="35" s="1"/>
  <c r="I518" i="37"/>
  <c r="L517" i="35" s="1"/>
  <c r="J517" i="35" s="1"/>
  <c r="I519" i="37"/>
  <c r="L518" i="35" s="1"/>
  <c r="J518" i="35" s="1"/>
  <c r="I520" i="37"/>
  <c r="L519" i="35" s="1"/>
  <c r="J519" i="35" s="1"/>
  <c r="I521" i="37"/>
  <c r="L520" i="35" s="1"/>
  <c r="J520" i="35" s="1"/>
  <c r="I522" i="37"/>
  <c r="L521" i="35" s="1"/>
  <c r="J521" i="35" s="1"/>
  <c r="I523" i="37"/>
  <c r="L522" i="35" s="1"/>
  <c r="J522" i="35" s="1"/>
  <c r="I524" i="37"/>
  <c r="L523" i="35" s="1"/>
  <c r="J523" i="35" s="1"/>
  <c r="I525" i="37"/>
  <c r="L524" i="35" s="1"/>
  <c r="J524" i="35" s="1"/>
  <c r="I526" i="37"/>
  <c r="L525" i="35" s="1"/>
  <c r="J525" i="35" s="1"/>
  <c r="I527" i="37"/>
  <c r="L526" i="35" s="1"/>
  <c r="J526" i="35" s="1"/>
  <c r="I528" i="37"/>
  <c r="L527" i="35" s="1"/>
  <c r="J527" i="35" s="1"/>
  <c r="I529" i="37"/>
  <c r="L528" i="35" s="1"/>
  <c r="J528" i="35" s="1"/>
  <c r="I530" i="37"/>
  <c r="L529" i="35" s="1"/>
  <c r="J529" i="35" s="1"/>
  <c r="I531" i="37"/>
  <c r="L530" i="35" s="1"/>
  <c r="J530" i="35" s="1"/>
  <c r="I532" i="37"/>
  <c r="L531" i="35" s="1"/>
  <c r="J531" i="35" s="1"/>
  <c r="I533" i="37"/>
  <c r="L532" i="35" s="1"/>
  <c r="J532" i="35" s="1"/>
  <c r="I534" i="37"/>
  <c r="L533" i="35" s="1"/>
  <c r="J533" i="35" s="1"/>
  <c r="I535" i="37"/>
  <c r="L534" i="35" s="1"/>
  <c r="J534" i="35" s="1"/>
  <c r="I536" i="37"/>
  <c r="L535" i="35" s="1"/>
  <c r="J535" i="35" s="1"/>
  <c r="I537" i="37"/>
  <c r="L536" i="35" s="1"/>
  <c r="J536" i="35" s="1"/>
  <c r="I538" i="37"/>
  <c r="L537" i="35" s="1"/>
  <c r="J537" i="35" s="1"/>
  <c r="I539" i="37"/>
  <c r="L538" i="35" s="1"/>
  <c r="J538" i="35" s="1"/>
  <c r="I540" i="37"/>
  <c r="L539" i="35" s="1"/>
  <c r="J539" i="35" s="1"/>
  <c r="I541" i="37"/>
  <c r="L540" i="35" s="1"/>
  <c r="J540" i="35" s="1"/>
  <c r="I542" i="37"/>
  <c r="L541" i="35" s="1"/>
  <c r="J541" i="35" s="1"/>
  <c r="I543" i="37"/>
  <c r="L542" i="35" s="1"/>
  <c r="J542" i="35" s="1"/>
  <c r="I544" i="37"/>
  <c r="L543" i="35" s="1"/>
  <c r="J543" i="35" s="1"/>
  <c r="I545" i="37"/>
  <c r="L544" i="35" s="1"/>
  <c r="J544" i="35" s="1"/>
  <c r="I546" i="37"/>
  <c r="L545" i="35" s="1"/>
  <c r="J545" i="35" s="1"/>
  <c r="I547" i="37"/>
  <c r="L546" i="35" s="1"/>
  <c r="J546" i="35" s="1"/>
  <c r="I548" i="37"/>
  <c r="L547" i="35" s="1"/>
  <c r="J547" i="35" s="1"/>
  <c r="I549" i="37"/>
  <c r="L548" i="35" s="1"/>
  <c r="J548" i="35" s="1"/>
  <c r="I550" i="37"/>
  <c r="L549" i="35" s="1"/>
  <c r="J549" i="35" s="1"/>
  <c r="I551" i="37"/>
  <c r="L550" i="35" s="1"/>
  <c r="J550" i="35" s="1"/>
  <c r="I552" i="37"/>
  <c r="L551" i="35" s="1"/>
  <c r="J551" i="35" s="1"/>
  <c r="I553" i="37"/>
  <c r="L552" i="35" s="1"/>
  <c r="J552" i="35" s="1"/>
  <c r="I554" i="37"/>
  <c r="L553" i="35" s="1"/>
  <c r="J553" i="35" s="1"/>
  <c r="I555" i="37"/>
  <c r="L554" i="35" s="1"/>
  <c r="J554" i="35" s="1"/>
  <c r="I556" i="37"/>
  <c r="L555" i="35" s="1"/>
  <c r="J555" i="35" s="1"/>
  <c r="I557" i="37"/>
  <c r="L556" i="35" s="1"/>
  <c r="J556" i="35" s="1"/>
  <c r="I558" i="37"/>
  <c r="L557" i="35" s="1"/>
  <c r="J557" i="35" s="1"/>
  <c r="I559" i="37"/>
  <c r="L558" i="35" s="1"/>
  <c r="J558" i="35" s="1"/>
  <c r="I560" i="37"/>
  <c r="L559" i="35" s="1"/>
  <c r="J559" i="35" s="1"/>
  <c r="I561" i="37"/>
  <c r="L560" i="35" s="1"/>
  <c r="J560" i="35" s="1"/>
  <c r="I562" i="37"/>
  <c r="L561" i="35" s="1"/>
  <c r="J561" i="35" s="1"/>
  <c r="I563" i="37"/>
  <c r="L562" i="35" s="1"/>
  <c r="J562" i="35" s="1"/>
  <c r="I564" i="37"/>
  <c r="L563" i="35" s="1"/>
  <c r="J563" i="35" s="1"/>
  <c r="I565" i="37"/>
  <c r="L564" i="35" s="1"/>
  <c r="J564" i="35" s="1"/>
  <c r="I566" i="37"/>
  <c r="L565" i="35" s="1"/>
  <c r="J565" i="35" s="1"/>
  <c r="I567" i="37"/>
  <c r="L566" i="35" s="1"/>
  <c r="J566" i="35" s="1"/>
  <c r="I568" i="37"/>
  <c r="L567" i="35" s="1"/>
  <c r="J567" i="35" s="1"/>
  <c r="I569" i="37"/>
  <c r="L568" i="35" s="1"/>
  <c r="J568" i="35" s="1"/>
  <c r="I570" i="37"/>
  <c r="L569" i="35" s="1"/>
  <c r="J569" i="35" s="1"/>
  <c r="I571" i="37"/>
  <c r="L570" i="35" s="1"/>
  <c r="J570" i="35" s="1"/>
  <c r="I572" i="37"/>
  <c r="L571" i="35" s="1"/>
  <c r="J571" i="35" s="1"/>
  <c r="I573" i="37"/>
  <c r="L572" i="35" s="1"/>
  <c r="J572" i="35" s="1"/>
  <c r="I574" i="37"/>
  <c r="L573" i="35" s="1"/>
  <c r="J573" i="35" s="1"/>
  <c r="I575" i="37"/>
  <c r="L574" i="35" s="1"/>
  <c r="J574" i="35" s="1"/>
  <c r="I576" i="37"/>
  <c r="L575" i="35" s="1"/>
  <c r="J575" i="35" s="1"/>
  <c r="I577" i="37"/>
  <c r="L576" i="35" s="1"/>
  <c r="J576" i="35" s="1"/>
  <c r="I578" i="37"/>
  <c r="L577" i="35" s="1"/>
  <c r="J577" i="35" s="1"/>
  <c r="I579" i="37"/>
  <c r="L578" i="35" s="1"/>
  <c r="J578" i="35" s="1"/>
  <c r="I580" i="37"/>
  <c r="L579" i="35" s="1"/>
  <c r="J579" i="35" s="1"/>
  <c r="I581" i="37"/>
  <c r="L580" i="35" s="1"/>
  <c r="J580" i="35" s="1"/>
  <c r="I582" i="37"/>
  <c r="L581" i="35" s="1"/>
  <c r="J581" i="35" s="1"/>
  <c r="I583" i="37"/>
  <c r="L582" i="35" s="1"/>
  <c r="J582" i="35" s="1"/>
  <c r="I584" i="37"/>
  <c r="L583" i="35" s="1"/>
  <c r="J583" i="35" s="1"/>
  <c r="I585" i="37"/>
  <c r="L584" i="35" s="1"/>
  <c r="J584" i="35" s="1"/>
  <c r="I586" i="37"/>
  <c r="L585" i="35" s="1"/>
  <c r="J585" i="35" s="1"/>
  <c r="I587" i="37"/>
  <c r="L586" i="35" s="1"/>
  <c r="J586" i="35" s="1"/>
  <c r="I588" i="37"/>
  <c r="L587" i="35" s="1"/>
  <c r="J587" i="35" s="1"/>
  <c r="I589" i="37"/>
  <c r="L588" i="35" s="1"/>
  <c r="J588" i="35" s="1"/>
  <c r="I590" i="37"/>
  <c r="L589" i="35" s="1"/>
  <c r="J589" i="35" s="1"/>
  <c r="I591" i="37"/>
  <c r="L590" i="35" s="1"/>
  <c r="J590" i="35" s="1"/>
  <c r="I592" i="37"/>
  <c r="L591" i="35" s="1"/>
  <c r="J591" i="35" s="1"/>
  <c r="I593" i="37"/>
  <c r="L592" i="35" s="1"/>
  <c r="J592" i="35" s="1"/>
  <c r="I594" i="37"/>
  <c r="L593" i="35" s="1"/>
  <c r="J593" i="35" s="1"/>
  <c r="I595" i="37"/>
  <c r="L594" i="35" s="1"/>
  <c r="J594" i="35" s="1"/>
  <c r="I596" i="37"/>
  <c r="L595" i="35" s="1"/>
  <c r="J595" i="35" s="1"/>
  <c r="I597" i="37"/>
  <c r="L596" i="35" s="1"/>
  <c r="J596" i="35" s="1"/>
  <c r="I598" i="37"/>
  <c r="L597" i="35" s="1"/>
  <c r="J597" i="35" s="1"/>
  <c r="I599" i="37"/>
  <c r="L598" i="35" s="1"/>
  <c r="J598" i="35" s="1"/>
  <c r="I600" i="37"/>
  <c r="L599" i="35" s="1"/>
  <c r="J599" i="35" s="1"/>
  <c r="I601" i="37"/>
  <c r="L600" i="35" s="1"/>
  <c r="J600" i="35" s="1"/>
  <c r="I602" i="37"/>
  <c r="L601" i="35" s="1"/>
  <c r="J601" i="35" s="1"/>
  <c r="I603" i="37"/>
  <c r="L602" i="35" s="1"/>
  <c r="J602" i="35" s="1"/>
  <c r="I604" i="37"/>
  <c r="L603" i="35" s="1"/>
  <c r="J603" i="35" s="1"/>
  <c r="I605" i="37"/>
  <c r="L604" i="35" s="1"/>
  <c r="J604" i="35" s="1"/>
  <c r="I606" i="37"/>
  <c r="L605" i="35" s="1"/>
  <c r="J605" i="35" s="1"/>
  <c r="I607" i="37"/>
  <c r="L606" i="35" s="1"/>
  <c r="J606" i="35" s="1"/>
  <c r="I608" i="37"/>
  <c r="L607" i="35" s="1"/>
  <c r="J607" i="35" s="1"/>
  <c r="I609" i="37"/>
  <c r="L608" i="35" s="1"/>
  <c r="J608" i="35" s="1"/>
  <c r="I610" i="37"/>
  <c r="L609" i="35" s="1"/>
  <c r="J609" i="35" s="1"/>
  <c r="I611" i="37"/>
  <c r="L610" i="35" s="1"/>
  <c r="J610" i="35" s="1"/>
  <c r="I612" i="37"/>
  <c r="L611" i="35" s="1"/>
  <c r="J611" i="35" s="1"/>
  <c r="I613" i="37"/>
  <c r="L612" i="35" s="1"/>
  <c r="J612" i="35" s="1"/>
  <c r="I614" i="37"/>
  <c r="L613" i="35" s="1"/>
  <c r="J613" i="35" s="1"/>
  <c r="I615" i="37"/>
  <c r="L614" i="35" s="1"/>
  <c r="J614" i="35" s="1"/>
  <c r="I616" i="37"/>
  <c r="L615" i="35" s="1"/>
  <c r="J615" i="35" s="1"/>
  <c r="I617" i="37"/>
  <c r="L616" i="35" s="1"/>
  <c r="J616" i="35" s="1"/>
  <c r="I618" i="37"/>
  <c r="L617" i="35" s="1"/>
  <c r="J617" i="35" s="1"/>
  <c r="I619" i="37"/>
  <c r="L618" i="35" s="1"/>
  <c r="J618" i="35" s="1"/>
  <c r="I620" i="37"/>
  <c r="L619" i="35" s="1"/>
  <c r="J619" i="35" s="1"/>
  <c r="I621" i="37"/>
  <c r="L620" i="35" s="1"/>
  <c r="J620" i="35" s="1"/>
  <c r="I622" i="37"/>
  <c r="L621" i="35" s="1"/>
  <c r="J621" i="35" s="1"/>
  <c r="I623" i="37"/>
  <c r="L622" i="35" s="1"/>
  <c r="J622" i="35" s="1"/>
  <c r="I624" i="37"/>
  <c r="L623" i="35" s="1"/>
  <c r="J623" i="35" s="1"/>
  <c r="I625" i="37"/>
  <c r="L624" i="35" s="1"/>
  <c r="J624" i="35" s="1"/>
  <c r="I626" i="37"/>
  <c r="L625" i="35" s="1"/>
  <c r="J625" i="35" s="1"/>
  <c r="I627" i="37"/>
  <c r="L626" i="35" s="1"/>
  <c r="J626" i="35" s="1"/>
  <c r="I628" i="37"/>
  <c r="L627" i="35" s="1"/>
  <c r="J627" i="35" s="1"/>
  <c r="I629" i="37"/>
  <c r="L628" i="35" s="1"/>
  <c r="J628" i="35" s="1"/>
  <c r="I630" i="37"/>
  <c r="L629" i="35" s="1"/>
  <c r="J629" i="35" s="1"/>
  <c r="I631" i="37"/>
  <c r="L630" i="35" s="1"/>
  <c r="J630" i="35" s="1"/>
  <c r="I632" i="37"/>
  <c r="L631" i="35" s="1"/>
  <c r="J631" i="35" s="1"/>
  <c r="I633" i="37"/>
  <c r="L632" i="35" s="1"/>
  <c r="J632" i="35" s="1"/>
  <c r="I634" i="37"/>
  <c r="L633" i="35" s="1"/>
  <c r="J633" i="35" s="1"/>
  <c r="I635" i="37"/>
  <c r="L634" i="35" s="1"/>
  <c r="J634" i="35" s="1"/>
  <c r="I636" i="37"/>
  <c r="L635" i="35" s="1"/>
  <c r="J635" i="35" s="1"/>
  <c r="I637" i="37"/>
  <c r="L636" i="35" s="1"/>
  <c r="J636" i="35" s="1"/>
  <c r="I638" i="37"/>
  <c r="L637" i="35" s="1"/>
  <c r="J637" i="35" s="1"/>
  <c r="I639" i="37"/>
  <c r="L638" i="35" s="1"/>
  <c r="J638" i="35" s="1"/>
  <c r="I640" i="37"/>
  <c r="L639" i="35" s="1"/>
  <c r="J639" i="35" s="1"/>
  <c r="I641" i="37"/>
  <c r="L640" i="35" s="1"/>
  <c r="J640" i="35" s="1"/>
  <c r="I642" i="37"/>
  <c r="L641" i="35" s="1"/>
  <c r="J641" i="35" s="1"/>
  <c r="I643" i="37"/>
  <c r="L642" i="35" s="1"/>
  <c r="J642" i="35" s="1"/>
  <c r="I644" i="37"/>
  <c r="L643" i="35" s="1"/>
  <c r="J643" i="35" s="1"/>
  <c r="I645" i="37"/>
  <c r="L644" i="35" s="1"/>
  <c r="J644" i="35" s="1"/>
  <c r="I646" i="37"/>
  <c r="L645" i="35" s="1"/>
  <c r="J645" i="35" s="1"/>
  <c r="I647" i="37"/>
  <c r="L646" i="35" s="1"/>
  <c r="J646" i="35" s="1"/>
  <c r="I648" i="37"/>
  <c r="L647" i="35" s="1"/>
  <c r="J647" i="35" s="1"/>
  <c r="I649" i="37"/>
  <c r="L648" i="35" s="1"/>
  <c r="J648" i="35" s="1"/>
  <c r="I650" i="37"/>
  <c r="L649" i="35" s="1"/>
  <c r="J649" i="35" s="1"/>
  <c r="I651" i="37"/>
  <c r="L650" i="35" s="1"/>
  <c r="J650" i="35" s="1"/>
  <c r="I652" i="37"/>
  <c r="L651" i="35" s="1"/>
  <c r="J651" i="35" s="1"/>
  <c r="I653" i="37"/>
  <c r="L652" i="35" s="1"/>
  <c r="J652" i="35" s="1"/>
  <c r="I654" i="37"/>
  <c r="L653" i="35" s="1"/>
  <c r="J653" i="35" s="1"/>
  <c r="I655" i="37"/>
  <c r="L654" i="35" s="1"/>
  <c r="J654" i="35" s="1"/>
  <c r="I656" i="37"/>
  <c r="L655" i="35" s="1"/>
  <c r="J655" i="35" s="1"/>
  <c r="I657" i="37"/>
  <c r="L656" i="35" s="1"/>
  <c r="J656" i="35" s="1"/>
  <c r="I658" i="37"/>
  <c r="L657" i="35" s="1"/>
  <c r="J657" i="35" s="1"/>
  <c r="I659" i="37"/>
  <c r="L658" i="35" s="1"/>
  <c r="J658" i="35" s="1"/>
  <c r="I660" i="37"/>
  <c r="L659" i="35" s="1"/>
  <c r="J659" i="35" s="1"/>
  <c r="I661" i="37"/>
  <c r="L660" i="35" s="1"/>
  <c r="J660" i="35" s="1"/>
  <c r="I662" i="37"/>
  <c r="L661" i="35" s="1"/>
  <c r="J661" i="35" s="1"/>
  <c r="I663" i="37"/>
  <c r="L662" i="35" s="1"/>
  <c r="J662" i="35" s="1"/>
  <c r="I664" i="37"/>
  <c r="L663" i="35" s="1"/>
  <c r="J663" i="35" s="1"/>
  <c r="I665" i="37"/>
  <c r="L664" i="35" s="1"/>
  <c r="J664" i="35" s="1"/>
  <c r="I666" i="37"/>
  <c r="L665" i="35" s="1"/>
  <c r="J665" i="35" s="1"/>
  <c r="I667" i="37"/>
  <c r="L666" i="35" s="1"/>
  <c r="J666" i="35" s="1"/>
  <c r="I668" i="37"/>
  <c r="L667" i="35" s="1"/>
  <c r="J667" i="35" s="1"/>
  <c r="I669" i="37"/>
  <c r="L668" i="35" s="1"/>
  <c r="J668" i="35" s="1"/>
  <c r="I670" i="37"/>
  <c r="L669" i="35" s="1"/>
  <c r="J669" i="35" s="1"/>
  <c r="I671" i="37"/>
  <c r="L670" i="35" s="1"/>
  <c r="J670" i="35" s="1"/>
  <c r="I672" i="37"/>
  <c r="L671" i="35" s="1"/>
  <c r="J671" i="35" s="1"/>
  <c r="I673" i="37"/>
  <c r="L672" i="35" s="1"/>
  <c r="J672" i="35" s="1"/>
  <c r="I674" i="37"/>
  <c r="L673" i="35" s="1"/>
  <c r="J673" i="35" s="1"/>
  <c r="I675" i="37"/>
  <c r="L674" i="35" s="1"/>
  <c r="J674" i="35" s="1"/>
  <c r="I676" i="37"/>
  <c r="L675" i="35" s="1"/>
  <c r="J675" i="35" s="1"/>
  <c r="I677" i="37"/>
  <c r="L676" i="35" s="1"/>
  <c r="J676" i="35" s="1"/>
  <c r="I678" i="37"/>
  <c r="L677" i="35" s="1"/>
  <c r="J677" i="35" s="1"/>
  <c r="I679" i="37"/>
  <c r="L678" i="35" s="1"/>
  <c r="J678" i="35" s="1"/>
  <c r="I680" i="37"/>
  <c r="L679" i="35" s="1"/>
  <c r="J679" i="35" s="1"/>
  <c r="I681" i="37"/>
  <c r="L680" i="35" s="1"/>
  <c r="J680" i="35" s="1"/>
  <c r="I682" i="37"/>
  <c r="L681" i="35" s="1"/>
  <c r="J681" i="35" s="1"/>
  <c r="I683" i="37"/>
  <c r="L682" i="35" s="1"/>
  <c r="J682" i="35" s="1"/>
  <c r="I684" i="37"/>
  <c r="L683" i="35" s="1"/>
  <c r="J683" i="35" s="1"/>
  <c r="I685" i="37"/>
  <c r="L684" i="35" s="1"/>
  <c r="J684" i="35" s="1"/>
  <c r="I686" i="37"/>
  <c r="L685" i="35" s="1"/>
  <c r="J685" i="35" s="1"/>
  <c r="I687" i="37"/>
  <c r="L686" i="35" s="1"/>
  <c r="J686" i="35" s="1"/>
  <c r="I688" i="37"/>
  <c r="L687" i="35" s="1"/>
  <c r="J687" i="35" s="1"/>
  <c r="I689" i="37"/>
  <c r="L688" i="35" s="1"/>
  <c r="J688" i="35" s="1"/>
  <c r="I690" i="37"/>
  <c r="L689" i="35" s="1"/>
  <c r="J689" i="35" s="1"/>
  <c r="I691" i="37"/>
  <c r="L690" i="35" s="1"/>
  <c r="J690" i="35" s="1"/>
  <c r="I692" i="37"/>
  <c r="L691" i="35" s="1"/>
  <c r="J691" i="35" s="1"/>
  <c r="I693" i="37"/>
  <c r="L692" i="35" s="1"/>
  <c r="J692" i="35" s="1"/>
  <c r="I694" i="37"/>
  <c r="L693" i="35" s="1"/>
  <c r="J693" i="35" s="1"/>
  <c r="I695" i="37"/>
  <c r="L694" i="35" s="1"/>
  <c r="J694" i="35" s="1"/>
  <c r="I696" i="37"/>
  <c r="L695" i="35" s="1"/>
  <c r="J695" i="35" s="1"/>
  <c r="I697" i="37"/>
  <c r="L696" i="35" s="1"/>
  <c r="J696" i="35" s="1"/>
  <c r="I698" i="37"/>
  <c r="L697" i="35" s="1"/>
  <c r="J697" i="35" s="1"/>
  <c r="I699" i="37"/>
  <c r="L698" i="35" s="1"/>
  <c r="J698" i="35" s="1"/>
  <c r="I700" i="37"/>
  <c r="L699" i="35" s="1"/>
  <c r="J699" i="35" s="1"/>
  <c r="I701" i="37"/>
  <c r="L700" i="35" s="1"/>
  <c r="J700" i="35" s="1"/>
  <c r="I702" i="37"/>
  <c r="L701" i="35" s="1"/>
  <c r="J701" i="35" s="1"/>
  <c r="I703" i="37"/>
  <c r="L702" i="35" s="1"/>
  <c r="J702" i="35" s="1"/>
  <c r="I704" i="37"/>
  <c r="L703" i="35" s="1"/>
  <c r="J703" i="35" s="1"/>
  <c r="I705" i="37"/>
  <c r="L704" i="35" s="1"/>
  <c r="J704" i="35" s="1"/>
  <c r="I706" i="37"/>
  <c r="L705" i="35" s="1"/>
  <c r="J705" i="35" s="1"/>
  <c r="I707" i="37"/>
  <c r="L706" i="35" s="1"/>
  <c r="J706" i="35" s="1"/>
  <c r="I708" i="37"/>
  <c r="L707" i="35" s="1"/>
  <c r="J707" i="35" s="1"/>
  <c r="I709" i="37"/>
  <c r="L708" i="35" s="1"/>
  <c r="J708" i="35" s="1"/>
  <c r="I710" i="37"/>
  <c r="L709" i="35" s="1"/>
  <c r="J709" i="35" s="1"/>
  <c r="I711" i="37"/>
  <c r="L710" i="35" s="1"/>
  <c r="J710" i="35" s="1"/>
  <c r="I712" i="37"/>
  <c r="L711" i="35" s="1"/>
  <c r="J711" i="35" s="1"/>
  <c r="I713" i="37"/>
  <c r="L712" i="35" s="1"/>
  <c r="J712" i="35" s="1"/>
  <c r="I714" i="37"/>
  <c r="L713" i="35" s="1"/>
  <c r="J713" i="35" s="1"/>
  <c r="I715" i="37"/>
  <c r="L714" i="35" s="1"/>
  <c r="J714" i="35" s="1"/>
  <c r="I716" i="37"/>
  <c r="L715" i="35" s="1"/>
  <c r="J715" i="35" s="1"/>
  <c r="I717" i="37"/>
  <c r="L716" i="35" s="1"/>
  <c r="J716" i="35" s="1"/>
  <c r="I718" i="37"/>
  <c r="L717" i="35" s="1"/>
  <c r="J717" i="35" s="1"/>
  <c r="I719" i="37"/>
  <c r="L718" i="35" s="1"/>
  <c r="J718" i="35" s="1"/>
  <c r="I720" i="37"/>
  <c r="L719" i="35" s="1"/>
  <c r="J719" i="35" s="1"/>
  <c r="I721" i="37"/>
  <c r="L720" i="35" s="1"/>
  <c r="J720" i="35" s="1"/>
  <c r="I722" i="37"/>
  <c r="L721" i="35" s="1"/>
  <c r="J721" i="35" s="1"/>
  <c r="I723" i="37"/>
  <c r="L722" i="35" s="1"/>
  <c r="J722" i="35" s="1"/>
  <c r="I724" i="37"/>
  <c r="L723" i="35" s="1"/>
  <c r="J723" i="35" s="1"/>
  <c r="I725" i="37"/>
  <c r="L724" i="35" s="1"/>
  <c r="J724" i="35" s="1"/>
  <c r="I726" i="37"/>
  <c r="L725" i="35" s="1"/>
  <c r="J725" i="35" s="1"/>
  <c r="I727" i="37"/>
  <c r="L726" i="35" s="1"/>
  <c r="J726" i="35" s="1"/>
  <c r="I728" i="37"/>
  <c r="L727" i="35" s="1"/>
  <c r="J727" i="35" s="1"/>
  <c r="I729" i="37"/>
  <c r="L728" i="35" s="1"/>
  <c r="J728" i="35" s="1"/>
  <c r="I730" i="37"/>
  <c r="L729" i="35" s="1"/>
  <c r="J729" i="35" s="1"/>
  <c r="I731" i="37"/>
  <c r="L730" i="35" s="1"/>
  <c r="J730" i="35" s="1"/>
  <c r="I732" i="37"/>
  <c r="L731" i="35" s="1"/>
  <c r="J731" i="35" s="1"/>
  <c r="I733" i="37"/>
  <c r="L732" i="35" s="1"/>
  <c r="J732" i="35" s="1"/>
  <c r="I734" i="37"/>
  <c r="L733" i="35" s="1"/>
  <c r="J733" i="35" s="1"/>
  <c r="I735" i="37"/>
  <c r="L734" i="35" s="1"/>
  <c r="J734" i="35" s="1"/>
  <c r="I736" i="37"/>
  <c r="L735" i="35" s="1"/>
  <c r="J735" i="35" s="1"/>
  <c r="I737" i="37"/>
  <c r="L736" i="35" s="1"/>
  <c r="J736" i="35" s="1"/>
  <c r="I738" i="37"/>
  <c r="L737" i="35" s="1"/>
  <c r="J737" i="35" s="1"/>
  <c r="I739" i="37"/>
  <c r="L738" i="35" s="1"/>
  <c r="J738" i="35" s="1"/>
  <c r="I740" i="37"/>
  <c r="L739" i="35" s="1"/>
  <c r="J739" i="35" s="1"/>
  <c r="I741" i="37"/>
  <c r="L740" i="35" s="1"/>
  <c r="J740" i="35" s="1"/>
  <c r="I742" i="37"/>
  <c r="L741" i="35" s="1"/>
  <c r="J741" i="35" s="1"/>
  <c r="I743" i="37"/>
  <c r="L742" i="35" s="1"/>
  <c r="J742" i="35" s="1"/>
  <c r="I744" i="37"/>
  <c r="L743" i="35" s="1"/>
  <c r="J743" i="35" s="1"/>
  <c r="I745" i="37"/>
  <c r="L744" i="35" s="1"/>
  <c r="J744" i="35" s="1"/>
  <c r="I746" i="37"/>
  <c r="L745" i="35" s="1"/>
  <c r="J745" i="35" s="1"/>
  <c r="I747" i="37"/>
  <c r="L746" i="35" s="1"/>
  <c r="J746" i="35" s="1"/>
  <c r="I748" i="37"/>
  <c r="L747" i="35" s="1"/>
  <c r="J747" i="35" s="1"/>
  <c r="I749" i="37"/>
  <c r="L748" i="35" s="1"/>
  <c r="J748" i="35" s="1"/>
  <c r="I750" i="37"/>
  <c r="L749" i="35" s="1"/>
  <c r="J749" i="35" s="1"/>
  <c r="I751" i="37"/>
  <c r="L750" i="35" s="1"/>
  <c r="J750" i="35" s="1"/>
  <c r="I752" i="37"/>
  <c r="L751" i="35" s="1"/>
  <c r="J751" i="35" s="1"/>
  <c r="I753" i="37"/>
  <c r="L752" i="35" s="1"/>
  <c r="J752" i="35" s="1"/>
  <c r="I754" i="37"/>
  <c r="L753" i="35" s="1"/>
  <c r="J753" i="35" s="1"/>
  <c r="I755" i="37"/>
  <c r="L754" i="35" s="1"/>
  <c r="J754" i="35" s="1"/>
  <c r="I756" i="37"/>
  <c r="L755" i="35" s="1"/>
  <c r="J755" i="35" s="1"/>
  <c r="I757" i="37"/>
  <c r="L756" i="35" s="1"/>
  <c r="J756" i="35" s="1"/>
  <c r="I758" i="37"/>
  <c r="L757" i="35" s="1"/>
  <c r="J757" i="35" s="1"/>
  <c r="I759" i="37"/>
  <c r="L758" i="35" s="1"/>
  <c r="J758" i="35" s="1"/>
  <c r="I760" i="37"/>
  <c r="L759" i="35" s="1"/>
  <c r="J759" i="35" s="1"/>
  <c r="I761" i="37"/>
  <c r="L760" i="35" s="1"/>
  <c r="J760" i="35" s="1"/>
  <c r="I762" i="37"/>
  <c r="L761" i="35" s="1"/>
  <c r="J761" i="35" s="1"/>
  <c r="I763" i="37"/>
  <c r="L762" i="35" s="1"/>
  <c r="J762" i="35" s="1"/>
  <c r="I764" i="37"/>
  <c r="L763" i="35" s="1"/>
  <c r="J763" i="35" s="1"/>
  <c r="I765" i="37"/>
  <c r="L764" i="35" s="1"/>
  <c r="J764" i="35" s="1"/>
  <c r="I766" i="37"/>
  <c r="L765" i="35" s="1"/>
  <c r="J765" i="35" s="1"/>
  <c r="I767" i="37"/>
  <c r="L766" i="35" s="1"/>
  <c r="J766" i="35" s="1"/>
  <c r="I768" i="37"/>
  <c r="L767" i="35" s="1"/>
  <c r="J767" i="35" s="1"/>
  <c r="I769" i="37"/>
  <c r="L768" i="35" s="1"/>
  <c r="J768" i="35" s="1"/>
  <c r="I770" i="37"/>
  <c r="L769" i="35" s="1"/>
  <c r="J769" i="35" s="1"/>
  <c r="I771" i="37"/>
  <c r="L770" i="35" s="1"/>
  <c r="J770" i="35" s="1"/>
  <c r="I772" i="37"/>
  <c r="L771" i="35" s="1"/>
  <c r="J771" i="35" s="1"/>
  <c r="I773" i="37"/>
  <c r="L772" i="35" s="1"/>
  <c r="J772" i="35" s="1"/>
  <c r="I774" i="37"/>
  <c r="L773" i="35" s="1"/>
  <c r="J773" i="35" s="1"/>
  <c r="I775" i="37"/>
  <c r="L774" i="35" s="1"/>
  <c r="J774" i="35" s="1"/>
  <c r="I776" i="37"/>
  <c r="L775" i="35" s="1"/>
  <c r="J775" i="35" s="1"/>
  <c r="I777" i="37"/>
  <c r="L776" i="35" s="1"/>
  <c r="J776" i="35" s="1"/>
  <c r="I778" i="37"/>
  <c r="L777" i="35" s="1"/>
  <c r="J777" i="35" s="1"/>
  <c r="I779" i="37"/>
  <c r="L778" i="35" s="1"/>
  <c r="J778" i="35" s="1"/>
  <c r="I780" i="37"/>
  <c r="L779" i="35" s="1"/>
  <c r="J779" i="35" s="1"/>
  <c r="I781" i="37"/>
  <c r="L780" i="35" s="1"/>
  <c r="J780" i="35" s="1"/>
  <c r="I782" i="37"/>
  <c r="L781" i="35" s="1"/>
  <c r="J781" i="35" s="1"/>
  <c r="I783" i="37"/>
  <c r="L782" i="35" s="1"/>
  <c r="J782" i="35" s="1"/>
  <c r="I784" i="37"/>
  <c r="L783" i="35" s="1"/>
  <c r="J783" i="35" s="1"/>
  <c r="I785" i="37"/>
  <c r="L784" i="35" s="1"/>
  <c r="J784" i="35" s="1"/>
  <c r="I786" i="37"/>
  <c r="L785" i="35" s="1"/>
  <c r="J785" i="35" s="1"/>
  <c r="I787" i="37"/>
  <c r="L786" i="35" s="1"/>
  <c r="J786" i="35" s="1"/>
  <c r="I788" i="37"/>
  <c r="L787" i="35" s="1"/>
  <c r="J787" i="35" s="1"/>
  <c r="I789" i="37"/>
  <c r="L788" i="35" s="1"/>
  <c r="J788" i="35" s="1"/>
  <c r="I790" i="37"/>
  <c r="L789" i="35" s="1"/>
  <c r="J789" i="35" s="1"/>
  <c r="I791" i="37"/>
  <c r="L790" i="35" s="1"/>
  <c r="J790" i="35" s="1"/>
  <c r="I792" i="37"/>
  <c r="L791" i="35" s="1"/>
  <c r="J791" i="35" s="1"/>
  <c r="I793" i="37"/>
  <c r="L792" i="35" s="1"/>
  <c r="J792" i="35" s="1"/>
  <c r="I794" i="37"/>
  <c r="L793" i="35" s="1"/>
  <c r="J793" i="35" s="1"/>
  <c r="I795" i="37"/>
  <c r="L794" i="35" s="1"/>
  <c r="J794" i="35" s="1"/>
  <c r="I796" i="37"/>
  <c r="L795" i="35" s="1"/>
  <c r="J795" i="35" s="1"/>
  <c r="I797" i="37"/>
  <c r="L796" i="35" s="1"/>
  <c r="J796" i="35" s="1"/>
  <c r="I798" i="37"/>
  <c r="L797" i="35" s="1"/>
  <c r="J797" i="35" s="1"/>
  <c r="I799" i="37"/>
  <c r="L798" i="35" s="1"/>
  <c r="J798" i="35" s="1"/>
  <c r="I800" i="37"/>
  <c r="L799" i="35" s="1"/>
  <c r="J799" i="35" s="1"/>
  <c r="I801" i="37"/>
  <c r="L800" i="35" s="1"/>
  <c r="J800" i="35" s="1"/>
  <c r="I802" i="37"/>
  <c r="L801" i="35" s="1"/>
  <c r="J801" i="35" s="1"/>
  <c r="I803" i="37"/>
  <c r="L802" i="35" s="1"/>
  <c r="J802" i="35" s="1"/>
  <c r="I804" i="37"/>
  <c r="L803" i="35" s="1"/>
  <c r="J803" i="35" s="1"/>
  <c r="I805" i="37"/>
  <c r="L804" i="35" s="1"/>
  <c r="J804" i="35" s="1"/>
  <c r="I806" i="37"/>
  <c r="L805" i="35" s="1"/>
  <c r="J805" i="35" s="1"/>
  <c r="I807" i="37"/>
  <c r="L806" i="35" s="1"/>
  <c r="J806" i="35" s="1"/>
  <c r="I808" i="37"/>
  <c r="L807" i="35" s="1"/>
  <c r="J807" i="35" s="1"/>
  <c r="I809" i="37"/>
  <c r="L808" i="35" s="1"/>
  <c r="J808" i="35" s="1"/>
  <c r="I810" i="37"/>
  <c r="L809" i="35" s="1"/>
  <c r="J809" i="35" s="1"/>
  <c r="I811" i="37"/>
  <c r="L810" i="35" s="1"/>
  <c r="J810" i="35" s="1"/>
  <c r="I812" i="37"/>
  <c r="L811" i="35" s="1"/>
  <c r="J811" i="35" s="1"/>
  <c r="I813" i="37"/>
  <c r="L812" i="35" s="1"/>
  <c r="J812" i="35" s="1"/>
  <c r="I814" i="37"/>
  <c r="L813" i="35" s="1"/>
  <c r="J813" i="35" s="1"/>
  <c r="I815" i="37"/>
  <c r="L814" i="35" s="1"/>
  <c r="J814" i="35" s="1"/>
  <c r="I816" i="37"/>
  <c r="L815" i="35" s="1"/>
  <c r="J815" i="35" s="1"/>
  <c r="I817" i="37"/>
  <c r="L816" i="35" s="1"/>
  <c r="J816" i="35" s="1"/>
  <c r="I818" i="37"/>
  <c r="L817" i="35" s="1"/>
  <c r="J817" i="35" s="1"/>
  <c r="I819" i="37"/>
  <c r="L818" i="35" s="1"/>
  <c r="J818" i="35" s="1"/>
  <c r="I820" i="37"/>
  <c r="L819" i="35" s="1"/>
  <c r="J819" i="35" s="1"/>
  <c r="I821" i="37"/>
  <c r="L820" i="35" s="1"/>
  <c r="J820" i="35" s="1"/>
  <c r="I822" i="37"/>
  <c r="L821" i="35" s="1"/>
  <c r="J821" i="35" s="1"/>
  <c r="I823" i="37"/>
  <c r="L822" i="35" s="1"/>
  <c r="J822" i="35" s="1"/>
  <c r="I824" i="37"/>
  <c r="L823" i="35" s="1"/>
  <c r="J823" i="35" s="1"/>
  <c r="I825" i="37"/>
  <c r="L824" i="35" s="1"/>
  <c r="J824" i="35" s="1"/>
  <c r="I826" i="37"/>
  <c r="L825" i="35" s="1"/>
  <c r="J825" i="35" s="1"/>
  <c r="I827" i="37"/>
  <c r="L826" i="35" s="1"/>
  <c r="J826" i="35" s="1"/>
  <c r="I828" i="37"/>
  <c r="L827" i="35" s="1"/>
  <c r="J827" i="35" s="1"/>
  <c r="I829" i="37"/>
  <c r="L828" i="35" s="1"/>
  <c r="J828" i="35" s="1"/>
  <c r="I830" i="37"/>
  <c r="L829" i="35" s="1"/>
  <c r="J829" i="35" s="1"/>
  <c r="I831" i="37"/>
  <c r="L830" i="35" s="1"/>
  <c r="J830" i="35" s="1"/>
  <c r="I832" i="37"/>
  <c r="L831" i="35" s="1"/>
  <c r="J831" i="35" s="1"/>
  <c r="I833" i="37"/>
  <c r="L832" i="35" s="1"/>
  <c r="J832" i="35" s="1"/>
  <c r="I834" i="37"/>
  <c r="L833" i="35" s="1"/>
  <c r="J833" i="35" s="1"/>
  <c r="I835" i="37"/>
  <c r="L834" i="35" s="1"/>
  <c r="J834" i="35" s="1"/>
  <c r="I836" i="37"/>
  <c r="L835" i="35" s="1"/>
  <c r="J835" i="35" s="1"/>
  <c r="I837" i="37"/>
  <c r="L836" i="35" s="1"/>
  <c r="J836" i="35" s="1"/>
  <c r="I838" i="37"/>
  <c r="L837" i="35" s="1"/>
  <c r="J837" i="35" s="1"/>
  <c r="I839" i="37"/>
  <c r="L838" i="35" s="1"/>
  <c r="J838" i="35" s="1"/>
  <c r="I840" i="37"/>
  <c r="L839" i="35" s="1"/>
  <c r="J839" i="35" s="1"/>
  <c r="I841" i="37"/>
  <c r="L840" i="35" s="1"/>
  <c r="J840" i="35" s="1"/>
  <c r="I842" i="37"/>
  <c r="L841" i="35" s="1"/>
  <c r="J841" i="35" s="1"/>
  <c r="I843" i="37"/>
  <c r="L842" i="35" s="1"/>
  <c r="J842" i="35" s="1"/>
  <c r="I844" i="37"/>
  <c r="L843" i="35" s="1"/>
  <c r="J843" i="35" s="1"/>
  <c r="I845" i="37"/>
  <c r="L844" i="35" s="1"/>
  <c r="J844" i="35" s="1"/>
  <c r="I846" i="37"/>
  <c r="L845" i="35" s="1"/>
  <c r="J845" i="35" s="1"/>
  <c r="I847" i="37"/>
  <c r="L846" i="35" s="1"/>
  <c r="J846" i="35" s="1"/>
  <c r="I848" i="37"/>
  <c r="L847" i="35" s="1"/>
  <c r="J847" i="35" s="1"/>
  <c r="I849" i="37"/>
  <c r="L848" i="35" s="1"/>
  <c r="J848" i="35" s="1"/>
  <c r="I850" i="37"/>
  <c r="L849" i="35" s="1"/>
  <c r="J849" i="35" s="1"/>
  <c r="I851" i="37"/>
  <c r="L850" i="35" s="1"/>
  <c r="J850" i="35" s="1"/>
  <c r="I852" i="37"/>
  <c r="L851" i="35" s="1"/>
  <c r="J851" i="35" s="1"/>
  <c r="I853" i="37"/>
  <c r="L852" i="35" s="1"/>
  <c r="J852" i="35" s="1"/>
  <c r="I854" i="37"/>
  <c r="L853" i="35" s="1"/>
  <c r="J853" i="35" s="1"/>
  <c r="I855" i="37"/>
  <c r="L854" i="35" s="1"/>
  <c r="J854" i="35" s="1"/>
  <c r="I856" i="37"/>
  <c r="L855" i="35" s="1"/>
  <c r="J855" i="35" s="1"/>
  <c r="I857" i="37"/>
  <c r="L856" i="35" s="1"/>
  <c r="J856" i="35" s="1"/>
  <c r="I858" i="37"/>
  <c r="L857" i="35" s="1"/>
  <c r="J857" i="35" s="1"/>
  <c r="I859" i="37"/>
  <c r="L858" i="35" s="1"/>
  <c r="J858" i="35" s="1"/>
  <c r="I860" i="37"/>
  <c r="L859" i="35" s="1"/>
  <c r="J859" i="35" s="1"/>
  <c r="I861" i="37"/>
  <c r="L860" i="35" s="1"/>
  <c r="J860" i="35" s="1"/>
  <c r="I862" i="37"/>
  <c r="L861" i="35" s="1"/>
  <c r="J861" i="35" s="1"/>
  <c r="I863" i="37"/>
  <c r="L862" i="35" s="1"/>
  <c r="J862" i="35" s="1"/>
  <c r="I864" i="37"/>
  <c r="L863" i="35" s="1"/>
  <c r="J863" i="35" s="1"/>
  <c r="I865" i="37"/>
  <c r="L864" i="35" s="1"/>
  <c r="J864" i="35" s="1"/>
  <c r="I866" i="37"/>
  <c r="L865" i="35" s="1"/>
  <c r="J865" i="35" s="1"/>
  <c r="I867" i="37"/>
  <c r="L866" i="35" s="1"/>
  <c r="J866" i="35" s="1"/>
  <c r="I868" i="37"/>
  <c r="L867" i="35" s="1"/>
  <c r="J867" i="35" s="1"/>
  <c r="I869" i="37"/>
  <c r="L868" i="35" s="1"/>
  <c r="J868" i="35" s="1"/>
  <c r="I870" i="37"/>
  <c r="L869" i="35" s="1"/>
  <c r="J869" i="35" s="1"/>
  <c r="I871" i="37"/>
  <c r="L870" i="35" s="1"/>
  <c r="J870" i="35" s="1"/>
  <c r="I872" i="37"/>
  <c r="L871" i="35" s="1"/>
  <c r="J871" i="35" s="1"/>
  <c r="I873" i="37"/>
  <c r="L872" i="35" s="1"/>
  <c r="J872" i="35" s="1"/>
  <c r="I874" i="37"/>
  <c r="L873" i="35" s="1"/>
  <c r="J873" i="35" s="1"/>
  <c r="I875" i="37"/>
  <c r="L874" i="35" s="1"/>
  <c r="J874" i="35" s="1"/>
  <c r="I876" i="37"/>
  <c r="L875" i="35" s="1"/>
  <c r="J875" i="35" s="1"/>
  <c r="I877" i="37"/>
  <c r="L876" i="35" s="1"/>
  <c r="J876" i="35" s="1"/>
  <c r="I878" i="37"/>
  <c r="L877" i="35" s="1"/>
  <c r="J877" i="35" s="1"/>
  <c r="I879" i="37"/>
  <c r="L878" i="35" s="1"/>
  <c r="J878" i="35" s="1"/>
  <c r="I880" i="37"/>
  <c r="L879" i="35" s="1"/>
  <c r="J879" i="35" s="1"/>
  <c r="I881" i="37"/>
  <c r="L880" i="35" s="1"/>
  <c r="J880" i="35" s="1"/>
  <c r="I882" i="37"/>
  <c r="L881" i="35" s="1"/>
  <c r="J881" i="35" s="1"/>
  <c r="I883" i="37"/>
  <c r="L882" i="35" s="1"/>
  <c r="J882" i="35" s="1"/>
  <c r="I884" i="37"/>
  <c r="L883" i="35" s="1"/>
  <c r="J883" i="35" s="1"/>
  <c r="I885" i="37"/>
  <c r="L884" i="35" s="1"/>
  <c r="J884" i="35" s="1"/>
  <c r="I886" i="37"/>
  <c r="L885" i="35" s="1"/>
  <c r="J885" i="35" s="1"/>
  <c r="I887" i="37"/>
  <c r="L886" i="35" s="1"/>
  <c r="J886" i="35" s="1"/>
  <c r="I888" i="37"/>
  <c r="L887" i="35" s="1"/>
  <c r="J887" i="35" s="1"/>
  <c r="I889" i="37"/>
  <c r="L888" i="35" s="1"/>
  <c r="J888" i="35" s="1"/>
  <c r="I890" i="37"/>
  <c r="L889" i="35" s="1"/>
  <c r="J889" i="35" s="1"/>
  <c r="I891" i="37"/>
  <c r="L890" i="35" s="1"/>
  <c r="J890" i="35" s="1"/>
  <c r="I892" i="37"/>
  <c r="L891" i="35" s="1"/>
  <c r="J891" i="35" s="1"/>
  <c r="I893" i="37"/>
  <c r="L892" i="35" s="1"/>
  <c r="J892" i="35" s="1"/>
  <c r="I894" i="37"/>
  <c r="L893" i="35" s="1"/>
  <c r="J893" i="35" s="1"/>
  <c r="I895" i="37"/>
  <c r="L894" i="35" s="1"/>
  <c r="J894" i="35" s="1"/>
  <c r="I896" i="37"/>
  <c r="L895" i="35" s="1"/>
  <c r="J895" i="35" s="1"/>
  <c r="I897" i="37"/>
  <c r="L896" i="35" s="1"/>
  <c r="J896" i="35" s="1"/>
  <c r="I898" i="37"/>
  <c r="L897" i="35" s="1"/>
  <c r="J897" i="35" s="1"/>
  <c r="I899" i="37"/>
  <c r="L898" i="35" s="1"/>
  <c r="J898" i="35" s="1"/>
  <c r="I900" i="37"/>
  <c r="L899" i="35" s="1"/>
  <c r="J899" i="35" s="1"/>
  <c r="I901" i="37"/>
  <c r="L900" i="35" s="1"/>
  <c r="J900" i="35" s="1"/>
  <c r="I902" i="37"/>
  <c r="L901" i="35" s="1"/>
  <c r="J901" i="35" s="1"/>
  <c r="I903" i="37"/>
  <c r="L902" i="35" s="1"/>
  <c r="J902" i="35" s="1"/>
  <c r="I904" i="37"/>
  <c r="L903" i="35" s="1"/>
  <c r="J903" i="35" s="1"/>
  <c r="I905" i="37"/>
  <c r="L904" i="35" s="1"/>
  <c r="J904" i="35" s="1"/>
  <c r="I906" i="37"/>
  <c r="L905" i="35" s="1"/>
  <c r="J905" i="35" s="1"/>
  <c r="I907" i="37"/>
  <c r="L906" i="35" s="1"/>
  <c r="J906" i="35" s="1"/>
  <c r="I908" i="37"/>
  <c r="L907" i="35" s="1"/>
  <c r="J907" i="35" s="1"/>
  <c r="I909" i="37"/>
  <c r="L908" i="35" s="1"/>
  <c r="J908" i="35" s="1"/>
  <c r="I910" i="37"/>
  <c r="L909" i="35" s="1"/>
  <c r="J909" i="35" s="1"/>
  <c r="I911" i="37"/>
  <c r="L910" i="35" s="1"/>
  <c r="J910" i="35" s="1"/>
  <c r="I912" i="37"/>
  <c r="L911" i="35" s="1"/>
  <c r="J911" i="35" s="1"/>
  <c r="I913" i="37"/>
  <c r="L912" i="35" s="1"/>
  <c r="J912" i="35" s="1"/>
  <c r="I914" i="37"/>
  <c r="L913" i="35" s="1"/>
  <c r="J913" i="35" s="1"/>
  <c r="I915" i="37"/>
  <c r="L914" i="35" s="1"/>
  <c r="J914" i="35" s="1"/>
  <c r="I916" i="37"/>
  <c r="L915" i="35" s="1"/>
  <c r="J915" i="35" s="1"/>
  <c r="I917" i="37"/>
  <c r="L916" i="35" s="1"/>
  <c r="J916" i="35" s="1"/>
  <c r="I918" i="37"/>
  <c r="L917" i="35" s="1"/>
  <c r="J917" i="35" s="1"/>
  <c r="I919" i="37"/>
  <c r="L918" i="35" s="1"/>
  <c r="J918" i="35" s="1"/>
  <c r="I920" i="37"/>
  <c r="L919" i="35" s="1"/>
  <c r="J919" i="35" s="1"/>
  <c r="I921" i="37"/>
  <c r="L920" i="35" s="1"/>
  <c r="J920" i="35" s="1"/>
  <c r="I922" i="37"/>
  <c r="L921" i="35" s="1"/>
  <c r="J921" i="35" s="1"/>
  <c r="I923" i="37"/>
  <c r="L922" i="35" s="1"/>
  <c r="J922" i="35" s="1"/>
  <c r="I924" i="37"/>
  <c r="L923" i="35" s="1"/>
  <c r="J923" i="35" s="1"/>
  <c r="I925" i="37"/>
  <c r="L924" i="35" s="1"/>
  <c r="J924" i="35" s="1"/>
  <c r="I926" i="37"/>
  <c r="L925" i="35" s="1"/>
  <c r="J925" i="35" s="1"/>
  <c r="I927" i="37"/>
  <c r="L926" i="35" s="1"/>
  <c r="J926" i="35" s="1"/>
  <c r="I928" i="37"/>
  <c r="L927" i="35" s="1"/>
  <c r="J927" i="35" s="1"/>
  <c r="I929" i="37"/>
  <c r="L928" i="35" s="1"/>
  <c r="J928" i="35" s="1"/>
  <c r="I930" i="37"/>
  <c r="L929" i="35" s="1"/>
  <c r="J929" i="35" s="1"/>
  <c r="I931" i="37"/>
  <c r="L930" i="35" s="1"/>
  <c r="J930" i="35" s="1"/>
  <c r="I932" i="37"/>
  <c r="L931" i="35" s="1"/>
  <c r="J931" i="35" s="1"/>
  <c r="I933" i="37"/>
  <c r="L932" i="35" s="1"/>
  <c r="J932" i="35" s="1"/>
  <c r="I934" i="37"/>
  <c r="L933" i="35" s="1"/>
  <c r="J933" i="35" s="1"/>
  <c r="I935" i="37"/>
  <c r="L934" i="35" s="1"/>
  <c r="J934" i="35" s="1"/>
  <c r="I936" i="37"/>
  <c r="L935" i="35" s="1"/>
  <c r="J935" i="35" s="1"/>
  <c r="I937" i="37"/>
  <c r="L936" i="35" s="1"/>
  <c r="J936" i="35" s="1"/>
  <c r="I938" i="37"/>
  <c r="L937" i="35" s="1"/>
  <c r="J937" i="35" s="1"/>
  <c r="I939" i="37"/>
  <c r="L938" i="35" s="1"/>
  <c r="J938" i="35" s="1"/>
  <c r="I940" i="37"/>
  <c r="L939" i="35" s="1"/>
  <c r="J939" i="35" s="1"/>
  <c r="I941" i="37"/>
  <c r="L940" i="35" s="1"/>
  <c r="J940" i="35" s="1"/>
  <c r="I942" i="37"/>
  <c r="L941" i="35" s="1"/>
  <c r="J941" i="35" s="1"/>
  <c r="I943" i="37"/>
  <c r="L942" i="35" s="1"/>
  <c r="J942" i="35" s="1"/>
  <c r="I944" i="37"/>
  <c r="L943" i="35" s="1"/>
  <c r="J943" i="35" s="1"/>
  <c r="I945" i="37"/>
  <c r="L944" i="35" s="1"/>
  <c r="J944" i="35" s="1"/>
  <c r="I946" i="37"/>
  <c r="L945" i="35" s="1"/>
  <c r="J945" i="35" s="1"/>
  <c r="I947" i="37"/>
  <c r="L946" i="35" s="1"/>
  <c r="J946" i="35" s="1"/>
  <c r="I948" i="37"/>
  <c r="L947" i="35" s="1"/>
  <c r="J947" i="35" s="1"/>
  <c r="I949" i="37"/>
  <c r="L948" i="35" s="1"/>
  <c r="J948" i="35" s="1"/>
  <c r="I950" i="37"/>
  <c r="L949" i="35" s="1"/>
  <c r="J949" i="35" s="1"/>
  <c r="I951" i="37"/>
  <c r="L950" i="35" s="1"/>
  <c r="J950" i="35" s="1"/>
  <c r="I952" i="37"/>
  <c r="L951" i="35" s="1"/>
  <c r="J951" i="35" s="1"/>
  <c r="I953" i="37"/>
  <c r="L952" i="35" s="1"/>
  <c r="J952" i="35" s="1"/>
  <c r="I954" i="37"/>
  <c r="L953" i="35" s="1"/>
  <c r="J953" i="35" s="1"/>
  <c r="I955" i="37"/>
  <c r="L954" i="35" s="1"/>
  <c r="J954" i="35" s="1"/>
  <c r="I956" i="37"/>
  <c r="L955" i="35" s="1"/>
  <c r="J955" i="35" s="1"/>
  <c r="I957" i="37"/>
  <c r="L956" i="35" s="1"/>
  <c r="J956" i="35" s="1"/>
  <c r="I958" i="37"/>
  <c r="L957" i="35" s="1"/>
  <c r="J957" i="35" s="1"/>
  <c r="I959" i="37"/>
  <c r="L958" i="35" s="1"/>
  <c r="J958" i="35" s="1"/>
  <c r="I960" i="37"/>
  <c r="L959" i="35" s="1"/>
  <c r="J959" i="35" s="1"/>
  <c r="I961" i="37"/>
  <c r="L960" i="35" s="1"/>
  <c r="J960" i="35" s="1"/>
  <c r="I962" i="37"/>
  <c r="L961" i="35" s="1"/>
  <c r="J961" i="35" s="1"/>
  <c r="I963" i="37"/>
  <c r="L962" i="35" s="1"/>
  <c r="J962" i="35" s="1"/>
  <c r="I964" i="37"/>
  <c r="L963" i="35" s="1"/>
  <c r="J963" i="35" s="1"/>
  <c r="I965" i="37"/>
  <c r="L964" i="35" s="1"/>
  <c r="J964" i="35" s="1"/>
  <c r="I966" i="37"/>
  <c r="L965" i="35" s="1"/>
  <c r="J965" i="35" s="1"/>
  <c r="I967" i="37"/>
  <c r="L966" i="35" s="1"/>
  <c r="J966" i="35" s="1"/>
  <c r="I968" i="37"/>
  <c r="L967" i="35" s="1"/>
  <c r="J967" i="35" s="1"/>
  <c r="I969" i="37"/>
  <c r="L968" i="35" s="1"/>
  <c r="J968" i="35" s="1"/>
  <c r="I970" i="37"/>
  <c r="L969" i="35" s="1"/>
  <c r="J969" i="35" s="1"/>
  <c r="I971" i="37"/>
  <c r="L970" i="35" s="1"/>
  <c r="J970" i="35" s="1"/>
  <c r="I972" i="37"/>
  <c r="L971" i="35" s="1"/>
  <c r="J971" i="35" s="1"/>
  <c r="I973" i="37"/>
  <c r="L972" i="35" s="1"/>
  <c r="J972" i="35" s="1"/>
  <c r="I974" i="37"/>
  <c r="L973" i="35" s="1"/>
  <c r="J973" i="35" s="1"/>
  <c r="I975" i="37"/>
  <c r="L974" i="35" s="1"/>
  <c r="J974" i="35" s="1"/>
  <c r="I976" i="37"/>
  <c r="L975" i="35" s="1"/>
  <c r="J975" i="35" s="1"/>
  <c r="I977" i="37"/>
  <c r="L976" i="35" s="1"/>
  <c r="J976" i="35" s="1"/>
  <c r="I978" i="37"/>
  <c r="L977" i="35" s="1"/>
  <c r="J977" i="35" s="1"/>
  <c r="I979" i="37"/>
  <c r="L978" i="35" s="1"/>
  <c r="J978" i="35" s="1"/>
  <c r="I980" i="37"/>
  <c r="L979" i="35" s="1"/>
  <c r="J979" i="35" s="1"/>
  <c r="I981" i="37"/>
  <c r="L980" i="35" s="1"/>
  <c r="J980" i="35" s="1"/>
  <c r="I982" i="37"/>
  <c r="L981" i="35" s="1"/>
  <c r="J981" i="35" s="1"/>
  <c r="I983" i="37"/>
  <c r="L982" i="35" s="1"/>
  <c r="J982" i="35" s="1"/>
  <c r="I984" i="37"/>
  <c r="L983" i="35" s="1"/>
  <c r="J983" i="35" s="1"/>
  <c r="I985" i="37"/>
  <c r="L984" i="35" s="1"/>
  <c r="J984" i="35" s="1"/>
  <c r="I986" i="37"/>
  <c r="L985" i="35" s="1"/>
  <c r="J985" i="35" s="1"/>
  <c r="I987" i="37"/>
  <c r="L986" i="35" s="1"/>
  <c r="J986" i="35" s="1"/>
  <c r="I988" i="37"/>
  <c r="L987" i="35" s="1"/>
  <c r="J987" i="35" s="1"/>
  <c r="I989" i="37"/>
  <c r="L988" i="35" s="1"/>
  <c r="J988" i="35" s="1"/>
  <c r="I990" i="37"/>
  <c r="L989" i="35" s="1"/>
  <c r="J989" i="35" s="1"/>
  <c r="I991" i="37"/>
  <c r="L990" i="35" s="1"/>
  <c r="J990" i="35" s="1"/>
  <c r="I992" i="37"/>
  <c r="L991" i="35" s="1"/>
  <c r="J991" i="35" s="1"/>
  <c r="I993" i="37"/>
  <c r="L992" i="35" s="1"/>
  <c r="J992" i="35" s="1"/>
  <c r="I994" i="37"/>
  <c r="L993" i="35" s="1"/>
  <c r="J993" i="35" s="1"/>
  <c r="I995" i="37"/>
  <c r="L994" i="35" s="1"/>
  <c r="J994" i="35" s="1"/>
  <c r="I996" i="37"/>
  <c r="L995" i="35" s="1"/>
  <c r="J995" i="35" s="1"/>
  <c r="I997" i="37"/>
  <c r="L996" i="35" s="1"/>
  <c r="J996" i="35" s="1"/>
  <c r="I998" i="37"/>
  <c r="L997" i="35" s="1"/>
  <c r="J997" i="35" s="1"/>
  <c r="I999" i="37"/>
  <c r="L998" i="35" s="1"/>
  <c r="J998" i="35" s="1"/>
  <c r="I1000" i="37"/>
  <c r="L999" i="35" s="1"/>
  <c r="J999" i="35" s="1"/>
  <c r="I1001" i="37"/>
  <c r="L1000" i="35" s="1"/>
  <c r="J1000" i="35" s="1"/>
  <c r="I1002" i="37"/>
  <c r="L1001" i="35" s="1"/>
  <c r="J1001" i="35" s="1"/>
  <c r="I1003" i="37"/>
  <c r="L1002" i="35" s="1"/>
  <c r="J1002" i="35" s="1"/>
  <c r="I1004" i="37"/>
  <c r="L1003" i="35" s="1"/>
  <c r="J1003" i="35" s="1"/>
  <c r="E5" i="1" l="1"/>
  <c r="F5" i="1" s="1"/>
  <c r="G5" i="1" s="1"/>
  <c r="E12" i="1" s="1"/>
  <c r="G4" i="35"/>
  <c r="V6" i="35"/>
  <c r="V5" i="35"/>
  <c r="U4" i="35"/>
  <c r="V4" i="35"/>
  <c r="V7" i="35"/>
  <c r="G6" i="35"/>
  <c r="G7" i="35"/>
  <c r="H7" i="35"/>
  <c r="G8" i="35"/>
  <c r="H8" i="35"/>
  <c r="H9" i="35"/>
  <c r="G9" i="35"/>
  <c r="H4" i="35"/>
  <c r="H5" i="35"/>
  <c r="G5" i="35"/>
  <c r="G10" i="8" l="1"/>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G620" i="8"/>
  <c r="G621" i="8"/>
  <c r="G622" i="8"/>
  <c r="G623" i="8"/>
  <c r="G624" i="8"/>
  <c r="G625" i="8"/>
  <c r="G626" i="8"/>
  <c r="G627" i="8"/>
  <c r="G628" i="8"/>
  <c r="G629" i="8"/>
  <c r="G630" i="8"/>
  <c r="G631" i="8"/>
  <c r="G632" i="8"/>
  <c r="G633" i="8"/>
  <c r="G634" i="8"/>
  <c r="G635" i="8"/>
  <c r="G636" i="8"/>
  <c r="G637" i="8"/>
  <c r="G638" i="8"/>
  <c r="G639" i="8"/>
  <c r="G640" i="8"/>
  <c r="G641" i="8"/>
  <c r="G642" i="8"/>
  <c r="G643" i="8"/>
  <c r="G644" i="8"/>
  <c r="G645" i="8"/>
  <c r="G646" i="8"/>
  <c r="G647" i="8"/>
  <c r="G648" i="8"/>
  <c r="G649" i="8"/>
  <c r="G650" i="8"/>
  <c r="G651" i="8"/>
  <c r="G652" i="8"/>
  <c r="G653" i="8"/>
  <c r="G654" i="8"/>
  <c r="G655" i="8"/>
  <c r="G656" i="8"/>
  <c r="G657" i="8"/>
  <c r="G658" i="8"/>
  <c r="G659" i="8"/>
  <c r="G660" i="8"/>
  <c r="G661" i="8"/>
  <c r="G662" i="8"/>
  <c r="G663" i="8"/>
  <c r="G664" i="8"/>
  <c r="G665" i="8"/>
  <c r="G666" i="8"/>
  <c r="G667" i="8"/>
  <c r="G668" i="8"/>
  <c r="G669" i="8"/>
  <c r="G670" i="8"/>
  <c r="G671" i="8"/>
  <c r="G672" i="8"/>
  <c r="G673" i="8"/>
  <c r="G674" i="8"/>
  <c r="G675" i="8"/>
  <c r="G676" i="8"/>
  <c r="G677" i="8"/>
  <c r="G678" i="8"/>
  <c r="G679" i="8"/>
  <c r="G680" i="8"/>
  <c r="G681" i="8"/>
  <c r="G682" i="8"/>
  <c r="G683" i="8"/>
  <c r="G684" i="8"/>
  <c r="G685" i="8"/>
  <c r="G686" i="8"/>
  <c r="G687" i="8"/>
  <c r="G688" i="8"/>
  <c r="G689" i="8"/>
  <c r="G690" i="8"/>
  <c r="G691" i="8"/>
  <c r="G692" i="8"/>
  <c r="G693" i="8"/>
  <c r="G694" i="8"/>
  <c r="G695" i="8"/>
  <c r="G696" i="8"/>
  <c r="G697" i="8"/>
  <c r="G698" i="8"/>
  <c r="G699" i="8"/>
  <c r="G700" i="8"/>
  <c r="G701" i="8"/>
  <c r="G702" i="8"/>
  <c r="G703" i="8"/>
  <c r="G704" i="8"/>
  <c r="G705" i="8"/>
  <c r="G706" i="8"/>
  <c r="G707" i="8"/>
  <c r="G708" i="8"/>
  <c r="G709" i="8"/>
  <c r="G710" i="8"/>
  <c r="G711" i="8"/>
  <c r="G712" i="8"/>
  <c r="G713" i="8"/>
  <c r="G714" i="8"/>
  <c r="G715" i="8"/>
  <c r="G716" i="8"/>
  <c r="G717" i="8"/>
  <c r="G718" i="8"/>
  <c r="G719" i="8"/>
  <c r="G720" i="8"/>
  <c r="G721" i="8"/>
  <c r="G722" i="8"/>
  <c r="G723" i="8"/>
  <c r="G724" i="8"/>
  <c r="G725" i="8"/>
  <c r="G726" i="8"/>
  <c r="G727" i="8"/>
  <c r="G728" i="8"/>
  <c r="G729" i="8"/>
  <c r="G730" i="8"/>
  <c r="G731" i="8"/>
  <c r="G732" i="8"/>
  <c r="G733" i="8"/>
  <c r="G734" i="8"/>
  <c r="G735" i="8"/>
  <c r="G736" i="8"/>
  <c r="G737" i="8"/>
  <c r="G738" i="8"/>
  <c r="G739" i="8"/>
  <c r="G740" i="8"/>
  <c r="G741" i="8"/>
  <c r="G742" i="8"/>
  <c r="G743" i="8"/>
  <c r="G744" i="8"/>
  <c r="G745" i="8"/>
  <c r="G746" i="8"/>
  <c r="G747" i="8"/>
  <c r="G748" i="8"/>
  <c r="G749" i="8"/>
  <c r="G750" i="8"/>
  <c r="G751" i="8"/>
  <c r="G752" i="8"/>
  <c r="G753" i="8"/>
  <c r="G754" i="8"/>
  <c r="G755" i="8"/>
  <c r="G756" i="8"/>
  <c r="G757" i="8"/>
  <c r="G758" i="8"/>
  <c r="G759" i="8"/>
  <c r="G760" i="8"/>
  <c r="G761" i="8"/>
  <c r="G762" i="8"/>
  <c r="G763" i="8"/>
  <c r="G764" i="8"/>
  <c r="G765" i="8"/>
  <c r="G766" i="8"/>
  <c r="G767" i="8"/>
  <c r="G768" i="8"/>
  <c r="G769" i="8"/>
  <c r="G770" i="8"/>
  <c r="G771" i="8"/>
  <c r="G772" i="8"/>
  <c r="G773" i="8"/>
  <c r="G774" i="8"/>
  <c r="G775" i="8"/>
  <c r="G776" i="8"/>
  <c r="G777" i="8"/>
  <c r="G778" i="8"/>
  <c r="G779" i="8"/>
  <c r="G780" i="8"/>
  <c r="G781" i="8"/>
  <c r="G782" i="8"/>
  <c r="G783" i="8"/>
  <c r="G784" i="8"/>
  <c r="G785" i="8"/>
  <c r="G786" i="8"/>
  <c r="G787" i="8"/>
  <c r="G788" i="8"/>
  <c r="G789" i="8"/>
  <c r="G790" i="8"/>
  <c r="G791" i="8"/>
  <c r="G792" i="8"/>
  <c r="G793" i="8"/>
  <c r="G794" i="8"/>
  <c r="G795" i="8"/>
  <c r="G796" i="8"/>
  <c r="G797" i="8"/>
  <c r="G798" i="8"/>
  <c r="G799" i="8"/>
  <c r="G800" i="8"/>
  <c r="G801" i="8"/>
  <c r="G802" i="8"/>
  <c r="G803" i="8"/>
  <c r="G804" i="8"/>
  <c r="G805" i="8"/>
  <c r="G806" i="8"/>
  <c r="G807" i="8"/>
  <c r="G808" i="8"/>
  <c r="G809" i="8"/>
  <c r="G810" i="8"/>
  <c r="G811" i="8"/>
  <c r="G812" i="8"/>
  <c r="G813" i="8"/>
  <c r="G814" i="8"/>
  <c r="G815" i="8"/>
  <c r="G816" i="8"/>
  <c r="G817" i="8"/>
  <c r="G818" i="8"/>
  <c r="G819" i="8"/>
  <c r="G820" i="8"/>
  <c r="G821" i="8"/>
  <c r="G822" i="8"/>
  <c r="G823" i="8"/>
  <c r="G824" i="8"/>
  <c r="G825" i="8"/>
  <c r="G826" i="8"/>
  <c r="G827" i="8"/>
  <c r="G828" i="8"/>
  <c r="G829" i="8"/>
  <c r="G830" i="8"/>
  <c r="G831" i="8"/>
  <c r="G832" i="8"/>
  <c r="G833" i="8"/>
  <c r="G834" i="8"/>
  <c r="G835" i="8"/>
  <c r="G836" i="8"/>
  <c r="G837" i="8"/>
  <c r="G838" i="8"/>
  <c r="G839" i="8"/>
  <c r="G840" i="8"/>
  <c r="G841" i="8"/>
  <c r="G842" i="8"/>
  <c r="G843" i="8"/>
  <c r="G844" i="8"/>
  <c r="G845" i="8"/>
  <c r="G846" i="8"/>
  <c r="G847" i="8"/>
  <c r="G848" i="8"/>
  <c r="G849" i="8"/>
  <c r="G850" i="8"/>
  <c r="G851" i="8"/>
  <c r="G852" i="8"/>
  <c r="G853" i="8"/>
  <c r="G854" i="8"/>
  <c r="G855" i="8"/>
  <c r="G856" i="8"/>
  <c r="G857" i="8"/>
  <c r="G858" i="8"/>
  <c r="G859" i="8"/>
  <c r="G860" i="8"/>
  <c r="G861" i="8"/>
  <c r="G862" i="8"/>
  <c r="G863" i="8"/>
  <c r="G864" i="8"/>
  <c r="G865" i="8"/>
  <c r="G866" i="8"/>
  <c r="G867" i="8"/>
  <c r="G868" i="8"/>
  <c r="G869" i="8"/>
  <c r="G870" i="8"/>
  <c r="G871" i="8"/>
  <c r="G872" i="8"/>
  <c r="G873" i="8"/>
  <c r="G874" i="8"/>
  <c r="G875" i="8"/>
  <c r="G876" i="8"/>
  <c r="G877" i="8"/>
  <c r="G878" i="8"/>
  <c r="G879" i="8"/>
  <c r="G880" i="8"/>
  <c r="G881" i="8"/>
  <c r="G882" i="8"/>
  <c r="G883" i="8"/>
  <c r="G884" i="8"/>
  <c r="G885" i="8"/>
  <c r="G886" i="8"/>
  <c r="G887" i="8"/>
  <c r="G888" i="8"/>
  <c r="G889" i="8"/>
  <c r="G890" i="8"/>
  <c r="G891" i="8"/>
  <c r="G892" i="8"/>
  <c r="G893" i="8"/>
  <c r="G894" i="8"/>
  <c r="G895" i="8"/>
  <c r="G896" i="8"/>
  <c r="G897" i="8"/>
  <c r="G898" i="8"/>
  <c r="G899" i="8"/>
  <c r="G900" i="8"/>
  <c r="G901" i="8"/>
  <c r="G902" i="8"/>
  <c r="G903" i="8"/>
  <c r="G904" i="8"/>
  <c r="G905" i="8"/>
  <c r="G906" i="8"/>
  <c r="G907" i="8"/>
  <c r="G908" i="8"/>
  <c r="G909" i="8"/>
  <c r="G910" i="8"/>
  <c r="G911" i="8"/>
  <c r="G912" i="8"/>
  <c r="G913" i="8"/>
  <c r="G914" i="8"/>
  <c r="G915" i="8"/>
  <c r="G916" i="8"/>
  <c r="G917" i="8"/>
  <c r="G918" i="8"/>
  <c r="G919" i="8"/>
  <c r="G920" i="8"/>
  <c r="G921" i="8"/>
  <c r="G922" i="8"/>
  <c r="G923" i="8"/>
  <c r="G924" i="8"/>
  <c r="G925" i="8"/>
  <c r="G926" i="8"/>
  <c r="G927" i="8"/>
  <c r="G928" i="8"/>
  <c r="G929" i="8"/>
  <c r="G930" i="8"/>
  <c r="G931" i="8"/>
  <c r="G932" i="8"/>
  <c r="G933" i="8"/>
  <c r="G934" i="8"/>
  <c r="G935" i="8"/>
  <c r="G936" i="8"/>
  <c r="G937" i="8"/>
  <c r="G938" i="8"/>
  <c r="G939" i="8"/>
  <c r="G940" i="8"/>
  <c r="G941" i="8"/>
  <c r="G942" i="8"/>
  <c r="G943" i="8"/>
  <c r="G944" i="8"/>
  <c r="G945" i="8"/>
  <c r="G946" i="8"/>
  <c r="G947" i="8"/>
  <c r="G948" i="8"/>
  <c r="G949" i="8"/>
  <c r="G950" i="8"/>
  <c r="G951" i="8"/>
  <c r="G952" i="8"/>
  <c r="G953" i="8"/>
  <c r="G954" i="8"/>
  <c r="G955" i="8"/>
  <c r="G956" i="8"/>
  <c r="G957" i="8"/>
  <c r="G958" i="8"/>
  <c r="G959" i="8"/>
  <c r="G960" i="8"/>
  <c r="G961" i="8"/>
  <c r="G962" i="8"/>
  <c r="G963" i="8"/>
  <c r="G964" i="8"/>
  <c r="G965" i="8"/>
  <c r="G966" i="8"/>
  <c r="G967" i="8"/>
  <c r="G968" i="8"/>
  <c r="G969" i="8"/>
  <c r="G970" i="8"/>
  <c r="G971" i="8"/>
  <c r="G972" i="8"/>
  <c r="G973" i="8"/>
  <c r="G974" i="8"/>
  <c r="G975" i="8"/>
  <c r="G976" i="8"/>
  <c r="G977" i="8"/>
  <c r="G978" i="8"/>
  <c r="G979" i="8"/>
  <c r="G980" i="8"/>
  <c r="G981" i="8"/>
  <c r="G982" i="8"/>
  <c r="G983" i="8"/>
  <c r="G984" i="8"/>
  <c r="G985" i="8"/>
  <c r="G986" i="8"/>
  <c r="G987" i="8"/>
  <c r="G988" i="8"/>
  <c r="G989" i="8"/>
  <c r="G990" i="8"/>
  <c r="G991" i="8"/>
  <c r="G992" i="8"/>
  <c r="G993" i="8"/>
  <c r="G994" i="8"/>
  <c r="G995" i="8"/>
  <c r="G996" i="8"/>
  <c r="G997" i="8"/>
  <c r="G998" i="8"/>
  <c r="G999" i="8"/>
  <c r="G1000" i="8"/>
  <c r="G1001" i="8"/>
  <c r="G1002" i="8"/>
  <c r="G1003" i="8"/>
  <c r="G1004" i="8"/>
  <c r="B10" i="37"/>
  <c r="B11" i="37"/>
  <c r="B12" i="37"/>
  <c r="B13" i="37"/>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B98" i="37"/>
  <c r="B99" i="37"/>
  <c r="B100" i="37"/>
  <c r="B101" i="37"/>
  <c r="B102" i="37"/>
  <c r="B103" i="37"/>
  <c r="B104" i="37"/>
  <c r="B105" i="37"/>
  <c r="B106" i="37"/>
  <c r="B107" i="37"/>
  <c r="B108" i="37"/>
  <c r="B109" i="37"/>
  <c r="B110" i="37"/>
  <c r="B111" i="37"/>
  <c r="B112" i="37"/>
  <c r="B113" i="37"/>
  <c r="B114" i="37"/>
  <c r="B115" i="37"/>
  <c r="B116" i="37"/>
  <c r="B117" i="37"/>
  <c r="B118" i="37"/>
  <c r="B119" i="37"/>
  <c r="B120" i="37"/>
  <c r="B121" i="37"/>
  <c r="B122" i="37"/>
  <c r="B123" i="37"/>
  <c r="B124" i="37"/>
  <c r="B125" i="37"/>
  <c r="B126" i="37"/>
  <c r="B127" i="37"/>
  <c r="B128" i="37"/>
  <c r="B129" i="37"/>
  <c r="B130" i="37"/>
  <c r="B131" i="37"/>
  <c r="B132" i="37"/>
  <c r="B133" i="37"/>
  <c r="B134" i="37"/>
  <c r="B135" i="37"/>
  <c r="B136" i="37"/>
  <c r="B137" i="37"/>
  <c r="B138" i="37"/>
  <c r="B139" i="37"/>
  <c r="B140" i="37"/>
  <c r="B141" i="37"/>
  <c r="B142" i="37"/>
  <c r="B143" i="37"/>
  <c r="B144" i="37"/>
  <c r="B145" i="37"/>
  <c r="B146" i="37"/>
  <c r="B147" i="37"/>
  <c r="B148" i="37"/>
  <c r="B149" i="37"/>
  <c r="B150" i="37"/>
  <c r="B151" i="37"/>
  <c r="B152" i="37"/>
  <c r="B153" i="37"/>
  <c r="B154" i="37"/>
  <c r="B155" i="37"/>
  <c r="B156" i="37"/>
  <c r="B157" i="37"/>
  <c r="B158" i="37"/>
  <c r="B159" i="37"/>
  <c r="B160" i="37"/>
  <c r="B161" i="37"/>
  <c r="B162" i="37"/>
  <c r="B163" i="37"/>
  <c r="B164" i="37"/>
  <c r="B165" i="37"/>
  <c r="B166" i="37"/>
  <c r="B167" i="37"/>
  <c r="B168" i="37"/>
  <c r="B169" i="37"/>
  <c r="B170" i="37"/>
  <c r="B171" i="37"/>
  <c r="B172" i="37"/>
  <c r="B173" i="37"/>
  <c r="B174" i="37"/>
  <c r="B175" i="37"/>
  <c r="B176" i="37"/>
  <c r="B177" i="37"/>
  <c r="B178" i="37"/>
  <c r="B179" i="37"/>
  <c r="B180" i="37"/>
  <c r="B181" i="37"/>
  <c r="B182" i="37"/>
  <c r="B183" i="37"/>
  <c r="B184" i="37"/>
  <c r="B185" i="37"/>
  <c r="B186" i="37"/>
  <c r="B187" i="37"/>
  <c r="B188" i="37"/>
  <c r="B189" i="37"/>
  <c r="B190" i="37"/>
  <c r="B191" i="37"/>
  <c r="B192" i="37"/>
  <c r="B193" i="37"/>
  <c r="B194" i="37"/>
  <c r="B195" i="37"/>
  <c r="B196" i="37"/>
  <c r="B197" i="37"/>
  <c r="B198" i="37"/>
  <c r="B199" i="37"/>
  <c r="B200" i="37"/>
  <c r="B201" i="37"/>
  <c r="B202" i="37"/>
  <c r="B203" i="37"/>
  <c r="B204" i="37"/>
  <c r="B205" i="37"/>
  <c r="B206" i="37"/>
  <c r="B207" i="37"/>
  <c r="B208" i="37"/>
  <c r="B209" i="37"/>
  <c r="B210" i="37"/>
  <c r="B211" i="37"/>
  <c r="B212" i="37"/>
  <c r="B213" i="37"/>
  <c r="B214" i="37"/>
  <c r="B215" i="37"/>
  <c r="B216" i="37"/>
  <c r="B217" i="37"/>
  <c r="B218" i="37"/>
  <c r="B219" i="37"/>
  <c r="B220" i="37"/>
  <c r="B221" i="37"/>
  <c r="B222" i="37"/>
  <c r="B223" i="37"/>
  <c r="B224" i="37"/>
  <c r="B225" i="37"/>
  <c r="B226" i="37"/>
  <c r="B227" i="37"/>
  <c r="B228" i="37"/>
  <c r="B229" i="37"/>
  <c r="B230" i="37"/>
  <c r="B231" i="37"/>
  <c r="B232" i="37"/>
  <c r="B233" i="37"/>
  <c r="B234" i="37"/>
  <c r="B235" i="37"/>
  <c r="B236" i="37"/>
  <c r="B237" i="37"/>
  <c r="B238" i="37"/>
  <c r="B239" i="37"/>
  <c r="B240" i="37"/>
  <c r="B241" i="37"/>
  <c r="B242" i="37"/>
  <c r="B243" i="37"/>
  <c r="B244" i="37"/>
  <c r="B245" i="37"/>
  <c r="B246" i="37"/>
  <c r="B247" i="37"/>
  <c r="B248" i="37"/>
  <c r="B249" i="37"/>
  <c r="B250" i="37"/>
  <c r="B251" i="37"/>
  <c r="B252" i="37"/>
  <c r="B253" i="37"/>
  <c r="B254" i="37"/>
  <c r="B255" i="37"/>
  <c r="B256" i="37"/>
  <c r="B257" i="37"/>
  <c r="B258" i="37"/>
  <c r="B259" i="37"/>
  <c r="B260" i="37"/>
  <c r="B261" i="37"/>
  <c r="B262" i="37"/>
  <c r="B263" i="37"/>
  <c r="B264" i="37"/>
  <c r="B265" i="37"/>
  <c r="B266" i="37"/>
  <c r="B267" i="37"/>
  <c r="B268" i="37"/>
  <c r="B269" i="37"/>
  <c r="B270" i="37"/>
  <c r="B271" i="37"/>
  <c r="B272" i="37"/>
  <c r="B273" i="37"/>
  <c r="B274" i="37"/>
  <c r="B275" i="37"/>
  <c r="B276" i="37"/>
  <c r="B277" i="37"/>
  <c r="B278" i="37"/>
  <c r="B279" i="37"/>
  <c r="B280" i="37"/>
  <c r="B281" i="37"/>
  <c r="B282" i="37"/>
  <c r="B283" i="37"/>
  <c r="B284" i="37"/>
  <c r="B285" i="37"/>
  <c r="B286" i="37"/>
  <c r="B287" i="37"/>
  <c r="B288" i="37"/>
  <c r="B289" i="37"/>
  <c r="B290" i="37"/>
  <c r="B291" i="37"/>
  <c r="B292" i="37"/>
  <c r="B293" i="37"/>
  <c r="B294" i="37"/>
  <c r="B295" i="37"/>
  <c r="B296" i="37"/>
  <c r="B297" i="37"/>
  <c r="B298" i="37"/>
  <c r="B299" i="37"/>
  <c r="B300" i="37"/>
  <c r="B301" i="37"/>
  <c r="B302" i="37"/>
  <c r="B303" i="37"/>
  <c r="B304" i="37"/>
  <c r="B305" i="37"/>
  <c r="B306" i="37"/>
  <c r="B307" i="37"/>
  <c r="B308" i="37"/>
  <c r="B309" i="37"/>
  <c r="B310" i="37"/>
  <c r="B311" i="37"/>
  <c r="B312" i="37"/>
  <c r="B313" i="37"/>
  <c r="B314" i="37"/>
  <c r="B315" i="37"/>
  <c r="B316" i="37"/>
  <c r="B317" i="37"/>
  <c r="B318" i="37"/>
  <c r="B319" i="37"/>
  <c r="B320" i="37"/>
  <c r="B321" i="37"/>
  <c r="B322" i="37"/>
  <c r="B323" i="37"/>
  <c r="B324" i="37"/>
  <c r="B325" i="37"/>
  <c r="B326" i="37"/>
  <c r="B327" i="37"/>
  <c r="B328" i="37"/>
  <c r="B329" i="37"/>
  <c r="B330" i="37"/>
  <c r="B331" i="37"/>
  <c r="B332" i="37"/>
  <c r="B333" i="37"/>
  <c r="B334" i="37"/>
  <c r="B335" i="37"/>
  <c r="B336" i="37"/>
  <c r="B337" i="37"/>
  <c r="B338" i="37"/>
  <c r="B339" i="37"/>
  <c r="B340" i="37"/>
  <c r="B341" i="37"/>
  <c r="B342" i="37"/>
  <c r="B343" i="37"/>
  <c r="B344" i="37"/>
  <c r="B345" i="37"/>
  <c r="B346" i="37"/>
  <c r="B347" i="37"/>
  <c r="B348" i="37"/>
  <c r="B349" i="37"/>
  <c r="B350" i="37"/>
  <c r="B351" i="37"/>
  <c r="B352" i="37"/>
  <c r="B353" i="37"/>
  <c r="B354" i="37"/>
  <c r="B355" i="37"/>
  <c r="B356" i="37"/>
  <c r="B357" i="37"/>
  <c r="B358" i="37"/>
  <c r="B359" i="37"/>
  <c r="B360" i="37"/>
  <c r="B361" i="37"/>
  <c r="B362" i="37"/>
  <c r="B363" i="37"/>
  <c r="B364" i="37"/>
  <c r="B365" i="37"/>
  <c r="B366" i="37"/>
  <c r="B367" i="37"/>
  <c r="B368" i="37"/>
  <c r="B369" i="37"/>
  <c r="B370" i="37"/>
  <c r="B371" i="37"/>
  <c r="B372" i="37"/>
  <c r="B373" i="37"/>
  <c r="B374" i="37"/>
  <c r="B375" i="37"/>
  <c r="B376" i="37"/>
  <c r="B377" i="37"/>
  <c r="B378" i="37"/>
  <c r="B379" i="37"/>
  <c r="B380" i="37"/>
  <c r="B381" i="37"/>
  <c r="B382" i="37"/>
  <c r="B383" i="37"/>
  <c r="B384" i="37"/>
  <c r="B385" i="37"/>
  <c r="B386" i="37"/>
  <c r="B387" i="37"/>
  <c r="B388" i="37"/>
  <c r="B389" i="37"/>
  <c r="B390" i="37"/>
  <c r="B391" i="37"/>
  <c r="B392" i="37"/>
  <c r="B393" i="37"/>
  <c r="B394" i="37"/>
  <c r="B395" i="37"/>
  <c r="B396" i="37"/>
  <c r="B397" i="37"/>
  <c r="B398" i="37"/>
  <c r="B399" i="37"/>
  <c r="B400" i="37"/>
  <c r="B401" i="37"/>
  <c r="B402" i="37"/>
  <c r="B403" i="37"/>
  <c r="B404" i="37"/>
  <c r="B405" i="37"/>
  <c r="B406" i="37"/>
  <c r="B407" i="37"/>
  <c r="B408" i="37"/>
  <c r="B409" i="37"/>
  <c r="B410" i="37"/>
  <c r="B411" i="37"/>
  <c r="B412" i="37"/>
  <c r="B413" i="37"/>
  <c r="B414" i="37"/>
  <c r="B415" i="37"/>
  <c r="B416" i="37"/>
  <c r="B417" i="37"/>
  <c r="B418" i="37"/>
  <c r="B419" i="37"/>
  <c r="B420" i="37"/>
  <c r="B421" i="37"/>
  <c r="B422" i="37"/>
  <c r="B423" i="37"/>
  <c r="B424" i="37"/>
  <c r="B425" i="37"/>
  <c r="B426" i="37"/>
  <c r="B427" i="37"/>
  <c r="B428" i="37"/>
  <c r="B429" i="37"/>
  <c r="B430" i="37"/>
  <c r="B431" i="37"/>
  <c r="B432" i="37"/>
  <c r="B433" i="37"/>
  <c r="B434" i="37"/>
  <c r="B435" i="37"/>
  <c r="B436" i="37"/>
  <c r="B437" i="37"/>
  <c r="B438" i="37"/>
  <c r="B439" i="37"/>
  <c r="B440" i="37"/>
  <c r="B441" i="37"/>
  <c r="B442" i="37"/>
  <c r="B443" i="37"/>
  <c r="B444" i="37"/>
  <c r="B445" i="37"/>
  <c r="B446" i="37"/>
  <c r="B447" i="37"/>
  <c r="B448" i="37"/>
  <c r="B449" i="37"/>
  <c r="B450" i="37"/>
  <c r="B451" i="37"/>
  <c r="B452" i="37"/>
  <c r="B453" i="37"/>
  <c r="B454" i="37"/>
  <c r="B455" i="37"/>
  <c r="B456" i="37"/>
  <c r="B457" i="37"/>
  <c r="B458" i="37"/>
  <c r="B459" i="37"/>
  <c r="B460" i="37"/>
  <c r="B461" i="37"/>
  <c r="B462" i="37"/>
  <c r="B463" i="37"/>
  <c r="B464" i="37"/>
  <c r="B465" i="37"/>
  <c r="B466" i="37"/>
  <c r="B467" i="37"/>
  <c r="B468" i="37"/>
  <c r="B469" i="37"/>
  <c r="B470" i="37"/>
  <c r="B471" i="37"/>
  <c r="B472" i="37"/>
  <c r="B473" i="37"/>
  <c r="B474" i="37"/>
  <c r="B475" i="37"/>
  <c r="B476" i="37"/>
  <c r="B477" i="37"/>
  <c r="B478" i="37"/>
  <c r="B479" i="37"/>
  <c r="B480" i="37"/>
  <c r="B481" i="37"/>
  <c r="B482" i="37"/>
  <c r="B483" i="37"/>
  <c r="B484" i="37"/>
  <c r="B485" i="37"/>
  <c r="B486" i="37"/>
  <c r="B487" i="37"/>
  <c r="B488" i="37"/>
  <c r="B489" i="37"/>
  <c r="B490" i="37"/>
  <c r="B491" i="37"/>
  <c r="B492" i="37"/>
  <c r="B493" i="37"/>
  <c r="B494" i="37"/>
  <c r="B495" i="37"/>
  <c r="B496" i="37"/>
  <c r="B497" i="37"/>
  <c r="B498" i="37"/>
  <c r="B499" i="37"/>
  <c r="B500" i="37"/>
  <c r="B501" i="37"/>
  <c r="B502" i="37"/>
  <c r="B503" i="37"/>
  <c r="B504" i="37"/>
  <c r="B505" i="37"/>
  <c r="B506" i="37"/>
  <c r="B507" i="37"/>
  <c r="B508" i="37"/>
  <c r="B509" i="37"/>
  <c r="B510" i="37"/>
  <c r="B511" i="37"/>
  <c r="B512" i="37"/>
  <c r="B513" i="37"/>
  <c r="B514" i="37"/>
  <c r="B515" i="37"/>
  <c r="B516" i="37"/>
  <c r="B517" i="37"/>
  <c r="B518" i="37"/>
  <c r="B519" i="37"/>
  <c r="B520" i="37"/>
  <c r="B521" i="37"/>
  <c r="B522" i="37"/>
  <c r="B523" i="37"/>
  <c r="B524" i="37"/>
  <c r="B525" i="37"/>
  <c r="B526" i="37"/>
  <c r="B527" i="37"/>
  <c r="B528" i="37"/>
  <c r="B529" i="37"/>
  <c r="B530" i="37"/>
  <c r="B531" i="37"/>
  <c r="B532" i="37"/>
  <c r="B533" i="37"/>
  <c r="B534" i="37"/>
  <c r="B535" i="37"/>
  <c r="B536" i="37"/>
  <c r="B537" i="37"/>
  <c r="B538" i="37"/>
  <c r="B539" i="37"/>
  <c r="B540" i="37"/>
  <c r="B541" i="37"/>
  <c r="B542" i="37"/>
  <c r="B543" i="37"/>
  <c r="B544" i="37"/>
  <c r="B545" i="37"/>
  <c r="B546" i="37"/>
  <c r="B547" i="37"/>
  <c r="B548" i="37"/>
  <c r="B549" i="37"/>
  <c r="B550" i="37"/>
  <c r="B551" i="37"/>
  <c r="B552" i="37"/>
  <c r="B553" i="37"/>
  <c r="B554" i="37"/>
  <c r="B555" i="37"/>
  <c r="B556" i="37"/>
  <c r="B557" i="37"/>
  <c r="B558" i="37"/>
  <c r="B559" i="37"/>
  <c r="B560" i="37"/>
  <c r="B561" i="37"/>
  <c r="B562" i="37"/>
  <c r="B563" i="37"/>
  <c r="B564" i="37"/>
  <c r="B565" i="37"/>
  <c r="B566" i="37"/>
  <c r="B567" i="37"/>
  <c r="B568" i="37"/>
  <c r="B569" i="37"/>
  <c r="B570" i="37"/>
  <c r="B571" i="37"/>
  <c r="B572" i="37"/>
  <c r="B573" i="37"/>
  <c r="B574" i="37"/>
  <c r="B575" i="37"/>
  <c r="B576" i="37"/>
  <c r="B577" i="37"/>
  <c r="B578" i="37"/>
  <c r="B579" i="37"/>
  <c r="B580" i="37"/>
  <c r="B581" i="37"/>
  <c r="B582" i="37"/>
  <c r="B583" i="37"/>
  <c r="B584" i="37"/>
  <c r="B585" i="37"/>
  <c r="B586" i="37"/>
  <c r="B587" i="37"/>
  <c r="B588" i="37"/>
  <c r="B589" i="37"/>
  <c r="B590" i="37"/>
  <c r="B591" i="37"/>
  <c r="B592" i="37"/>
  <c r="B593" i="37"/>
  <c r="B594" i="37"/>
  <c r="B595" i="37"/>
  <c r="B596" i="37"/>
  <c r="B597" i="37"/>
  <c r="B598" i="37"/>
  <c r="B599" i="37"/>
  <c r="B600" i="37"/>
  <c r="B601" i="37"/>
  <c r="B602" i="37"/>
  <c r="B603" i="37"/>
  <c r="B604" i="37"/>
  <c r="B605" i="37"/>
  <c r="B606" i="37"/>
  <c r="B607" i="37"/>
  <c r="B608" i="37"/>
  <c r="B609" i="37"/>
  <c r="B610" i="37"/>
  <c r="B611" i="37"/>
  <c r="B612" i="37"/>
  <c r="B613" i="37"/>
  <c r="B614" i="37"/>
  <c r="B615" i="37"/>
  <c r="B616" i="37"/>
  <c r="B617" i="37"/>
  <c r="B618" i="37"/>
  <c r="B619" i="37"/>
  <c r="B620" i="37"/>
  <c r="B621" i="37"/>
  <c r="B622" i="37"/>
  <c r="B623" i="37"/>
  <c r="B624" i="37"/>
  <c r="B625" i="37"/>
  <c r="B626" i="37"/>
  <c r="B627" i="37"/>
  <c r="B628" i="37"/>
  <c r="B629" i="37"/>
  <c r="B630" i="37"/>
  <c r="B631" i="37"/>
  <c r="B632" i="37"/>
  <c r="B633" i="37"/>
  <c r="B634" i="37"/>
  <c r="B635" i="37"/>
  <c r="B636" i="37"/>
  <c r="B637" i="37"/>
  <c r="B638" i="37"/>
  <c r="B639" i="37"/>
  <c r="B640" i="37"/>
  <c r="B641" i="37"/>
  <c r="B642" i="37"/>
  <c r="B643" i="37"/>
  <c r="B644" i="37"/>
  <c r="B645" i="37"/>
  <c r="B646" i="37"/>
  <c r="B647" i="37"/>
  <c r="B648" i="37"/>
  <c r="B649" i="37"/>
  <c r="B650" i="37"/>
  <c r="B651" i="37"/>
  <c r="B652" i="37"/>
  <c r="B653" i="37"/>
  <c r="B654" i="37"/>
  <c r="B655" i="37"/>
  <c r="B656" i="37"/>
  <c r="B657" i="37"/>
  <c r="B658" i="37"/>
  <c r="B659" i="37"/>
  <c r="B660" i="37"/>
  <c r="B661" i="37"/>
  <c r="B662" i="37"/>
  <c r="B663" i="37"/>
  <c r="B664" i="37"/>
  <c r="B665" i="37"/>
  <c r="B666" i="37"/>
  <c r="B667" i="37"/>
  <c r="B668" i="37"/>
  <c r="B669" i="37"/>
  <c r="B670" i="37"/>
  <c r="B671" i="37"/>
  <c r="B672" i="37"/>
  <c r="B673" i="37"/>
  <c r="B674" i="37"/>
  <c r="B675" i="37"/>
  <c r="B676" i="37"/>
  <c r="B677" i="37"/>
  <c r="B678" i="37"/>
  <c r="B679" i="37"/>
  <c r="B680" i="37"/>
  <c r="B681" i="37"/>
  <c r="B682" i="37"/>
  <c r="B683" i="37"/>
  <c r="B684" i="37"/>
  <c r="B685" i="37"/>
  <c r="B686" i="37"/>
  <c r="B687" i="37"/>
  <c r="B688" i="37"/>
  <c r="B689" i="37"/>
  <c r="B690" i="37"/>
  <c r="B691" i="37"/>
  <c r="B692" i="37"/>
  <c r="B693" i="37"/>
  <c r="B694" i="37"/>
  <c r="B695" i="37"/>
  <c r="B696" i="37"/>
  <c r="B697" i="37"/>
  <c r="B698" i="37"/>
  <c r="B699" i="37"/>
  <c r="B700" i="37"/>
  <c r="B701" i="37"/>
  <c r="B702" i="37"/>
  <c r="B703" i="37"/>
  <c r="B704" i="37"/>
  <c r="B705" i="37"/>
  <c r="B706" i="37"/>
  <c r="B707" i="37"/>
  <c r="B708" i="37"/>
  <c r="B709" i="37"/>
  <c r="B710" i="37"/>
  <c r="B711" i="37"/>
  <c r="B712" i="37"/>
  <c r="B713" i="37"/>
  <c r="B714" i="37"/>
  <c r="B715" i="37"/>
  <c r="B716" i="37"/>
  <c r="B717" i="37"/>
  <c r="B718" i="37"/>
  <c r="B719" i="37"/>
  <c r="B720" i="37"/>
  <c r="B721" i="37"/>
  <c r="B722" i="37"/>
  <c r="B723" i="37"/>
  <c r="B724" i="37"/>
  <c r="B725" i="37"/>
  <c r="B726" i="37"/>
  <c r="B727" i="37"/>
  <c r="B728" i="37"/>
  <c r="B729" i="37"/>
  <c r="B730" i="37"/>
  <c r="B731" i="37"/>
  <c r="B732" i="37"/>
  <c r="B733" i="37"/>
  <c r="B734" i="37"/>
  <c r="B735" i="37"/>
  <c r="B736" i="37"/>
  <c r="B737" i="37"/>
  <c r="B738" i="37"/>
  <c r="B739" i="37"/>
  <c r="B740" i="37"/>
  <c r="B741" i="37"/>
  <c r="B742" i="37"/>
  <c r="B743" i="37"/>
  <c r="B744" i="37"/>
  <c r="B745" i="37"/>
  <c r="B746" i="37"/>
  <c r="B747" i="37"/>
  <c r="B748" i="37"/>
  <c r="B749" i="37"/>
  <c r="B750" i="37"/>
  <c r="B751" i="37"/>
  <c r="B752" i="37"/>
  <c r="B753" i="37"/>
  <c r="B754" i="37"/>
  <c r="B755" i="37"/>
  <c r="B756" i="37"/>
  <c r="B757" i="37"/>
  <c r="B758" i="37"/>
  <c r="B759" i="37"/>
  <c r="B760" i="37"/>
  <c r="B761" i="37"/>
  <c r="B762" i="37"/>
  <c r="B763" i="37"/>
  <c r="B764" i="37"/>
  <c r="B765" i="37"/>
  <c r="B766" i="37"/>
  <c r="B767" i="37"/>
  <c r="B768" i="37"/>
  <c r="B769" i="37"/>
  <c r="B770" i="37"/>
  <c r="B771" i="37"/>
  <c r="B772" i="37"/>
  <c r="B773" i="37"/>
  <c r="B774" i="37"/>
  <c r="B775" i="37"/>
  <c r="B776" i="37"/>
  <c r="B777" i="37"/>
  <c r="B778" i="37"/>
  <c r="B779" i="37"/>
  <c r="B780" i="37"/>
  <c r="B781" i="37"/>
  <c r="B782" i="37"/>
  <c r="B783" i="37"/>
  <c r="B784" i="37"/>
  <c r="B785" i="37"/>
  <c r="B786" i="37"/>
  <c r="B787" i="37"/>
  <c r="B788" i="37"/>
  <c r="B789" i="37"/>
  <c r="B790" i="37"/>
  <c r="B791" i="37"/>
  <c r="B792" i="37"/>
  <c r="B793" i="37"/>
  <c r="B794" i="37"/>
  <c r="B795" i="37"/>
  <c r="B796" i="37"/>
  <c r="B797" i="37"/>
  <c r="B798" i="37"/>
  <c r="B799" i="37"/>
  <c r="B800" i="37"/>
  <c r="B801" i="37"/>
  <c r="B802" i="37"/>
  <c r="B803" i="37"/>
  <c r="B804" i="37"/>
  <c r="B805" i="37"/>
  <c r="B806" i="37"/>
  <c r="B807" i="37"/>
  <c r="B808" i="37"/>
  <c r="B809" i="37"/>
  <c r="B810" i="37"/>
  <c r="B811" i="37"/>
  <c r="B812" i="37"/>
  <c r="B813" i="37"/>
  <c r="B814" i="37"/>
  <c r="B815" i="37"/>
  <c r="B816" i="37"/>
  <c r="B817" i="37"/>
  <c r="B818" i="37"/>
  <c r="B819" i="37"/>
  <c r="B820" i="37"/>
  <c r="B821" i="37"/>
  <c r="B822" i="37"/>
  <c r="B823" i="37"/>
  <c r="B824" i="37"/>
  <c r="B825" i="37"/>
  <c r="B826" i="37"/>
  <c r="B827" i="37"/>
  <c r="B828" i="37"/>
  <c r="B829" i="37"/>
  <c r="B830" i="37"/>
  <c r="B831" i="37"/>
  <c r="B832" i="37"/>
  <c r="B833" i="37"/>
  <c r="B834" i="37"/>
  <c r="B835" i="37"/>
  <c r="B836" i="37"/>
  <c r="B837" i="37"/>
  <c r="B838" i="37"/>
  <c r="B839" i="37"/>
  <c r="B840" i="37"/>
  <c r="B841" i="37"/>
  <c r="B842" i="37"/>
  <c r="B843" i="37"/>
  <c r="B844" i="37"/>
  <c r="B845" i="37"/>
  <c r="B846" i="37"/>
  <c r="B847" i="37"/>
  <c r="B848" i="37"/>
  <c r="B849" i="37"/>
  <c r="B850" i="37"/>
  <c r="B851" i="37"/>
  <c r="B852" i="37"/>
  <c r="B853" i="37"/>
  <c r="B854" i="37"/>
  <c r="B855" i="37"/>
  <c r="B856" i="37"/>
  <c r="B857" i="37"/>
  <c r="B858" i="37"/>
  <c r="B859" i="37"/>
  <c r="B860" i="37"/>
  <c r="B861" i="37"/>
  <c r="B862" i="37"/>
  <c r="B863" i="37"/>
  <c r="B864" i="37"/>
  <c r="B865" i="37"/>
  <c r="B866" i="37"/>
  <c r="B867" i="37"/>
  <c r="B868" i="37"/>
  <c r="B869" i="37"/>
  <c r="B870" i="37"/>
  <c r="B871" i="37"/>
  <c r="B872" i="37"/>
  <c r="B873" i="37"/>
  <c r="B874" i="37"/>
  <c r="B875" i="37"/>
  <c r="B876" i="37"/>
  <c r="B877" i="37"/>
  <c r="B878" i="37"/>
  <c r="B879" i="37"/>
  <c r="B880" i="37"/>
  <c r="B881" i="37"/>
  <c r="B882" i="37"/>
  <c r="B883" i="37"/>
  <c r="B884" i="37"/>
  <c r="B885" i="37"/>
  <c r="B886" i="37"/>
  <c r="B887" i="37"/>
  <c r="B888" i="37"/>
  <c r="B889" i="37"/>
  <c r="B890" i="37"/>
  <c r="B891" i="37"/>
  <c r="B892" i="37"/>
  <c r="B893" i="37"/>
  <c r="B894" i="37"/>
  <c r="B895" i="37"/>
  <c r="B896" i="37"/>
  <c r="B897" i="37"/>
  <c r="B898" i="37"/>
  <c r="B899" i="37"/>
  <c r="B900" i="37"/>
  <c r="B901" i="37"/>
  <c r="B902" i="37"/>
  <c r="B903" i="37"/>
  <c r="B904" i="37"/>
  <c r="B905" i="37"/>
  <c r="B906" i="37"/>
  <c r="B907" i="37"/>
  <c r="B908" i="37"/>
  <c r="B909" i="37"/>
  <c r="B910" i="37"/>
  <c r="B911" i="37"/>
  <c r="B912" i="37"/>
  <c r="B913" i="37"/>
  <c r="B914" i="37"/>
  <c r="B915" i="37"/>
  <c r="B916" i="37"/>
  <c r="B917" i="37"/>
  <c r="B918" i="37"/>
  <c r="B919" i="37"/>
  <c r="B920" i="37"/>
  <c r="B921" i="37"/>
  <c r="B922" i="37"/>
  <c r="B923" i="37"/>
  <c r="B924" i="37"/>
  <c r="B925" i="37"/>
  <c r="B926" i="37"/>
  <c r="B927" i="37"/>
  <c r="B928" i="37"/>
  <c r="B929" i="37"/>
  <c r="B930" i="37"/>
  <c r="B931" i="37"/>
  <c r="B932" i="37"/>
  <c r="B933" i="37"/>
  <c r="B934" i="37"/>
  <c r="B935" i="37"/>
  <c r="B936" i="37"/>
  <c r="B937" i="37"/>
  <c r="B938" i="37"/>
  <c r="B939" i="37"/>
  <c r="B940" i="37"/>
  <c r="B941" i="37"/>
  <c r="B942" i="37"/>
  <c r="B943" i="37"/>
  <c r="B944" i="37"/>
  <c r="B945" i="37"/>
  <c r="B946" i="37"/>
  <c r="B947" i="37"/>
  <c r="B948" i="37"/>
  <c r="B949" i="37"/>
  <c r="B950" i="37"/>
  <c r="B951" i="37"/>
  <c r="B952" i="37"/>
  <c r="B953" i="37"/>
  <c r="B954" i="37"/>
  <c r="B955" i="37"/>
  <c r="B956" i="37"/>
  <c r="B957" i="37"/>
  <c r="B958" i="37"/>
  <c r="B959" i="37"/>
  <c r="B960" i="37"/>
  <c r="B961" i="37"/>
  <c r="B962" i="37"/>
  <c r="B963" i="37"/>
  <c r="B964" i="37"/>
  <c r="B965" i="37"/>
  <c r="B966" i="37"/>
  <c r="B967" i="37"/>
  <c r="B968" i="37"/>
  <c r="B969" i="37"/>
  <c r="B970" i="37"/>
  <c r="B971" i="37"/>
  <c r="B972" i="37"/>
  <c r="B973" i="37"/>
  <c r="B974" i="37"/>
  <c r="B975" i="37"/>
  <c r="B976" i="37"/>
  <c r="B977" i="37"/>
  <c r="B978" i="37"/>
  <c r="B979" i="37"/>
  <c r="B980" i="37"/>
  <c r="B981" i="37"/>
  <c r="B982" i="37"/>
  <c r="B983" i="37"/>
  <c r="B984" i="37"/>
  <c r="B985" i="37"/>
  <c r="B986" i="37"/>
  <c r="B987" i="37"/>
  <c r="B988" i="37"/>
  <c r="B989" i="37"/>
  <c r="B990" i="37"/>
  <c r="B991" i="37"/>
  <c r="B992" i="37"/>
  <c r="B993" i="37"/>
  <c r="B994" i="37"/>
  <c r="B995" i="37"/>
  <c r="B996" i="37"/>
  <c r="B997" i="37"/>
  <c r="B998" i="37"/>
  <c r="B999" i="37"/>
  <c r="B1000" i="37"/>
  <c r="B1001" i="37"/>
  <c r="B1002" i="37"/>
  <c r="B1003" i="37"/>
  <c r="B1004" i="37"/>
  <c r="F10" i="37"/>
  <c r="F11" i="37"/>
  <c r="F12" i="37"/>
  <c r="F13" i="37"/>
  <c r="F14" i="37"/>
  <c r="F15" i="37"/>
  <c r="F16" i="37"/>
  <c r="F17" i="37"/>
  <c r="F18" i="37"/>
  <c r="F19" i="37"/>
  <c r="F20" i="37"/>
  <c r="F21" i="37"/>
  <c r="F22" i="37"/>
  <c r="F23" i="37"/>
  <c r="F24" i="37"/>
  <c r="F25" i="37"/>
  <c r="F26" i="37"/>
  <c r="F27" i="37"/>
  <c r="F28" i="37"/>
  <c r="F29" i="37"/>
  <c r="F30" i="37"/>
  <c r="F31" i="37"/>
  <c r="F32" i="37"/>
  <c r="F33" i="37"/>
  <c r="F34" i="37"/>
  <c r="F35" i="37"/>
  <c r="F36" i="37"/>
  <c r="F37" i="37"/>
  <c r="F38" i="37"/>
  <c r="F39" i="37"/>
  <c r="F40" i="37"/>
  <c r="F41" i="37"/>
  <c r="F42" i="37"/>
  <c r="F43" i="37"/>
  <c r="F44" i="37"/>
  <c r="F45" i="37"/>
  <c r="F46" i="37"/>
  <c r="F47" i="37"/>
  <c r="F48" i="37"/>
  <c r="F49" i="37"/>
  <c r="F50" i="37"/>
  <c r="F51" i="37"/>
  <c r="F52" i="37"/>
  <c r="F53" i="37"/>
  <c r="F54" i="37"/>
  <c r="F55" i="37"/>
  <c r="F56" i="37"/>
  <c r="F57" i="37"/>
  <c r="F58" i="37"/>
  <c r="F59" i="37"/>
  <c r="F60" i="37"/>
  <c r="F61" i="37"/>
  <c r="F62" i="37"/>
  <c r="F63" i="37"/>
  <c r="F64" i="37"/>
  <c r="F65" i="37"/>
  <c r="F66" i="37"/>
  <c r="F67" i="37"/>
  <c r="F68" i="37"/>
  <c r="F69" i="37"/>
  <c r="F70" i="37"/>
  <c r="F71" i="37"/>
  <c r="F72" i="37"/>
  <c r="F73" i="37"/>
  <c r="F74" i="37"/>
  <c r="F75" i="37"/>
  <c r="F76" i="37"/>
  <c r="F77" i="37"/>
  <c r="F78" i="37"/>
  <c r="F79" i="37"/>
  <c r="F80" i="37"/>
  <c r="F81" i="37"/>
  <c r="F82" i="37"/>
  <c r="F83" i="37"/>
  <c r="F84" i="37"/>
  <c r="F85" i="37"/>
  <c r="F86" i="37"/>
  <c r="F87" i="37"/>
  <c r="F88" i="37"/>
  <c r="F89" i="37"/>
  <c r="F90" i="37"/>
  <c r="F91" i="37"/>
  <c r="F92" i="37"/>
  <c r="F93" i="37"/>
  <c r="F94" i="37"/>
  <c r="F95" i="37"/>
  <c r="F96" i="37"/>
  <c r="F97" i="37"/>
  <c r="F98" i="37"/>
  <c r="F99" i="37"/>
  <c r="F100" i="37"/>
  <c r="F101" i="37"/>
  <c r="F102" i="37"/>
  <c r="F103" i="37"/>
  <c r="F104" i="37"/>
  <c r="F105" i="37"/>
  <c r="F106" i="37"/>
  <c r="F107" i="37"/>
  <c r="F108" i="37"/>
  <c r="F109" i="37"/>
  <c r="F110" i="37"/>
  <c r="F111" i="37"/>
  <c r="F112" i="37"/>
  <c r="F113" i="37"/>
  <c r="F114" i="37"/>
  <c r="F115" i="37"/>
  <c r="F116" i="37"/>
  <c r="F117" i="37"/>
  <c r="F118" i="37"/>
  <c r="F119" i="37"/>
  <c r="F120" i="37"/>
  <c r="F121" i="37"/>
  <c r="F122" i="37"/>
  <c r="F123" i="37"/>
  <c r="F124" i="37"/>
  <c r="F125" i="37"/>
  <c r="F126" i="37"/>
  <c r="F127" i="37"/>
  <c r="F128" i="37"/>
  <c r="F129" i="37"/>
  <c r="F130" i="37"/>
  <c r="F131" i="37"/>
  <c r="F132" i="37"/>
  <c r="F133" i="37"/>
  <c r="F134" i="37"/>
  <c r="F135" i="37"/>
  <c r="F136" i="37"/>
  <c r="F137" i="37"/>
  <c r="F138" i="37"/>
  <c r="F139" i="37"/>
  <c r="F140" i="37"/>
  <c r="F141" i="37"/>
  <c r="F142" i="37"/>
  <c r="F143" i="37"/>
  <c r="F144" i="37"/>
  <c r="F145" i="37"/>
  <c r="F146" i="37"/>
  <c r="F147" i="37"/>
  <c r="F148" i="37"/>
  <c r="F149" i="37"/>
  <c r="F150" i="37"/>
  <c r="F151" i="37"/>
  <c r="F152" i="37"/>
  <c r="F153" i="37"/>
  <c r="F154" i="37"/>
  <c r="F155" i="37"/>
  <c r="F156" i="37"/>
  <c r="F157" i="37"/>
  <c r="F158" i="37"/>
  <c r="F159" i="37"/>
  <c r="F160" i="37"/>
  <c r="F161" i="37"/>
  <c r="F162" i="37"/>
  <c r="F163" i="37"/>
  <c r="F164" i="37"/>
  <c r="F165" i="37"/>
  <c r="F166" i="37"/>
  <c r="F167" i="37"/>
  <c r="F168" i="37"/>
  <c r="F169" i="37"/>
  <c r="F170" i="37"/>
  <c r="F171" i="37"/>
  <c r="F172" i="37"/>
  <c r="F173" i="37"/>
  <c r="F174" i="37"/>
  <c r="F175" i="37"/>
  <c r="F176" i="37"/>
  <c r="F177" i="37"/>
  <c r="F178" i="37"/>
  <c r="F179" i="37"/>
  <c r="F180" i="37"/>
  <c r="F181" i="37"/>
  <c r="F182" i="37"/>
  <c r="F183" i="37"/>
  <c r="F184" i="37"/>
  <c r="F185" i="37"/>
  <c r="F186" i="37"/>
  <c r="F187" i="37"/>
  <c r="F188" i="37"/>
  <c r="F189" i="37"/>
  <c r="F190" i="37"/>
  <c r="F191" i="37"/>
  <c r="F192" i="37"/>
  <c r="F193" i="37"/>
  <c r="F194" i="37"/>
  <c r="F195" i="37"/>
  <c r="F196" i="37"/>
  <c r="F197" i="37"/>
  <c r="F198" i="37"/>
  <c r="F199" i="37"/>
  <c r="F200" i="37"/>
  <c r="F201" i="37"/>
  <c r="F202" i="37"/>
  <c r="F203" i="37"/>
  <c r="F204" i="37"/>
  <c r="F205" i="37"/>
  <c r="F206" i="37"/>
  <c r="F207" i="37"/>
  <c r="F208" i="37"/>
  <c r="F209" i="37"/>
  <c r="F210" i="37"/>
  <c r="F211" i="37"/>
  <c r="F212" i="37"/>
  <c r="F213" i="37"/>
  <c r="F214" i="37"/>
  <c r="F215" i="37"/>
  <c r="F216" i="37"/>
  <c r="F217" i="37"/>
  <c r="F218" i="37"/>
  <c r="F219" i="37"/>
  <c r="F220" i="37"/>
  <c r="F221" i="37"/>
  <c r="F222" i="37"/>
  <c r="F223" i="37"/>
  <c r="F224" i="37"/>
  <c r="F225" i="37"/>
  <c r="F226" i="37"/>
  <c r="F227" i="37"/>
  <c r="F228" i="37"/>
  <c r="F229" i="37"/>
  <c r="F230" i="37"/>
  <c r="F231" i="37"/>
  <c r="F232" i="37"/>
  <c r="F233" i="37"/>
  <c r="F234" i="37"/>
  <c r="F235" i="37"/>
  <c r="F236" i="37"/>
  <c r="F237" i="37"/>
  <c r="F238" i="37"/>
  <c r="F239" i="37"/>
  <c r="F240" i="37"/>
  <c r="F241" i="37"/>
  <c r="F242" i="37"/>
  <c r="F243" i="37"/>
  <c r="F244" i="37"/>
  <c r="F245" i="37"/>
  <c r="F246" i="37"/>
  <c r="F247" i="37"/>
  <c r="F248" i="37"/>
  <c r="F249" i="37"/>
  <c r="F250" i="37"/>
  <c r="F251" i="37"/>
  <c r="F252" i="37"/>
  <c r="F253" i="37"/>
  <c r="F254" i="37"/>
  <c r="F255" i="37"/>
  <c r="F256" i="37"/>
  <c r="F257" i="37"/>
  <c r="F258" i="37"/>
  <c r="F259" i="37"/>
  <c r="F260" i="37"/>
  <c r="F261" i="37"/>
  <c r="F262" i="37"/>
  <c r="F263" i="37"/>
  <c r="F264" i="37"/>
  <c r="F265" i="37"/>
  <c r="F266" i="37"/>
  <c r="F267" i="37"/>
  <c r="F268" i="37"/>
  <c r="F269" i="37"/>
  <c r="F270" i="37"/>
  <c r="F271" i="37"/>
  <c r="F272" i="37"/>
  <c r="F273" i="37"/>
  <c r="F274" i="37"/>
  <c r="F275" i="37"/>
  <c r="F276" i="37"/>
  <c r="F277" i="37"/>
  <c r="F278" i="37"/>
  <c r="F279" i="37"/>
  <c r="F280" i="37"/>
  <c r="F281" i="37"/>
  <c r="F282" i="37"/>
  <c r="F283" i="37"/>
  <c r="F284" i="37"/>
  <c r="F285" i="37"/>
  <c r="F286" i="37"/>
  <c r="F287" i="37"/>
  <c r="F288" i="37"/>
  <c r="F289" i="37"/>
  <c r="F290" i="37"/>
  <c r="F291" i="37"/>
  <c r="F292" i="37"/>
  <c r="F293" i="37"/>
  <c r="F294" i="37"/>
  <c r="F295" i="37"/>
  <c r="F296" i="37"/>
  <c r="F297" i="37"/>
  <c r="F298" i="37"/>
  <c r="F299" i="37"/>
  <c r="F300" i="37"/>
  <c r="F301" i="37"/>
  <c r="F302" i="37"/>
  <c r="F303" i="37"/>
  <c r="F304" i="37"/>
  <c r="F305" i="37"/>
  <c r="F306" i="37"/>
  <c r="F307" i="37"/>
  <c r="F308" i="37"/>
  <c r="F309" i="37"/>
  <c r="F310" i="37"/>
  <c r="F311" i="37"/>
  <c r="F312" i="37"/>
  <c r="F313" i="37"/>
  <c r="F314" i="37"/>
  <c r="F315" i="37"/>
  <c r="F316" i="37"/>
  <c r="F317" i="37"/>
  <c r="F318" i="37"/>
  <c r="F319" i="37"/>
  <c r="F320" i="37"/>
  <c r="F321" i="37"/>
  <c r="F322" i="37"/>
  <c r="F323" i="37"/>
  <c r="F324" i="37"/>
  <c r="F325" i="37"/>
  <c r="F326" i="37"/>
  <c r="F327" i="37"/>
  <c r="F328" i="37"/>
  <c r="F329" i="37"/>
  <c r="F330" i="37"/>
  <c r="F331" i="37"/>
  <c r="F332" i="37"/>
  <c r="F333" i="37"/>
  <c r="F334" i="37"/>
  <c r="F335" i="37"/>
  <c r="F336" i="37"/>
  <c r="F337" i="37"/>
  <c r="F338" i="37"/>
  <c r="F339" i="37"/>
  <c r="F340" i="37"/>
  <c r="F341" i="37"/>
  <c r="F342" i="37"/>
  <c r="F343" i="37"/>
  <c r="F344" i="37"/>
  <c r="F345" i="37"/>
  <c r="F346" i="37"/>
  <c r="F347" i="37"/>
  <c r="F348" i="37"/>
  <c r="F349" i="37"/>
  <c r="F350" i="37"/>
  <c r="F351" i="37"/>
  <c r="F352" i="37"/>
  <c r="F353" i="37"/>
  <c r="F354" i="37"/>
  <c r="F355" i="37"/>
  <c r="F356" i="37"/>
  <c r="F357" i="37"/>
  <c r="F358" i="37"/>
  <c r="F359" i="37"/>
  <c r="F360" i="37"/>
  <c r="F361" i="37"/>
  <c r="F362" i="37"/>
  <c r="F363" i="37"/>
  <c r="F364" i="37"/>
  <c r="F365" i="37"/>
  <c r="F366" i="37"/>
  <c r="F367" i="37"/>
  <c r="F368" i="37"/>
  <c r="F369" i="37"/>
  <c r="F370" i="37"/>
  <c r="F371" i="37"/>
  <c r="F372" i="37"/>
  <c r="F373" i="37"/>
  <c r="F374" i="37"/>
  <c r="F375" i="37"/>
  <c r="F376" i="37"/>
  <c r="F377" i="37"/>
  <c r="F378" i="37"/>
  <c r="F379" i="37"/>
  <c r="F380" i="37"/>
  <c r="F381" i="37"/>
  <c r="F382" i="37"/>
  <c r="F383" i="37"/>
  <c r="F384" i="37"/>
  <c r="F385" i="37"/>
  <c r="F386" i="37"/>
  <c r="F387" i="37"/>
  <c r="F388" i="37"/>
  <c r="F389" i="37"/>
  <c r="F390" i="37"/>
  <c r="F391" i="37"/>
  <c r="F392" i="37"/>
  <c r="F393" i="37"/>
  <c r="F394" i="37"/>
  <c r="F395" i="37"/>
  <c r="F396" i="37"/>
  <c r="F397" i="37"/>
  <c r="F398" i="37"/>
  <c r="F399" i="37"/>
  <c r="F400" i="37"/>
  <c r="F401" i="37"/>
  <c r="F402" i="37"/>
  <c r="F403" i="37"/>
  <c r="F404" i="37"/>
  <c r="F405" i="37"/>
  <c r="F406" i="37"/>
  <c r="F407" i="37"/>
  <c r="F408" i="37"/>
  <c r="F409" i="37"/>
  <c r="F410" i="37"/>
  <c r="F411" i="37"/>
  <c r="F412" i="37"/>
  <c r="F413" i="37"/>
  <c r="F414" i="37"/>
  <c r="F415" i="37"/>
  <c r="F416" i="37"/>
  <c r="F417" i="37"/>
  <c r="F418" i="37"/>
  <c r="F419" i="37"/>
  <c r="F420" i="37"/>
  <c r="F421" i="37"/>
  <c r="F422" i="37"/>
  <c r="F423" i="37"/>
  <c r="F424" i="37"/>
  <c r="F425" i="37"/>
  <c r="F426" i="37"/>
  <c r="F427" i="37"/>
  <c r="F428" i="37"/>
  <c r="F429" i="37"/>
  <c r="F430" i="37"/>
  <c r="F431" i="37"/>
  <c r="F432" i="37"/>
  <c r="F433" i="37"/>
  <c r="F434" i="37"/>
  <c r="F435" i="37"/>
  <c r="F436" i="37"/>
  <c r="F437" i="37"/>
  <c r="F438" i="37"/>
  <c r="F439" i="37"/>
  <c r="F440" i="37"/>
  <c r="F441" i="37"/>
  <c r="F442" i="37"/>
  <c r="F443" i="37"/>
  <c r="F444" i="37"/>
  <c r="F445" i="37"/>
  <c r="F446" i="37"/>
  <c r="F447" i="37"/>
  <c r="F448" i="37"/>
  <c r="F449" i="37"/>
  <c r="F450" i="37"/>
  <c r="F451" i="37"/>
  <c r="F452" i="37"/>
  <c r="F453" i="37"/>
  <c r="F454" i="37"/>
  <c r="F455" i="37"/>
  <c r="F456" i="37"/>
  <c r="F457" i="37"/>
  <c r="F458" i="37"/>
  <c r="F459" i="37"/>
  <c r="F460" i="37"/>
  <c r="F461" i="37"/>
  <c r="F462" i="37"/>
  <c r="F463" i="37"/>
  <c r="F464" i="37"/>
  <c r="F465" i="37"/>
  <c r="F466" i="37"/>
  <c r="F467" i="37"/>
  <c r="F468" i="37"/>
  <c r="F469" i="37"/>
  <c r="F470" i="37"/>
  <c r="F471" i="37"/>
  <c r="F472" i="37"/>
  <c r="F473" i="37"/>
  <c r="F474" i="37"/>
  <c r="F475" i="37"/>
  <c r="F476" i="37"/>
  <c r="F477" i="37"/>
  <c r="F478" i="37"/>
  <c r="F479" i="37"/>
  <c r="F480" i="37"/>
  <c r="F481" i="37"/>
  <c r="F482" i="37"/>
  <c r="F483" i="37"/>
  <c r="F484" i="37"/>
  <c r="F485" i="37"/>
  <c r="F486" i="37"/>
  <c r="F487" i="37"/>
  <c r="F488" i="37"/>
  <c r="F489" i="37"/>
  <c r="F490" i="37"/>
  <c r="F491" i="37"/>
  <c r="F492" i="37"/>
  <c r="F493" i="37"/>
  <c r="F494" i="37"/>
  <c r="F495" i="37"/>
  <c r="F496" i="37"/>
  <c r="F497" i="37"/>
  <c r="F498" i="37"/>
  <c r="F499" i="37"/>
  <c r="F500" i="37"/>
  <c r="F501" i="37"/>
  <c r="F502" i="37"/>
  <c r="F503" i="37"/>
  <c r="F504" i="37"/>
  <c r="F505" i="37"/>
  <c r="F506" i="37"/>
  <c r="F507" i="37"/>
  <c r="F508" i="37"/>
  <c r="F509" i="37"/>
  <c r="F510" i="37"/>
  <c r="F511" i="37"/>
  <c r="F512" i="37"/>
  <c r="F513" i="37"/>
  <c r="F514" i="37"/>
  <c r="F515" i="37"/>
  <c r="F516" i="37"/>
  <c r="F517" i="37"/>
  <c r="F518" i="37"/>
  <c r="F519" i="37"/>
  <c r="F520" i="37"/>
  <c r="F521" i="37"/>
  <c r="F522" i="37"/>
  <c r="F523" i="37"/>
  <c r="F524" i="37"/>
  <c r="F525" i="37"/>
  <c r="F526" i="37"/>
  <c r="F527" i="37"/>
  <c r="F528" i="37"/>
  <c r="F529" i="37"/>
  <c r="F530" i="37"/>
  <c r="F531" i="37"/>
  <c r="F532" i="37"/>
  <c r="F533" i="37"/>
  <c r="F534" i="37"/>
  <c r="F535" i="37"/>
  <c r="F536" i="37"/>
  <c r="F537" i="37"/>
  <c r="F538" i="37"/>
  <c r="F539" i="37"/>
  <c r="F540" i="37"/>
  <c r="F541" i="37"/>
  <c r="F542" i="37"/>
  <c r="F543" i="37"/>
  <c r="F544" i="37"/>
  <c r="F545" i="37"/>
  <c r="F546" i="37"/>
  <c r="F547" i="37"/>
  <c r="F548" i="37"/>
  <c r="F549" i="37"/>
  <c r="F550" i="37"/>
  <c r="F551" i="37"/>
  <c r="F552" i="37"/>
  <c r="F553" i="37"/>
  <c r="F554" i="37"/>
  <c r="F555" i="37"/>
  <c r="F556" i="37"/>
  <c r="F557" i="37"/>
  <c r="F558" i="37"/>
  <c r="F559" i="37"/>
  <c r="F560" i="37"/>
  <c r="F561" i="37"/>
  <c r="F562" i="37"/>
  <c r="F563" i="37"/>
  <c r="F564" i="37"/>
  <c r="F565" i="37"/>
  <c r="F566" i="37"/>
  <c r="F567" i="37"/>
  <c r="F568" i="37"/>
  <c r="F569" i="37"/>
  <c r="F570" i="37"/>
  <c r="F571" i="37"/>
  <c r="F572" i="37"/>
  <c r="F573" i="37"/>
  <c r="F574" i="37"/>
  <c r="F575" i="37"/>
  <c r="F576" i="37"/>
  <c r="F577" i="37"/>
  <c r="F578" i="37"/>
  <c r="F579" i="37"/>
  <c r="F580" i="37"/>
  <c r="F581" i="37"/>
  <c r="F582" i="37"/>
  <c r="F583" i="37"/>
  <c r="F584" i="37"/>
  <c r="F585" i="37"/>
  <c r="F586" i="37"/>
  <c r="F587" i="37"/>
  <c r="F588" i="37"/>
  <c r="F589" i="37"/>
  <c r="F590" i="37"/>
  <c r="F591" i="37"/>
  <c r="F592" i="37"/>
  <c r="F593" i="37"/>
  <c r="F594" i="37"/>
  <c r="F595" i="37"/>
  <c r="F596" i="37"/>
  <c r="F597" i="37"/>
  <c r="F598" i="37"/>
  <c r="F599" i="37"/>
  <c r="F600" i="37"/>
  <c r="F601" i="37"/>
  <c r="F602" i="37"/>
  <c r="F603" i="37"/>
  <c r="F604" i="37"/>
  <c r="F605" i="37"/>
  <c r="F606" i="37"/>
  <c r="F607" i="37"/>
  <c r="F608" i="37"/>
  <c r="F609" i="37"/>
  <c r="F610" i="37"/>
  <c r="F611" i="37"/>
  <c r="F612" i="37"/>
  <c r="F613" i="37"/>
  <c r="F614" i="37"/>
  <c r="F615" i="37"/>
  <c r="F616" i="37"/>
  <c r="F617" i="37"/>
  <c r="F618" i="37"/>
  <c r="F619" i="37"/>
  <c r="F620" i="37"/>
  <c r="F621" i="37"/>
  <c r="F622" i="37"/>
  <c r="F623" i="37"/>
  <c r="F624" i="37"/>
  <c r="F625" i="37"/>
  <c r="F626" i="37"/>
  <c r="F627" i="37"/>
  <c r="F628" i="37"/>
  <c r="F629" i="37"/>
  <c r="F630" i="37"/>
  <c r="F631" i="37"/>
  <c r="F632" i="37"/>
  <c r="F633" i="37"/>
  <c r="F634" i="37"/>
  <c r="F635" i="37"/>
  <c r="F636" i="37"/>
  <c r="F637" i="37"/>
  <c r="F638" i="37"/>
  <c r="F639" i="37"/>
  <c r="F640" i="37"/>
  <c r="F641" i="37"/>
  <c r="F642" i="37"/>
  <c r="F643" i="37"/>
  <c r="F644" i="37"/>
  <c r="F645" i="37"/>
  <c r="F646" i="37"/>
  <c r="F647" i="37"/>
  <c r="F648" i="37"/>
  <c r="F649" i="37"/>
  <c r="F650" i="37"/>
  <c r="F651" i="37"/>
  <c r="F652" i="37"/>
  <c r="F653" i="37"/>
  <c r="F654" i="37"/>
  <c r="F655" i="37"/>
  <c r="F656" i="37"/>
  <c r="F657" i="37"/>
  <c r="F658" i="37"/>
  <c r="F659" i="37"/>
  <c r="F660" i="37"/>
  <c r="F661" i="37"/>
  <c r="F662" i="37"/>
  <c r="F663" i="37"/>
  <c r="F664" i="37"/>
  <c r="F665" i="37"/>
  <c r="F666" i="37"/>
  <c r="F667" i="37"/>
  <c r="F668" i="37"/>
  <c r="F669" i="37"/>
  <c r="F670" i="37"/>
  <c r="F671" i="37"/>
  <c r="F672" i="37"/>
  <c r="F673" i="37"/>
  <c r="F674" i="37"/>
  <c r="F675" i="37"/>
  <c r="F676" i="37"/>
  <c r="F677" i="37"/>
  <c r="F678" i="37"/>
  <c r="F679" i="37"/>
  <c r="F680" i="37"/>
  <c r="F681" i="37"/>
  <c r="F682" i="37"/>
  <c r="F683" i="37"/>
  <c r="F684" i="37"/>
  <c r="F685" i="37"/>
  <c r="F686" i="37"/>
  <c r="F687" i="37"/>
  <c r="F688" i="37"/>
  <c r="F689" i="37"/>
  <c r="F690" i="37"/>
  <c r="F691" i="37"/>
  <c r="F692" i="37"/>
  <c r="F693" i="37"/>
  <c r="F694" i="37"/>
  <c r="F695" i="37"/>
  <c r="F696" i="37"/>
  <c r="F697" i="37"/>
  <c r="F698" i="37"/>
  <c r="F699" i="37"/>
  <c r="F700" i="37"/>
  <c r="F701" i="37"/>
  <c r="F702" i="37"/>
  <c r="F703" i="37"/>
  <c r="F704" i="37"/>
  <c r="F705" i="37"/>
  <c r="F706" i="37"/>
  <c r="F707" i="37"/>
  <c r="F708" i="37"/>
  <c r="F709" i="37"/>
  <c r="F710" i="37"/>
  <c r="F711" i="37"/>
  <c r="F712" i="37"/>
  <c r="F713" i="37"/>
  <c r="F714" i="37"/>
  <c r="F715" i="37"/>
  <c r="F716" i="37"/>
  <c r="F717" i="37"/>
  <c r="F718" i="37"/>
  <c r="F719" i="37"/>
  <c r="F720" i="37"/>
  <c r="F721" i="37"/>
  <c r="F722" i="37"/>
  <c r="F723" i="37"/>
  <c r="F724" i="37"/>
  <c r="F725" i="37"/>
  <c r="F726" i="37"/>
  <c r="F727" i="37"/>
  <c r="F728" i="37"/>
  <c r="F729" i="37"/>
  <c r="F730" i="37"/>
  <c r="F731" i="37"/>
  <c r="F732" i="37"/>
  <c r="F733" i="37"/>
  <c r="F734" i="37"/>
  <c r="F735" i="37"/>
  <c r="F736" i="37"/>
  <c r="F737" i="37"/>
  <c r="F738" i="37"/>
  <c r="F739" i="37"/>
  <c r="F740" i="37"/>
  <c r="F741" i="37"/>
  <c r="F742" i="37"/>
  <c r="F743" i="37"/>
  <c r="F744" i="37"/>
  <c r="F745" i="37"/>
  <c r="F746" i="37"/>
  <c r="F747" i="37"/>
  <c r="F748" i="37"/>
  <c r="F749" i="37"/>
  <c r="F750" i="37"/>
  <c r="F751" i="37"/>
  <c r="F752" i="37"/>
  <c r="F753" i="37"/>
  <c r="F754" i="37"/>
  <c r="F755" i="37"/>
  <c r="F756" i="37"/>
  <c r="F757" i="37"/>
  <c r="F758" i="37"/>
  <c r="F759" i="37"/>
  <c r="F760" i="37"/>
  <c r="F761" i="37"/>
  <c r="F762" i="37"/>
  <c r="F763" i="37"/>
  <c r="F764" i="37"/>
  <c r="F765" i="37"/>
  <c r="F766" i="37"/>
  <c r="F767" i="37"/>
  <c r="F768" i="37"/>
  <c r="F769" i="37"/>
  <c r="F770" i="37"/>
  <c r="F771" i="37"/>
  <c r="F772" i="37"/>
  <c r="F773" i="37"/>
  <c r="F774" i="37"/>
  <c r="F775" i="37"/>
  <c r="F776" i="37"/>
  <c r="F777" i="37"/>
  <c r="F778" i="37"/>
  <c r="F779" i="37"/>
  <c r="F780" i="37"/>
  <c r="F781" i="37"/>
  <c r="F782" i="37"/>
  <c r="F783" i="37"/>
  <c r="F784" i="37"/>
  <c r="F785" i="37"/>
  <c r="F786" i="37"/>
  <c r="F787" i="37"/>
  <c r="F788" i="37"/>
  <c r="F789" i="37"/>
  <c r="F790" i="37"/>
  <c r="F791" i="37"/>
  <c r="F792" i="37"/>
  <c r="F793" i="37"/>
  <c r="F794" i="37"/>
  <c r="F795" i="37"/>
  <c r="F796" i="37"/>
  <c r="F797" i="37"/>
  <c r="F798" i="37"/>
  <c r="F799" i="37"/>
  <c r="F800" i="37"/>
  <c r="F801" i="37"/>
  <c r="F802" i="37"/>
  <c r="F803" i="37"/>
  <c r="F804" i="37"/>
  <c r="F805" i="37"/>
  <c r="F806" i="37"/>
  <c r="F807" i="37"/>
  <c r="F808" i="37"/>
  <c r="F809" i="37"/>
  <c r="F810" i="37"/>
  <c r="F811" i="37"/>
  <c r="F812" i="37"/>
  <c r="F813" i="37"/>
  <c r="F814" i="37"/>
  <c r="F815" i="37"/>
  <c r="F816" i="37"/>
  <c r="F817" i="37"/>
  <c r="F818" i="37"/>
  <c r="F819" i="37"/>
  <c r="F820" i="37"/>
  <c r="F821" i="37"/>
  <c r="F822" i="37"/>
  <c r="F823" i="37"/>
  <c r="F824" i="37"/>
  <c r="F825" i="37"/>
  <c r="F826" i="37"/>
  <c r="F827" i="37"/>
  <c r="F828" i="37"/>
  <c r="F829" i="37"/>
  <c r="F830" i="37"/>
  <c r="F831" i="37"/>
  <c r="F832" i="37"/>
  <c r="F833" i="37"/>
  <c r="F834" i="37"/>
  <c r="F835" i="37"/>
  <c r="F836" i="37"/>
  <c r="F837" i="37"/>
  <c r="F838" i="37"/>
  <c r="F839" i="37"/>
  <c r="F840" i="37"/>
  <c r="F841" i="37"/>
  <c r="F842" i="37"/>
  <c r="F843" i="37"/>
  <c r="F844" i="37"/>
  <c r="F845" i="37"/>
  <c r="F846" i="37"/>
  <c r="F847" i="37"/>
  <c r="F848" i="37"/>
  <c r="F849" i="37"/>
  <c r="F850" i="37"/>
  <c r="F851" i="37"/>
  <c r="F852" i="37"/>
  <c r="F853" i="37"/>
  <c r="F854" i="37"/>
  <c r="F855" i="37"/>
  <c r="F856" i="37"/>
  <c r="F857" i="37"/>
  <c r="F858" i="37"/>
  <c r="F859" i="37"/>
  <c r="F860" i="37"/>
  <c r="F861" i="37"/>
  <c r="F862" i="37"/>
  <c r="F863" i="37"/>
  <c r="F864" i="37"/>
  <c r="F865" i="37"/>
  <c r="F866" i="37"/>
  <c r="F867" i="37"/>
  <c r="F868" i="37"/>
  <c r="F869" i="37"/>
  <c r="F870" i="37"/>
  <c r="F871" i="37"/>
  <c r="F872" i="37"/>
  <c r="F873" i="37"/>
  <c r="F874" i="37"/>
  <c r="F875" i="37"/>
  <c r="F876" i="37"/>
  <c r="F877" i="37"/>
  <c r="F878" i="37"/>
  <c r="F879" i="37"/>
  <c r="F880" i="37"/>
  <c r="F881" i="37"/>
  <c r="F882" i="37"/>
  <c r="F883" i="37"/>
  <c r="F884" i="37"/>
  <c r="F885" i="37"/>
  <c r="F886" i="37"/>
  <c r="F887" i="37"/>
  <c r="F888" i="37"/>
  <c r="F889" i="37"/>
  <c r="F890" i="37"/>
  <c r="F891" i="37"/>
  <c r="F892" i="37"/>
  <c r="F893" i="37"/>
  <c r="F894" i="37"/>
  <c r="F895" i="37"/>
  <c r="F896" i="37"/>
  <c r="F897" i="37"/>
  <c r="F898" i="37"/>
  <c r="F899" i="37"/>
  <c r="F900" i="37"/>
  <c r="F901" i="37"/>
  <c r="F902" i="37"/>
  <c r="F903" i="37"/>
  <c r="F904" i="37"/>
  <c r="F905" i="37"/>
  <c r="F906" i="37"/>
  <c r="F907" i="37"/>
  <c r="F908" i="37"/>
  <c r="F909" i="37"/>
  <c r="F910" i="37"/>
  <c r="F911" i="37"/>
  <c r="F912" i="37"/>
  <c r="F913" i="37"/>
  <c r="F914" i="37"/>
  <c r="F915" i="37"/>
  <c r="F916" i="37"/>
  <c r="F917" i="37"/>
  <c r="F918" i="37"/>
  <c r="F919" i="37"/>
  <c r="F920" i="37"/>
  <c r="F921" i="37"/>
  <c r="F922" i="37"/>
  <c r="F923" i="37"/>
  <c r="F924" i="37"/>
  <c r="F925" i="37"/>
  <c r="F926" i="37"/>
  <c r="F927" i="37"/>
  <c r="F928" i="37"/>
  <c r="F929" i="37"/>
  <c r="F930" i="37"/>
  <c r="F931" i="37"/>
  <c r="F932" i="37"/>
  <c r="F933" i="37"/>
  <c r="F934" i="37"/>
  <c r="F935" i="37"/>
  <c r="F936" i="37"/>
  <c r="F937" i="37"/>
  <c r="F938" i="37"/>
  <c r="F939" i="37"/>
  <c r="F940" i="37"/>
  <c r="F941" i="37"/>
  <c r="F942" i="37"/>
  <c r="F943" i="37"/>
  <c r="F944" i="37"/>
  <c r="F945" i="37"/>
  <c r="F946" i="37"/>
  <c r="F947" i="37"/>
  <c r="F948" i="37"/>
  <c r="F949" i="37"/>
  <c r="F950" i="37"/>
  <c r="F951" i="37"/>
  <c r="F952" i="37"/>
  <c r="F953" i="37"/>
  <c r="F954" i="37"/>
  <c r="F955" i="37"/>
  <c r="F956" i="37"/>
  <c r="F957" i="37"/>
  <c r="F958" i="37"/>
  <c r="F959" i="37"/>
  <c r="F960" i="37"/>
  <c r="F961" i="37"/>
  <c r="F962" i="37"/>
  <c r="F963" i="37"/>
  <c r="F964" i="37"/>
  <c r="F965" i="37"/>
  <c r="F966" i="37"/>
  <c r="F967" i="37"/>
  <c r="F968" i="37"/>
  <c r="F969" i="37"/>
  <c r="F970" i="37"/>
  <c r="F971" i="37"/>
  <c r="F972" i="37"/>
  <c r="F973" i="37"/>
  <c r="F974" i="37"/>
  <c r="F975" i="37"/>
  <c r="F976" i="37"/>
  <c r="F977" i="37"/>
  <c r="F978" i="37"/>
  <c r="F979" i="37"/>
  <c r="F980" i="37"/>
  <c r="F981" i="37"/>
  <c r="F982" i="37"/>
  <c r="F983" i="37"/>
  <c r="F984" i="37"/>
  <c r="F985" i="37"/>
  <c r="F986" i="37"/>
  <c r="F987" i="37"/>
  <c r="F988" i="37"/>
  <c r="F989" i="37"/>
  <c r="F990" i="37"/>
  <c r="F991" i="37"/>
  <c r="F992" i="37"/>
  <c r="F993" i="37"/>
  <c r="F994" i="37"/>
  <c r="F995" i="37"/>
  <c r="F996" i="37"/>
  <c r="F997" i="37"/>
  <c r="F998" i="37"/>
  <c r="F999" i="37"/>
  <c r="F1000" i="37"/>
  <c r="F1001" i="37"/>
  <c r="F1002" i="37"/>
  <c r="F1003" i="37"/>
  <c r="F1004" i="37"/>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5" i="8"/>
  <c r="D12" i="39"/>
  <c r="D13" i="39"/>
  <c r="F13" i="39" s="1"/>
  <c r="D14" i="39"/>
  <c r="D15" i="39"/>
  <c r="F15" i="39" s="1"/>
  <c r="D16" i="39"/>
  <c r="D17" i="39"/>
  <c r="F17" i="39" s="1"/>
  <c r="D18" i="39"/>
  <c r="D19" i="39"/>
  <c r="F19" i="39" s="1"/>
  <c r="D20" i="39"/>
  <c r="D21" i="39"/>
  <c r="F21" i="39" s="1"/>
  <c r="D22" i="39"/>
  <c r="D23" i="39"/>
  <c r="F23" i="39" s="1"/>
  <c r="D24" i="39"/>
  <c r="D25" i="39"/>
  <c r="F25" i="39" s="1"/>
  <c r="D26" i="39"/>
  <c r="D27" i="39"/>
  <c r="F27" i="39" s="1"/>
  <c r="D28" i="39"/>
  <c r="D29" i="39"/>
  <c r="F29" i="39" s="1"/>
  <c r="D30" i="39"/>
  <c r="D31" i="39"/>
  <c r="F31" i="39" s="1"/>
  <c r="D32" i="39"/>
  <c r="D33" i="39"/>
  <c r="D34" i="39"/>
  <c r="D35" i="39"/>
  <c r="D36" i="39"/>
  <c r="F36" i="39" s="1"/>
  <c r="D37" i="39"/>
  <c r="D38" i="39"/>
  <c r="D39" i="39"/>
  <c r="F39" i="39" s="1"/>
  <c r="D40" i="39"/>
  <c r="D41" i="39"/>
  <c r="D42" i="39"/>
  <c r="D43" i="39"/>
  <c r="D44" i="39"/>
  <c r="D45" i="39"/>
  <c r="D46" i="39"/>
  <c r="F46" i="39" s="1"/>
  <c r="D47" i="39"/>
  <c r="D48" i="39"/>
  <c r="F48" i="39" s="1"/>
  <c r="D49" i="39"/>
  <c r="D50" i="39"/>
  <c r="D51" i="39"/>
  <c r="F51" i="39" s="1"/>
  <c r="D52" i="39"/>
  <c r="D53" i="39"/>
  <c r="D54" i="39"/>
  <c r="D55" i="39"/>
  <c r="D56" i="39"/>
  <c r="F56" i="39" s="1"/>
  <c r="D57" i="39"/>
  <c r="D58" i="39"/>
  <c r="D59" i="39"/>
  <c r="D60" i="39"/>
  <c r="D61" i="39"/>
  <c r="D62" i="39"/>
  <c r="D63" i="39"/>
  <c r="F63" i="39" s="1"/>
  <c r="D64" i="39"/>
  <c r="D65" i="39"/>
  <c r="D66" i="39"/>
  <c r="D67" i="39"/>
  <c r="D68" i="39"/>
  <c r="F68" i="39" s="1"/>
  <c r="D69" i="39"/>
  <c r="D70" i="39"/>
  <c r="D71" i="39"/>
  <c r="F71" i="39" s="1"/>
  <c r="D72" i="39"/>
  <c r="D73" i="39"/>
  <c r="D74" i="39"/>
  <c r="D75" i="39"/>
  <c r="D76" i="39"/>
  <c r="D77" i="39"/>
  <c r="D78" i="39"/>
  <c r="F78" i="39" s="1"/>
  <c r="D79" i="39"/>
  <c r="D80" i="39"/>
  <c r="F80" i="39" s="1"/>
  <c r="D81" i="39"/>
  <c r="D82" i="39"/>
  <c r="D83" i="39"/>
  <c r="F83" i="39" s="1"/>
  <c r="D84" i="39"/>
  <c r="D85" i="39"/>
  <c r="D86" i="39"/>
  <c r="D87" i="39"/>
  <c r="D88" i="39"/>
  <c r="F88" i="39" s="1"/>
  <c r="D89" i="39"/>
  <c r="D90" i="39"/>
  <c r="D91" i="39"/>
  <c r="F91" i="39" s="1"/>
  <c r="D92" i="39"/>
  <c r="D93" i="39"/>
  <c r="D94" i="39"/>
  <c r="D95" i="39"/>
  <c r="D96" i="39"/>
  <c r="F96" i="39" s="1"/>
  <c r="D97" i="39"/>
  <c r="D98" i="39"/>
  <c r="D99" i="39"/>
  <c r="D100" i="39"/>
  <c r="D101" i="39"/>
  <c r="F101" i="39" s="1"/>
  <c r="D102" i="39"/>
  <c r="D103" i="39"/>
  <c r="D104" i="39"/>
  <c r="F104" i="39" s="1"/>
  <c r="D105" i="39"/>
  <c r="D106" i="39"/>
  <c r="D107" i="39"/>
  <c r="D108" i="39"/>
  <c r="D109" i="39"/>
  <c r="F109" i="39" s="1"/>
  <c r="D110" i="39"/>
  <c r="D111" i="39"/>
  <c r="D112" i="39"/>
  <c r="F112" i="39" s="1"/>
  <c r="D113" i="39"/>
  <c r="D114" i="39"/>
  <c r="D115" i="39"/>
  <c r="D116" i="39"/>
  <c r="D117" i="39"/>
  <c r="F117" i="39" s="1"/>
  <c r="D118" i="39"/>
  <c r="D119" i="39"/>
  <c r="D120" i="39"/>
  <c r="F120" i="39" s="1"/>
  <c r="D121" i="39"/>
  <c r="D122" i="39"/>
  <c r="D123" i="39"/>
  <c r="D124" i="39"/>
  <c r="D125" i="39"/>
  <c r="F125" i="39" s="1"/>
  <c r="D126" i="39"/>
  <c r="D127" i="39"/>
  <c r="D128" i="39"/>
  <c r="F128" i="39" s="1"/>
  <c r="D129" i="39"/>
  <c r="D130" i="39"/>
  <c r="D131" i="39"/>
  <c r="D132" i="39"/>
  <c r="D133" i="39"/>
  <c r="F133" i="39" s="1"/>
  <c r="D134" i="39"/>
  <c r="D135" i="39"/>
  <c r="D136" i="39"/>
  <c r="F136" i="39" s="1"/>
  <c r="D137" i="39"/>
  <c r="D138" i="39"/>
  <c r="D139" i="39"/>
  <c r="D140" i="39"/>
  <c r="D141" i="39"/>
  <c r="F141" i="39" s="1"/>
  <c r="D142" i="39"/>
  <c r="D143" i="39"/>
  <c r="D144" i="39"/>
  <c r="F144" i="39" s="1"/>
  <c r="D145" i="39"/>
  <c r="D146" i="39"/>
  <c r="D147" i="39"/>
  <c r="D148" i="39"/>
  <c r="D149" i="39"/>
  <c r="F149" i="39" s="1"/>
  <c r="D150" i="39"/>
  <c r="D151" i="39"/>
  <c r="F151" i="39" s="1"/>
  <c r="D152" i="39"/>
  <c r="D153" i="39"/>
  <c r="F153" i="39" s="1"/>
  <c r="D154" i="39"/>
  <c r="D155" i="39"/>
  <c r="F155" i="39" s="1"/>
  <c r="D156" i="39"/>
  <c r="D157" i="39"/>
  <c r="F157" i="39" s="1"/>
  <c r="D158" i="39"/>
  <c r="D159" i="39"/>
  <c r="F159" i="39" s="1"/>
  <c r="D160" i="39"/>
  <c r="D161" i="39"/>
  <c r="F161" i="39" s="1"/>
  <c r="D162" i="39"/>
  <c r="D163" i="39"/>
  <c r="F163" i="39" s="1"/>
  <c r="D164" i="39"/>
  <c r="D165" i="39"/>
  <c r="F165" i="39" s="1"/>
  <c r="D166" i="39"/>
  <c r="D167" i="39"/>
  <c r="F167" i="39" s="1"/>
  <c r="D168" i="39"/>
  <c r="D169" i="39"/>
  <c r="F169" i="39" s="1"/>
  <c r="D170" i="39"/>
  <c r="D171" i="39"/>
  <c r="F171" i="39" s="1"/>
  <c r="D172" i="39"/>
  <c r="D173" i="39"/>
  <c r="F173" i="39" s="1"/>
  <c r="D174" i="39"/>
  <c r="D175" i="39"/>
  <c r="F175" i="39" s="1"/>
  <c r="D176" i="39"/>
  <c r="D177" i="39"/>
  <c r="F177" i="39" s="1"/>
  <c r="D178" i="39"/>
  <c r="D179" i="39"/>
  <c r="F179" i="39" s="1"/>
  <c r="D180" i="39"/>
  <c r="D181" i="39"/>
  <c r="F181" i="39" s="1"/>
  <c r="D182" i="39"/>
  <c r="D183" i="39"/>
  <c r="F183" i="39" s="1"/>
  <c r="D184" i="39"/>
  <c r="D185" i="39"/>
  <c r="F185" i="39" s="1"/>
  <c r="D186" i="39"/>
  <c r="D187" i="39"/>
  <c r="F187" i="39" s="1"/>
  <c r="D188" i="39"/>
  <c r="D189" i="39"/>
  <c r="F189" i="39" s="1"/>
  <c r="D190" i="39"/>
  <c r="D191" i="39"/>
  <c r="F191" i="39" s="1"/>
  <c r="D192" i="39"/>
  <c r="D193" i="39"/>
  <c r="F193" i="39" s="1"/>
  <c r="D194" i="39"/>
  <c r="D195" i="39"/>
  <c r="F195" i="39" s="1"/>
  <c r="D196" i="39"/>
  <c r="D197" i="39"/>
  <c r="F197" i="39" s="1"/>
  <c r="D198" i="39"/>
  <c r="D199" i="39"/>
  <c r="F199" i="39" s="1"/>
  <c r="D200" i="39"/>
  <c r="D201" i="39"/>
  <c r="F201" i="39" s="1"/>
  <c r="D202" i="39"/>
  <c r="D203" i="39"/>
  <c r="F203" i="39" s="1"/>
  <c r="D204" i="39"/>
  <c r="D205" i="39"/>
  <c r="F205" i="39" s="1"/>
  <c r="D206" i="39"/>
  <c r="D207" i="39"/>
  <c r="F207" i="39" s="1"/>
  <c r="D208" i="39"/>
  <c r="D209" i="39"/>
  <c r="F209" i="39" s="1"/>
  <c r="D210" i="39"/>
  <c r="D211" i="39"/>
  <c r="F211" i="39" s="1"/>
  <c r="D212" i="39"/>
  <c r="D213" i="39"/>
  <c r="F213" i="39" s="1"/>
  <c r="D214" i="39"/>
  <c r="D215" i="39"/>
  <c r="F215" i="39" s="1"/>
  <c r="D216" i="39"/>
  <c r="D217" i="39"/>
  <c r="F217" i="39" s="1"/>
  <c r="D218" i="39"/>
  <c r="D219" i="39"/>
  <c r="F219" i="39" s="1"/>
  <c r="D220" i="39"/>
  <c r="D221" i="39"/>
  <c r="F221" i="39" s="1"/>
  <c r="D222" i="39"/>
  <c r="D223" i="39"/>
  <c r="F223" i="39" s="1"/>
  <c r="D224" i="39"/>
  <c r="D225" i="39"/>
  <c r="F225" i="39" s="1"/>
  <c r="D226" i="39"/>
  <c r="D227" i="39"/>
  <c r="F227" i="39" s="1"/>
  <c r="D228" i="39"/>
  <c r="D229" i="39"/>
  <c r="F229" i="39" s="1"/>
  <c r="D230" i="39"/>
  <c r="D231" i="39"/>
  <c r="F231" i="39" s="1"/>
  <c r="D232" i="39"/>
  <c r="D233" i="39"/>
  <c r="F233" i="39" s="1"/>
  <c r="D234" i="39"/>
  <c r="D235" i="39"/>
  <c r="F235" i="39" s="1"/>
  <c r="D236" i="39"/>
  <c r="D237" i="39"/>
  <c r="F237" i="39" s="1"/>
  <c r="D238" i="39"/>
  <c r="D239" i="39"/>
  <c r="F239" i="39" s="1"/>
  <c r="D240" i="39"/>
  <c r="D241" i="39"/>
  <c r="F241" i="39" s="1"/>
  <c r="D242" i="39"/>
  <c r="D243" i="39"/>
  <c r="F243" i="39" s="1"/>
  <c r="D244" i="39"/>
  <c r="D245" i="39"/>
  <c r="F245" i="39" s="1"/>
  <c r="D246" i="39"/>
  <c r="D247" i="39"/>
  <c r="F247" i="39" s="1"/>
  <c r="D248" i="39"/>
  <c r="D249" i="39"/>
  <c r="F249" i="39" s="1"/>
  <c r="D250" i="39"/>
  <c r="D251" i="39"/>
  <c r="F251" i="39" s="1"/>
  <c r="D252" i="39"/>
  <c r="D253" i="39"/>
  <c r="F253" i="39" s="1"/>
  <c r="D254" i="39"/>
  <c r="D255" i="39"/>
  <c r="F255" i="39" s="1"/>
  <c r="D256" i="39"/>
  <c r="D257" i="39"/>
  <c r="F257" i="39" s="1"/>
  <c r="D258" i="39"/>
  <c r="D259" i="39"/>
  <c r="F259" i="39" s="1"/>
  <c r="D260" i="39"/>
  <c r="D261" i="39"/>
  <c r="F261" i="39" s="1"/>
  <c r="D262" i="39"/>
  <c r="D263" i="39"/>
  <c r="F263" i="39" s="1"/>
  <c r="D264" i="39"/>
  <c r="D265" i="39"/>
  <c r="F265" i="39" s="1"/>
  <c r="D266" i="39"/>
  <c r="D267" i="39"/>
  <c r="F267" i="39" s="1"/>
  <c r="D268" i="39"/>
  <c r="D269" i="39"/>
  <c r="F269" i="39" s="1"/>
  <c r="D270" i="39"/>
  <c r="D271" i="39"/>
  <c r="F271" i="39" s="1"/>
  <c r="D272" i="39"/>
  <c r="D273" i="39"/>
  <c r="F273" i="39" s="1"/>
  <c r="D274" i="39"/>
  <c r="D275" i="39"/>
  <c r="F275" i="39" s="1"/>
  <c r="D276" i="39"/>
  <c r="D277" i="39"/>
  <c r="F277" i="39" s="1"/>
  <c r="D278" i="39"/>
  <c r="D279" i="39"/>
  <c r="F279" i="39" s="1"/>
  <c r="D280" i="39"/>
  <c r="D281" i="39"/>
  <c r="F281" i="39" s="1"/>
  <c r="D282" i="39"/>
  <c r="D283" i="39"/>
  <c r="F283" i="39" s="1"/>
  <c r="D284" i="39"/>
  <c r="D285" i="39"/>
  <c r="F285" i="39" s="1"/>
  <c r="D286" i="39"/>
  <c r="D287" i="39"/>
  <c r="F287" i="39" s="1"/>
  <c r="D288" i="39"/>
  <c r="D289" i="39"/>
  <c r="F289" i="39" s="1"/>
  <c r="D290" i="39"/>
  <c r="D291" i="39"/>
  <c r="F291" i="39" s="1"/>
  <c r="D292" i="39"/>
  <c r="D293" i="39"/>
  <c r="F293" i="39" s="1"/>
  <c r="D294" i="39"/>
  <c r="D295" i="39"/>
  <c r="F295" i="39" s="1"/>
  <c r="D296" i="39"/>
  <c r="D297" i="39"/>
  <c r="F297" i="39" s="1"/>
  <c r="D298" i="39"/>
  <c r="D299" i="39"/>
  <c r="F299" i="39" s="1"/>
  <c r="D300" i="39"/>
  <c r="D301" i="39"/>
  <c r="F301" i="39" s="1"/>
  <c r="D302" i="39"/>
  <c r="D303" i="39"/>
  <c r="F303" i="39" s="1"/>
  <c r="D304" i="39"/>
  <c r="D305" i="39"/>
  <c r="F305" i="39" s="1"/>
  <c r="D306" i="39"/>
  <c r="D307" i="39"/>
  <c r="F307" i="39" s="1"/>
  <c r="D308" i="39"/>
  <c r="D309" i="39"/>
  <c r="F309" i="39" s="1"/>
  <c r="D310" i="39"/>
  <c r="D311" i="39"/>
  <c r="F311" i="39" s="1"/>
  <c r="D312" i="39"/>
  <c r="D313" i="39"/>
  <c r="F313" i="39" s="1"/>
  <c r="D314" i="39"/>
  <c r="D315" i="39"/>
  <c r="F315" i="39" s="1"/>
  <c r="D316" i="39"/>
  <c r="D317" i="39"/>
  <c r="F317" i="39" s="1"/>
  <c r="D318" i="39"/>
  <c r="D319" i="39"/>
  <c r="F319" i="39" s="1"/>
  <c r="D320" i="39"/>
  <c r="D321" i="39"/>
  <c r="F321" i="39" s="1"/>
  <c r="D322" i="39"/>
  <c r="D323" i="39"/>
  <c r="F323" i="39" s="1"/>
  <c r="D324" i="39"/>
  <c r="D325" i="39"/>
  <c r="F325" i="39" s="1"/>
  <c r="D326" i="39"/>
  <c r="D327" i="39"/>
  <c r="F327" i="39" s="1"/>
  <c r="D328" i="39"/>
  <c r="D329" i="39"/>
  <c r="F329" i="39" s="1"/>
  <c r="D330" i="39"/>
  <c r="D331" i="39"/>
  <c r="F331" i="39" s="1"/>
  <c r="D332" i="39"/>
  <c r="D333" i="39"/>
  <c r="F333" i="39" s="1"/>
  <c r="D334" i="39"/>
  <c r="D335" i="39"/>
  <c r="F335" i="39" s="1"/>
  <c r="D336" i="39"/>
  <c r="D337" i="39"/>
  <c r="F337" i="39" s="1"/>
  <c r="D338" i="39"/>
  <c r="D339" i="39"/>
  <c r="F339" i="39" s="1"/>
  <c r="D340" i="39"/>
  <c r="D341" i="39"/>
  <c r="F341" i="39" s="1"/>
  <c r="D342" i="39"/>
  <c r="D343" i="39"/>
  <c r="F343" i="39" s="1"/>
  <c r="D344" i="39"/>
  <c r="D345" i="39"/>
  <c r="F345" i="39" s="1"/>
  <c r="D346" i="39"/>
  <c r="D347" i="39"/>
  <c r="F347" i="39" s="1"/>
  <c r="D348" i="39"/>
  <c r="D349" i="39"/>
  <c r="F349" i="39" s="1"/>
  <c r="D350" i="39"/>
  <c r="D351" i="39"/>
  <c r="F351" i="39" s="1"/>
  <c r="D352" i="39"/>
  <c r="D353" i="39"/>
  <c r="F353" i="39" s="1"/>
  <c r="D354" i="39"/>
  <c r="D355" i="39"/>
  <c r="F355" i="39" s="1"/>
  <c r="D356" i="39"/>
  <c r="D357" i="39"/>
  <c r="F357" i="39" s="1"/>
  <c r="D358" i="39"/>
  <c r="D359" i="39"/>
  <c r="F359" i="39" s="1"/>
  <c r="D360" i="39"/>
  <c r="D361" i="39"/>
  <c r="F361" i="39" s="1"/>
  <c r="D362" i="39"/>
  <c r="D363" i="39"/>
  <c r="F363" i="39" s="1"/>
  <c r="D364" i="39"/>
  <c r="D365" i="39"/>
  <c r="F365" i="39" s="1"/>
  <c r="D366" i="39"/>
  <c r="D367" i="39"/>
  <c r="F367" i="39" s="1"/>
  <c r="D368" i="39"/>
  <c r="D369" i="39"/>
  <c r="F369" i="39" s="1"/>
  <c r="D370" i="39"/>
  <c r="D371" i="39"/>
  <c r="F371" i="39" s="1"/>
  <c r="D372" i="39"/>
  <c r="D373" i="39"/>
  <c r="F373" i="39" s="1"/>
  <c r="D374" i="39"/>
  <c r="D375" i="39"/>
  <c r="F375" i="39" s="1"/>
  <c r="D376" i="39"/>
  <c r="D377" i="39"/>
  <c r="F377" i="39" s="1"/>
  <c r="D378" i="39"/>
  <c r="D379" i="39"/>
  <c r="F379" i="39" s="1"/>
  <c r="D380" i="39"/>
  <c r="D381" i="39"/>
  <c r="F381" i="39" s="1"/>
  <c r="D382" i="39"/>
  <c r="D383" i="39"/>
  <c r="F383" i="39" s="1"/>
  <c r="D384" i="39"/>
  <c r="D385" i="39"/>
  <c r="F385" i="39" s="1"/>
  <c r="D386" i="39"/>
  <c r="D387" i="39"/>
  <c r="F387" i="39" s="1"/>
  <c r="D388" i="39"/>
  <c r="D389" i="39"/>
  <c r="F389" i="39" s="1"/>
  <c r="D390" i="39"/>
  <c r="D391" i="39"/>
  <c r="F391" i="39" s="1"/>
  <c r="D392" i="39"/>
  <c r="D393" i="39"/>
  <c r="F393" i="39" s="1"/>
  <c r="D394" i="39"/>
  <c r="D395" i="39"/>
  <c r="F395" i="39" s="1"/>
  <c r="D396" i="39"/>
  <c r="D397" i="39"/>
  <c r="F397" i="39" s="1"/>
  <c r="D398" i="39"/>
  <c r="D399" i="39"/>
  <c r="F399" i="39" s="1"/>
  <c r="D400" i="39"/>
  <c r="D401" i="39"/>
  <c r="F401" i="39" s="1"/>
  <c r="D402" i="39"/>
  <c r="D403" i="39"/>
  <c r="F403" i="39" s="1"/>
  <c r="D404" i="39"/>
  <c r="D405" i="39"/>
  <c r="F405" i="39" s="1"/>
  <c r="D406" i="39"/>
  <c r="D407" i="39"/>
  <c r="F407" i="39" s="1"/>
  <c r="D408" i="39"/>
  <c r="D409" i="39"/>
  <c r="F409" i="39" s="1"/>
  <c r="D410" i="39"/>
  <c r="D411" i="39"/>
  <c r="F411" i="39" s="1"/>
  <c r="D412" i="39"/>
  <c r="D413" i="39"/>
  <c r="F413" i="39" s="1"/>
  <c r="D414" i="39"/>
  <c r="D415" i="39"/>
  <c r="F415" i="39" s="1"/>
  <c r="D416" i="39"/>
  <c r="D417" i="39"/>
  <c r="F417" i="39" s="1"/>
  <c r="D418" i="39"/>
  <c r="D419" i="39"/>
  <c r="F419" i="39" s="1"/>
  <c r="D420" i="39"/>
  <c r="D421" i="39"/>
  <c r="F421" i="39" s="1"/>
  <c r="D422" i="39"/>
  <c r="D423" i="39"/>
  <c r="F423" i="39" s="1"/>
  <c r="D424" i="39"/>
  <c r="D425" i="39"/>
  <c r="F425" i="39" s="1"/>
  <c r="D426" i="39"/>
  <c r="D427" i="39"/>
  <c r="F427" i="39" s="1"/>
  <c r="D428" i="39"/>
  <c r="D429" i="39"/>
  <c r="F429" i="39" s="1"/>
  <c r="D430" i="39"/>
  <c r="D431" i="39"/>
  <c r="F431" i="39" s="1"/>
  <c r="D432" i="39"/>
  <c r="D433" i="39"/>
  <c r="F433" i="39" s="1"/>
  <c r="D434" i="39"/>
  <c r="D435" i="39"/>
  <c r="F435" i="39" s="1"/>
  <c r="D436" i="39"/>
  <c r="D437" i="39"/>
  <c r="F437" i="39" s="1"/>
  <c r="D438" i="39"/>
  <c r="D439" i="39"/>
  <c r="F439" i="39" s="1"/>
  <c r="D440" i="39"/>
  <c r="D441" i="39"/>
  <c r="F441" i="39" s="1"/>
  <c r="D442" i="39"/>
  <c r="D443" i="39"/>
  <c r="F443" i="39" s="1"/>
  <c r="D444" i="39"/>
  <c r="D445" i="39"/>
  <c r="F445" i="39" s="1"/>
  <c r="D446" i="39"/>
  <c r="D447" i="39"/>
  <c r="F447" i="39" s="1"/>
  <c r="D448" i="39"/>
  <c r="D449" i="39"/>
  <c r="F449" i="39" s="1"/>
  <c r="D450" i="39"/>
  <c r="D451" i="39"/>
  <c r="F451" i="39" s="1"/>
  <c r="D452" i="39"/>
  <c r="D453" i="39"/>
  <c r="F453" i="39" s="1"/>
  <c r="D454" i="39"/>
  <c r="D455" i="39"/>
  <c r="F455" i="39" s="1"/>
  <c r="D456" i="39"/>
  <c r="D457" i="39"/>
  <c r="F457" i="39" s="1"/>
  <c r="D458" i="39"/>
  <c r="D459" i="39"/>
  <c r="F459" i="39" s="1"/>
  <c r="D460" i="39"/>
  <c r="D461" i="39"/>
  <c r="F461" i="39" s="1"/>
  <c r="D462" i="39"/>
  <c r="D463" i="39"/>
  <c r="F463" i="39" s="1"/>
  <c r="D464" i="39"/>
  <c r="D465" i="39"/>
  <c r="F465" i="39" s="1"/>
  <c r="D466" i="39"/>
  <c r="D467" i="39"/>
  <c r="F467" i="39" s="1"/>
  <c r="D468" i="39"/>
  <c r="D469" i="39"/>
  <c r="F469" i="39" s="1"/>
  <c r="D470" i="39"/>
  <c r="D471" i="39"/>
  <c r="F471" i="39" s="1"/>
  <c r="D472" i="39"/>
  <c r="D473" i="39"/>
  <c r="F473" i="39" s="1"/>
  <c r="D474" i="39"/>
  <c r="D475" i="39"/>
  <c r="F475" i="39" s="1"/>
  <c r="D476" i="39"/>
  <c r="D477" i="39"/>
  <c r="F477" i="39" s="1"/>
  <c r="D478" i="39"/>
  <c r="D479" i="39"/>
  <c r="F479" i="39" s="1"/>
  <c r="D480" i="39"/>
  <c r="D481" i="39"/>
  <c r="F481" i="39" s="1"/>
  <c r="D482" i="39"/>
  <c r="D483" i="39"/>
  <c r="F483" i="39" s="1"/>
  <c r="D484" i="39"/>
  <c r="D485" i="39"/>
  <c r="F485" i="39" s="1"/>
  <c r="D486" i="39"/>
  <c r="D487" i="39"/>
  <c r="F487" i="39" s="1"/>
  <c r="D488" i="39"/>
  <c r="D489" i="39"/>
  <c r="F489" i="39" s="1"/>
  <c r="D490" i="39"/>
  <c r="D491" i="39"/>
  <c r="F491" i="39" s="1"/>
  <c r="D492" i="39"/>
  <c r="D493" i="39"/>
  <c r="F493" i="39" s="1"/>
  <c r="D494" i="39"/>
  <c r="D495" i="39"/>
  <c r="F495" i="39" s="1"/>
  <c r="D496" i="39"/>
  <c r="D497" i="39"/>
  <c r="F497" i="39" s="1"/>
  <c r="D498" i="39"/>
  <c r="D499" i="39"/>
  <c r="F499" i="39" s="1"/>
  <c r="D500" i="39"/>
  <c r="D501" i="39"/>
  <c r="F501" i="39" s="1"/>
  <c r="D502" i="39"/>
  <c r="D503" i="39"/>
  <c r="F503" i="39" s="1"/>
  <c r="D504" i="39"/>
  <c r="D505" i="39"/>
  <c r="F505" i="39" s="1"/>
  <c r="D506" i="39"/>
  <c r="D507" i="39"/>
  <c r="F507" i="39" s="1"/>
  <c r="D508" i="39"/>
  <c r="D509" i="39"/>
  <c r="F509" i="39" s="1"/>
  <c r="D510" i="39"/>
  <c r="D511" i="39"/>
  <c r="F511" i="39" s="1"/>
  <c r="D512" i="39"/>
  <c r="D513" i="39"/>
  <c r="F513" i="39" s="1"/>
  <c r="D514" i="39"/>
  <c r="D515" i="39"/>
  <c r="F515" i="39" s="1"/>
  <c r="D516" i="39"/>
  <c r="D517" i="39"/>
  <c r="F517" i="39" s="1"/>
  <c r="D518" i="39"/>
  <c r="D519" i="39"/>
  <c r="F519" i="39" s="1"/>
  <c r="D520" i="39"/>
  <c r="D521" i="39"/>
  <c r="F521" i="39" s="1"/>
  <c r="D522" i="39"/>
  <c r="D523" i="39"/>
  <c r="F523" i="39" s="1"/>
  <c r="D524" i="39"/>
  <c r="D525" i="39"/>
  <c r="F525" i="39" s="1"/>
  <c r="D526" i="39"/>
  <c r="D527" i="39"/>
  <c r="F527" i="39" s="1"/>
  <c r="D528" i="39"/>
  <c r="D529" i="39"/>
  <c r="F529" i="39" s="1"/>
  <c r="D530" i="39"/>
  <c r="D531" i="39"/>
  <c r="F531" i="39" s="1"/>
  <c r="D532" i="39"/>
  <c r="D533" i="39"/>
  <c r="F533" i="39" s="1"/>
  <c r="D534" i="39"/>
  <c r="D535" i="39"/>
  <c r="F535" i="39" s="1"/>
  <c r="D536" i="39"/>
  <c r="D537" i="39"/>
  <c r="F537" i="39" s="1"/>
  <c r="D538" i="39"/>
  <c r="D539" i="39"/>
  <c r="F539" i="39" s="1"/>
  <c r="D540" i="39"/>
  <c r="D541" i="39"/>
  <c r="D542" i="39"/>
  <c r="D543" i="39"/>
  <c r="F543" i="39" s="1"/>
  <c r="D544" i="39"/>
  <c r="D545" i="39"/>
  <c r="D546" i="39"/>
  <c r="D547" i="39"/>
  <c r="F547" i="39" s="1"/>
  <c r="D548" i="39"/>
  <c r="D549" i="39"/>
  <c r="F549" i="39" s="1"/>
  <c r="D550" i="39"/>
  <c r="D551" i="39"/>
  <c r="F551" i="39" s="1"/>
  <c r="D552" i="39"/>
  <c r="D553" i="39"/>
  <c r="F553" i="39" s="1"/>
  <c r="D554" i="39"/>
  <c r="D555" i="39"/>
  <c r="F555" i="39" s="1"/>
  <c r="D556" i="39"/>
  <c r="D557" i="39"/>
  <c r="F557" i="39" s="1"/>
  <c r="D558" i="39"/>
  <c r="D559" i="39"/>
  <c r="F559" i="39" s="1"/>
  <c r="D560" i="39"/>
  <c r="D561" i="39"/>
  <c r="F561" i="39" s="1"/>
  <c r="D562" i="39"/>
  <c r="D563" i="39"/>
  <c r="F563" i="39" s="1"/>
  <c r="D564" i="39"/>
  <c r="D565" i="39"/>
  <c r="F565" i="39" s="1"/>
  <c r="D566" i="39"/>
  <c r="D567" i="39"/>
  <c r="F567" i="39" s="1"/>
  <c r="D568" i="39"/>
  <c r="D569" i="39"/>
  <c r="F569" i="39" s="1"/>
  <c r="D570" i="39"/>
  <c r="D571" i="39"/>
  <c r="F571" i="39" s="1"/>
  <c r="D572" i="39"/>
  <c r="D573" i="39"/>
  <c r="F573" i="39" s="1"/>
  <c r="D574" i="39"/>
  <c r="D575" i="39"/>
  <c r="F575" i="39" s="1"/>
  <c r="D576" i="39"/>
  <c r="D577" i="39"/>
  <c r="F577" i="39" s="1"/>
  <c r="D578" i="39"/>
  <c r="D579" i="39"/>
  <c r="F579" i="39" s="1"/>
  <c r="D580" i="39"/>
  <c r="D581" i="39"/>
  <c r="F581" i="39" s="1"/>
  <c r="D582" i="39"/>
  <c r="D583" i="39"/>
  <c r="F583" i="39" s="1"/>
  <c r="D584" i="39"/>
  <c r="D585" i="39"/>
  <c r="F585" i="39" s="1"/>
  <c r="D586" i="39"/>
  <c r="D587" i="39"/>
  <c r="F587" i="39" s="1"/>
  <c r="D588" i="39"/>
  <c r="D589" i="39"/>
  <c r="F589" i="39" s="1"/>
  <c r="D590" i="39"/>
  <c r="D591" i="39"/>
  <c r="F591" i="39" s="1"/>
  <c r="D592" i="39"/>
  <c r="D593" i="39"/>
  <c r="F593" i="39" s="1"/>
  <c r="D594" i="39"/>
  <c r="D595" i="39"/>
  <c r="F595" i="39" s="1"/>
  <c r="D596" i="39"/>
  <c r="D597" i="39"/>
  <c r="D598" i="39"/>
  <c r="D599" i="39"/>
  <c r="F599" i="39" s="1"/>
  <c r="D600" i="39"/>
  <c r="D601" i="39"/>
  <c r="F601" i="39" s="1"/>
  <c r="D602" i="39"/>
  <c r="D603" i="39"/>
  <c r="F603" i="39" s="1"/>
  <c r="D604" i="39"/>
  <c r="D605" i="39"/>
  <c r="D606" i="39"/>
  <c r="D607" i="39"/>
  <c r="D608" i="39"/>
  <c r="D609" i="39"/>
  <c r="F609" i="39" s="1"/>
  <c r="D610" i="39"/>
  <c r="D611" i="39"/>
  <c r="F611" i="39" s="1"/>
  <c r="D612" i="39"/>
  <c r="D613" i="39"/>
  <c r="D614" i="39"/>
  <c r="D615" i="39"/>
  <c r="F615" i="39" s="1"/>
  <c r="D616" i="39"/>
  <c r="D617" i="39"/>
  <c r="D618" i="39"/>
  <c r="D619" i="39"/>
  <c r="F619" i="39" s="1"/>
  <c r="D620" i="39"/>
  <c r="D621" i="39"/>
  <c r="D622" i="39"/>
  <c r="D623" i="39"/>
  <c r="F623" i="39" s="1"/>
  <c r="D624" i="39"/>
  <c r="D625" i="39"/>
  <c r="D626" i="39"/>
  <c r="D627" i="39"/>
  <c r="D628" i="39"/>
  <c r="D629" i="39"/>
  <c r="F629" i="39" s="1"/>
  <c r="D630" i="39"/>
  <c r="D631" i="39"/>
  <c r="D632" i="39"/>
  <c r="D633" i="39"/>
  <c r="F633" i="39" s="1"/>
  <c r="D634" i="39"/>
  <c r="D635" i="39"/>
  <c r="D636" i="39"/>
  <c r="D637" i="39"/>
  <c r="F637" i="39" s="1"/>
  <c r="D638" i="39"/>
  <c r="D639" i="39"/>
  <c r="D640" i="39"/>
  <c r="D641" i="39"/>
  <c r="D642" i="39"/>
  <c r="D643" i="39"/>
  <c r="F643" i="39" s="1"/>
  <c r="D644" i="39"/>
  <c r="D645" i="39"/>
  <c r="F645" i="39" s="1"/>
  <c r="D646" i="39"/>
  <c r="D647" i="39"/>
  <c r="D648" i="39"/>
  <c r="D649" i="39"/>
  <c r="D650" i="39"/>
  <c r="D651" i="39"/>
  <c r="F651" i="39" s="1"/>
  <c r="D652" i="39"/>
  <c r="D653" i="39"/>
  <c r="F653" i="39" s="1"/>
  <c r="D654" i="39"/>
  <c r="D655" i="39"/>
  <c r="D656" i="39"/>
  <c r="D657" i="39"/>
  <c r="D658" i="39"/>
  <c r="D659" i="39"/>
  <c r="F659" i="39" s="1"/>
  <c r="D660" i="39"/>
  <c r="D661" i="39"/>
  <c r="F661" i="39" s="1"/>
  <c r="D662" i="39"/>
  <c r="D663" i="39"/>
  <c r="D664" i="39"/>
  <c r="D665" i="39"/>
  <c r="D666" i="39"/>
  <c r="D667" i="39"/>
  <c r="F667" i="39" s="1"/>
  <c r="D668" i="39"/>
  <c r="D669" i="39"/>
  <c r="F669" i="39" s="1"/>
  <c r="D670" i="39"/>
  <c r="D671" i="39"/>
  <c r="D672" i="39"/>
  <c r="D673" i="39"/>
  <c r="D674" i="39"/>
  <c r="D675" i="39"/>
  <c r="F675" i="39" s="1"/>
  <c r="D676" i="39"/>
  <c r="D677" i="39"/>
  <c r="D678" i="39"/>
  <c r="D679" i="39"/>
  <c r="F679" i="39" s="1"/>
  <c r="D680" i="39"/>
  <c r="D681" i="39"/>
  <c r="D682" i="39"/>
  <c r="D683" i="39"/>
  <c r="F683" i="39" s="1"/>
  <c r="D684" i="39"/>
  <c r="D685" i="39"/>
  <c r="F685" i="39" s="1"/>
  <c r="D686" i="39"/>
  <c r="D687" i="39"/>
  <c r="D688" i="39"/>
  <c r="D689" i="39"/>
  <c r="F689" i="39" s="1"/>
  <c r="D690" i="39"/>
  <c r="D691" i="39"/>
  <c r="F691" i="39" s="1"/>
  <c r="D692" i="39"/>
  <c r="D693" i="39"/>
  <c r="D694" i="39"/>
  <c r="D695" i="39"/>
  <c r="F695" i="39" s="1"/>
  <c r="D696" i="39"/>
  <c r="D697" i="39"/>
  <c r="F697" i="39" s="1"/>
  <c r="D698" i="39"/>
  <c r="D699" i="39"/>
  <c r="D700" i="39"/>
  <c r="D701" i="39"/>
  <c r="F701" i="39" s="1"/>
  <c r="D702" i="39"/>
  <c r="D703" i="39"/>
  <c r="F703" i="39" s="1"/>
  <c r="D704" i="39"/>
  <c r="D705" i="39"/>
  <c r="D706" i="39"/>
  <c r="D707" i="39"/>
  <c r="F707" i="39" s="1"/>
  <c r="D708" i="39"/>
  <c r="D709" i="39"/>
  <c r="F709" i="39" s="1"/>
  <c r="D710" i="39"/>
  <c r="D711" i="39"/>
  <c r="D712" i="39"/>
  <c r="D713" i="39"/>
  <c r="D714" i="39"/>
  <c r="D715" i="39"/>
  <c r="F715" i="39" s="1"/>
  <c r="D716" i="39"/>
  <c r="D717" i="39"/>
  <c r="F717" i="39" s="1"/>
  <c r="D718" i="39"/>
  <c r="D719" i="39"/>
  <c r="F719" i="39" s="1"/>
  <c r="D720" i="39"/>
  <c r="D721" i="39"/>
  <c r="F721" i="39" s="1"/>
  <c r="D722" i="39"/>
  <c r="D723" i="39"/>
  <c r="D724" i="39"/>
  <c r="D725" i="39"/>
  <c r="D726" i="39"/>
  <c r="D727" i="39"/>
  <c r="F727" i="39" s="1"/>
  <c r="D728" i="39"/>
  <c r="D729" i="39"/>
  <c r="F729" i="39" s="1"/>
  <c r="D730" i="39"/>
  <c r="D731" i="39"/>
  <c r="D732" i="39"/>
  <c r="D733" i="39"/>
  <c r="F733" i="39" s="1"/>
  <c r="D734" i="39"/>
  <c r="D735" i="39"/>
  <c r="F735" i="39" s="1"/>
  <c r="D736" i="39"/>
  <c r="D737" i="39"/>
  <c r="D738" i="39"/>
  <c r="D739" i="39"/>
  <c r="F739" i="39" s="1"/>
  <c r="D740" i="39"/>
  <c r="D741" i="39"/>
  <c r="F741" i="39" s="1"/>
  <c r="D742" i="39"/>
  <c r="D743" i="39"/>
  <c r="D744" i="39"/>
  <c r="D745" i="39"/>
  <c r="F745" i="39" s="1"/>
  <c r="D746" i="39"/>
  <c r="D747" i="39"/>
  <c r="F747" i="39" s="1"/>
  <c r="D748" i="39"/>
  <c r="D749" i="39"/>
  <c r="D750" i="39"/>
  <c r="D751" i="39"/>
  <c r="F751" i="39" s="1"/>
  <c r="D752" i="39"/>
  <c r="D753" i="39"/>
  <c r="F753" i="39" s="1"/>
  <c r="D754" i="39"/>
  <c r="D755" i="39"/>
  <c r="D756" i="39"/>
  <c r="D757" i="39"/>
  <c r="F757" i="39" s="1"/>
  <c r="D758" i="39"/>
  <c r="D759" i="39"/>
  <c r="F759" i="39" s="1"/>
  <c r="D760" i="39"/>
  <c r="D761" i="39"/>
  <c r="D762" i="39"/>
  <c r="D763" i="39"/>
  <c r="F763" i="39" s="1"/>
  <c r="D764" i="39"/>
  <c r="D765" i="39"/>
  <c r="F765" i="39" s="1"/>
  <c r="D766" i="39"/>
  <c r="D767" i="39"/>
  <c r="D768" i="39"/>
  <c r="D769" i="39"/>
  <c r="F769" i="39" s="1"/>
  <c r="D770" i="39"/>
  <c r="D771" i="39"/>
  <c r="F771" i="39" s="1"/>
  <c r="D772" i="39"/>
  <c r="D773" i="39"/>
  <c r="D774" i="39"/>
  <c r="D775" i="39"/>
  <c r="F775" i="39" s="1"/>
  <c r="D776" i="39"/>
  <c r="D777" i="39"/>
  <c r="F777" i="39" s="1"/>
  <c r="D778" i="39"/>
  <c r="D779" i="39"/>
  <c r="D780" i="39"/>
  <c r="D781" i="39"/>
  <c r="F781" i="39" s="1"/>
  <c r="D782" i="39"/>
  <c r="D783" i="39"/>
  <c r="D784" i="39"/>
  <c r="D785" i="39"/>
  <c r="F785" i="39" s="1"/>
  <c r="D786" i="39"/>
  <c r="D787" i="39"/>
  <c r="F787" i="39" s="1"/>
  <c r="D788" i="39"/>
  <c r="D789" i="39"/>
  <c r="D790" i="39"/>
  <c r="D791" i="39"/>
  <c r="F791" i="39" s="1"/>
  <c r="D792" i="39"/>
  <c r="D793" i="39"/>
  <c r="F793" i="39" s="1"/>
  <c r="D794" i="39"/>
  <c r="D795" i="39"/>
  <c r="D796" i="39"/>
  <c r="D797" i="39"/>
  <c r="F797" i="39" s="1"/>
  <c r="D798" i="39"/>
  <c r="D799" i="39"/>
  <c r="F799" i="39" s="1"/>
  <c r="D800" i="39"/>
  <c r="D801" i="39"/>
  <c r="D802" i="39"/>
  <c r="D803" i="39"/>
  <c r="F803" i="39" s="1"/>
  <c r="D804" i="39"/>
  <c r="D805" i="39"/>
  <c r="F805" i="39" s="1"/>
  <c r="D806" i="39"/>
  <c r="D807" i="39"/>
  <c r="D808" i="39"/>
  <c r="D809" i="39"/>
  <c r="F809" i="39" s="1"/>
  <c r="D810" i="39"/>
  <c r="D811" i="39"/>
  <c r="D812" i="39"/>
  <c r="D813" i="39"/>
  <c r="F813" i="39" s="1"/>
  <c r="D814" i="39"/>
  <c r="D815" i="39"/>
  <c r="D816" i="39"/>
  <c r="D817" i="39"/>
  <c r="D818" i="39"/>
  <c r="D819" i="39"/>
  <c r="D820" i="39"/>
  <c r="D821" i="39"/>
  <c r="D822" i="39"/>
  <c r="D823" i="39"/>
  <c r="D824" i="39"/>
  <c r="D825" i="39"/>
  <c r="F825" i="39" s="1"/>
  <c r="D826" i="39"/>
  <c r="D827" i="39"/>
  <c r="D828" i="39"/>
  <c r="D829" i="39"/>
  <c r="F829" i="39" s="1"/>
  <c r="D830" i="39"/>
  <c r="D831" i="39"/>
  <c r="D832" i="39"/>
  <c r="D833" i="39"/>
  <c r="D834" i="39"/>
  <c r="D835" i="39"/>
  <c r="D836" i="39"/>
  <c r="D837" i="39"/>
  <c r="D838" i="39"/>
  <c r="D839" i="39"/>
  <c r="D840" i="39"/>
  <c r="D841" i="39"/>
  <c r="D842" i="39"/>
  <c r="D843" i="39"/>
  <c r="D844" i="39"/>
  <c r="D845" i="39"/>
  <c r="D846" i="39"/>
  <c r="D847" i="39"/>
  <c r="D848" i="39"/>
  <c r="D849" i="39"/>
  <c r="D850" i="39"/>
  <c r="D851" i="39"/>
  <c r="D852" i="39"/>
  <c r="D853" i="39"/>
  <c r="D854" i="39"/>
  <c r="D855" i="39"/>
  <c r="D856" i="39"/>
  <c r="D857" i="39"/>
  <c r="D858" i="39"/>
  <c r="D859" i="39"/>
  <c r="D860" i="39"/>
  <c r="D861" i="39"/>
  <c r="D862" i="39"/>
  <c r="D863" i="39"/>
  <c r="D864" i="39"/>
  <c r="D865" i="39"/>
  <c r="D866" i="39"/>
  <c r="D867" i="39"/>
  <c r="D868" i="39"/>
  <c r="D869" i="39"/>
  <c r="F869" i="39" s="1"/>
  <c r="D870" i="39"/>
  <c r="D871" i="39"/>
  <c r="D872" i="39"/>
  <c r="D873" i="39"/>
  <c r="D874" i="39"/>
  <c r="D875" i="39"/>
  <c r="D876" i="39"/>
  <c r="D877" i="39"/>
  <c r="D878" i="39"/>
  <c r="D879" i="39"/>
  <c r="D880" i="39"/>
  <c r="D881" i="39"/>
  <c r="F881" i="39" s="1"/>
  <c r="D882" i="39"/>
  <c r="D883" i="39"/>
  <c r="D884" i="39"/>
  <c r="D885" i="39"/>
  <c r="F885" i="39" s="1"/>
  <c r="D886" i="39"/>
  <c r="D887" i="39"/>
  <c r="D888" i="39"/>
  <c r="D889" i="39"/>
  <c r="D890" i="39"/>
  <c r="D891" i="39"/>
  <c r="D892" i="39"/>
  <c r="D893" i="39"/>
  <c r="D894" i="39"/>
  <c r="D895" i="39"/>
  <c r="D896" i="39"/>
  <c r="D897" i="39"/>
  <c r="D898" i="39"/>
  <c r="D899" i="39"/>
  <c r="D900" i="39"/>
  <c r="D901" i="39"/>
  <c r="F901" i="39" s="1"/>
  <c r="D902" i="39"/>
  <c r="D903" i="39"/>
  <c r="D904" i="39"/>
  <c r="D905" i="39"/>
  <c r="F905" i="39" s="1"/>
  <c r="D906" i="39"/>
  <c r="D907" i="39"/>
  <c r="D908" i="39"/>
  <c r="D909" i="39"/>
  <c r="D910" i="39"/>
  <c r="D911" i="39"/>
  <c r="D912" i="39"/>
  <c r="D913" i="39"/>
  <c r="D914" i="39"/>
  <c r="D915" i="39"/>
  <c r="D916" i="39"/>
  <c r="D917" i="39"/>
  <c r="F917" i="39" s="1"/>
  <c r="D918" i="39"/>
  <c r="D919" i="39"/>
  <c r="D920" i="39"/>
  <c r="D921" i="39"/>
  <c r="F921" i="39" s="1"/>
  <c r="D922" i="39"/>
  <c r="D923" i="39"/>
  <c r="D924" i="39"/>
  <c r="D925" i="39"/>
  <c r="D926" i="39"/>
  <c r="D927" i="39"/>
  <c r="D928" i="39"/>
  <c r="D929" i="39"/>
  <c r="F929" i="39" s="1"/>
  <c r="D930" i="39"/>
  <c r="D931" i="39"/>
  <c r="D932" i="39"/>
  <c r="D933" i="39"/>
  <c r="F933" i="39" s="1"/>
  <c r="D934" i="39"/>
  <c r="D935" i="39"/>
  <c r="D936" i="39"/>
  <c r="D937" i="39"/>
  <c r="D938" i="39"/>
  <c r="D939" i="39"/>
  <c r="D940" i="39"/>
  <c r="D941" i="39"/>
  <c r="D942" i="39"/>
  <c r="D943" i="39"/>
  <c r="D944" i="39"/>
  <c r="D945" i="39"/>
  <c r="F945" i="39" s="1"/>
  <c r="D946" i="39"/>
  <c r="D947" i="39"/>
  <c r="D948" i="39"/>
  <c r="D949" i="39"/>
  <c r="F949" i="39" s="1"/>
  <c r="D950" i="39"/>
  <c r="D951" i="39"/>
  <c r="D952" i="39"/>
  <c r="D953" i="39"/>
  <c r="D954" i="39"/>
  <c r="D955" i="39"/>
  <c r="D956" i="39"/>
  <c r="D957" i="39"/>
  <c r="D958" i="39"/>
  <c r="D959" i="39"/>
  <c r="D960" i="39"/>
  <c r="D961" i="39"/>
  <c r="D962" i="39"/>
  <c r="D963" i="39"/>
  <c r="D964" i="39"/>
  <c r="D965" i="39"/>
  <c r="D966" i="39"/>
  <c r="D967" i="39"/>
  <c r="D968" i="39"/>
  <c r="D969" i="39"/>
  <c r="D970" i="39"/>
  <c r="D971" i="39"/>
  <c r="D972" i="39"/>
  <c r="D973" i="39"/>
  <c r="D974" i="39"/>
  <c r="D975" i="39"/>
  <c r="D976" i="39"/>
  <c r="D977" i="39"/>
  <c r="F977" i="39" s="1"/>
  <c r="D978" i="39"/>
  <c r="D979" i="39"/>
  <c r="D980" i="39"/>
  <c r="D981" i="39"/>
  <c r="F981" i="39" s="1"/>
  <c r="D982" i="39"/>
  <c r="D983" i="39"/>
  <c r="D984" i="39"/>
  <c r="D985" i="39"/>
  <c r="D986" i="39"/>
  <c r="D987" i="39"/>
  <c r="D988" i="39"/>
  <c r="D989" i="39"/>
  <c r="F989" i="39" s="1"/>
  <c r="D990" i="39"/>
  <c r="D991" i="39"/>
  <c r="D992" i="39"/>
  <c r="D993" i="39"/>
  <c r="F993" i="39" s="1"/>
  <c r="D994" i="39"/>
  <c r="D995" i="39"/>
  <c r="D996" i="39"/>
  <c r="D997" i="39"/>
  <c r="D998" i="39"/>
  <c r="D999" i="39"/>
  <c r="D1000" i="39"/>
  <c r="D1001" i="39"/>
  <c r="D1002" i="39"/>
  <c r="D1003" i="39"/>
  <c r="D1004" i="39"/>
  <c r="I4" i="13"/>
  <c r="G1003" i="39" l="1"/>
  <c r="F1003" i="39"/>
  <c r="G991" i="39"/>
  <c r="F991" i="39"/>
  <c r="G979" i="39"/>
  <c r="F979" i="39"/>
  <c r="G967" i="39"/>
  <c r="F967" i="39"/>
  <c r="G955" i="39"/>
  <c r="F955" i="39"/>
  <c r="G943" i="39"/>
  <c r="F943" i="39"/>
  <c r="G927" i="39"/>
  <c r="F927" i="39"/>
  <c r="G919" i="39"/>
  <c r="F919" i="39"/>
  <c r="G907" i="39"/>
  <c r="F907" i="39"/>
  <c r="G899" i="39"/>
  <c r="F899" i="39"/>
  <c r="G887" i="39"/>
  <c r="F887" i="39"/>
  <c r="G875" i="39"/>
  <c r="F875" i="39"/>
  <c r="G863" i="39"/>
  <c r="F863" i="39"/>
  <c r="G851" i="39"/>
  <c r="F851" i="39"/>
  <c r="G839" i="39"/>
  <c r="F839" i="39"/>
  <c r="G831" i="39"/>
  <c r="F831" i="39"/>
  <c r="G819" i="39"/>
  <c r="F819" i="39"/>
  <c r="G755" i="39"/>
  <c r="F755" i="39"/>
  <c r="G731" i="39"/>
  <c r="F731" i="39"/>
  <c r="G723" i="39"/>
  <c r="F723" i="39"/>
  <c r="G639" i="39"/>
  <c r="F639" i="39"/>
  <c r="G631" i="39"/>
  <c r="F631" i="39"/>
  <c r="G607" i="39"/>
  <c r="F607" i="39"/>
  <c r="G147" i="39"/>
  <c r="F147" i="39"/>
  <c r="G135" i="39"/>
  <c r="F135" i="39"/>
  <c r="G123" i="39"/>
  <c r="F123" i="39"/>
  <c r="G115" i="39"/>
  <c r="F115" i="39"/>
  <c r="G99" i="39"/>
  <c r="F99" i="39"/>
  <c r="G75" i="39"/>
  <c r="F75" i="39"/>
  <c r="G67" i="39"/>
  <c r="F67" i="39"/>
  <c r="G59" i="39"/>
  <c r="F59" i="39"/>
  <c r="I59" i="8" s="1"/>
  <c r="G995" i="39"/>
  <c r="F995" i="39"/>
  <c r="G983" i="39"/>
  <c r="F983" i="39"/>
  <c r="G971" i="39"/>
  <c r="F971" i="39"/>
  <c r="G959" i="39"/>
  <c r="F959" i="39"/>
  <c r="G947" i="39"/>
  <c r="F947" i="39"/>
  <c r="G935" i="39"/>
  <c r="F935" i="39"/>
  <c r="G923" i="39"/>
  <c r="F923" i="39"/>
  <c r="G911" i="39"/>
  <c r="F911" i="39"/>
  <c r="G903" i="39"/>
  <c r="F903" i="39"/>
  <c r="G891" i="39"/>
  <c r="F891" i="39"/>
  <c r="G879" i="39"/>
  <c r="F879" i="39"/>
  <c r="G867" i="39"/>
  <c r="F867" i="39"/>
  <c r="G855" i="39"/>
  <c r="F855" i="39"/>
  <c r="G847" i="39"/>
  <c r="F847" i="39"/>
  <c r="G835" i="39"/>
  <c r="F835" i="39"/>
  <c r="G823" i="39"/>
  <c r="F823" i="39"/>
  <c r="G811" i="39"/>
  <c r="F811" i="39"/>
  <c r="G807" i="39"/>
  <c r="F807" i="39"/>
  <c r="G767" i="39"/>
  <c r="F767" i="39"/>
  <c r="G743" i="39"/>
  <c r="F743" i="39"/>
  <c r="G699" i="39"/>
  <c r="F699" i="39"/>
  <c r="G687" i="39"/>
  <c r="F687" i="39"/>
  <c r="G671" i="39"/>
  <c r="F671" i="39"/>
  <c r="G663" i="39"/>
  <c r="F663" i="39"/>
  <c r="G655" i="39"/>
  <c r="F655" i="39"/>
  <c r="G647" i="39"/>
  <c r="F647" i="39"/>
  <c r="G635" i="39"/>
  <c r="F635" i="39"/>
  <c r="G627" i="39"/>
  <c r="F627" i="39"/>
  <c r="G139" i="39"/>
  <c r="F139" i="39"/>
  <c r="G127" i="39"/>
  <c r="F127" i="39"/>
  <c r="G111" i="39"/>
  <c r="F111" i="39"/>
  <c r="G103" i="39"/>
  <c r="F103" i="39"/>
  <c r="G95" i="39"/>
  <c r="F95" i="39"/>
  <c r="G87" i="39"/>
  <c r="F87" i="39"/>
  <c r="G79" i="39"/>
  <c r="F79" i="39"/>
  <c r="G55" i="39"/>
  <c r="F55" i="39"/>
  <c r="G47" i="39"/>
  <c r="F47" i="39"/>
  <c r="G999" i="39"/>
  <c r="F999" i="39"/>
  <c r="G987" i="39"/>
  <c r="F987" i="39"/>
  <c r="G975" i="39"/>
  <c r="F975" i="39"/>
  <c r="G963" i="39"/>
  <c r="F963" i="39"/>
  <c r="G951" i="39"/>
  <c r="F951" i="39"/>
  <c r="G939" i="39"/>
  <c r="F939" i="39"/>
  <c r="G931" i="39"/>
  <c r="F931" i="39"/>
  <c r="G915" i="39"/>
  <c r="F915" i="39"/>
  <c r="G895" i="39"/>
  <c r="F895" i="39"/>
  <c r="G883" i="39"/>
  <c r="F883" i="39"/>
  <c r="G871" i="39"/>
  <c r="F871" i="39"/>
  <c r="G859" i="39"/>
  <c r="F859" i="39"/>
  <c r="G843" i="39"/>
  <c r="F843" i="39"/>
  <c r="G827" i="39"/>
  <c r="F827" i="39"/>
  <c r="G815" i="39"/>
  <c r="F815" i="39"/>
  <c r="G795" i="39"/>
  <c r="F795" i="39"/>
  <c r="G783" i="39"/>
  <c r="F783" i="39"/>
  <c r="G779" i="39"/>
  <c r="F779" i="39"/>
  <c r="G711" i="39"/>
  <c r="F711" i="39"/>
  <c r="G143" i="39"/>
  <c r="F143" i="39"/>
  <c r="G131" i="39"/>
  <c r="F131" i="39"/>
  <c r="G119" i="39"/>
  <c r="F119" i="39"/>
  <c r="G107" i="39"/>
  <c r="F107" i="39"/>
  <c r="G43" i="39"/>
  <c r="F43" i="39"/>
  <c r="I43" i="8" s="1"/>
  <c r="G35" i="39"/>
  <c r="F35" i="39"/>
  <c r="G1002" i="39"/>
  <c r="F1002" i="39"/>
  <c r="G998" i="39"/>
  <c r="F998" i="39"/>
  <c r="G994" i="39"/>
  <c r="F994" i="39"/>
  <c r="G990" i="39"/>
  <c r="F990" i="39"/>
  <c r="G986" i="39"/>
  <c r="F986" i="39"/>
  <c r="G982" i="39"/>
  <c r="F982" i="39"/>
  <c r="G978" i="39"/>
  <c r="F978" i="39"/>
  <c r="G974" i="39"/>
  <c r="F974" i="39"/>
  <c r="G970" i="39"/>
  <c r="F970" i="39"/>
  <c r="G966" i="39"/>
  <c r="F966" i="39"/>
  <c r="G962" i="39"/>
  <c r="F962" i="39"/>
  <c r="G958" i="39"/>
  <c r="F958" i="39"/>
  <c r="G954" i="39"/>
  <c r="F954" i="39"/>
  <c r="G950" i="39"/>
  <c r="F950" i="39"/>
  <c r="G946" i="39"/>
  <c r="F946" i="39"/>
  <c r="G942" i="39"/>
  <c r="F942" i="39"/>
  <c r="G938" i="39"/>
  <c r="F938" i="39"/>
  <c r="G934" i="39"/>
  <c r="F934" i="39"/>
  <c r="G930" i="39"/>
  <c r="F930" i="39"/>
  <c r="G926" i="39"/>
  <c r="F926" i="39"/>
  <c r="G922" i="39"/>
  <c r="F922" i="39"/>
  <c r="G918" i="39"/>
  <c r="F918" i="39"/>
  <c r="G914" i="39"/>
  <c r="F914" i="39"/>
  <c r="G910" i="39"/>
  <c r="F910" i="39"/>
  <c r="G906" i="39"/>
  <c r="F906" i="39"/>
  <c r="G902" i="39"/>
  <c r="F902" i="39"/>
  <c r="G898" i="39"/>
  <c r="F898" i="39"/>
  <c r="G894" i="39"/>
  <c r="F894" i="39"/>
  <c r="G890" i="39"/>
  <c r="F890" i="39"/>
  <c r="G886" i="39"/>
  <c r="F886" i="39"/>
  <c r="G882" i="39"/>
  <c r="F882" i="39"/>
  <c r="G878" i="39"/>
  <c r="F878" i="39"/>
  <c r="G874" i="39"/>
  <c r="F874" i="39"/>
  <c r="G870" i="39"/>
  <c r="F870" i="39"/>
  <c r="G866" i="39"/>
  <c r="F866" i="39"/>
  <c r="G862" i="39"/>
  <c r="F862" i="39"/>
  <c r="G858" i="39"/>
  <c r="F858" i="39"/>
  <c r="G854" i="39"/>
  <c r="F854" i="39"/>
  <c r="G850" i="39"/>
  <c r="F850" i="39"/>
  <c r="G846" i="39"/>
  <c r="F846" i="39"/>
  <c r="G842" i="39"/>
  <c r="F842" i="39"/>
  <c r="G838" i="39"/>
  <c r="F838" i="39"/>
  <c r="G834" i="39"/>
  <c r="F834" i="39"/>
  <c r="G830" i="39"/>
  <c r="F830" i="39"/>
  <c r="G826" i="39"/>
  <c r="F826" i="39"/>
  <c r="G822" i="39"/>
  <c r="F822" i="39"/>
  <c r="G818" i="39"/>
  <c r="F818" i="39"/>
  <c r="G814" i="39"/>
  <c r="F814" i="39"/>
  <c r="G810" i="39"/>
  <c r="F810" i="39"/>
  <c r="G806" i="39"/>
  <c r="F806" i="39"/>
  <c r="G802" i="39"/>
  <c r="F802" i="39"/>
  <c r="G798" i="39"/>
  <c r="F798" i="39"/>
  <c r="G794" i="39"/>
  <c r="F794" i="39"/>
  <c r="G790" i="39"/>
  <c r="F790" i="39"/>
  <c r="G786" i="39"/>
  <c r="F786" i="39"/>
  <c r="G782" i="39"/>
  <c r="F782" i="39"/>
  <c r="G778" i="39"/>
  <c r="F778" i="39"/>
  <c r="G774" i="39"/>
  <c r="F774" i="39"/>
  <c r="G770" i="39"/>
  <c r="F770" i="39"/>
  <c r="G766" i="39"/>
  <c r="F766" i="39"/>
  <c r="G762" i="39"/>
  <c r="F762" i="39"/>
  <c r="G758" i="39"/>
  <c r="F758" i="39"/>
  <c r="G754" i="39"/>
  <c r="F754" i="39"/>
  <c r="G750" i="39"/>
  <c r="F750" i="39"/>
  <c r="G746" i="39"/>
  <c r="F746" i="39"/>
  <c r="G742" i="39"/>
  <c r="F742" i="39"/>
  <c r="G738" i="39"/>
  <c r="F738" i="39"/>
  <c r="G734" i="39"/>
  <c r="F734" i="39"/>
  <c r="G730" i="39"/>
  <c r="F730" i="39"/>
  <c r="G726" i="39"/>
  <c r="F726" i="39"/>
  <c r="G722" i="39"/>
  <c r="F722" i="39"/>
  <c r="G718" i="39"/>
  <c r="F718" i="39"/>
  <c r="G714" i="39"/>
  <c r="F714" i="39"/>
  <c r="G710" i="39"/>
  <c r="F710" i="39"/>
  <c r="G706" i="39"/>
  <c r="F706" i="39"/>
  <c r="G702" i="39"/>
  <c r="F702" i="39"/>
  <c r="G698" i="39"/>
  <c r="F698" i="39"/>
  <c r="G694" i="39"/>
  <c r="F694" i="39"/>
  <c r="G690" i="39"/>
  <c r="F690" i="39"/>
  <c r="G686" i="39"/>
  <c r="F686" i="39"/>
  <c r="G682" i="39"/>
  <c r="F682" i="39"/>
  <c r="G678" i="39"/>
  <c r="F678" i="39"/>
  <c r="G674" i="39"/>
  <c r="F674" i="39"/>
  <c r="G670" i="39"/>
  <c r="F670" i="39"/>
  <c r="G666" i="39"/>
  <c r="F666" i="39"/>
  <c r="G662" i="39"/>
  <c r="F662" i="39"/>
  <c r="G658" i="39"/>
  <c r="F658" i="39"/>
  <c r="G654" i="39"/>
  <c r="F654" i="39"/>
  <c r="G650" i="39"/>
  <c r="F650" i="39"/>
  <c r="G646" i="39"/>
  <c r="F646" i="39"/>
  <c r="G642" i="39"/>
  <c r="F642" i="39"/>
  <c r="G638" i="39"/>
  <c r="F638" i="39"/>
  <c r="G634" i="39"/>
  <c r="F634" i="39"/>
  <c r="G630" i="39"/>
  <c r="F630" i="39"/>
  <c r="G626" i="39"/>
  <c r="F626" i="39"/>
  <c r="G622" i="39"/>
  <c r="F622" i="39"/>
  <c r="G618" i="39"/>
  <c r="F618" i="39"/>
  <c r="G614" i="39"/>
  <c r="F614" i="39"/>
  <c r="G610" i="39"/>
  <c r="F610" i="39"/>
  <c r="G606" i="39"/>
  <c r="F606" i="39"/>
  <c r="G602" i="39"/>
  <c r="F602" i="39"/>
  <c r="G598" i="39"/>
  <c r="F598" i="39"/>
  <c r="G594" i="39"/>
  <c r="F594" i="39"/>
  <c r="G590" i="39"/>
  <c r="F590" i="39"/>
  <c r="G586" i="39"/>
  <c r="F586" i="39"/>
  <c r="G582" i="39"/>
  <c r="F582" i="39"/>
  <c r="G578" i="39"/>
  <c r="F578" i="39"/>
  <c r="G574" i="39"/>
  <c r="F574" i="39"/>
  <c r="G570" i="39"/>
  <c r="F570" i="39"/>
  <c r="G566" i="39"/>
  <c r="F566" i="39"/>
  <c r="G562" i="39"/>
  <c r="F562" i="39"/>
  <c r="G558" i="39"/>
  <c r="F558" i="39"/>
  <c r="G554" i="39"/>
  <c r="F554" i="39"/>
  <c r="G550" i="39"/>
  <c r="F550" i="39"/>
  <c r="G546" i="39"/>
  <c r="F546" i="39"/>
  <c r="G542" i="39"/>
  <c r="F542" i="39"/>
  <c r="G538" i="39"/>
  <c r="F538" i="39"/>
  <c r="G534" i="39"/>
  <c r="F534" i="39"/>
  <c r="G530" i="39"/>
  <c r="F530" i="39"/>
  <c r="G526" i="39"/>
  <c r="F526" i="39"/>
  <c r="G522" i="39"/>
  <c r="F522" i="39"/>
  <c r="G518" i="39"/>
  <c r="F518" i="39"/>
  <c r="G514" i="39"/>
  <c r="F514" i="39"/>
  <c r="G510" i="39"/>
  <c r="F510" i="39"/>
  <c r="G506" i="39"/>
  <c r="F506" i="39"/>
  <c r="G502" i="39"/>
  <c r="F502" i="39"/>
  <c r="G498" i="39"/>
  <c r="F498" i="39"/>
  <c r="G494" i="39"/>
  <c r="F494" i="39"/>
  <c r="G490" i="39"/>
  <c r="F490" i="39"/>
  <c r="G486" i="39"/>
  <c r="F486" i="39"/>
  <c r="G482" i="39"/>
  <c r="F482" i="39"/>
  <c r="G478" i="39"/>
  <c r="F478" i="39"/>
  <c r="G474" i="39"/>
  <c r="F474" i="39"/>
  <c r="G470" i="39"/>
  <c r="F470" i="39"/>
  <c r="G466" i="39"/>
  <c r="F466" i="39"/>
  <c r="G462" i="39"/>
  <c r="F462" i="39"/>
  <c r="G458" i="39"/>
  <c r="F458" i="39"/>
  <c r="G454" i="39"/>
  <c r="F454" i="39"/>
  <c r="G450" i="39"/>
  <c r="F450" i="39"/>
  <c r="G446" i="39"/>
  <c r="F446" i="39"/>
  <c r="G442" i="39"/>
  <c r="F442" i="39"/>
  <c r="G438" i="39"/>
  <c r="F438" i="39"/>
  <c r="G434" i="39"/>
  <c r="F434" i="39"/>
  <c r="G430" i="39"/>
  <c r="F430" i="39"/>
  <c r="G426" i="39"/>
  <c r="F426" i="39"/>
  <c r="G422" i="39"/>
  <c r="F422" i="39"/>
  <c r="G418" i="39"/>
  <c r="F418" i="39"/>
  <c r="G414" i="39"/>
  <c r="F414" i="39"/>
  <c r="G410" i="39"/>
  <c r="F410" i="39"/>
  <c r="G406" i="39"/>
  <c r="F406" i="39"/>
  <c r="G402" i="39"/>
  <c r="F402" i="39"/>
  <c r="G398" i="39"/>
  <c r="F398" i="39"/>
  <c r="G394" i="39"/>
  <c r="F394" i="39"/>
  <c r="G390" i="39"/>
  <c r="F390" i="39"/>
  <c r="G386" i="39"/>
  <c r="F386" i="39"/>
  <c r="G382" i="39"/>
  <c r="F382" i="39"/>
  <c r="G378" i="39"/>
  <c r="F378" i="39"/>
  <c r="G374" i="39"/>
  <c r="F374" i="39"/>
  <c r="G370" i="39"/>
  <c r="F370" i="39"/>
  <c r="G366" i="39"/>
  <c r="F366" i="39"/>
  <c r="G362" i="39"/>
  <c r="F362" i="39"/>
  <c r="G358" i="39"/>
  <c r="F358" i="39"/>
  <c r="G354" i="39"/>
  <c r="F354" i="39"/>
  <c r="G350" i="39"/>
  <c r="F350" i="39"/>
  <c r="G346" i="39"/>
  <c r="F346" i="39"/>
  <c r="G342" i="39"/>
  <c r="F342" i="39"/>
  <c r="G338" i="39"/>
  <c r="F338" i="39"/>
  <c r="G334" i="39"/>
  <c r="F334" i="39"/>
  <c r="G330" i="39"/>
  <c r="F330" i="39"/>
  <c r="G326" i="39"/>
  <c r="F326" i="39"/>
  <c r="G322" i="39"/>
  <c r="F322" i="39"/>
  <c r="G318" i="39"/>
  <c r="F318" i="39"/>
  <c r="G314" i="39"/>
  <c r="F314" i="39"/>
  <c r="G310" i="39"/>
  <c r="F310" i="39"/>
  <c r="G306" i="39"/>
  <c r="F306" i="39"/>
  <c r="G302" i="39"/>
  <c r="F302" i="39"/>
  <c r="G298" i="39"/>
  <c r="F298" i="39"/>
  <c r="G294" i="39"/>
  <c r="F294" i="39"/>
  <c r="G290" i="39"/>
  <c r="F290" i="39"/>
  <c r="G286" i="39"/>
  <c r="F286" i="39"/>
  <c r="G282" i="39"/>
  <c r="F282" i="39"/>
  <c r="G278" i="39"/>
  <c r="F278" i="39"/>
  <c r="G274" i="39"/>
  <c r="F274" i="39"/>
  <c r="G270" i="39"/>
  <c r="F270" i="39"/>
  <c r="G266" i="39"/>
  <c r="F266" i="39"/>
  <c r="G262" i="39"/>
  <c r="F262" i="39"/>
  <c r="G258" i="39"/>
  <c r="F258" i="39"/>
  <c r="G254" i="39"/>
  <c r="F254" i="39"/>
  <c r="G250" i="39"/>
  <c r="F250" i="39"/>
  <c r="G246" i="39"/>
  <c r="F246" i="39"/>
  <c r="G242" i="39"/>
  <c r="F242" i="39"/>
  <c r="G238" i="39"/>
  <c r="F238" i="39"/>
  <c r="G234" i="39"/>
  <c r="F234" i="39"/>
  <c r="G230" i="39"/>
  <c r="F230" i="39"/>
  <c r="G226" i="39"/>
  <c r="F226" i="39"/>
  <c r="G222" i="39"/>
  <c r="F222" i="39"/>
  <c r="G218" i="39"/>
  <c r="F218" i="39"/>
  <c r="G214" i="39"/>
  <c r="F214" i="39"/>
  <c r="G210" i="39"/>
  <c r="F210" i="39"/>
  <c r="G206" i="39"/>
  <c r="F206" i="39"/>
  <c r="G202" i="39"/>
  <c r="F202" i="39"/>
  <c r="G198" i="39"/>
  <c r="F198" i="39"/>
  <c r="G194" i="39"/>
  <c r="F194" i="39"/>
  <c r="G190" i="39"/>
  <c r="F190" i="39"/>
  <c r="G186" i="39"/>
  <c r="F186" i="39"/>
  <c r="G182" i="39"/>
  <c r="F182" i="39"/>
  <c r="G178" i="39"/>
  <c r="F178" i="39"/>
  <c r="G174" i="39"/>
  <c r="F174" i="39"/>
  <c r="G170" i="39"/>
  <c r="F170" i="39"/>
  <c r="G166" i="39"/>
  <c r="F166" i="39"/>
  <c r="G162" i="39"/>
  <c r="F162" i="39"/>
  <c r="G158" i="39"/>
  <c r="F158" i="39"/>
  <c r="G154" i="39"/>
  <c r="F154" i="39"/>
  <c r="G150" i="39"/>
  <c r="F150" i="39"/>
  <c r="G146" i="39"/>
  <c r="F146" i="39"/>
  <c r="G142" i="39"/>
  <c r="F142" i="39"/>
  <c r="G138" i="39"/>
  <c r="F138" i="39"/>
  <c r="G134" i="39"/>
  <c r="F134" i="39"/>
  <c r="G130" i="39"/>
  <c r="F130" i="39"/>
  <c r="G126" i="39"/>
  <c r="F126" i="39"/>
  <c r="G122" i="39"/>
  <c r="F122" i="39"/>
  <c r="G118" i="39"/>
  <c r="F118" i="39"/>
  <c r="G114" i="39"/>
  <c r="F114" i="39"/>
  <c r="G110" i="39"/>
  <c r="F110" i="39"/>
  <c r="G106" i="39"/>
  <c r="F106" i="39"/>
  <c r="G102" i="39"/>
  <c r="F102" i="39"/>
  <c r="G98" i="39"/>
  <c r="F98" i="39"/>
  <c r="G94" i="39"/>
  <c r="F94" i="39"/>
  <c r="G90" i="39"/>
  <c r="F90" i="39"/>
  <c r="G86" i="39"/>
  <c r="F86" i="39"/>
  <c r="I86" i="8" s="1"/>
  <c r="G82" i="39"/>
  <c r="F82" i="39"/>
  <c r="G74" i="39"/>
  <c r="F74" i="39"/>
  <c r="G70" i="39"/>
  <c r="F70" i="39"/>
  <c r="G66" i="39"/>
  <c r="F66" i="39"/>
  <c r="G62" i="39"/>
  <c r="F62" i="39"/>
  <c r="G58" i="39"/>
  <c r="F58" i="39"/>
  <c r="G54" i="39"/>
  <c r="F54" i="39"/>
  <c r="G50" i="39"/>
  <c r="F50" i="39"/>
  <c r="G42" i="39"/>
  <c r="F42" i="39"/>
  <c r="I42" i="8" s="1"/>
  <c r="G38" i="39"/>
  <c r="F38" i="39"/>
  <c r="G34" i="39"/>
  <c r="F34" i="39"/>
  <c r="G30" i="39"/>
  <c r="F30" i="39"/>
  <c r="G26" i="39"/>
  <c r="F26" i="39"/>
  <c r="G22" i="39"/>
  <c r="F22" i="39"/>
  <c r="G18" i="39"/>
  <c r="F18" i="39"/>
  <c r="G14" i="39"/>
  <c r="F14" i="39"/>
  <c r="G1001" i="39"/>
  <c r="F1001" i="39"/>
  <c r="G985" i="39"/>
  <c r="F985" i="39"/>
  <c r="G969" i="39"/>
  <c r="F969" i="39"/>
  <c r="G961" i="39"/>
  <c r="F961" i="39"/>
  <c r="G957" i="39"/>
  <c r="F957" i="39"/>
  <c r="G941" i="39"/>
  <c r="F941" i="39"/>
  <c r="G913" i="39"/>
  <c r="F913" i="39"/>
  <c r="G897" i="39"/>
  <c r="F897" i="39"/>
  <c r="G889" i="39"/>
  <c r="F889" i="39"/>
  <c r="G861" i="39"/>
  <c r="F861" i="39"/>
  <c r="G853" i="39"/>
  <c r="F853" i="39"/>
  <c r="G845" i="39"/>
  <c r="F845" i="39"/>
  <c r="G837" i="39"/>
  <c r="F837" i="39"/>
  <c r="G821" i="39"/>
  <c r="F821" i="39"/>
  <c r="G817" i="39"/>
  <c r="F817" i="39"/>
  <c r="G801" i="39"/>
  <c r="F801" i="39"/>
  <c r="G789" i="39"/>
  <c r="F789" i="39"/>
  <c r="G773" i="39"/>
  <c r="F773" i="39"/>
  <c r="G749" i="39"/>
  <c r="F749" i="39"/>
  <c r="G725" i="39"/>
  <c r="F725" i="39"/>
  <c r="G713" i="39"/>
  <c r="F713" i="39"/>
  <c r="G705" i="39"/>
  <c r="F705" i="39"/>
  <c r="G693" i="39"/>
  <c r="F693" i="39"/>
  <c r="G681" i="39"/>
  <c r="F681" i="39"/>
  <c r="G677" i="39"/>
  <c r="F677" i="39"/>
  <c r="G673" i="39"/>
  <c r="F673" i="39"/>
  <c r="G665" i="39"/>
  <c r="F665" i="39"/>
  <c r="G657" i="39"/>
  <c r="F657" i="39"/>
  <c r="G649" i="39"/>
  <c r="F649" i="39"/>
  <c r="G641" i="39"/>
  <c r="F641" i="39"/>
  <c r="G625" i="39"/>
  <c r="F625" i="39"/>
  <c r="G621" i="39"/>
  <c r="F621" i="39"/>
  <c r="G617" i="39"/>
  <c r="F617" i="39"/>
  <c r="G613" i="39"/>
  <c r="F613" i="39"/>
  <c r="G605" i="39"/>
  <c r="F605" i="39"/>
  <c r="G597" i="39"/>
  <c r="F597" i="39"/>
  <c r="G545" i="39"/>
  <c r="F545" i="39"/>
  <c r="G541" i="39"/>
  <c r="F541" i="39"/>
  <c r="G145" i="39"/>
  <c r="F145" i="39"/>
  <c r="G137" i="39"/>
  <c r="F137" i="39"/>
  <c r="G129" i="39"/>
  <c r="F129" i="39"/>
  <c r="G121" i="39"/>
  <c r="F121" i="39"/>
  <c r="G113" i="39"/>
  <c r="F113" i="39"/>
  <c r="G105" i="39"/>
  <c r="F105" i="39"/>
  <c r="G97" i="39"/>
  <c r="F97" i="39"/>
  <c r="G93" i="39"/>
  <c r="F93" i="39"/>
  <c r="G89" i="39"/>
  <c r="F89" i="39"/>
  <c r="G85" i="39"/>
  <c r="F85" i="39"/>
  <c r="G81" i="39"/>
  <c r="F81" i="39"/>
  <c r="G77" i="39"/>
  <c r="F77" i="39"/>
  <c r="G73" i="39"/>
  <c r="F73" i="39"/>
  <c r="G69" i="39"/>
  <c r="F69" i="39"/>
  <c r="G65" i="39"/>
  <c r="F65" i="39"/>
  <c r="G61" i="39"/>
  <c r="F61" i="39"/>
  <c r="G57" i="39"/>
  <c r="F57" i="39"/>
  <c r="G53" i="39"/>
  <c r="F53" i="39"/>
  <c r="G49" i="39"/>
  <c r="F49" i="39"/>
  <c r="G45" i="39"/>
  <c r="F45" i="39"/>
  <c r="G41" i="39"/>
  <c r="F41" i="39"/>
  <c r="G37" i="39"/>
  <c r="F37" i="39"/>
  <c r="G33" i="39"/>
  <c r="F33" i="39"/>
  <c r="D6" i="40"/>
  <c r="D6" i="9"/>
  <c r="G997" i="39"/>
  <c r="F997" i="39"/>
  <c r="G973" i="39"/>
  <c r="F973" i="39"/>
  <c r="G965" i="39"/>
  <c r="F965" i="39"/>
  <c r="G953" i="39"/>
  <c r="F953" i="39"/>
  <c r="G937" i="39"/>
  <c r="F937" i="39"/>
  <c r="G925" i="39"/>
  <c r="F925" i="39"/>
  <c r="G909" i="39"/>
  <c r="F909" i="39"/>
  <c r="G893" i="39"/>
  <c r="F893" i="39"/>
  <c r="G877" i="39"/>
  <c r="F877" i="39"/>
  <c r="G873" i="39"/>
  <c r="F873" i="39"/>
  <c r="G865" i="39"/>
  <c r="F865" i="39"/>
  <c r="G857" i="39"/>
  <c r="F857" i="39"/>
  <c r="G849" i="39"/>
  <c r="F849" i="39"/>
  <c r="G841" i="39"/>
  <c r="F841" i="39"/>
  <c r="G833" i="39"/>
  <c r="F833" i="39"/>
  <c r="G761" i="39"/>
  <c r="F761" i="39"/>
  <c r="G737" i="39"/>
  <c r="F737" i="39"/>
  <c r="G1004" i="39"/>
  <c r="F1004" i="39"/>
  <c r="G1000" i="39"/>
  <c r="F1000" i="39"/>
  <c r="G996" i="39"/>
  <c r="F996" i="39"/>
  <c r="G992" i="39"/>
  <c r="F992" i="39"/>
  <c r="G988" i="39"/>
  <c r="F988" i="39"/>
  <c r="G984" i="39"/>
  <c r="F984" i="39"/>
  <c r="G980" i="39"/>
  <c r="F980" i="39"/>
  <c r="G976" i="39"/>
  <c r="F976" i="39"/>
  <c r="G972" i="39"/>
  <c r="F972" i="39"/>
  <c r="G968" i="39"/>
  <c r="F968" i="39"/>
  <c r="G964" i="39"/>
  <c r="F964" i="39"/>
  <c r="G960" i="39"/>
  <c r="F960" i="39"/>
  <c r="G956" i="39"/>
  <c r="F956" i="39"/>
  <c r="G952" i="39"/>
  <c r="F952" i="39"/>
  <c r="G948" i="39"/>
  <c r="F948" i="39"/>
  <c r="G944" i="39"/>
  <c r="F944" i="39"/>
  <c r="G940" i="39"/>
  <c r="F940" i="39"/>
  <c r="G936" i="39"/>
  <c r="F936" i="39"/>
  <c r="G932" i="39"/>
  <c r="F932" i="39"/>
  <c r="G928" i="39"/>
  <c r="F928" i="39"/>
  <c r="G924" i="39"/>
  <c r="F924" i="39"/>
  <c r="G920" i="39"/>
  <c r="F920" i="39"/>
  <c r="G916" i="39"/>
  <c r="F916" i="39"/>
  <c r="G912" i="39"/>
  <c r="F912" i="39"/>
  <c r="G908" i="39"/>
  <c r="F908" i="39"/>
  <c r="G904" i="39"/>
  <c r="F904" i="39"/>
  <c r="G900" i="39"/>
  <c r="F900" i="39"/>
  <c r="G896" i="39"/>
  <c r="F896" i="39"/>
  <c r="G892" i="39"/>
  <c r="F892" i="39"/>
  <c r="G888" i="39"/>
  <c r="F888" i="39"/>
  <c r="G884" i="39"/>
  <c r="F884" i="39"/>
  <c r="G880" i="39"/>
  <c r="F880" i="39"/>
  <c r="G876" i="39"/>
  <c r="F876" i="39"/>
  <c r="G872" i="39"/>
  <c r="F872" i="39"/>
  <c r="G868" i="39"/>
  <c r="F868" i="39"/>
  <c r="G864" i="39"/>
  <c r="F864" i="39"/>
  <c r="G860" i="39"/>
  <c r="F860" i="39"/>
  <c r="G856" i="39"/>
  <c r="F856" i="39"/>
  <c r="G852" i="39"/>
  <c r="F852" i="39"/>
  <c r="G848" i="39"/>
  <c r="F848" i="39"/>
  <c r="G844" i="39"/>
  <c r="F844" i="39"/>
  <c r="G840" i="39"/>
  <c r="F840" i="39"/>
  <c r="G836" i="39"/>
  <c r="F836" i="39"/>
  <c r="G832" i="39"/>
  <c r="F832" i="39"/>
  <c r="G828" i="39"/>
  <c r="F828" i="39"/>
  <c r="G824" i="39"/>
  <c r="F824" i="39"/>
  <c r="G820" i="39"/>
  <c r="F820" i="39"/>
  <c r="G816" i="39"/>
  <c r="F816" i="39"/>
  <c r="G812" i="39"/>
  <c r="F812" i="39"/>
  <c r="G808" i="39"/>
  <c r="F808" i="39"/>
  <c r="G804" i="39"/>
  <c r="F804" i="39"/>
  <c r="G800" i="39"/>
  <c r="F800" i="39"/>
  <c r="G796" i="39"/>
  <c r="F796" i="39"/>
  <c r="G792" i="39"/>
  <c r="F792" i="39"/>
  <c r="G788" i="39"/>
  <c r="F788" i="39"/>
  <c r="G784" i="39"/>
  <c r="F784" i="39"/>
  <c r="G780" i="39"/>
  <c r="F780" i="39"/>
  <c r="G776" i="39"/>
  <c r="F776" i="39"/>
  <c r="G772" i="39"/>
  <c r="F772" i="39"/>
  <c r="G768" i="39"/>
  <c r="F768" i="39"/>
  <c r="G764" i="39"/>
  <c r="F764" i="39"/>
  <c r="G760" i="39"/>
  <c r="F760" i="39"/>
  <c r="G756" i="39"/>
  <c r="F756" i="39"/>
  <c r="G752" i="39"/>
  <c r="F752" i="39"/>
  <c r="G748" i="39"/>
  <c r="F748" i="39"/>
  <c r="G744" i="39"/>
  <c r="F744" i="39"/>
  <c r="G740" i="39"/>
  <c r="F740" i="39"/>
  <c r="G736" i="39"/>
  <c r="F736" i="39"/>
  <c r="G732" i="39"/>
  <c r="F732" i="39"/>
  <c r="G728" i="39"/>
  <c r="F728" i="39"/>
  <c r="G724" i="39"/>
  <c r="F724" i="39"/>
  <c r="G720" i="39"/>
  <c r="F720" i="39"/>
  <c r="G716" i="39"/>
  <c r="F716" i="39"/>
  <c r="G712" i="39"/>
  <c r="F712" i="39"/>
  <c r="G708" i="39"/>
  <c r="F708" i="39"/>
  <c r="G704" i="39"/>
  <c r="F704" i="39"/>
  <c r="G700" i="39"/>
  <c r="F700" i="39"/>
  <c r="G696" i="39"/>
  <c r="F696" i="39"/>
  <c r="G692" i="39"/>
  <c r="F692" i="39"/>
  <c r="G688" i="39"/>
  <c r="F688" i="39"/>
  <c r="G684" i="39"/>
  <c r="F684" i="39"/>
  <c r="G680" i="39"/>
  <c r="F680" i="39"/>
  <c r="G676" i="39"/>
  <c r="F676" i="39"/>
  <c r="G672" i="39"/>
  <c r="F672" i="39"/>
  <c r="G668" i="39"/>
  <c r="F668" i="39"/>
  <c r="G664" i="39"/>
  <c r="F664" i="39"/>
  <c r="G660" i="39"/>
  <c r="F660" i="39"/>
  <c r="G656" i="39"/>
  <c r="F656" i="39"/>
  <c r="G652" i="39"/>
  <c r="F652" i="39"/>
  <c r="G648" i="39"/>
  <c r="F648" i="39"/>
  <c r="G644" i="39"/>
  <c r="F644" i="39"/>
  <c r="G640" i="39"/>
  <c r="F640" i="39"/>
  <c r="G636" i="39"/>
  <c r="F636" i="39"/>
  <c r="G632" i="39"/>
  <c r="F632" i="39"/>
  <c r="G628" i="39"/>
  <c r="F628" i="39"/>
  <c r="G624" i="39"/>
  <c r="F624" i="39"/>
  <c r="G620" i="39"/>
  <c r="F620" i="39"/>
  <c r="G616" i="39"/>
  <c r="F616" i="39"/>
  <c r="G612" i="39"/>
  <c r="F612" i="39"/>
  <c r="G608" i="39"/>
  <c r="F608" i="39"/>
  <c r="G604" i="39"/>
  <c r="F604" i="39"/>
  <c r="G600" i="39"/>
  <c r="F600" i="39"/>
  <c r="G596" i="39"/>
  <c r="F596" i="39"/>
  <c r="G592" i="39"/>
  <c r="F592" i="39"/>
  <c r="G588" i="39"/>
  <c r="F588" i="39"/>
  <c r="G584" i="39"/>
  <c r="F584" i="39"/>
  <c r="G580" i="39"/>
  <c r="F580" i="39"/>
  <c r="G576" i="39"/>
  <c r="F576" i="39"/>
  <c r="G572" i="39"/>
  <c r="F572" i="39"/>
  <c r="G568" i="39"/>
  <c r="F568" i="39"/>
  <c r="G564" i="39"/>
  <c r="F564" i="39"/>
  <c r="G560" i="39"/>
  <c r="F560" i="39"/>
  <c r="G556" i="39"/>
  <c r="F556" i="39"/>
  <c r="G552" i="39"/>
  <c r="F552" i="39"/>
  <c r="G548" i="39"/>
  <c r="F548" i="39"/>
  <c r="G544" i="39"/>
  <c r="F544" i="39"/>
  <c r="G540" i="39"/>
  <c r="F540" i="39"/>
  <c r="G536" i="39"/>
  <c r="F536" i="39"/>
  <c r="G532" i="39"/>
  <c r="F532" i="39"/>
  <c r="G528" i="39"/>
  <c r="F528" i="39"/>
  <c r="G524" i="39"/>
  <c r="F524" i="39"/>
  <c r="G520" i="39"/>
  <c r="F520" i="39"/>
  <c r="G516" i="39"/>
  <c r="F516" i="39"/>
  <c r="G512" i="39"/>
  <c r="F512" i="39"/>
  <c r="G508" i="39"/>
  <c r="F508" i="39"/>
  <c r="G504" i="39"/>
  <c r="F504" i="39"/>
  <c r="G500" i="39"/>
  <c r="F500" i="39"/>
  <c r="G496" i="39"/>
  <c r="F496" i="39"/>
  <c r="G492" i="39"/>
  <c r="F492" i="39"/>
  <c r="G488" i="39"/>
  <c r="F488" i="39"/>
  <c r="G484" i="39"/>
  <c r="F484" i="39"/>
  <c r="G480" i="39"/>
  <c r="F480" i="39"/>
  <c r="G476" i="39"/>
  <c r="F476" i="39"/>
  <c r="G472" i="39"/>
  <c r="F472" i="39"/>
  <c r="G468" i="39"/>
  <c r="F468" i="39"/>
  <c r="G464" i="39"/>
  <c r="F464" i="39"/>
  <c r="G460" i="39"/>
  <c r="F460" i="39"/>
  <c r="G456" i="39"/>
  <c r="F456" i="39"/>
  <c r="G452" i="39"/>
  <c r="F452" i="39"/>
  <c r="G448" i="39"/>
  <c r="F448" i="39"/>
  <c r="G444" i="39"/>
  <c r="F444" i="39"/>
  <c r="G440" i="39"/>
  <c r="F440" i="39"/>
  <c r="G436" i="39"/>
  <c r="F436" i="39"/>
  <c r="G432" i="39"/>
  <c r="F432" i="39"/>
  <c r="G428" i="39"/>
  <c r="F428" i="39"/>
  <c r="G424" i="39"/>
  <c r="F424" i="39"/>
  <c r="G420" i="39"/>
  <c r="F420" i="39"/>
  <c r="G416" i="39"/>
  <c r="F416" i="39"/>
  <c r="G412" i="39"/>
  <c r="F412" i="39"/>
  <c r="G408" i="39"/>
  <c r="F408" i="39"/>
  <c r="G404" i="39"/>
  <c r="F404" i="39"/>
  <c r="G400" i="39"/>
  <c r="F400" i="39"/>
  <c r="G396" i="39"/>
  <c r="F396" i="39"/>
  <c r="G392" i="39"/>
  <c r="F392" i="39"/>
  <c r="G388" i="39"/>
  <c r="F388" i="39"/>
  <c r="G384" i="39"/>
  <c r="F384" i="39"/>
  <c r="G380" i="39"/>
  <c r="F380" i="39"/>
  <c r="G376" i="39"/>
  <c r="F376" i="39"/>
  <c r="G372" i="39"/>
  <c r="F372" i="39"/>
  <c r="G368" i="39"/>
  <c r="F368" i="39"/>
  <c r="G364" i="39"/>
  <c r="F364" i="39"/>
  <c r="G360" i="39"/>
  <c r="F360" i="39"/>
  <c r="G356" i="39"/>
  <c r="F356" i="39"/>
  <c r="G352" i="39"/>
  <c r="F352" i="39"/>
  <c r="G348" i="39"/>
  <c r="F348" i="39"/>
  <c r="G344" i="39"/>
  <c r="F344" i="39"/>
  <c r="G340" i="39"/>
  <c r="F340" i="39"/>
  <c r="G336" i="39"/>
  <c r="F336" i="39"/>
  <c r="G332" i="39"/>
  <c r="F332" i="39"/>
  <c r="G328" i="39"/>
  <c r="F328" i="39"/>
  <c r="G324" i="39"/>
  <c r="F324" i="39"/>
  <c r="G320" i="39"/>
  <c r="F320" i="39"/>
  <c r="G316" i="39"/>
  <c r="F316" i="39"/>
  <c r="G312" i="39"/>
  <c r="F312" i="39"/>
  <c r="G308" i="39"/>
  <c r="F308" i="39"/>
  <c r="G304" i="39"/>
  <c r="F304" i="39"/>
  <c r="G300" i="39"/>
  <c r="F300" i="39"/>
  <c r="G296" i="39"/>
  <c r="F296" i="39"/>
  <c r="G292" i="39"/>
  <c r="F292" i="39"/>
  <c r="G288" i="39"/>
  <c r="F288" i="39"/>
  <c r="G284" i="39"/>
  <c r="F284" i="39"/>
  <c r="G280" i="39"/>
  <c r="F280" i="39"/>
  <c r="G276" i="39"/>
  <c r="F276" i="39"/>
  <c r="G272" i="39"/>
  <c r="F272" i="39"/>
  <c r="G268" i="39"/>
  <c r="F268" i="39"/>
  <c r="G264" i="39"/>
  <c r="F264" i="39"/>
  <c r="G260" i="39"/>
  <c r="F260" i="39"/>
  <c r="G256" i="39"/>
  <c r="F256" i="39"/>
  <c r="G252" i="39"/>
  <c r="F252" i="39"/>
  <c r="G248" i="39"/>
  <c r="F248" i="39"/>
  <c r="G244" i="39"/>
  <c r="F244" i="39"/>
  <c r="G240" i="39"/>
  <c r="F240" i="39"/>
  <c r="G236" i="39"/>
  <c r="F236" i="39"/>
  <c r="G232" i="39"/>
  <c r="F232" i="39"/>
  <c r="G228" i="39"/>
  <c r="F228" i="39"/>
  <c r="G224" i="39"/>
  <c r="F224" i="39"/>
  <c r="G220" i="39"/>
  <c r="F220" i="39"/>
  <c r="G216" i="39"/>
  <c r="F216" i="39"/>
  <c r="G212" i="39"/>
  <c r="F212" i="39"/>
  <c r="G208" i="39"/>
  <c r="F208" i="39"/>
  <c r="G204" i="39"/>
  <c r="F204" i="39"/>
  <c r="G200" i="39"/>
  <c r="F200" i="39"/>
  <c r="G196" i="39"/>
  <c r="F196" i="39"/>
  <c r="G192" i="39"/>
  <c r="F192" i="39"/>
  <c r="G188" i="39"/>
  <c r="F188" i="39"/>
  <c r="G184" i="39"/>
  <c r="F184" i="39"/>
  <c r="G180" i="39"/>
  <c r="F180" i="39"/>
  <c r="G176" i="39"/>
  <c r="F176" i="39"/>
  <c r="G172" i="39"/>
  <c r="F172" i="39"/>
  <c r="G168" i="39"/>
  <c r="F168" i="39"/>
  <c r="G164" i="39"/>
  <c r="F164" i="39"/>
  <c r="G160" i="39"/>
  <c r="F160" i="39"/>
  <c r="G156" i="39"/>
  <c r="F156" i="39"/>
  <c r="G152" i="39"/>
  <c r="F152" i="39"/>
  <c r="G148" i="39"/>
  <c r="F148" i="39"/>
  <c r="G140" i="39"/>
  <c r="F140" i="39"/>
  <c r="G132" i="39"/>
  <c r="F132" i="39"/>
  <c r="G124" i="39"/>
  <c r="F124" i="39"/>
  <c r="G116" i="39"/>
  <c r="F116" i="39"/>
  <c r="G108" i="39"/>
  <c r="F108" i="39"/>
  <c r="G100" i="39"/>
  <c r="F100" i="39"/>
  <c r="G92" i="39"/>
  <c r="F92" i="39"/>
  <c r="G84" i="39"/>
  <c r="F84" i="39"/>
  <c r="G76" i="39"/>
  <c r="F76" i="39"/>
  <c r="I76" i="8" s="1"/>
  <c r="G72" i="39"/>
  <c r="F72" i="39"/>
  <c r="G64" i="39"/>
  <c r="F64" i="39"/>
  <c r="G60" i="39"/>
  <c r="F60" i="39"/>
  <c r="G52" i="39"/>
  <c r="F52" i="39"/>
  <c r="G44" i="39"/>
  <c r="F44" i="39"/>
  <c r="I44" i="8" s="1"/>
  <c r="G40" i="39"/>
  <c r="F40" i="39"/>
  <c r="G32" i="39"/>
  <c r="F32" i="39"/>
  <c r="G28" i="39"/>
  <c r="F28" i="39"/>
  <c r="G24" i="39"/>
  <c r="F24" i="39"/>
  <c r="G20" i="39"/>
  <c r="F20" i="39"/>
  <c r="G16" i="39"/>
  <c r="F16" i="39"/>
  <c r="G12" i="39"/>
  <c r="F12" i="39"/>
  <c r="G989" i="39"/>
  <c r="G905" i="39"/>
  <c r="G901" i="39"/>
  <c r="G885" i="39"/>
  <c r="G881" i="39"/>
  <c r="G869" i="39"/>
  <c r="G829" i="39"/>
  <c r="G825" i="39"/>
  <c r="G813" i="39"/>
  <c r="G809" i="39"/>
  <c r="G805" i="39"/>
  <c r="G797" i="39"/>
  <c r="G793" i="39"/>
  <c r="G785" i="39"/>
  <c r="G781" i="39"/>
  <c r="G777" i="39"/>
  <c r="G769" i="39"/>
  <c r="G765" i="39"/>
  <c r="G757" i="39"/>
  <c r="G753" i="39"/>
  <c r="G745" i="39"/>
  <c r="G741" i="39"/>
  <c r="G733" i="39"/>
  <c r="G729" i="39"/>
  <c r="G721" i="39"/>
  <c r="G717" i="39"/>
  <c r="G709" i="39"/>
  <c r="G701" i="39"/>
  <c r="G697" i="39"/>
  <c r="G689" i="39"/>
  <c r="G685" i="39"/>
  <c r="G669" i="39"/>
  <c r="G661" i="39"/>
  <c r="G653" i="39"/>
  <c r="G645" i="39"/>
  <c r="G637" i="39"/>
  <c r="G633" i="39"/>
  <c r="G629" i="39"/>
  <c r="G609" i="39"/>
  <c r="G601" i="39"/>
  <c r="G593" i="39"/>
  <c r="G589" i="39"/>
  <c r="G585" i="39"/>
  <c r="G581" i="39"/>
  <c r="G577" i="39"/>
  <c r="G573" i="39"/>
  <c r="G569" i="39"/>
  <c r="G565" i="39"/>
  <c r="G561" i="39"/>
  <c r="G557" i="39"/>
  <c r="G553" i="39"/>
  <c r="G549" i="39"/>
  <c r="G537" i="39"/>
  <c r="G533" i="39"/>
  <c r="G529" i="39"/>
  <c r="G525" i="39"/>
  <c r="G521" i="39"/>
  <c r="G517" i="39"/>
  <c r="G513" i="39"/>
  <c r="G509" i="39"/>
  <c r="G505" i="39"/>
  <c r="G501" i="39"/>
  <c r="G497" i="39"/>
  <c r="G493" i="39"/>
  <c r="G489" i="39"/>
  <c r="G485" i="39"/>
  <c r="G481" i="39"/>
  <c r="G477" i="39"/>
  <c r="G473" i="39"/>
  <c r="G469" i="39"/>
  <c r="G465" i="39"/>
  <c r="G461" i="39"/>
  <c r="G457" i="39"/>
  <c r="G453" i="39"/>
  <c r="G449" i="39"/>
  <c r="G445" i="39"/>
  <c r="G441" i="39"/>
  <c r="G437" i="39"/>
  <c r="G433" i="39"/>
  <c r="G429" i="39"/>
  <c r="G425" i="39"/>
  <c r="G421" i="39"/>
  <c r="G417" i="39"/>
  <c r="G413" i="39"/>
  <c r="G409" i="39"/>
  <c r="G405" i="39"/>
  <c r="G401" i="39"/>
  <c r="G397" i="39"/>
  <c r="G393" i="39"/>
  <c r="G389" i="39"/>
  <c r="G385" i="39"/>
  <c r="G381" i="39"/>
  <c r="G377" i="39"/>
  <c r="G373" i="39"/>
  <c r="G369" i="39"/>
  <c r="G365" i="39"/>
  <c r="G361" i="39"/>
  <c r="G357" i="39"/>
  <c r="G353" i="39"/>
  <c r="G349" i="39"/>
  <c r="G345" i="39"/>
  <c r="G341" i="39"/>
  <c r="G337" i="39"/>
  <c r="G333" i="39"/>
  <c r="G329" i="39"/>
  <c r="G325" i="39"/>
  <c r="G321" i="39"/>
  <c r="G317" i="39"/>
  <c r="G313" i="39"/>
  <c r="G309" i="39"/>
  <c r="G305" i="39"/>
  <c r="G301" i="39"/>
  <c r="G297" i="39"/>
  <c r="G293" i="39"/>
  <c r="G289" i="39"/>
  <c r="G285" i="39"/>
  <c r="G281" i="39"/>
  <c r="G277" i="39"/>
  <c r="G273" i="39"/>
  <c r="G269" i="39"/>
  <c r="G265" i="39"/>
  <c r="G261" i="39"/>
  <c r="G257" i="39"/>
  <c r="G253" i="39"/>
  <c r="G249" i="39"/>
  <c r="G245" i="39"/>
  <c r="G241" i="39"/>
  <c r="G237" i="39"/>
  <c r="G233" i="39"/>
  <c r="G229" i="39"/>
  <c r="G225" i="39"/>
  <c r="G221" i="39"/>
  <c r="G217" i="39"/>
  <c r="G213" i="39"/>
  <c r="G209" i="39"/>
  <c r="G205" i="39"/>
  <c r="G201" i="39"/>
  <c r="G197" i="39"/>
  <c r="G193" i="39"/>
  <c r="G189" i="39"/>
  <c r="G185" i="39"/>
  <c r="G181" i="39"/>
  <c r="G177" i="39"/>
  <c r="G173" i="39"/>
  <c r="G169" i="39"/>
  <c r="G165" i="39"/>
  <c r="G161" i="39"/>
  <c r="G157" i="39"/>
  <c r="G153" i="39"/>
  <c r="G149" i="39"/>
  <c r="G141" i="39"/>
  <c r="G133" i="39"/>
  <c r="G125" i="39"/>
  <c r="G117" i="39"/>
  <c r="G109" i="39"/>
  <c r="G101" i="39"/>
  <c r="G83" i="39"/>
  <c r="G36" i="39"/>
  <c r="G981" i="39"/>
  <c r="G977" i="39"/>
  <c r="G144" i="39"/>
  <c r="G136" i="39"/>
  <c r="G128" i="39"/>
  <c r="G120" i="39"/>
  <c r="G112" i="39"/>
  <c r="G104" i="39"/>
  <c r="G96" i="39"/>
  <c r="G78" i="39"/>
  <c r="G56" i="39"/>
  <c r="H48" i="39"/>
  <c r="G48" i="39"/>
  <c r="G39" i="39"/>
  <c r="G31" i="39"/>
  <c r="G27" i="39"/>
  <c r="G23" i="39"/>
  <c r="G19" i="39"/>
  <c r="G15" i="39"/>
  <c r="I993" i="8"/>
  <c r="G993" i="39"/>
  <c r="H949" i="39"/>
  <c r="G949" i="39"/>
  <c r="H945" i="39"/>
  <c r="G945" i="39"/>
  <c r="G933" i="39"/>
  <c r="H921" i="39"/>
  <c r="G921" i="39"/>
  <c r="G803" i="39"/>
  <c r="H799" i="39"/>
  <c r="G799" i="39"/>
  <c r="H791" i="39"/>
  <c r="G791" i="39"/>
  <c r="G787" i="39"/>
  <c r="G775" i="39"/>
  <c r="G771" i="39"/>
  <c r="G763" i="39"/>
  <c r="H759" i="39"/>
  <c r="G759" i="39"/>
  <c r="H751" i="39"/>
  <c r="G751" i="39"/>
  <c r="G747" i="39"/>
  <c r="G739" i="39"/>
  <c r="G735" i="39"/>
  <c r="G727" i="39"/>
  <c r="H719" i="39"/>
  <c r="G719" i="39"/>
  <c r="H715" i="39"/>
  <c r="G715" i="39"/>
  <c r="G707" i="39"/>
  <c r="G703" i="39"/>
  <c r="G695" i="39"/>
  <c r="G691" i="39"/>
  <c r="I683" i="8"/>
  <c r="G683" i="39"/>
  <c r="G679" i="39"/>
  <c r="G675" i="39"/>
  <c r="G667" i="39"/>
  <c r="G659" i="39"/>
  <c r="G651" i="39"/>
  <c r="I643" i="8"/>
  <c r="G643" i="39"/>
  <c r="G623" i="39"/>
  <c r="G619" i="39"/>
  <c r="G615" i="39"/>
  <c r="G611" i="39"/>
  <c r="G603" i="39"/>
  <c r="I599" i="8"/>
  <c r="G599" i="39"/>
  <c r="G595" i="39"/>
  <c r="H591" i="39"/>
  <c r="G591" i="39"/>
  <c r="G587" i="39"/>
  <c r="H583" i="39"/>
  <c r="G583" i="39"/>
  <c r="H579" i="39"/>
  <c r="G579" i="39"/>
  <c r="G575" i="39"/>
  <c r="G571" i="39"/>
  <c r="G567" i="39"/>
  <c r="G563" i="39"/>
  <c r="H559" i="39"/>
  <c r="G559" i="39"/>
  <c r="H555" i="39"/>
  <c r="G555" i="39"/>
  <c r="G551" i="39"/>
  <c r="G547" i="39"/>
  <c r="G543" i="39"/>
  <c r="G539" i="39"/>
  <c r="I535" i="8"/>
  <c r="G535" i="39"/>
  <c r="G531" i="39"/>
  <c r="G527" i="39"/>
  <c r="G523" i="39"/>
  <c r="G519" i="39"/>
  <c r="G515" i="39"/>
  <c r="I511" i="8"/>
  <c r="G511" i="39"/>
  <c r="G507" i="39"/>
  <c r="G503" i="39"/>
  <c r="G499" i="39"/>
  <c r="G495" i="39"/>
  <c r="H491" i="39"/>
  <c r="G491" i="39"/>
  <c r="H487" i="39"/>
  <c r="G487" i="39"/>
  <c r="G483" i="39"/>
  <c r="G479" i="39"/>
  <c r="G475" i="39"/>
  <c r="G471" i="39"/>
  <c r="H467" i="39"/>
  <c r="G467" i="39"/>
  <c r="H463" i="39"/>
  <c r="G463" i="39"/>
  <c r="G459" i="39"/>
  <c r="G455" i="39"/>
  <c r="G451" i="39"/>
  <c r="G447" i="39"/>
  <c r="H443" i="39"/>
  <c r="G443" i="39"/>
  <c r="H439" i="39"/>
  <c r="G439" i="39"/>
  <c r="G435" i="39"/>
  <c r="G431" i="39"/>
  <c r="G427" i="39"/>
  <c r="G423" i="39"/>
  <c r="G419" i="39"/>
  <c r="G415" i="39"/>
  <c r="G411" i="39"/>
  <c r="G407" i="39"/>
  <c r="G403" i="39"/>
  <c r="G399" i="39"/>
  <c r="G395" i="39"/>
  <c r="G391" i="39"/>
  <c r="G387" i="39"/>
  <c r="G383" i="39"/>
  <c r="G379" i="39"/>
  <c r="G375" i="39"/>
  <c r="G371" i="39"/>
  <c r="G367" i="39"/>
  <c r="G363" i="39"/>
  <c r="G359" i="39"/>
  <c r="G355" i="39"/>
  <c r="G351" i="39"/>
  <c r="G347" i="39"/>
  <c r="G343" i="39"/>
  <c r="G339" i="39"/>
  <c r="G335" i="39"/>
  <c r="G331" i="39"/>
  <c r="G327" i="39"/>
  <c r="G323" i="39"/>
  <c r="G319" i="39"/>
  <c r="G315" i="39"/>
  <c r="G311" i="39"/>
  <c r="G307" i="39"/>
  <c r="G303" i="39"/>
  <c r="G299" i="39"/>
  <c r="G295" i="39"/>
  <c r="G291" i="39"/>
  <c r="G287" i="39"/>
  <c r="G283" i="39"/>
  <c r="G279" i="39"/>
  <c r="G275" i="39"/>
  <c r="G271" i="39"/>
  <c r="G267" i="39"/>
  <c r="G263" i="39"/>
  <c r="G259" i="39"/>
  <c r="G255" i="39"/>
  <c r="G251" i="39"/>
  <c r="G247" i="39"/>
  <c r="G243" i="39"/>
  <c r="G239" i="39"/>
  <c r="G235" i="39"/>
  <c r="G231" i="39"/>
  <c r="G227" i="39"/>
  <c r="G223" i="39"/>
  <c r="G219" i="39"/>
  <c r="G215" i="39"/>
  <c r="G211" i="39"/>
  <c r="G207" i="39"/>
  <c r="G203" i="39"/>
  <c r="G199" i="39"/>
  <c r="G195" i="39"/>
  <c r="G191" i="39"/>
  <c r="G187" i="39"/>
  <c r="G183" i="39"/>
  <c r="G179" i="39"/>
  <c r="G175" i="39"/>
  <c r="G171" i="39"/>
  <c r="G167" i="39"/>
  <c r="G163" i="39"/>
  <c r="G159" i="39"/>
  <c r="G155" i="39"/>
  <c r="G151" i="39"/>
  <c r="G88" i="39"/>
  <c r="G68" i="39"/>
  <c r="G51" i="39"/>
  <c r="G929" i="39"/>
  <c r="H917" i="39"/>
  <c r="G917" i="39"/>
  <c r="I91" i="8"/>
  <c r="G91" i="39"/>
  <c r="G80" i="39"/>
  <c r="G71" i="39"/>
  <c r="I63" i="8"/>
  <c r="G63" i="39"/>
  <c r="G46" i="39"/>
  <c r="G29" i="39"/>
  <c r="G25" i="39"/>
  <c r="G21" i="39"/>
  <c r="G17" i="39"/>
  <c r="G13" i="39"/>
  <c r="I803" i="8"/>
  <c r="H803" i="39"/>
  <c r="I791" i="8"/>
  <c r="I771" i="8"/>
  <c r="H771" i="39"/>
  <c r="I751" i="8"/>
  <c r="I735" i="8"/>
  <c r="H735" i="39"/>
  <c r="I715" i="8"/>
  <c r="I703" i="8"/>
  <c r="H703" i="39"/>
  <c r="I667" i="8"/>
  <c r="H667" i="39"/>
  <c r="I615" i="8"/>
  <c r="H615" i="39"/>
  <c r="I587" i="8"/>
  <c r="H587" i="39"/>
  <c r="I579" i="8"/>
  <c r="I567" i="8"/>
  <c r="H567" i="39"/>
  <c r="I555" i="8"/>
  <c r="I543" i="8"/>
  <c r="H543" i="39"/>
  <c r="I523" i="8"/>
  <c r="H523" i="39"/>
  <c r="I503" i="8"/>
  <c r="H503" i="39"/>
  <c r="I491" i="8"/>
  <c r="I479" i="8"/>
  <c r="H479" i="39"/>
  <c r="I467" i="8"/>
  <c r="I455" i="8"/>
  <c r="H455" i="39"/>
  <c r="I443" i="8"/>
  <c r="I407" i="8"/>
  <c r="H407" i="39"/>
  <c r="I977" i="8"/>
  <c r="H977" i="39"/>
  <c r="I949" i="8"/>
  <c r="I929" i="8"/>
  <c r="H929" i="39"/>
  <c r="I917" i="8"/>
  <c r="I901" i="8"/>
  <c r="H901" i="39"/>
  <c r="I869" i="8"/>
  <c r="H869" i="39"/>
  <c r="I825" i="8"/>
  <c r="H825" i="39"/>
  <c r="I809" i="8"/>
  <c r="H809" i="39"/>
  <c r="I797" i="8"/>
  <c r="H797" i="39"/>
  <c r="I785" i="8"/>
  <c r="H785" i="39"/>
  <c r="I777" i="8"/>
  <c r="H777" i="39"/>
  <c r="I765" i="8"/>
  <c r="H765" i="39"/>
  <c r="I753" i="8"/>
  <c r="H753" i="39"/>
  <c r="I741" i="8"/>
  <c r="H741" i="39"/>
  <c r="I729" i="8"/>
  <c r="H729" i="39"/>
  <c r="I717" i="8"/>
  <c r="H717" i="39"/>
  <c r="I697" i="8"/>
  <c r="H697" i="39"/>
  <c r="I685" i="8"/>
  <c r="H685" i="39"/>
  <c r="I661" i="8"/>
  <c r="H661" i="39"/>
  <c r="I645" i="8"/>
  <c r="H645" i="39"/>
  <c r="I633" i="8"/>
  <c r="H633" i="39"/>
  <c r="I601" i="8"/>
  <c r="H601" i="39"/>
  <c r="I585" i="8"/>
  <c r="H585" i="39"/>
  <c r="I577" i="8"/>
  <c r="H577" i="39"/>
  <c r="I569" i="8"/>
  <c r="H569" i="39"/>
  <c r="I561" i="8"/>
  <c r="H561" i="39"/>
  <c r="I557" i="8"/>
  <c r="H557" i="39"/>
  <c r="I549" i="8"/>
  <c r="H549" i="39"/>
  <c r="I533" i="8"/>
  <c r="H533" i="39"/>
  <c r="I525" i="8"/>
  <c r="H525" i="39"/>
  <c r="I517" i="8"/>
  <c r="H517" i="39"/>
  <c r="I509" i="8"/>
  <c r="H509" i="39"/>
  <c r="I501" i="8"/>
  <c r="H501" i="39"/>
  <c r="I493" i="8"/>
  <c r="H493" i="39"/>
  <c r="I485" i="8"/>
  <c r="H485" i="39"/>
  <c r="I477" i="8"/>
  <c r="H477" i="39"/>
  <c r="I469" i="8"/>
  <c r="H469" i="39"/>
  <c r="I461" i="8"/>
  <c r="H461" i="39"/>
  <c r="I453" i="8"/>
  <c r="H453" i="39"/>
  <c r="I445" i="8"/>
  <c r="H445" i="39"/>
  <c r="I437" i="8"/>
  <c r="H437" i="39"/>
  <c r="I429" i="8"/>
  <c r="H429" i="39"/>
  <c r="I421" i="8"/>
  <c r="H421" i="39"/>
  <c r="I413" i="8"/>
  <c r="H413" i="39"/>
  <c r="I405" i="8"/>
  <c r="H405" i="39"/>
  <c r="I397" i="8"/>
  <c r="H397" i="39"/>
  <c r="I393" i="8"/>
  <c r="H393" i="39"/>
  <c r="I385" i="8"/>
  <c r="H385" i="39"/>
  <c r="I377" i="8"/>
  <c r="H377" i="39"/>
  <c r="I369" i="8"/>
  <c r="H369" i="39"/>
  <c r="I361" i="8"/>
  <c r="H361" i="39"/>
  <c r="I353" i="8"/>
  <c r="H353" i="39"/>
  <c r="I345" i="8"/>
  <c r="H345" i="39"/>
  <c r="I337" i="8"/>
  <c r="H337" i="39"/>
  <c r="I329" i="8"/>
  <c r="H329" i="39"/>
  <c r="I325" i="8"/>
  <c r="H325" i="39"/>
  <c r="I321" i="8"/>
  <c r="H321" i="39"/>
  <c r="I317" i="8"/>
  <c r="H317" i="39"/>
  <c r="I313" i="8"/>
  <c r="H313" i="39"/>
  <c r="I309" i="8"/>
  <c r="H309" i="39"/>
  <c r="I305" i="8"/>
  <c r="H305" i="39"/>
  <c r="I297" i="8"/>
  <c r="H297" i="39"/>
  <c r="I293" i="8"/>
  <c r="H293" i="39"/>
  <c r="I289" i="8"/>
  <c r="H289" i="39"/>
  <c r="I285" i="8"/>
  <c r="H285" i="39"/>
  <c r="I281" i="8"/>
  <c r="H281" i="39"/>
  <c r="I277" i="8"/>
  <c r="H277" i="39"/>
  <c r="I273" i="8"/>
  <c r="H273" i="39"/>
  <c r="I269" i="8"/>
  <c r="H269" i="39"/>
  <c r="I265" i="8"/>
  <c r="H265" i="39"/>
  <c r="I261" i="8"/>
  <c r="H261" i="39"/>
  <c r="I257" i="8"/>
  <c r="H257" i="39"/>
  <c r="I253" i="8"/>
  <c r="H253" i="39"/>
  <c r="I249" i="8"/>
  <c r="H249" i="39"/>
  <c r="I245" i="8"/>
  <c r="H245" i="39"/>
  <c r="I241" i="8"/>
  <c r="H241" i="39"/>
  <c r="I237" i="8"/>
  <c r="H237" i="39"/>
  <c r="I233" i="8"/>
  <c r="H233" i="39"/>
  <c r="I229" i="8"/>
  <c r="H229" i="39"/>
  <c r="I225" i="8"/>
  <c r="H225" i="39"/>
  <c r="I221" i="8"/>
  <c r="H221" i="39"/>
  <c r="I217" i="8"/>
  <c r="H217" i="39"/>
  <c r="I213" i="8"/>
  <c r="H213" i="39"/>
  <c r="I209" i="8"/>
  <c r="H209" i="39"/>
  <c r="I205" i="8"/>
  <c r="H205" i="39"/>
  <c r="I201" i="8"/>
  <c r="H201" i="39"/>
  <c r="I197" i="8"/>
  <c r="H197" i="39"/>
  <c r="I193" i="8"/>
  <c r="H193" i="39"/>
  <c r="I189" i="8"/>
  <c r="H189" i="39"/>
  <c r="I185" i="8"/>
  <c r="H185" i="39"/>
  <c r="I181" i="8"/>
  <c r="H181" i="39"/>
  <c r="I177" i="8"/>
  <c r="H177" i="39"/>
  <c r="I173" i="8"/>
  <c r="H173" i="39"/>
  <c r="I169" i="8"/>
  <c r="H169" i="39"/>
  <c r="I165" i="8"/>
  <c r="H165" i="39"/>
  <c r="I161" i="8"/>
  <c r="H161" i="39"/>
  <c r="I157" i="8"/>
  <c r="H157" i="39"/>
  <c r="I153" i="8"/>
  <c r="H153" i="39"/>
  <c r="I149" i="8"/>
  <c r="H149" i="39"/>
  <c r="I141" i="8"/>
  <c r="H141" i="39"/>
  <c r="I133" i="8"/>
  <c r="H133" i="39"/>
  <c r="I125" i="8"/>
  <c r="H125" i="39"/>
  <c r="I117" i="8"/>
  <c r="H117" i="39"/>
  <c r="I109" i="8"/>
  <c r="H109" i="39"/>
  <c r="I101" i="8"/>
  <c r="H101" i="39"/>
  <c r="I83" i="8"/>
  <c r="H83" i="39"/>
  <c r="I36" i="8"/>
  <c r="H36" i="39"/>
  <c r="I799" i="8"/>
  <c r="I775" i="8"/>
  <c r="H775" i="39"/>
  <c r="I759" i="8"/>
  <c r="I747" i="8"/>
  <c r="H747" i="39"/>
  <c r="I727" i="8"/>
  <c r="H727" i="39"/>
  <c r="I707" i="8"/>
  <c r="H707" i="39"/>
  <c r="I691" i="8"/>
  <c r="H691" i="39"/>
  <c r="I675" i="8"/>
  <c r="H675" i="39"/>
  <c r="I651" i="8"/>
  <c r="H651" i="39"/>
  <c r="I619" i="8"/>
  <c r="H619" i="39"/>
  <c r="I603" i="8"/>
  <c r="H603" i="39"/>
  <c r="I595" i="8"/>
  <c r="H595" i="39"/>
  <c r="I583" i="8"/>
  <c r="I571" i="8"/>
  <c r="H571" i="39"/>
  <c r="I559" i="8"/>
  <c r="I547" i="8"/>
  <c r="H547" i="39"/>
  <c r="I531" i="8"/>
  <c r="H531" i="39"/>
  <c r="I519" i="8"/>
  <c r="H519" i="39"/>
  <c r="I507" i="8"/>
  <c r="H507" i="39"/>
  <c r="I499" i="8"/>
  <c r="H499" i="39"/>
  <c r="I487" i="8"/>
  <c r="I475" i="8"/>
  <c r="H475" i="39"/>
  <c r="I463" i="8"/>
  <c r="I451" i="8"/>
  <c r="H451" i="39"/>
  <c r="I439" i="8"/>
  <c r="I403" i="8"/>
  <c r="H403" i="39"/>
  <c r="I989" i="8"/>
  <c r="H989" i="39"/>
  <c r="I981" i="8"/>
  <c r="H981" i="39"/>
  <c r="I945" i="8"/>
  <c r="I933" i="8"/>
  <c r="H933" i="39"/>
  <c r="I921" i="8"/>
  <c r="I905" i="8"/>
  <c r="H905" i="39"/>
  <c r="I885" i="8"/>
  <c r="H885" i="39"/>
  <c r="I881" i="8"/>
  <c r="H881" i="39"/>
  <c r="I829" i="8"/>
  <c r="H829" i="39"/>
  <c r="I813" i="8"/>
  <c r="H813" i="39"/>
  <c r="I805" i="8"/>
  <c r="H805" i="39"/>
  <c r="I793" i="8"/>
  <c r="H793" i="39"/>
  <c r="I781" i="8"/>
  <c r="H781" i="39"/>
  <c r="I769" i="8"/>
  <c r="H769" i="39"/>
  <c r="I757" i="8"/>
  <c r="H757" i="39"/>
  <c r="I745" i="8"/>
  <c r="H745" i="39"/>
  <c r="I733" i="8"/>
  <c r="H733" i="39"/>
  <c r="I721" i="8"/>
  <c r="H721" i="39"/>
  <c r="I709" i="8"/>
  <c r="H709" i="39"/>
  <c r="I701" i="8"/>
  <c r="H701" i="39"/>
  <c r="I689" i="8"/>
  <c r="H689" i="39"/>
  <c r="I669" i="8"/>
  <c r="H669" i="39"/>
  <c r="I653" i="8"/>
  <c r="H653" i="39"/>
  <c r="I637" i="8"/>
  <c r="H637" i="39"/>
  <c r="I629" i="8"/>
  <c r="H629" i="39"/>
  <c r="I609" i="8"/>
  <c r="H609" i="39"/>
  <c r="I593" i="8"/>
  <c r="H593" i="39"/>
  <c r="I589" i="8"/>
  <c r="H589" i="39"/>
  <c r="I581" i="8"/>
  <c r="H581" i="39"/>
  <c r="I573" i="8"/>
  <c r="H573" i="39"/>
  <c r="I565" i="8"/>
  <c r="H565" i="39"/>
  <c r="I553" i="8"/>
  <c r="H553" i="39"/>
  <c r="I537" i="8"/>
  <c r="H537" i="39"/>
  <c r="I529" i="8"/>
  <c r="H529" i="39"/>
  <c r="I521" i="8"/>
  <c r="H521" i="39"/>
  <c r="I513" i="8"/>
  <c r="H513" i="39"/>
  <c r="I505" i="8"/>
  <c r="H505" i="39"/>
  <c r="I497" i="8"/>
  <c r="H497" i="39"/>
  <c r="I489" i="8"/>
  <c r="H489" i="39"/>
  <c r="I481" i="8"/>
  <c r="H481" i="39"/>
  <c r="I473" i="8"/>
  <c r="H473" i="39"/>
  <c r="I465" i="8"/>
  <c r="H465" i="39"/>
  <c r="I457" i="8"/>
  <c r="H457" i="39"/>
  <c r="I449" i="8"/>
  <c r="H449" i="39"/>
  <c r="I441" i="8"/>
  <c r="H441" i="39"/>
  <c r="I433" i="8"/>
  <c r="H433" i="39"/>
  <c r="I425" i="8"/>
  <c r="H425" i="39"/>
  <c r="I417" i="8"/>
  <c r="H417" i="39"/>
  <c r="I409" i="8"/>
  <c r="H409" i="39"/>
  <c r="I401" i="8"/>
  <c r="H401" i="39"/>
  <c r="I389" i="8"/>
  <c r="H389" i="39"/>
  <c r="I381" i="8"/>
  <c r="H381" i="39"/>
  <c r="I373" i="8"/>
  <c r="H373" i="39"/>
  <c r="I365" i="8"/>
  <c r="H365" i="39"/>
  <c r="I357" i="8"/>
  <c r="H357" i="39"/>
  <c r="I349" i="8"/>
  <c r="H349" i="39"/>
  <c r="I341" i="8"/>
  <c r="H341" i="39"/>
  <c r="I333" i="8"/>
  <c r="H333" i="39"/>
  <c r="I301" i="8"/>
  <c r="H301" i="39"/>
  <c r="I144" i="8"/>
  <c r="H144" i="39"/>
  <c r="I136" i="8"/>
  <c r="H136" i="39"/>
  <c r="I128" i="8"/>
  <c r="H128" i="39"/>
  <c r="I120" i="8"/>
  <c r="H120" i="39"/>
  <c r="I112" i="8"/>
  <c r="H112" i="39"/>
  <c r="I104" i="8"/>
  <c r="H104" i="39"/>
  <c r="I96" i="8"/>
  <c r="H96" i="39"/>
  <c r="I78" i="8"/>
  <c r="H78" i="39"/>
  <c r="I56" i="8"/>
  <c r="H56" i="39"/>
  <c r="I48" i="8"/>
  <c r="I39" i="8"/>
  <c r="H39" i="39"/>
  <c r="I31" i="8"/>
  <c r="H31" i="39"/>
  <c r="I27" i="8"/>
  <c r="H27" i="39"/>
  <c r="I23" i="8"/>
  <c r="H23" i="39"/>
  <c r="I19" i="8"/>
  <c r="H19" i="39"/>
  <c r="I15" i="8"/>
  <c r="H15" i="39"/>
  <c r="I787" i="8"/>
  <c r="H787" i="39"/>
  <c r="I763" i="8"/>
  <c r="H763" i="39"/>
  <c r="I739" i="8"/>
  <c r="H739" i="39"/>
  <c r="I719" i="8"/>
  <c r="I695" i="8"/>
  <c r="H695" i="39"/>
  <c r="I679" i="8"/>
  <c r="H679" i="39"/>
  <c r="I659" i="8"/>
  <c r="H659" i="39"/>
  <c r="I623" i="8"/>
  <c r="H623" i="39"/>
  <c r="I611" i="8"/>
  <c r="H611" i="39"/>
  <c r="I591" i="8"/>
  <c r="I575" i="8"/>
  <c r="H575" i="39"/>
  <c r="I563" i="8"/>
  <c r="H563" i="39"/>
  <c r="I551" i="8"/>
  <c r="H551" i="39"/>
  <c r="I539" i="8"/>
  <c r="H539" i="39"/>
  <c r="I527" i="8"/>
  <c r="H527" i="39"/>
  <c r="I515" i="8"/>
  <c r="H515" i="39"/>
  <c r="I495" i="8"/>
  <c r="H495" i="39"/>
  <c r="I483" i="8"/>
  <c r="H483" i="39"/>
  <c r="I471" i="8"/>
  <c r="H471" i="39"/>
  <c r="I459" i="8"/>
  <c r="H459" i="39"/>
  <c r="I447" i="8"/>
  <c r="H447" i="39"/>
  <c r="I435" i="8"/>
  <c r="H435" i="39"/>
  <c r="I431" i="8"/>
  <c r="H431" i="39"/>
  <c r="I427" i="8"/>
  <c r="H427" i="39"/>
  <c r="I423" i="8"/>
  <c r="H423" i="39"/>
  <c r="I419" i="8"/>
  <c r="H419" i="39"/>
  <c r="I415" i="8"/>
  <c r="H415" i="39"/>
  <c r="I411" i="8"/>
  <c r="H411" i="39"/>
  <c r="I399" i="8"/>
  <c r="H399" i="39"/>
  <c r="I395" i="8"/>
  <c r="H395" i="39"/>
  <c r="I391" i="8"/>
  <c r="H391" i="39"/>
  <c r="I387" i="8"/>
  <c r="H387" i="39"/>
  <c r="I383" i="8"/>
  <c r="H383" i="39"/>
  <c r="I379" i="8"/>
  <c r="H379" i="39"/>
  <c r="I375" i="8"/>
  <c r="H375" i="39"/>
  <c r="I371" i="8"/>
  <c r="H371" i="39"/>
  <c r="I367" i="8"/>
  <c r="H367" i="39"/>
  <c r="I363" i="8"/>
  <c r="H363" i="39"/>
  <c r="I359" i="8"/>
  <c r="H359" i="39"/>
  <c r="I355" i="8"/>
  <c r="H355" i="39"/>
  <c r="I351" i="8"/>
  <c r="H351" i="39"/>
  <c r="I347" i="8"/>
  <c r="H347" i="39"/>
  <c r="I343" i="8"/>
  <c r="H343" i="39"/>
  <c r="I339" i="8"/>
  <c r="H339" i="39"/>
  <c r="I335" i="8"/>
  <c r="H335" i="39"/>
  <c r="I331" i="8"/>
  <c r="H331" i="39"/>
  <c r="I327" i="8"/>
  <c r="H327" i="39"/>
  <c r="I323" i="8"/>
  <c r="H323" i="39"/>
  <c r="I319" i="8"/>
  <c r="H319" i="39"/>
  <c r="I315" i="8"/>
  <c r="H315" i="39"/>
  <c r="I311" i="8"/>
  <c r="H311" i="39"/>
  <c r="I307" i="8"/>
  <c r="H307" i="39"/>
  <c r="I303" i="8"/>
  <c r="H303" i="39"/>
  <c r="I299" i="8"/>
  <c r="H299" i="39"/>
  <c r="I295" i="8"/>
  <c r="H295" i="39"/>
  <c r="I291" i="8"/>
  <c r="H291" i="39"/>
  <c r="I287" i="8"/>
  <c r="H287" i="39"/>
  <c r="I283" i="8"/>
  <c r="H283" i="39"/>
  <c r="I279" i="8"/>
  <c r="H279" i="39"/>
  <c r="I275" i="8"/>
  <c r="H275" i="39"/>
  <c r="I271" i="8"/>
  <c r="H271" i="39"/>
  <c r="I267" i="8"/>
  <c r="H267" i="39"/>
  <c r="I263" i="8"/>
  <c r="H263" i="39"/>
  <c r="I259" i="8"/>
  <c r="H259" i="39"/>
  <c r="I255" i="8"/>
  <c r="H255" i="39"/>
  <c r="I251" i="8"/>
  <c r="H251" i="39"/>
  <c r="I247" i="8"/>
  <c r="H247" i="39"/>
  <c r="I243" i="8"/>
  <c r="H243" i="39"/>
  <c r="I239" i="8"/>
  <c r="H239" i="39"/>
  <c r="I235" i="8"/>
  <c r="H235" i="39"/>
  <c r="I231" i="8"/>
  <c r="H231" i="39"/>
  <c r="I227" i="8"/>
  <c r="H227" i="39"/>
  <c r="I223" i="8"/>
  <c r="H223" i="39"/>
  <c r="I219" i="8"/>
  <c r="H219" i="39"/>
  <c r="I215" i="8"/>
  <c r="H215" i="39"/>
  <c r="I211" i="8"/>
  <c r="H211" i="39"/>
  <c r="I207" i="8"/>
  <c r="H207" i="39"/>
  <c r="I203" i="8"/>
  <c r="H203" i="39"/>
  <c r="I199" i="8"/>
  <c r="H199" i="39"/>
  <c r="I195" i="8"/>
  <c r="H195" i="39"/>
  <c r="I191" i="8"/>
  <c r="H191" i="39"/>
  <c r="I187" i="8"/>
  <c r="H187" i="39"/>
  <c r="I183" i="8"/>
  <c r="H183" i="39"/>
  <c r="I179" i="8"/>
  <c r="H179" i="39"/>
  <c r="I175" i="8"/>
  <c r="H175" i="39"/>
  <c r="I171" i="8"/>
  <c r="H171" i="39"/>
  <c r="I167" i="8"/>
  <c r="H167" i="39"/>
  <c r="I163" i="8"/>
  <c r="H163" i="39"/>
  <c r="I159" i="8"/>
  <c r="H159" i="39"/>
  <c r="I155" i="8"/>
  <c r="H155" i="39"/>
  <c r="I151" i="8"/>
  <c r="H151" i="39"/>
  <c r="I88" i="8"/>
  <c r="H88" i="39"/>
  <c r="I68" i="8"/>
  <c r="H68" i="39"/>
  <c r="I51" i="8"/>
  <c r="H51" i="39"/>
  <c r="H91" i="39"/>
  <c r="I80" i="8"/>
  <c r="H80" i="39"/>
  <c r="I71" i="8"/>
  <c r="H71" i="39"/>
  <c r="I46" i="8"/>
  <c r="H46" i="39"/>
  <c r="I29" i="8"/>
  <c r="H29" i="39"/>
  <c r="I25" i="8"/>
  <c r="H25" i="39"/>
  <c r="I21" i="8"/>
  <c r="H21" i="39"/>
  <c r="I17" i="8"/>
  <c r="H17" i="39"/>
  <c r="I13" i="8"/>
  <c r="H13" i="39"/>
  <c r="I94" i="8"/>
  <c r="H94" i="39"/>
  <c r="H76" i="39"/>
  <c r="I74" i="8"/>
  <c r="H74" i="39"/>
  <c r="I75" i="8"/>
  <c r="H75" i="39"/>
  <c r="I60" i="8"/>
  <c r="H60" i="39"/>
  <c r="I58" i="8"/>
  <c r="H58" i="39"/>
  <c r="H42" i="39" l="1"/>
  <c r="H86" i="39"/>
  <c r="H44" i="39"/>
  <c r="H59" i="39"/>
  <c r="H43" i="39"/>
  <c r="H63" i="39"/>
  <c r="H993" i="39"/>
  <c r="H511" i="39"/>
  <c r="H535" i="39"/>
  <c r="H599" i="39"/>
  <c r="H643" i="39"/>
  <c r="H683" i="39"/>
  <c r="I617" i="8"/>
  <c r="H617" i="39"/>
  <c r="I647" i="8"/>
  <c r="H647" i="39"/>
  <c r="I677" i="8"/>
  <c r="H677" i="39"/>
  <c r="I767" i="8"/>
  <c r="H767" i="39"/>
  <c r="I821" i="8"/>
  <c r="H821" i="39"/>
  <c r="I849" i="8"/>
  <c r="H849" i="39"/>
  <c r="I875" i="8"/>
  <c r="H875" i="39"/>
  <c r="I895" i="8"/>
  <c r="H895" i="39"/>
  <c r="I927" i="8"/>
  <c r="H927" i="39"/>
  <c r="I959" i="8"/>
  <c r="H959" i="39"/>
  <c r="I987" i="8"/>
  <c r="H987" i="39"/>
  <c r="I50" i="8"/>
  <c r="H50" i="39"/>
  <c r="I82" i="8"/>
  <c r="H82" i="39"/>
  <c r="I99" i="8"/>
  <c r="H99" i="39"/>
  <c r="I115" i="8"/>
  <c r="H115" i="39"/>
  <c r="I131" i="8"/>
  <c r="H131" i="39"/>
  <c r="I147" i="8"/>
  <c r="H147" i="39"/>
  <c r="I61" i="8"/>
  <c r="H61" i="39"/>
  <c r="I102" i="8"/>
  <c r="H102" i="39"/>
  <c r="I118" i="8"/>
  <c r="H118" i="39"/>
  <c r="I134" i="8"/>
  <c r="H134" i="39"/>
  <c r="I85" i="8"/>
  <c r="H85" i="39"/>
  <c r="I81" i="8"/>
  <c r="H81" i="39"/>
  <c r="I22" i="8"/>
  <c r="H22" i="39"/>
  <c r="I158" i="8"/>
  <c r="H158" i="39"/>
  <c r="I166" i="8"/>
  <c r="H166" i="39"/>
  <c r="I182" i="8"/>
  <c r="H182" i="39"/>
  <c r="I206" i="8"/>
  <c r="H206" i="39"/>
  <c r="I414" i="8"/>
  <c r="H414" i="39"/>
  <c r="I57" i="8"/>
  <c r="H57" i="39"/>
  <c r="I87" i="8"/>
  <c r="H87" i="39"/>
  <c r="I103" i="8"/>
  <c r="H103" i="39"/>
  <c r="I119" i="8"/>
  <c r="H119" i="39"/>
  <c r="I135" i="8"/>
  <c r="H135" i="39"/>
  <c r="I37" i="8"/>
  <c r="H37" i="39"/>
  <c r="I77" i="8"/>
  <c r="H77" i="39"/>
  <c r="I106" i="8"/>
  <c r="H106" i="39"/>
  <c r="I122" i="8"/>
  <c r="H122" i="39"/>
  <c r="I138" i="8"/>
  <c r="H138" i="39"/>
  <c r="I33" i="8"/>
  <c r="H33" i="39"/>
  <c r="I69" i="8"/>
  <c r="H69" i="39"/>
  <c r="I16" i="8"/>
  <c r="H16" i="39"/>
  <c r="I24" i="8"/>
  <c r="H24" i="39"/>
  <c r="I32" i="8"/>
  <c r="H32" i="39"/>
  <c r="I38" i="8"/>
  <c r="H38" i="39"/>
  <c r="I64" i="8"/>
  <c r="H64" i="39"/>
  <c r="I70" i="8"/>
  <c r="H70" i="39"/>
  <c r="I152" i="8"/>
  <c r="H152" i="39"/>
  <c r="I160" i="8"/>
  <c r="H160" i="39"/>
  <c r="I168" i="8"/>
  <c r="H168" i="39"/>
  <c r="I176" i="8"/>
  <c r="H176" i="39"/>
  <c r="I184" i="8"/>
  <c r="H184" i="39"/>
  <c r="I192" i="8"/>
  <c r="H192" i="39"/>
  <c r="I200" i="8"/>
  <c r="H200" i="39"/>
  <c r="I208" i="8"/>
  <c r="H208" i="39"/>
  <c r="I216" i="8"/>
  <c r="H216" i="39"/>
  <c r="I224" i="8"/>
  <c r="H224" i="39"/>
  <c r="I232" i="8"/>
  <c r="H232" i="39"/>
  <c r="I240" i="8"/>
  <c r="H240" i="39"/>
  <c r="I248" i="8"/>
  <c r="H248" i="39"/>
  <c r="I256" i="8"/>
  <c r="H256" i="39"/>
  <c r="I264" i="8"/>
  <c r="H264" i="39"/>
  <c r="I272" i="8"/>
  <c r="H272" i="39"/>
  <c r="I280" i="8"/>
  <c r="H280" i="39"/>
  <c r="I288" i="8"/>
  <c r="H288" i="39"/>
  <c r="I296" i="8"/>
  <c r="H296" i="39"/>
  <c r="I304" i="8"/>
  <c r="H304" i="39"/>
  <c r="I312" i="8"/>
  <c r="H312" i="39"/>
  <c r="I320" i="8"/>
  <c r="H320" i="39"/>
  <c r="I328" i="8"/>
  <c r="H328" i="39"/>
  <c r="I336" i="8"/>
  <c r="H336" i="39"/>
  <c r="I344" i="8"/>
  <c r="H344" i="39"/>
  <c r="I352" i="8"/>
  <c r="H352" i="39"/>
  <c r="I360" i="8"/>
  <c r="H360" i="39"/>
  <c r="I368" i="8"/>
  <c r="H368" i="39"/>
  <c r="I376" i="8"/>
  <c r="H376" i="39"/>
  <c r="I384" i="8"/>
  <c r="H384" i="39"/>
  <c r="I392" i="8"/>
  <c r="H392" i="39"/>
  <c r="I400" i="8"/>
  <c r="H400" i="39"/>
  <c r="I408" i="8"/>
  <c r="H408" i="39"/>
  <c r="I416" i="8"/>
  <c r="H416" i="39"/>
  <c r="I424" i="8"/>
  <c r="H424" i="39"/>
  <c r="I432" i="8"/>
  <c r="H432" i="39"/>
  <c r="I440" i="8"/>
  <c r="H440" i="39"/>
  <c r="I448" i="8"/>
  <c r="H448" i="39"/>
  <c r="I456" i="8"/>
  <c r="H456" i="39"/>
  <c r="I464" i="8"/>
  <c r="H464" i="39"/>
  <c r="I472" i="8"/>
  <c r="H472" i="39"/>
  <c r="I480" i="8"/>
  <c r="H480" i="39"/>
  <c r="I488" i="8"/>
  <c r="H488" i="39"/>
  <c r="I496" i="8"/>
  <c r="H496" i="39"/>
  <c r="I504" i="8"/>
  <c r="H504" i="39"/>
  <c r="I512" i="8"/>
  <c r="H512" i="39"/>
  <c r="I520" i="8"/>
  <c r="H520" i="39"/>
  <c r="I528" i="8"/>
  <c r="H528" i="39"/>
  <c r="I536" i="8"/>
  <c r="H536" i="39"/>
  <c r="I544" i="8"/>
  <c r="H544" i="39"/>
  <c r="I552" i="8"/>
  <c r="H552" i="39"/>
  <c r="I560" i="8"/>
  <c r="H560" i="39"/>
  <c r="I568" i="8"/>
  <c r="H568" i="39"/>
  <c r="I576" i="8"/>
  <c r="H576" i="39"/>
  <c r="I584" i="8"/>
  <c r="H584" i="39"/>
  <c r="I592" i="8"/>
  <c r="H592" i="39"/>
  <c r="I600" i="8"/>
  <c r="H600" i="39"/>
  <c r="I608" i="8"/>
  <c r="H608" i="39"/>
  <c r="I616" i="8"/>
  <c r="H616" i="39"/>
  <c r="I624" i="8"/>
  <c r="H624" i="39"/>
  <c r="I632" i="8"/>
  <c r="H632" i="39"/>
  <c r="I640" i="8"/>
  <c r="H640" i="39"/>
  <c r="I648" i="8"/>
  <c r="H648" i="39"/>
  <c r="I656" i="8"/>
  <c r="H656" i="39"/>
  <c r="I664" i="8"/>
  <c r="H664" i="39"/>
  <c r="I672" i="8"/>
  <c r="H672" i="39"/>
  <c r="I680" i="8"/>
  <c r="H680" i="39"/>
  <c r="I688" i="8"/>
  <c r="H688" i="39"/>
  <c r="I696" i="8"/>
  <c r="H696" i="39"/>
  <c r="I704" i="8"/>
  <c r="H704" i="39"/>
  <c r="I712" i="8"/>
  <c r="H712" i="39"/>
  <c r="I720" i="8"/>
  <c r="H720" i="39"/>
  <c r="I728" i="8"/>
  <c r="H728" i="39"/>
  <c r="I736" i="8"/>
  <c r="H736" i="39"/>
  <c r="I744" i="8"/>
  <c r="H744" i="39"/>
  <c r="I752" i="8"/>
  <c r="H752" i="39"/>
  <c r="I760" i="8"/>
  <c r="H760" i="39"/>
  <c r="I768" i="8"/>
  <c r="H768" i="39"/>
  <c r="I776" i="8"/>
  <c r="H776" i="39"/>
  <c r="I784" i="8"/>
  <c r="H784" i="39"/>
  <c r="I792" i="8"/>
  <c r="H792" i="39"/>
  <c r="I800" i="8"/>
  <c r="H800" i="39"/>
  <c r="I808" i="8"/>
  <c r="H808" i="39"/>
  <c r="I816" i="8"/>
  <c r="H816" i="39"/>
  <c r="I824" i="8"/>
  <c r="H824" i="39"/>
  <c r="I832" i="8"/>
  <c r="H832" i="39"/>
  <c r="I840" i="8"/>
  <c r="H840" i="39"/>
  <c r="I848" i="8"/>
  <c r="H848" i="39"/>
  <c r="I856" i="8"/>
  <c r="H856" i="39"/>
  <c r="I864" i="8"/>
  <c r="H864" i="39"/>
  <c r="I872" i="8"/>
  <c r="H872" i="39"/>
  <c r="I880" i="8"/>
  <c r="H880" i="39"/>
  <c r="I888" i="8"/>
  <c r="H888" i="39"/>
  <c r="I896" i="8"/>
  <c r="H896" i="39"/>
  <c r="I904" i="8"/>
  <c r="H904" i="39"/>
  <c r="I912" i="8"/>
  <c r="H912" i="39"/>
  <c r="I920" i="8"/>
  <c r="H920" i="39"/>
  <c r="I928" i="8"/>
  <c r="H928" i="39"/>
  <c r="I936" i="8"/>
  <c r="H936" i="39"/>
  <c r="I944" i="8"/>
  <c r="H944" i="39"/>
  <c r="I952" i="8"/>
  <c r="H952" i="39"/>
  <c r="I960" i="8"/>
  <c r="H960" i="39"/>
  <c r="I968" i="8"/>
  <c r="H968" i="39"/>
  <c r="I976" i="8"/>
  <c r="H976" i="39"/>
  <c r="I984" i="8"/>
  <c r="H984" i="39"/>
  <c r="I992" i="8"/>
  <c r="H992" i="39"/>
  <c r="I1000" i="8"/>
  <c r="H1000" i="39"/>
  <c r="I541" i="8"/>
  <c r="H541" i="39"/>
  <c r="I607" i="8"/>
  <c r="H607" i="39"/>
  <c r="I625" i="8"/>
  <c r="H625" i="39"/>
  <c r="I639" i="8"/>
  <c r="H639" i="39"/>
  <c r="I655" i="8"/>
  <c r="H655" i="39"/>
  <c r="I671" i="8"/>
  <c r="H671" i="39"/>
  <c r="I687" i="8"/>
  <c r="H687" i="39"/>
  <c r="I711" i="8"/>
  <c r="H711" i="39"/>
  <c r="I731" i="8"/>
  <c r="H731" i="39"/>
  <c r="I755" i="8"/>
  <c r="H755" i="39"/>
  <c r="I779" i="8"/>
  <c r="H779" i="39"/>
  <c r="I801" i="8"/>
  <c r="H801" i="39"/>
  <c r="I817" i="8"/>
  <c r="H817" i="39"/>
  <c r="I827" i="8"/>
  <c r="H827" i="39"/>
  <c r="I837" i="8"/>
  <c r="H837" i="39"/>
  <c r="I845" i="8"/>
  <c r="H845" i="39"/>
  <c r="I853" i="8"/>
  <c r="H853" i="39"/>
  <c r="I861" i="8"/>
  <c r="H861" i="39"/>
  <c r="I871" i="8"/>
  <c r="H871" i="39"/>
  <c r="I879" i="8"/>
  <c r="H879" i="39"/>
  <c r="I891" i="8"/>
  <c r="H891" i="39"/>
  <c r="I899" i="8"/>
  <c r="H899" i="39"/>
  <c r="I911" i="8"/>
  <c r="H911" i="39"/>
  <c r="I923" i="8"/>
  <c r="H923" i="39"/>
  <c r="I935" i="8"/>
  <c r="H935" i="39"/>
  <c r="I943" i="8"/>
  <c r="H943" i="39"/>
  <c r="I955" i="8"/>
  <c r="H955" i="39"/>
  <c r="I963" i="8"/>
  <c r="H963" i="39"/>
  <c r="I971" i="8"/>
  <c r="H971" i="39"/>
  <c r="I983" i="8"/>
  <c r="H983" i="39"/>
  <c r="I995" i="8"/>
  <c r="H995" i="39"/>
  <c r="I1003" i="8"/>
  <c r="H1003" i="39"/>
  <c r="I66" i="8"/>
  <c r="H66" i="39"/>
  <c r="I123" i="8"/>
  <c r="H123" i="39"/>
  <c r="I110" i="8"/>
  <c r="H110" i="39"/>
  <c r="I93" i="8"/>
  <c r="H93" i="39"/>
  <c r="I18" i="8"/>
  <c r="H18" i="39"/>
  <c r="I26" i="8"/>
  <c r="H26" i="39"/>
  <c r="I35" i="8"/>
  <c r="H35" i="39"/>
  <c r="I40" i="8"/>
  <c r="H40" i="39"/>
  <c r="I52" i="8"/>
  <c r="H52" i="39"/>
  <c r="I67" i="8"/>
  <c r="H67" i="39"/>
  <c r="I72" i="8"/>
  <c r="H72" i="39"/>
  <c r="I84" i="8"/>
  <c r="H84" i="39"/>
  <c r="I97" i="8"/>
  <c r="H97" i="39"/>
  <c r="I105" i="8"/>
  <c r="H105" i="39"/>
  <c r="I113" i="8"/>
  <c r="H113" i="39"/>
  <c r="I121" i="8"/>
  <c r="H121" i="39"/>
  <c r="I129" i="8"/>
  <c r="H129" i="39"/>
  <c r="I137" i="8"/>
  <c r="H137" i="39"/>
  <c r="I145" i="8"/>
  <c r="H145" i="39"/>
  <c r="I154" i="8"/>
  <c r="H154" i="39"/>
  <c r="I162" i="8"/>
  <c r="H162" i="39"/>
  <c r="I170" i="8"/>
  <c r="H170" i="39"/>
  <c r="I178" i="8"/>
  <c r="H178" i="39"/>
  <c r="I186" i="8"/>
  <c r="H186" i="39"/>
  <c r="I194" i="8"/>
  <c r="H194" i="39"/>
  <c r="I202" i="8"/>
  <c r="H202" i="39"/>
  <c r="I210" i="8"/>
  <c r="H210" i="39"/>
  <c r="I218" i="8"/>
  <c r="H218" i="39"/>
  <c r="I226" i="8"/>
  <c r="H226" i="39"/>
  <c r="I234" i="8"/>
  <c r="H234" i="39"/>
  <c r="I242" i="8"/>
  <c r="H242" i="39"/>
  <c r="I250" i="8"/>
  <c r="H250" i="39"/>
  <c r="I258" i="8"/>
  <c r="H258" i="39"/>
  <c r="I266" i="8"/>
  <c r="H266" i="39"/>
  <c r="I274" i="8"/>
  <c r="H274" i="39"/>
  <c r="I282" i="8"/>
  <c r="H282" i="39"/>
  <c r="I290" i="8"/>
  <c r="H290" i="39"/>
  <c r="I298" i="8"/>
  <c r="H298" i="39"/>
  <c r="I306" i="8"/>
  <c r="H306" i="39"/>
  <c r="I314" i="8"/>
  <c r="H314" i="39"/>
  <c r="I322" i="8"/>
  <c r="H322" i="39"/>
  <c r="I330" i="8"/>
  <c r="H330" i="39"/>
  <c r="I338" i="8"/>
  <c r="H338" i="39"/>
  <c r="I346" i="8"/>
  <c r="H346" i="39"/>
  <c r="I354" i="8"/>
  <c r="H354" i="39"/>
  <c r="I362" i="8"/>
  <c r="H362" i="39"/>
  <c r="I370" i="8"/>
  <c r="H370" i="39"/>
  <c r="I378" i="8"/>
  <c r="H378" i="39"/>
  <c r="I386" i="8"/>
  <c r="H386" i="39"/>
  <c r="I394" i="8"/>
  <c r="H394" i="39"/>
  <c r="I402" i="8"/>
  <c r="H402" i="39"/>
  <c r="I410" i="8"/>
  <c r="H410" i="39"/>
  <c r="I418" i="8"/>
  <c r="H418" i="39"/>
  <c r="I426" i="8"/>
  <c r="H426" i="39"/>
  <c r="I434" i="8"/>
  <c r="H434" i="39"/>
  <c r="I442" i="8"/>
  <c r="H442" i="39"/>
  <c r="I450" i="8"/>
  <c r="H450" i="39"/>
  <c r="I458" i="8"/>
  <c r="H458" i="39"/>
  <c r="I466" i="8"/>
  <c r="H466" i="39"/>
  <c r="I474" i="8"/>
  <c r="H474" i="39"/>
  <c r="I482" i="8"/>
  <c r="H482" i="39"/>
  <c r="I490" i="8"/>
  <c r="H490" i="39"/>
  <c r="I498" i="8"/>
  <c r="H498" i="39"/>
  <c r="I506" i="8"/>
  <c r="H506" i="39"/>
  <c r="I514" i="8"/>
  <c r="H514" i="39"/>
  <c r="I522" i="8"/>
  <c r="H522" i="39"/>
  <c r="I530" i="8"/>
  <c r="H530" i="39"/>
  <c r="I538" i="8"/>
  <c r="H538" i="39"/>
  <c r="I546" i="8"/>
  <c r="H546" i="39"/>
  <c r="I554" i="8"/>
  <c r="H554" i="39"/>
  <c r="I562" i="8"/>
  <c r="H562" i="39"/>
  <c r="I570" i="8"/>
  <c r="H570" i="39"/>
  <c r="I578" i="8"/>
  <c r="H578" i="39"/>
  <c r="I586" i="8"/>
  <c r="H586" i="39"/>
  <c r="I594" i="8"/>
  <c r="H594" i="39"/>
  <c r="I602" i="8"/>
  <c r="H602" i="39"/>
  <c r="I610" i="8"/>
  <c r="H610" i="39"/>
  <c r="I618" i="8"/>
  <c r="H618" i="39"/>
  <c r="I626" i="8"/>
  <c r="H626" i="39"/>
  <c r="I634" i="8"/>
  <c r="H634" i="39"/>
  <c r="I642" i="8"/>
  <c r="H642" i="39"/>
  <c r="I650" i="8"/>
  <c r="H650" i="39"/>
  <c r="I658" i="8"/>
  <c r="H658" i="39"/>
  <c r="I666" i="8"/>
  <c r="H666" i="39"/>
  <c r="I674" i="8"/>
  <c r="H674" i="39"/>
  <c r="I682" i="8"/>
  <c r="H682" i="39"/>
  <c r="I690" i="8"/>
  <c r="H690" i="39"/>
  <c r="I698" i="8"/>
  <c r="H698" i="39"/>
  <c r="I706" i="8"/>
  <c r="H706" i="39"/>
  <c r="I714" i="8"/>
  <c r="H714" i="39"/>
  <c r="I722" i="8"/>
  <c r="H722" i="39"/>
  <c r="I730" i="8"/>
  <c r="H730" i="39"/>
  <c r="I738" i="8"/>
  <c r="H738" i="39"/>
  <c r="I746" i="8"/>
  <c r="H746" i="39"/>
  <c r="I754" i="8"/>
  <c r="H754" i="39"/>
  <c r="I762" i="8"/>
  <c r="H762" i="39"/>
  <c r="I770" i="8"/>
  <c r="H770" i="39"/>
  <c r="I778" i="8"/>
  <c r="H778" i="39"/>
  <c r="I786" i="8"/>
  <c r="H786" i="39"/>
  <c r="I794" i="8"/>
  <c r="H794" i="39"/>
  <c r="I802" i="8"/>
  <c r="H802" i="39"/>
  <c r="I810" i="8"/>
  <c r="H810" i="39"/>
  <c r="I818" i="8"/>
  <c r="H818" i="39"/>
  <c r="I826" i="8"/>
  <c r="H826" i="39"/>
  <c r="I834" i="8"/>
  <c r="H834" i="39"/>
  <c r="I842" i="8"/>
  <c r="H842" i="39"/>
  <c r="I850" i="8"/>
  <c r="H850" i="39"/>
  <c r="I858" i="8"/>
  <c r="H858" i="39"/>
  <c r="I866" i="8"/>
  <c r="H866" i="39"/>
  <c r="I874" i="8"/>
  <c r="H874" i="39"/>
  <c r="I882" i="8"/>
  <c r="H882" i="39"/>
  <c r="I890" i="8"/>
  <c r="H890" i="39"/>
  <c r="I898" i="8"/>
  <c r="H898" i="39"/>
  <c r="I906" i="8"/>
  <c r="H906" i="39"/>
  <c r="I914" i="8"/>
  <c r="H914" i="39"/>
  <c r="I922" i="8"/>
  <c r="H922" i="39"/>
  <c r="I930" i="8"/>
  <c r="H930" i="39"/>
  <c r="I938" i="8"/>
  <c r="H938" i="39"/>
  <c r="I946" i="8"/>
  <c r="H946" i="39"/>
  <c r="I954" i="8"/>
  <c r="H954" i="39"/>
  <c r="I962" i="8"/>
  <c r="H962" i="39"/>
  <c r="I970" i="8"/>
  <c r="H970" i="39"/>
  <c r="I978" i="8"/>
  <c r="H978" i="39"/>
  <c r="I986" i="8"/>
  <c r="H986" i="39"/>
  <c r="I994" i="8"/>
  <c r="H994" i="39"/>
  <c r="I1002" i="8"/>
  <c r="H1002" i="39"/>
  <c r="I545" i="8"/>
  <c r="H545" i="39"/>
  <c r="I613" i="8"/>
  <c r="H613" i="39"/>
  <c r="I627" i="8"/>
  <c r="H627" i="39"/>
  <c r="I641" i="8"/>
  <c r="H641" i="39"/>
  <c r="I657" i="8"/>
  <c r="H657" i="39"/>
  <c r="I673" i="8"/>
  <c r="H673" i="39"/>
  <c r="I693" i="8"/>
  <c r="H693" i="39"/>
  <c r="I713" i="8"/>
  <c r="H713" i="39"/>
  <c r="I737" i="8"/>
  <c r="H737" i="39"/>
  <c r="I761" i="8"/>
  <c r="H761" i="39"/>
  <c r="I783" i="8"/>
  <c r="H783" i="39"/>
  <c r="I807" i="8"/>
  <c r="H807" i="39"/>
  <c r="I819" i="8"/>
  <c r="H819" i="39"/>
  <c r="I831" i="8"/>
  <c r="H831" i="39"/>
  <c r="I839" i="8"/>
  <c r="H839" i="39"/>
  <c r="I847" i="8"/>
  <c r="H847" i="39"/>
  <c r="I855" i="8"/>
  <c r="H855" i="39"/>
  <c r="I863" i="8"/>
  <c r="H863" i="39"/>
  <c r="I873" i="8"/>
  <c r="H873" i="39"/>
  <c r="I883" i="8"/>
  <c r="H883" i="39"/>
  <c r="I893" i="8"/>
  <c r="H893" i="39"/>
  <c r="I903" i="8"/>
  <c r="H903" i="39"/>
  <c r="I913" i="8"/>
  <c r="H913" i="39"/>
  <c r="I925" i="8"/>
  <c r="H925" i="39"/>
  <c r="I937" i="8"/>
  <c r="H937" i="39"/>
  <c r="I947" i="8"/>
  <c r="H947" i="39"/>
  <c r="I957" i="8"/>
  <c r="H957" i="39"/>
  <c r="I965" i="8"/>
  <c r="H965" i="39"/>
  <c r="I973" i="8"/>
  <c r="H973" i="39"/>
  <c r="I985" i="8"/>
  <c r="H985" i="39"/>
  <c r="I997" i="8"/>
  <c r="H997" i="39"/>
  <c r="I90" i="8"/>
  <c r="H90" i="39"/>
  <c r="I139" i="8"/>
  <c r="H139" i="39"/>
  <c r="I89" i="8"/>
  <c r="H89" i="39"/>
  <c r="I142" i="8"/>
  <c r="H142" i="39"/>
  <c r="I41" i="8"/>
  <c r="H41" i="39"/>
  <c r="I95" i="8"/>
  <c r="H95" i="39"/>
  <c r="I127" i="8"/>
  <c r="H127" i="39"/>
  <c r="I45" i="8"/>
  <c r="H45" i="39"/>
  <c r="I114" i="8"/>
  <c r="H114" i="39"/>
  <c r="I146" i="8"/>
  <c r="H146" i="39"/>
  <c r="I20" i="8"/>
  <c r="H20" i="39"/>
  <c r="I47" i="8"/>
  <c r="H47" i="39"/>
  <c r="I92" i="8"/>
  <c r="H92" i="39"/>
  <c r="I108" i="8"/>
  <c r="H108" i="39"/>
  <c r="I124" i="8"/>
  <c r="H124" i="39"/>
  <c r="I140" i="8"/>
  <c r="H140" i="39"/>
  <c r="I156" i="8"/>
  <c r="H156" i="39"/>
  <c r="I172" i="8"/>
  <c r="H172" i="39"/>
  <c r="I188" i="8"/>
  <c r="H188" i="39"/>
  <c r="I204" i="8"/>
  <c r="H204" i="39"/>
  <c r="I220" i="8"/>
  <c r="H220" i="39"/>
  <c r="I236" i="8"/>
  <c r="H236" i="39"/>
  <c r="I252" i="8"/>
  <c r="H252" i="39"/>
  <c r="I268" i="8"/>
  <c r="H268" i="39"/>
  <c r="I284" i="8"/>
  <c r="H284" i="39"/>
  <c r="I300" i="8"/>
  <c r="H300" i="39"/>
  <c r="I316" i="8"/>
  <c r="H316" i="39"/>
  <c r="I332" i="8"/>
  <c r="H332" i="39"/>
  <c r="I348" i="8"/>
  <c r="H348" i="39"/>
  <c r="I364" i="8"/>
  <c r="H364" i="39"/>
  <c r="I380" i="8"/>
  <c r="H380" i="39"/>
  <c r="I396" i="8"/>
  <c r="H396" i="39"/>
  <c r="I412" i="8"/>
  <c r="H412" i="39"/>
  <c r="I428" i="8"/>
  <c r="H428" i="39"/>
  <c r="I444" i="8"/>
  <c r="H444" i="39"/>
  <c r="I460" i="8"/>
  <c r="H460" i="39"/>
  <c r="I476" i="8"/>
  <c r="H476" i="39"/>
  <c r="I492" i="8"/>
  <c r="H492" i="39"/>
  <c r="I508" i="8"/>
  <c r="H508" i="39"/>
  <c r="I524" i="8"/>
  <c r="H524" i="39"/>
  <c r="I540" i="8"/>
  <c r="H540" i="39"/>
  <c r="I556" i="8"/>
  <c r="H556" i="39"/>
  <c r="I572" i="8"/>
  <c r="H572" i="39"/>
  <c r="I588" i="8"/>
  <c r="H588" i="39"/>
  <c r="I612" i="8"/>
  <c r="H612" i="39"/>
  <c r="I628" i="8"/>
  <c r="H628" i="39"/>
  <c r="I644" i="8"/>
  <c r="H644" i="39"/>
  <c r="I660" i="8"/>
  <c r="H660" i="39"/>
  <c r="I676" i="8"/>
  <c r="H676" i="39"/>
  <c r="I692" i="8"/>
  <c r="H692" i="39"/>
  <c r="I708" i="8"/>
  <c r="H708" i="39"/>
  <c r="I724" i="8"/>
  <c r="H724" i="39"/>
  <c r="I748" i="8"/>
  <c r="H748" i="39"/>
  <c r="I764" i="8"/>
  <c r="H764" i="39"/>
  <c r="I780" i="8"/>
  <c r="H780" i="39"/>
  <c r="I796" i="8"/>
  <c r="H796" i="39"/>
  <c r="I820" i="8"/>
  <c r="H820" i="39"/>
  <c r="I836" i="8"/>
  <c r="H836" i="39"/>
  <c r="I852" i="8"/>
  <c r="H852" i="39"/>
  <c r="I868" i="8"/>
  <c r="H868" i="39"/>
  <c r="I884" i="8"/>
  <c r="H884" i="39"/>
  <c r="I900" i="8"/>
  <c r="H900" i="39"/>
  <c r="I916" i="8"/>
  <c r="H916" i="39"/>
  <c r="I940" i="8"/>
  <c r="H940" i="39"/>
  <c r="I956" i="8"/>
  <c r="H956" i="39"/>
  <c r="I964" i="8"/>
  <c r="H964" i="39"/>
  <c r="I980" i="8"/>
  <c r="H980" i="39"/>
  <c r="I996" i="8"/>
  <c r="H996" i="39"/>
  <c r="I723" i="8"/>
  <c r="H723" i="39"/>
  <c r="I789" i="8"/>
  <c r="H789" i="39"/>
  <c r="I833" i="8"/>
  <c r="H833" i="39"/>
  <c r="I865" i="8"/>
  <c r="H865" i="39"/>
  <c r="I915" i="8"/>
  <c r="H915" i="39"/>
  <c r="I951" i="8"/>
  <c r="H951" i="39"/>
  <c r="I975" i="8"/>
  <c r="H975" i="39"/>
  <c r="I34" i="8"/>
  <c r="H34" i="39"/>
  <c r="I107" i="8"/>
  <c r="H107" i="39"/>
  <c r="I53" i="8"/>
  <c r="H53" i="39"/>
  <c r="I126" i="8"/>
  <c r="H126" i="39"/>
  <c r="I49" i="8"/>
  <c r="H49" i="39"/>
  <c r="I73" i="8"/>
  <c r="H73" i="39"/>
  <c r="I111" i="8"/>
  <c r="H111" i="39"/>
  <c r="I143" i="8"/>
  <c r="H143" i="39"/>
  <c r="I98" i="8"/>
  <c r="H98" i="39"/>
  <c r="I130" i="8"/>
  <c r="H130" i="39"/>
  <c r="I65" i="8"/>
  <c r="H65" i="39"/>
  <c r="I12" i="8"/>
  <c r="H12" i="39"/>
  <c r="I28" i="8"/>
  <c r="H28" i="39"/>
  <c r="I55" i="8"/>
  <c r="H55" i="39"/>
  <c r="I79" i="8"/>
  <c r="H79" i="39"/>
  <c r="I100" i="8"/>
  <c r="H100" i="39"/>
  <c r="I116" i="8"/>
  <c r="H116" i="39"/>
  <c r="I132" i="8"/>
  <c r="H132" i="39"/>
  <c r="I148" i="8"/>
  <c r="H148" i="39"/>
  <c r="I164" i="8"/>
  <c r="H164" i="39"/>
  <c r="I180" i="8"/>
  <c r="H180" i="39"/>
  <c r="I196" i="8"/>
  <c r="H196" i="39"/>
  <c r="I212" i="8"/>
  <c r="H212" i="39"/>
  <c r="I228" i="8"/>
  <c r="H228" i="39"/>
  <c r="I244" i="8"/>
  <c r="H244" i="39"/>
  <c r="I260" i="8"/>
  <c r="H260" i="39"/>
  <c r="I276" i="8"/>
  <c r="H276" i="39"/>
  <c r="I292" i="8"/>
  <c r="H292" i="39"/>
  <c r="I308" i="8"/>
  <c r="H308" i="39"/>
  <c r="I324" i="8"/>
  <c r="H324" i="39"/>
  <c r="I340" i="8"/>
  <c r="H340" i="39"/>
  <c r="I356" i="8"/>
  <c r="H356" i="39"/>
  <c r="I372" i="8"/>
  <c r="H372" i="39"/>
  <c r="I388" i="8"/>
  <c r="H388" i="39"/>
  <c r="I404" i="8"/>
  <c r="H404" i="39"/>
  <c r="I420" i="8"/>
  <c r="H420" i="39"/>
  <c r="I436" i="8"/>
  <c r="H436" i="39"/>
  <c r="I452" i="8"/>
  <c r="H452" i="39"/>
  <c r="I468" i="8"/>
  <c r="H468" i="39"/>
  <c r="I484" i="8"/>
  <c r="H484" i="39"/>
  <c r="I500" i="8"/>
  <c r="H500" i="39"/>
  <c r="I516" i="8"/>
  <c r="H516" i="39"/>
  <c r="I532" i="8"/>
  <c r="H532" i="39"/>
  <c r="I548" i="8"/>
  <c r="H548" i="39"/>
  <c r="I564" i="8"/>
  <c r="H564" i="39"/>
  <c r="I580" i="8"/>
  <c r="H580" i="39"/>
  <c r="I596" i="8"/>
  <c r="H596" i="39"/>
  <c r="I604" i="8"/>
  <c r="H604" i="39"/>
  <c r="I620" i="8"/>
  <c r="H620" i="39"/>
  <c r="I636" i="8"/>
  <c r="H636" i="39"/>
  <c r="I652" i="8"/>
  <c r="H652" i="39"/>
  <c r="I668" i="8"/>
  <c r="H668" i="39"/>
  <c r="I684" i="8"/>
  <c r="H684" i="39"/>
  <c r="I700" i="8"/>
  <c r="H700" i="39"/>
  <c r="I716" i="8"/>
  <c r="H716" i="39"/>
  <c r="I732" i="8"/>
  <c r="H732" i="39"/>
  <c r="I740" i="8"/>
  <c r="H740" i="39"/>
  <c r="I756" i="8"/>
  <c r="H756" i="39"/>
  <c r="I772" i="8"/>
  <c r="H772" i="39"/>
  <c r="I788" i="8"/>
  <c r="H788" i="39"/>
  <c r="I804" i="8"/>
  <c r="H804" i="39"/>
  <c r="I812" i="8"/>
  <c r="H812" i="39"/>
  <c r="I828" i="8"/>
  <c r="H828" i="39"/>
  <c r="I844" i="8"/>
  <c r="H844" i="39"/>
  <c r="I860" i="8"/>
  <c r="H860" i="39"/>
  <c r="I876" i="8"/>
  <c r="H876" i="39"/>
  <c r="I892" i="8"/>
  <c r="H892" i="39"/>
  <c r="I908" i="8"/>
  <c r="H908" i="39"/>
  <c r="I924" i="8"/>
  <c r="H924" i="39"/>
  <c r="I932" i="8"/>
  <c r="H932" i="39"/>
  <c r="I948" i="8"/>
  <c r="H948" i="39"/>
  <c r="I972" i="8"/>
  <c r="H972" i="39"/>
  <c r="I988" i="8"/>
  <c r="H988" i="39"/>
  <c r="I1004" i="8"/>
  <c r="H1004" i="39"/>
  <c r="I597" i="8"/>
  <c r="H597" i="39"/>
  <c r="I631" i="8"/>
  <c r="H631" i="39"/>
  <c r="I663" i="8"/>
  <c r="H663" i="39"/>
  <c r="I699" i="8"/>
  <c r="H699" i="39"/>
  <c r="I743" i="8"/>
  <c r="H743" i="39"/>
  <c r="I811" i="8"/>
  <c r="H811" i="39"/>
  <c r="I841" i="8"/>
  <c r="H841" i="39"/>
  <c r="I857" i="8"/>
  <c r="H857" i="39"/>
  <c r="I887" i="8"/>
  <c r="H887" i="39"/>
  <c r="I907" i="8"/>
  <c r="H907" i="39"/>
  <c r="I939" i="8"/>
  <c r="H939" i="39"/>
  <c r="I967" i="8"/>
  <c r="H967" i="39"/>
  <c r="I999" i="8"/>
  <c r="H999" i="39"/>
  <c r="I14" i="8"/>
  <c r="H14" i="39"/>
  <c r="I30" i="8"/>
  <c r="H30" i="39"/>
  <c r="I62" i="8"/>
  <c r="H62" i="39"/>
  <c r="I150" i="8"/>
  <c r="H150" i="39"/>
  <c r="I174" i="8"/>
  <c r="H174" i="39"/>
  <c r="I190" i="8"/>
  <c r="H190" i="39"/>
  <c r="I198" i="8"/>
  <c r="H198" i="39"/>
  <c r="I214" i="8"/>
  <c r="H214" i="39"/>
  <c r="I222" i="8"/>
  <c r="H222" i="39"/>
  <c r="I230" i="8"/>
  <c r="H230" i="39"/>
  <c r="I238" i="8"/>
  <c r="H238" i="39"/>
  <c r="I246" i="8"/>
  <c r="H246" i="39"/>
  <c r="I254" i="8"/>
  <c r="H254" i="39"/>
  <c r="I262" i="8"/>
  <c r="H262" i="39"/>
  <c r="I270" i="8"/>
  <c r="H270" i="39"/>
  <c r="I278" i="8"/>
  <c r="H278" i="39"/>
  <c r="I286" i="8"/>
  <c r="H286" i="39"/>
  <c r="I294" i="8"/>
  <c r="H294" i="39"/>
  <c r="I302" i="8"/>
  <c r="H302" i="39"/>
  <c r="I310" i="8"/>
  <c r="H310" i="39"/>
  <c r="I318" i="8"/>
  <c r="H318" i="39"/>
  <c r="I326" i="8"/>
  <c r="H326" i="39"/>
  <c r="I334" i="8"/>
  <c r="H334" i="39"/>
  <c r="I342" i="8"/>
  <c r="H342" i="39"/>
  <c r="I350" i="8"/>
  <c r="H350" i="39"/>
  <c r="I358" i="8"/>
  <c r="H358" i="39"/>
  <c r="I366" i="8"/>
  <c r="H366" i="39"/>
  <c r="I374" i="8"/>
  <c r="H374" i="39"/>
  <c r="I382" i="8"/>
  <c r="H382" i="39"/>
  <c r="I390" i="8"/>
  <c r="H390" i="39"/>
  <c r="I398" i="8"/>
  <c r="H398" i="39"/>
  <c r="I406" i="8"/>
  <c r="H406" i="39"/>
  <c r="I422" i="8"/>
  <c r="H422" i="39"/>
  <c r="I430" i="8"/>
  <c r="H430" i="39"/>
  <c r="I438" i="8"/>
  <c r="H438" i="39"/>
  <c r="I446" i="8"/>
  <c r="H446" i="39"/>
  <c r="I454" i="8"/>
  <c r="H454" i="39"/>
  <c r="I462" i="8"/>
  <c r="H462" i="39"/>
  <c r="I470" i="8"/>
  <c r="H470" i="39"/>
  <c r="I478" i="8"/>
  <c r="H478" i="39"/>
  <c r="I486" i="8"/>
  <c r="H486" i="39"/>
  <c r="I494" i="8"/>
  <c r="H494" i="39"/>
  <c r="I502" i="8"/>
  <c r="H502" i="39"/>
  <c r="I510" i="8"/>
  <c r="H510" i="39"/>
  <c r="I518" i="8"/>
  <c r="H518" i="39"/>
  <c r="I526" i="8"/>
  <c r="H526" i="39"/>
  <c r="I534" i="8"/>
  <c r="H534" i="39"/>
  <c r="I542" i="8"/>
  <c r="H542" i="39"/>
  <c r="I550" i="8"/>
  <c r="H550" i="39"/>
  <c r="I558" i="8"/>
  <c r="H558" i="39"/>
  <c r="I566" i="8"/>
  <c r="H566" i="39"/>
  <c r="I574" i="8"/>
  <c r="H574" i="39"/>
  <c r="I582" i="8"/>
  <c r="H582" i="39"/>
  <c r="I590" i="8"/>
  <c r="H590" i="39"/>
  <c r="I598" i="8"/>
  <c r="H598" i="39"/>
  <c r="I606" i="8"/>
  <c r="H606" i="39"/>
  <c r="I614" i="8"/>
  <c r="H614" i="39"/>
  <c r="I622" i="8"/>
  <c r="H622" i="39"/>
  <c r="I630" i="8"/>
  <c r="H630" i="39"/>
  <c r="I638" i="8"/>
  <c r="H638" i="39"/>
  <c r="I646" i="8"/>
  <c r="H646" i="39"/>
  <c r="I654" i="8"/>
  <c r="H654" i="39"/>
  <c r="I662" i="8"/>
  <c r="H662" i="39"/>
  <c r="I670" i="8"/>
  <c r="H670" i="39"/>
  <c r="I678" i="8"/>
  <c r="H678" i="39"/>
  <c r="I686" i="8"/>
  <c r="H686" i="39"/>
  <c r="I694" i="8"/>
  <c r="H694" i="39"/>
  <c r="I702" i="8"/>
  <c r="H702" i="39"/>
  <c r="I710" i="8"/>
  <c r="H710" i="39"/>
  <c r="I718" i="8"/>
  <c r="H718" i="39"/>
  <c r="I726" i="8"/>
  <c r="H726" i="39"/>
  <c r="I734" i="8"/>
  <c r="H734" i="39"/>
  <c r="I742" i="8"/>
  <c r="H742" i="39"/>
  <c r="I750" i="8"/>
  <c r="H750" i="39"/>
  <c r="I758" i="8"/>
  <c r="H758" i="39"/>
  <c r="I766" i="8"/>
  <c r="H766" i="39"/>
  <c r="I774" i="8"/>
  <c r="H774" i="39"/>
  <c r="I782" i="8"/>
  <c r="H782" i="39"/>
  <c r="I790" i="8"/>
  <c r="H790" i="39"/>
  <c r="I798" i="8"/>
  <c r="H798" i="39"/>
  <c r="I806" i="8"/>
  <c r="H806" i="39"/>
  <c r="I814" i="8"/>
  <c r="H814" i="39"/>
  <c r="I822" i="8"/>
  <c r="H822" i="39"/>
  <c r="I830" i="8"/>
  <c r="H830" i="39"/>
  <c r="I838" i="8"/>
  <c r="H838" i="39"/>
  <c r="I846" i="8"/>
  <c r="H846" i="39"/>
  <c r="I854" i="8"/>
  <c r="H854" i="39"/>
  <c r="I862" i="8"/>
  <c r="H862" i="39"/>
  <c r="I870" i="8"/>
  <c r="H870" i="39"/>
  <c r="I878" i="8"/>
  <c r="H878" i="39"/>
  <c r="I886" i="8"/>
  <c r="H886" i="39"/>
  <c r="I894" i="8"/>
  <c r="H894" i="39"/>
  <c r="I902" i="8"/>
  <c r="H902" i="39"/>
  <c r="I910" i="8"/>
  <c r="H910" i="39"/>
  <c r="I918" i="8"/>
  <c r="H918" i="39"/>
  <c r="I926" i="8"/>
  <c r="H926" i="39"/>
  <c r="I934" i="8"/>
  <c r="H934" i="39"/>
  <c r="I942" i="8"/>
  <c r="H942" i="39"/>
  <c r="I950" i="8"/>
  <c r="H950" i="39"/>
  <c r="I958" i="8"/>
  <c r="H958" i="39"/>
  <c r="I966" i="8"/>
  <c r="H966" i="39"/>
  <c r="I974" i="8"/>
  <c r="H974" i="39"/>
  <c r="I982" i="8"/>
  <c r="H982" i="39"/>
  <c r="I990" i="8"/>
  <c r="H990" i="39"/>
  <c r="I998" i="8"/>
  <c r="H998" i="39"/>
  <c r="I54" i="8"/>
  <c r="H54" i="39"/>
  <c r="I605" i="8"/>
  <c r="H605" i="39"/>
  <c r="I621" i="8"/>
  <c r="H621" i="39"/>
  <c r="I635" i="8"/>
  <c r="H635" i="39"/>
  <c r="I649" i="8"/>
  <c r="H649" i="39"/>
  <c r="I665" i="8"/>
  <c r="H665" i="39"/>
  <c r="I681" i="8"/>
  <c r="H681" i="39"/>
  <c r="I705" i="8"/>
  <c r="H705" i="39"/>
  <c r="I725" i="8"/>
  <c r="H725" i="39"/>
  <c r="I749" i="8"/>
  <c r="H749" i="39"/>
  <c r="I773" i="8"/>
  <c r="H773" i="39"/>
  <c r="I795" i="8"/>
  <c r="H795" i="39"/>
  <c r="I815" i="8"/>
  <c r="H815" i="39"/>
  <c r="I823" i="8"/>
  <c r="H823" i="39"/>
  <c r="I835" i="8"/>
  <c r="H835" i="39"/>
  <c r="I843" i="8"/>
  <c r="H843" i="39"/>
  <c r="I851" i="8"/>
  <c r="H851" i="39"/>
  <c r="I859" i="8"/>
  <c r="H859" i="39"/>
  <c r="I867" i="8"/>
  <c r="H867" i="39"/>
  <c r="I877" i="8"/>
  <c r="H877" i="39"/>
  <c r="I889" i="8"/>
  <c r="H889" i="39"/>
  <c r="I897" i="8"/>
  <c r="H897" i="39"/>
  <c r="I909" i="8"/>
  <c r="H909" i="39"/>
  <c r="I919" i="8"/>
  <c r="H919" i="39"/>
  <c r="I931" i="8"/>
  <c r="H931" i="39"/>
  <c r="I941" i="8"/>
  <c r="H941" i="39"/>
  <c r="I953" i="8"/>
  <c r="H953" i="39"/>
  <c r="I961" i="8"/>
  <c r="H961" i="39"/>
  <c r="I969" i="8"/>
  <c r="H969" i="39"/>
  <c r="I979" i="8"/>
  <c r="H979" i="39"/>
  <c r="I991" i="8"/>
  <c r="H991" i="39"/>
  <c r="I1001" i="8"/>
  <c r="H1001" i="39"/>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83" i="37"/>
  <c r="H84" i="37"/>
  <c r="H85" i="37"/>
  <c r="H86" i="37"/>
  <c r="H87" i="37"/>
  <c r="H88" i="37"/>
  <c r="H89" i="37"/>
  <c r="H90" i="37"/>
  <c r="H91" i="37"/>
  <c r="H92" i="37"/>
  <c r="H93" i="37"/>
  <c r="H94" i="37"/>
  <c r="H95" i="37"/>
  <c r="H96" i="37"/>
  <c r="H97" i="37"/>
  <c r="H98" i="37"/>
  <c r="H99" i="37"/>
  <c r="H100" i="37"/>
  <c r="H101" i="37"/>
  <c r="H102" i="37"/>
  <c r="H103" i="37"/>
  <c r="H104" i="37"/>
  <c r="H105" i="37"/>
  <c r="H106" i="37"/>
  <c r="H107" i="37"/>
  <c r="H108" i="37"/>
  <c r="H109" i="37"/>
  <c r="H110" i="37"/>
  <c r="H111" i="37"/>
  <c r="H112" i="37"/>
  <c r="H113" i="37"/>
  <c r="H114" i="37"/>
  <c r="H115" i="37"/>
  <c r="H116" i="37"/>
  <c r="H117" i="37"/>
  <c r="H118" i="37"/>
  <c r="H119" i="37"/>
  <c r="H120" i="37"/>
  <c r="H121" i="37"/>
  <c r="H122" i="37"/>
  <c r="H123" i="37"/>
  <c r="H124" i="37"/>
  <c r="H125" i="37"/>
  <c r="H126" i="37"/>
  <c r="H127" i="37"/>
  <c r="H128" i="37"/>
  <c r="H129" i="37"/>
  <c r="H130" i="37"/>
  <c r="H131" i="37"/>
  <c r="H132" i="37"/>
  <c r="H133" i="37"/>
  <c r="H134" i="37"/>
  <c r="H135" i="37"/>
  <c r="H136" i="37"/>
  <c r="H137" i="37"/>
  <c r="H138" i="37"/>
  <c r="H139" i="37"/>
  <c r="H140" i="37"/>
  <c r="H141" i="37"/>
  <c r="H142" i="37"/>
  <c r="H143" i="37"/>
  <c r="H144" i="37"/>
  <c r="H145" i="37"/>
  <c r="H146" i="37"/>
  <c r="H147" i="37"/>
  <c r="H148" i="37"/>
  <c r="H149" i="37"/>
  <c r="H150" i="37"/>
  <c r="H151" i="37"/>
  <c r="H152" i="37"/>
  <c r="H153" i="37"/>
  <c r="H154" i="37"/>
  <c r="H155" i="37"/>
  <c r="H156" i="37"/>
  <c r="H157" i="37"/>
  <c r="H158" i="37"/>
  <c r="H159" i="37"/>
  <c r="H160" i="37"/>
  <c r="H161" i="37"/>
  <c r="H162" i="37"/>
  <c r="H163" i="37"/>
  <c r="H164" i="37"/>
  <c r="H165" i="37"/>
  <c r="H166" i="37"/>
  <c r="H167" i="37"/>
  <c r="H168" i="37"/>
  <c r="H169" i="37"/>
  <c r="H170" i="37"/>
  <c r="H171" i="37"/>
  <c r="H172" i="37"/>
  <c r="H173" i="37"/>
  <c r="H174" i="37"/>
  <c r="H175" i="37"/>
  <c r="H176" i="37"/>
  <c r="H177" i="37"/>
  <c r="H178" i="37"/>
  <c r="H179" i="37"/>
  <c r="H180" i="37"/>
  <c r="H181" i="37"/>
  <c r="H182" i="37"/>
  <c r="H183" i="37"/>
  <c r="H184" i="37"/>
  <c r="H185" i="37"/>
  <c r="H186" i="37"/>
  <c r="H187" i="37"/>
  <c r="H188" i="37"/>
  <c r="H189" i="37"/>
  <c r="H190" i="37"/>
  <c r="H191" i="37"/>
  <c r="H192" i="37"/>
  <c r="H193" i="37"/>
  <c r="H194" i="37"/>
  <c r="H195" i="37"/>
  <c r="H196" i="37"/>
  <c r="H197" i="37"/>
  <c r="H198" i="37"/>
  <c r="H199" i="37"/>
  <c r="H200" i="37"/>
  <c r="H201" i="37"/>
  <c r="H202" i="37"/>
  <c r="H203" i="37"/>
  <c r="H204" i="37"/>
  <c r="H205" i="37"/>
  <c r="H206" i="37"/>
  <c r="H207" i="37"/>
  <c r="H208" i="37"/>
  <c r="H209" i="37"/>
  <c r="H210" i="37"/>
  <c r="H211" i="37"/>
  <c r="H212" i="37"/>
  <c r="H213" i="37"/>
  <c r="H214" i="37"/>
  <c r="H215" i="37"/>
  <c r="H216" i="37"/>
  <c r="H217" i="37"/>
  <c r="H218" i="37"/>
  <c r="H219" i="37"/>
  <c r="H220" i="37"/>
  <c r="H221" i="37"/>
  <c r="H222" i="37"/>
  <c r="H223" i="37"/>
  <c r="H224" i="37"/>
  <c r="H225" i="37"/>
  <c r="H226" i="37"/>
  <c r="H227" i="37"/>
  <c r="H228" i="37"/>
  <c r="H229" i="37"/>
  <c r="H230" i="37"/>
  <c r="H231" i="37"/>
  <c r="H232" i="37"/>
  <c r="H233" i="37"/>
  <c r="H234" i="37"/>
  <c r="H235" i="37"/>
  <c r="H236" i="37"/>
  <c r="H237" i="37"/>
  <c r="H238" i="37"/>
  <c r="H239" i="37"/>
  <c r="H240" i="37"/>
  <c r="H241" i="37"/>
  <c r="H242" i="37"/>
  <c r="H243" i="37"/>
  <c r="H244" i="37"/>
  <c r="H245" i="37"/>
  <c r="H246" i="37"/>
  <c r="H247" i="37"/>
  <c r="H248" i="37"/>
  <c r="H249" i="37"/>
  <c r="H250" i="37"/>
  <c r="H251" i="37"/>
  <c r="H252" i="37"/>
  <c r="H253" i="37"/>
  <c r="H254" i="37"/>
  <c r="H255" i="37"/>
  <c r="H256" i="37"/>
  <c r="H257" i="37"/>
  <c r="H258" i="37"/>
  <c r="H259" i="37"/>
  <c r="H260" i="37"/>
  <c r="H261" i="37"/>
  <c r="H262" i="37"/>
  <c r="H263" i="37"/>
  <c r="H264" i="37"/>
  <c r="H265" i="37"/>
  <c r="H266" i="37"/>
  <c r="H267" i="37"/>
  <c r="H268" i="37"/>
  <c r="H269" i="37"/>
  <c r="H270" i="37"/>
  <c r="H271" i="37"/>
  <c r="H272" i="37"/>
  <c r="H273" i="37"/>
  <c r="H274" i="37"/>
  <c r="H275" i="37"/>
  <c r="H276" i="37"/>
  <c r="H277" i="37"/>
  <c r="H278" i="37"/>
  <c r="H279" i="37"/>
  <c r="H280" i="37"/>
  <c r="H281" i="37"/>
  <c r="H282" i="37"/>
  <c r="H283" i="37"/>
  <c r="H284" i="37"/>
  <c r="H285" i="37"/>
  <c r="H286" i="37"/>
  <c r="H287" i="37"/>
  <c r="H288" i="37"/>
  <c r="H289" i="37"/>
  <c r="H290" i="37"/>
  <c r="H291" i="37"/>
  <c r="H292" i="37"/>
  <c r="H293" i="37"/>
  <c r="H294" i="37"/>
  <c r="H295" i="37"/>
  <c r="H296" i="37"/>
  <c r="H297" i="37"/>
  <c r="H298" i="37"/>
  <c r="H299" i="37"/>
  <c r="H300" i="37"/>
  <c r="H301" i="37"/>
  <c r="H302" i="37"/>
  <c r="H303" i="37"/>
  <c r="H304" i="37"/>
  <c r="H305" i="37"/>
  <c r="H306" i="37"/>
  <c r="H307" i="37"/>
  <c r="H308" i="37"/>
  <c r="H309" i="37"/>
  <c r="H310" i="37"/>
  <c r="H311" i="37"/>
  <c r="H312" i="37"/>
  <c r="H313" i="37"/>
  <c r="H314" i="37"/>
  <c r="H315" i="37"/>
  <c r="H316" i="37"/>
  <c r="H317" i="37"/>
  <c r="H318" i="37"/>
  <c r="H319" i="37"/>
  <c r="H320" i="37"/>
  <c r="H321" i="37"/>
  <c r="H322" i="37"/>
  <c r="H323" i="37"/>
  <c r="H324" i="37"/>
  <c r="H325" i="37"/>
  <c r="H326" i="37"/>
  <c r="H327" i="37"/>
  <c r="H328" i="37"/>
  <c r="H329" i="37"/>
  <c r="H330" i="37"/>
  <c r="H331" i="37"/>
  <c r="H332" i="37"/>
  <c r="H333" i="37"/>
  <c r="H334" i="37"/>
  <c r="H335" i="37"/>
  <c r="H336" i="37"/>
  <c r="H337" i="37"/>
  <c r="H338" i="37"/>
  <c r="H339" i="37"/>
  <c r="H340" i="37"/>
  <c r="H341" i="37"/>
  <c r="H342" i="37"/>
  <c r="H343" i="37"/>
  <c r="H344" i="37"/>
  <c r="H345" i="37"/>
  <c r="H346" i="37"/>
  <c r="H347" i="37"/>
  <c r="H348" i="37"/>
  <c r="H349" i="37"/>
  <c r="H350" i="37"/>
  <c r="H351" i="37"/>
  <c r="H352" i="37"/>
  <c r="H353" i="37"/>
  <c r="H354" i="37"/>
  <c r="H355" i="37"/>
  <c r="H356" i="37"/>
  <c r="H357" i="37"/>
  <c r="H358" i="37"/>
  <c r="H359" i="37"/>
  <c r="H360" i="37"/>
  <c r="H361" i="37"/>
  <c r="H362" i="37"/>
  <c r="H363" i="37"/>
  <c r="H364" i="37"/>
  <c r="H365" i="37"/>
  <c r="H366" i="37"/>
  <c r="H367" i="37"/>
  <c r="H368" i="37"/>
  <c r="H369" i="37"/>
  <c r="H370" i="37"/>
  <c r="H371" i="37"/>
  <c r="H372" i="37"/>
  <c r="H373" i="37"/>
  <c r="H374" i="37"/>
  <c r="H375" i="37"/>
  <c r="H376" i="37"/>
  <c r="H377" i="37"/>
  <c r="H378" i="37"/>
  <c r="H379" i="37"/>
  <c r="H380" i="37"/>
  <c r="H381" i="37"/>
  <c r="H382" i="37"/>
  <c r="H383" i="37"/>
  <c r="H384" i="37"/>
  <c r="H385" i="37"/>
  <c r="H386" i="37"/>
  <c r="H387" i="37"/>
  <c r="H388" i="37"/>
  <c r="H389" i="37"/>
  <c r="H390" i="37"/>
  <c r="H391" i="37"/>
  <c r="H392" i="37"/>
  <c r="H393" i="37"/>
  <c r="H394" i="37"/>
  <c r="H395" i="37"/>
  <c r="H396" i="37"/>
  <c r="H397" i="37"/>
  <c r="H398" i="37"/>
  <c r="H399" i="37"/>
  <c r="H400" i="37"/>
  <c r="H401" i="37"/>
  <c r="H402" i="37"/>
  <c r="H403" i="37"/>
  <c r="H404" i="37"/>
  <c r="H405" i="37"/>
  <c r="H406" i="37"/>
  <c r="H407" i="37"/>
  <c r="H408" i="37"/>
  <c r="H409" i="37"/>
  <c r="H410" i="37"/>
  <c r="H411" i="37"/>
  <c r="H412" i="37"/>
  <c r="H413" i="37"/>
  <c r="H414" i="37"/>
  <c r="H415" i="37"/>
  <c r="H416" i="37"/>
  <c r="H417" i="37"/>
  <c r="H418" i="37"/>
  <c r="H419" i="37"/>
  <c r="H420" i="37"/>
  <c r="H421" i="37"/>
  <c r="H422" i="37"/>
  <c r="H423" i="37"/>
  <c r="H424" i="37"/>
  <c r="H425" i="37"/>
  <c r="H426" i="37"/>
  <c r="H427" i="37"/>
  <c r="H428" i="37"/>
  <c r="H429" i="37"/>
  <c r="H430" i="37"/>
  <c r="H431" i="37"/>
  <c r="H432" i="37"/>
  <c r="H433" i="37"/>
  <c r="H434" i="37"/>
  <c r="H435" i="37"/>
  <c r="H436" i="37"/>
  <c r="H437" i="37"/>
  <c r="H438" i="37"/>
  <c r="H439" i="37"/>
  <c r="H440" i="37"/>
  <c r="H441" i="37"/>
  <c r="H442" i="37"/>
  <c r="H443" i="37"/>
  <c r="H444" i="37"/>
  <c r="H445" i="37"/>
  <c r="H446" i="37"/>
  <c r="H447" i="37"/>
  <c r="H448" i="37"/>
  <c r="H449" i="37"/>
  <c r="H450" i="37"/>
  <c r="H451" i="37"/>
  <c r="H452" i="37"/>
  <c r="H453" i="37"/>
  <c r="H454" i="37"/>
  <c r="H455" i="37"/>
  <c r="H456" i="37"/>
  <c r="H457" i="37"/>
  <c r="H458" i="37"/>
  <c r="H459" i="37"/>
  <c r="H460" i="37"/>
  <c r="H461" i="37"/>
  <c r="H462" i="37"/>
  <c r="H463" i="37"/>
  <c r="H464" i="37"/>
  <c r="H465" i="37"/>
  <c r="H466" i="37"/>
  <c r="H467" i="37"/>
  <c r="H468" i="37"/>
  <c r="H469" i="37"/>
  <c r="H470" i="37"/>
  <c r="H471" i="37"/>
  <c r="H472" i="37"/>
  <c r="H473" i="37"/>
  <c r="H474" i="37"/>
  <c r="H475" i="37"/>
  <c r="H476" i="37"/>
  <c r="H477" i="37"/>
  <c r="H478" i="37"/>
  <c r="H479" i="37"/>
  <c r="H480" i="37"/>
  <c r="H481" i="37"/>
  <c r="H482" i="37"/>
  <c r="H483" i="37"/>
  <c r="H484" i="37"/>
  <c r="H485" i="37"/>
  <c r="H486" i="37"/>
  <c r="H487" i="37"/>
  <c r="H488" i="37"/>
  <c r="H489" i="37"/>
  <c r="H490" i="37"/>
  <c r="H491" i="37"/>
  <c r="H492" i="37"/>
  <c r="H493" i="37"/>
  <c r="H494" i="37"/>
  <c r="H495" i="37"/>
  <c r="H496" i="37"/>
  <c r="H497" i="37"/>
  <c r="H498" i="37"/>
  <c r="H499" i="37"/>
  <c r="H500" i="37"/>
  <c r="H501" i="37"/>
  <c r="H502" i="37"/>
  <c r="H503" i="37"/>
  <c r="H504" i="37"/>
  <c r="H505" i="37"/>
  <c r="H506" i="37"/>
  <c r="H507" i="37"/>
  <c r="H508" i="37"/>
  <c r="H509" i="37"/>
  <c r="H510" i="37"/>
  <c r="H511" i="37"/>
  <c r="H512" i="37"/>
  <c r="H513" i="37"/>
  <c r="H514" i="37"/>
  <c r="H515" i="37"/>
  <c r="H516" i="37"/>
  <c r="H517" i="37"/>
  <c r="H518" i="37"/>
  <c r="H519" i="37"/>
  <c r="H520" i="37"/>
  <c r="H521" i="37"/>
  <c r="H522" i="37"/>
  <c r="H523" i="37"/>
  <c r="H524" i="37"/>
  <c r="H525" i="37"/>
  <c r="H526" i="37"/>
  <c r="H527" i="37"/>
  <c r="H528" i="37"/>
  <c r="H529" i="37"/>
  <c r="H530" i="37"/>
  <c r="H531" i="37"/>
  <c r="H532" i="37"/>
  <c r="H533" i="37"/>
  <c r="H534" i="37"/>
  <c r="H535" i="37"/>
  <c r="H536" i="37"/>
  <c r="H537" i="37"/>
  <c r="H538" i="37"/>
  <c r="H539" i="37"/>
  <c r="H540" i="37"/>
  <c r="H541" i="37"/>
  <c r="H542" i="37"/>
  <c r="H543" i="37"/>
  <c r="H544" i="37"/>
  <c r="H545" i="37"/>
  <c r="H546" i="37"/>
  <c r="H547" i="37"/>
  <c r="H548" i="37"/>
  <c r="H549" i="37"/>
  <c r="H550" i="37"/>
  <c r="H551" i="37"/>
  <c r="H552" i="37"/>
  <c r="H553" i="37"/>
  <c r="H554" i="37"/>
  <c r="H555" i="37"/>
  <c r="H556" i="37"/>
  <c r="H557" i="37"/>
  <c r="H558" i="37"/>
  <c r="H559" i="37"/>
  <c r="H560" i="37"/>
  <c r="H561" i="37"/>
  <c r="H562" i="37"/>
  <c r="H563" i="37"/>
  <c r="H564" i="37"/>
  <c r="H565" i="37"/>
  <c r="H566" i="37"/>
  <c r="H567" i="37"/>
  <c r="H568" i="37"/>
  <c r="H569" i="37"/>
  <c r="H570" i="37"/>
  <c r="H571" i="37"/>
  <c r="H572" i="37"/>
  <c r="H573" i="37"/>
  <c r="H574" i="37"/>
  <c r="H575" i="37"/>
  <c r="H576" i="37"/>
  <c r="H577" i="37"/>
  <c r="H578" i="37"/>
  <c r="H579" i="37"/>
  <c r="H580" i="37"/>
  <c r="H581" i="37"/>
  <c r="H582" i="37"/>
  <c r="H583" i="37"/>
  <c r="H584" i="37"/>
  <c r="H585" i="37"/>
  <c r="H586" i="37"/>
  <c r="H587" i="37"/>
  <c r="H588" i="37"/>
  <c r="H589" i="37"/>
  <c r="H590" i="37"/>
  <c r="H591" i="37"/>
  <c r="H592" i="37"/>
  <c r="H593" i="37"/>
  <c r="H594" i="37"/>
  <c r="H595" i="37"/>
  <c r="H596" i="37"/>
  <c r="H597" i="37"/>
  <c r="H598" i="37"/>
  <c r="H599" i="37"/>
  <c r="H600" i="37"/>
  <c r="H601" i="37"/>
  <c r="H602" i="37"/>
  <c r="H603" i="37"/>
  <c r="H604" i="37"/>
  <c r="H605" i="37"/>
  <c r="H606" i="37"/>
  <c r="H607" i="37"/>
  <c r="H608" i="37"/>
  <c r="H609" i="37"/>
  <c r="H610" i="37"/>
  <c r="H611" i="37"/>
  <c r="H612" i="37"/>
  <c r="H613" i="37"/>
  <c r="H614" i="37"/>
  <c r="H615" i="37"/>
  <c r="H616" i="37"/>
  <c r="H617" i="37"/>
  <c r="H618" i="37"/>
  <c r="H619" i="37"/>
  <c r="H620" i="37"/>
  <c r="H621" i="37"/>
  <c r="H622" i="37"/>
  <c r="H623" i="37"/>
  <c r="H624" i="37"/>
  <c r="H625" i="37"/>
  <c r="H626" i="37"/>
  <c r="H627" i="37"/>
  <c r="H628" i="37"/>
  <c r="H629" i="37"/>
  <c r="H630" i="37"/>
  <c r="H631" i="37"/>
  <c r="H632" i="37"/>
  <c r="H633" i="37"/>
  <c r="H634" i="37"/>
  <c r="H635" i="37"/>
  <c r="H636" i="37"/>
  <c r="H637" i="37"/>
  <c r="H638" i="37"/>
  <c r="H639" i="37"/>
  <c r="H640" i="37"/>
  <c r="H641" i="37"/>
  <c r="H642" i="37"/>
  <c r="H643" i="37"/>
  <c r="H644" i="37"/>
  <c r="H645" i="37"/>
  <c r="H646" i="37"/>
  <c r="H647" i="37"/>
  <c r="H648" i="37"/>
  <c r="H649" i="37"/>
  <c r="H650" i="37"/>
  <c r="H651" i="37"/>
  <c r="H652" i="37"/>
  <c r="H653" i="37"/>
  <c r="H654" i="37"/>
  <c r="H655" i="37"/>
  <c r="H656" i="37"/>
  <c r="H657" i="37"/>
  <c r="H658" i="37"/>
  <c r="H659" i="37"/>
  <c r="H660" i="37"/>
  <c r="H661" i="37"/>
  <c r="H662" i="37"/>
  <c r="H663" i="37"/>
  <c r="H664" i="37"/>
  <c r="H665" i="37"/>
  <c r="H666" i="37"/>
  <c r="H667" i="37"/>
  <c r="H668" i="37"/>
  <c r="H669" i="37"/>
  <c r="H670" i="37"/>
  <c r="H671" i="37"/>
  <c r="H672" i="37"/>
  <c r="H673" i="37"/>
  <c r="H674" i="37"/>
  <c r="H675" i="37"/>
  <c r="H676" i="37"/>
  <c r="H677" i="37"/>
  <c r="H678" i="37"/>
  <c r="H679" i="37"/>
  <c r="H680" i="37"/>
  <c r="H681" i="37"/>
  <c r="H682" i="37"/>
  <c r="H683" i="37"/>
  <c r="H684" i="37"/>
  <c r="H685" i="37"/>
  <c r="H686" i="37"/>
  <c r="H687" i="37"/>
  <c r="H688" i="37"/>
  <c r="H689" i="37"/>
  <c r="H690" i="37"/>
  <c r="H691" i="37"/>
  <c r="H692" i="37"/>
  <c r="H693" i="37"/>
  <c r="H694" i="37"/>
  <c r="H695" i="37"/>
  <c r="H696" i="37"/>
  <c r="H697" i="37"/>
  <c r="H698" i="37"/>
  <c r="H699" i="37"/>
  <c r="H700" i="37"/>
  <c r="H701" i="37"/>
  <c r="H702" i="37"/>
  <c r="H703" i="37"/>
  <c r="H704" i="37"/>
  <c r="H705" i="37"/>
  <c r="H706" i="37"/>
  <c r="H707" i="37"/>
  <c r="H708" i="37"/>
  <c r="H709" i="37"/>
  <c r="H710" i="37"/>
  <c r="H711" i="37"/>
  <c r="H712" i="37"/>
  <c r="H713" i="37"/>
  <c r="H714" i="37"/>
  <c r="H715" i="37"/>
  <c r="H716" i="37"/>
  <c r="H717" i="37"/>
  <c r="H718" i="37"/>
  <c r="H719" i="37"/>
  <c r="H720" i="37"/>
  <c r="H721" i="37"/>
  <c r="H722" i="37"/>
  <c r="H723" i="37"/>
  <c r="H724" i="37"/>
  <c r="H725" i="37"/>
  <c r="H726" i="37"/>
  <c r="H727" i="37"/>
  <c r="H728" i="37"/>
  <c r="H729" i="37"/>
  <c r="H730" i="37"/>
  <c r="H731" i="37"/>
  <c r="H732" i="37"/>
  <c r="H733" i="37"/>
  <c r="H734" i="37"/>
  <c r="H735" i="37"/>
  <c r="H736" i="37"/>
  <c r="H737" i="37"/>
  <c r="H738" i="37"/>
  <c r="H739" i="37"/>
  <c r="H740" i="37"/>
  <c r="H741" i="37"/>
  <c r="H742" i="37"/>
  <c r="H743" i="37"/>
  <c r="H744" i="37"/>
  <c r="H745" i="37"/>
  <c r="H746" i="37"/>
  <c r="H747" i="37"/>
  <c r="H748" i="37"/>
  <c r="H749" i="37"/>
  <c r="H750" i="37"/>
  <c r="H751" i="37"/>
  <c r="H752" i="37"/>
  <c r="H753" i="37"/>
  <c r="H754" i="37"/>
  <c r="H755" i="37"/>
  <c r="H756" i="37"/>
  <c r="H757" i="37"/>
  <c r="H758" i="37"/>
  <c r="H759" i="37"/>
  <c r="H760" i="37"/>
  <c r="H761" i="37"/>
  <c r="H762" i="37"/>
  <c r="H763" i="37"/>
  <c r="H764" i="37"/>
  <c r="H765" i="37"/>
  <c r="H766" i="37"/>
  <c r="H767" i="37"/>
  <c r="H768" i="37"/>
  <c r="H769" i="37"/>
  <c r="H770" i="37"/>
  <c r="H771" i="37"/>
  <c r="H772" i="37"/>
  <c r="H773" i="37"/>
  <c r="H774" i="37"/>
  <c r="H775" i="37"/>
  <c r="H776" i="37"/>
  <c r="H777" i="37"/>
  <c r="H778" i="37"/>
  <c r="H779" i="37"/>
  <c r="H780" i="37"/>
  <c r="H781" i="37"/>
  <c r="H782" i="37"/>
  <c r="H783" i="37"/>
  <c r="H784" i="37"/>
  <c r="H785" i="37"/>
  <c r="H786" i="37"/>
  <c r="H787" i="37"/>
  <c r="H788" i="37"/>
  <c r="H789" i="37"/>
  <c r="H790" i="37"/>
  <c r="H791" i="37"/>
  <c r="H792" i="37"/>
  <c r="H793" i="37"/>
  <c r="H794" i="37"/>
  <c r="H795" i="37"/>
  <c r="H796" i="37"/>
  <c r="H797" i="37"/>
  <c r="H798" i="37"/>
  <c r="H799" i="37"/>
  <c r="H800" i="37"/>
  <c r="H801" i="37"/>
  <c r="H802" i="37"/>
  <c r="H803" i="37"/>
  <c r="H804" i="37"/>
  <c r="H805" i="37"/>
  <c r="H806" i="37"/>
  <c r="H807" i="37"/>
  <c r="H808" i="37"/>
  <c r="H809" i="37"/>
  <c r="H810" i="37"/>
  <c r="H811" i="37"/>
  <c r="H812" i="37"/>
  <c r="H813" i="37"/>
  <c r="H814" i="37"/>
  <c r="H815" i="37"/>
  <c r="H816" i="37"/>
  <c r="H817" i="37"/>
  <c r="H818" i="37"/>
  <c r="H819" i="37"/>
  <c r="H820" i="37"/>
  <c r="H821" i="37"/>
  <c r="H822" i="37"/>
  <c r="H823" i="37"/>
  <c r="H824" i="37"/>
  <c r="H825" i="37"/>
  <c r="H826" i="37"/>
  <c r="H827" i="37"/>
  <c r="H828" i="37"/>
  <c r="H829" i="37"/>
  <c r="H830" i="37"/>
  <c r="H831" i="37"/>
  <c r="H832" i="37"/>
  <c r="H833" i="37"/>
  <c r="H834" i="37"/>
  <c r="H835" i="37"/>
  <c r="H836" i="37"/>
  <c r="H837" i="37"/>
  <c r="H838" i="37"/>
  <c r="H839" i="37"/>
  <c r="H840" i="37"/>
  <c r="H841" i="37"/>
  <c r="H842" i="37"/>
  <c r="H843" i="37"/>
  <c r="H844" i="37"/>
  <c r="H845" i="37"/>
  <c r="H846" i="37"/>
  <c r="H847" i="37"/>
  <c r="H848" i="37"/>
  <c r="H849" i="37"/>
  <c r="H850" i="37"/>
  <c r="H851" i="37"/>
  <c r="H852" i="37"/>
  <c r="H853" i="37"/>
  <c r="H854" i="37"/>
  <c r="H855" i="37"/>
  <c r="H856" i="37"/>
  <c r="H857" i="37"/>
  <c r="H858" i="37"/>
  <c r="H859" i="37"/>
  <c r="H860" i="37"/>
  <c r="H861" i="37"/>
  <c r="H862" i="37"/>
  <c r="H863" i="37"/>
  <c r="H864" i="37"/>
  <c r="H865" i="37"/>
  <c r="H866" i="37"/>
  <c r="H867" i="37"/>
  <c r="H868" i="37"/>
  <c r="H869" i="37"/>
  <c r="H870" i="37"/>
  <c r="H871" i="37"/>
  <c r="H872" i="37"/>
  <c r="H873" i="37"/>
  <c r="H874" i="37"/>
  <c r="H875" i="37"/>
  <c r="H876" i="37"/>
  <c r="H877" i="37"/>
  <c r="H878" i="37"/>
  <c r="H879" i="37"/>
  <c r="H880" i="37"/>
  <c r="H881" i="37"/>
  <c r="H882" i="37"/>
  <c r="H883" i="37"/>
  <c r="H884" i="37"/>
  <c r="H885" i="37"/>
  <c r="H886" i="37"/>
  <c r="H887" i="37"/>
  <c r="H888" i="37"/>
  <c r="H889" i="37"/>
  <c r="H890" i="37"/>
  <c r="H891" i="37"/>
  <c r="H892" i="37"/>
  <c r="H893" i="37"/>
  <c r="H894" i="37"/>
  <c r="H895" i="37"/>
  <c r="H896" i="37"/>
  <c r="H897" i="37"/>
  <c r="H898" i="37"/>
  <c r="H899" i="37"/>
  <c r="H900" i="37"/>
  <c r="H901" i="37"/>
  <c r="H902" i="37"/>
  <c r="H903" i="37"/>
  <c r="H904" i="37"/>
  <c r="H905" i="37"/>
  <c r="H906" i="37"/>
  <c r="H907" i="37"/>
  <c r="H908" i="37"/>
  <c r="H909" i="37"/>
  <c r="H910" i="37"/>
  <c r="H911" i="37"/>
  <c r="H912" i="37"/>
  <c r="H913" i="37"/>
  <c r="H914" i="37"/>
  <c r="H915" i="37"/>
  <c r="H916" i="37"/>
  <c r="H917" i="37"/>
  <c r="H918" i="37"/>
  <c r="H919" i="37"/>
  <c r="H920" i="37"/>
  <c r="H921" i="37"/>
  <c r="H922" i="37"/>
  <c r="H923" i="37"/>
  <c r="H924" i="37"/>
  <c r="H925" i="37"/>
  <c r="H926" i="37"/>
  <c r="H927" i="37"/>
  <c r="H928" i="37"/>
  <c r="H929" i="37"/>
  <c r="H930" i="37"/>
  <c r="H931" i="37"/>
  <c r="H932" i="37"/>
  <c r="H933" i="37"/>
  <c r="H934" i="37"/>
  <c r="H935" i="37"/>
  <c r="H936" i="37"/>
  <c r="H937" i="37"/>
  <c r="H938" i="37"/>
  <c r="H939" i="37"/>
  <c r="H940" i="37"/>
  <c r="H941" i="37"/>
  <c r="H942" i="37"/>
  <c r="H943" i="37"/>
  <c r="H944" i="37"/>
  <c r="H945" i="37"/>
  <c r="H946" i="37"/>
  <c r="H947" i="37"/>
  <c r="H948" i="37"/>
  <c r="H949" i="37"/>
  <c r="H950" i="37"/>
  <c r="H951" i="37"/>
  <c r="H952" i="37"/>
  <c r="H953" i="37"/>
  <c r="H954" i="37"/>
  <c r="H955" i="37"/>
  <c r="H956" i="37"/>
  <c r="H957" i="37"/>
  <c r="H958" i="37"/>
  <c r="H959" i="37"/>
  <c r="H960" i="37"/>
  <c r="H961" i="37"/>
  <c r="H962" i="37"/>
  <c r="H963" i="37"/>
  <c r="H964" i="37"/>
  <c r="H965" i="37"/>
  <c r="H966" i="37"/>
  <c r="H967" i="37"/>
  <c r="H968" i="37"/>
  <c r="H969" i="37"/>
  <c r="H970" i="37"/>
  <c r="H971" i="37"/>
  <c r="H972" i="37"/>
  <c r="H973" i="37"/>
  <c r="H974" i="37"/>
  <c r="H975" i="37"/>
  <c r="H976" i="37"/>
  <c r="H977" i="37"/>
  <c r="H978" i="37"/>
  <c r="H979" i="37"/>
  <c r="H980" i="37"/>
  <c r="H981" i="37"/>
  <c r="H982" i="37"/>
  <c r="H983" i="37"/>
  <c r="H984" i="37"/>
  <c r="H985" i="37"/>
  <c r="H986" i="37"/>
  <c r="H987" i="37"/>
  <c r="H988" i="37"/>
  <c r="H989" i="37"/>
  <c r="H990" i="37"/>
  <c r="H991" i="37"/>
  <c r="H992" i="37"/>
  <c r="H993" i="37"/>
  <c r="H994" i="37"/>
  <c r="H995" i="37"/>
  <c r="H996" i="37"/>
  <c r="H997" i="37"/>
  <c r="H998" i="37"/>
  <c r="H999" i="37"/>
  <c r="H1000" i="37"/>
  <c r="H1001" i="37"/>
  <c r="H1002" i="37"/>
  <c r="H1003" i="37"/>
  <c r="H1004"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83" i="37"/>
  <c r="G84" i="37"/>
  <c r="G85" i="37"/>
  <c r="G86" i="37"/>
  <c r="G87" i="37"/>
  <c r="G88" i="37"/>
  <c r="G89" i="37"/>
  <c r="G90" i="37"/>
  <c r="G91" i="37"/>
  <c r="G92"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D10" i="39"/>
  <c r="D11" i="39"/>
  <c r="D7" i="39"/>
  <c r="F7" i="39" s="1"/>
  <c r="D8" i="39"/>
  <c r="F8" i="39" s="1"/>
  <c r="D9" i="39"/>
  <c r="F9" i="39" s="1"/>
  <c r="D6" i="39"/>
  <c r="D5" i="39"/>
  <c r="K7" i="38"/>
  <c r="K9" i="38"/>
  <c r="K10" i="38"/>
  <c r="F10" i="8" s="1"/>
  <c r="K11" i="38"/>
  <c r="F11" i="8" s="1"/>
  <c r="K12" i="38"/>
  <c r="F12" i="8" s="1"/>
  <c r="K13" i="38"/>
  <c r="F13" i="8" s="1"/>
  <c r="K14" i="38"/>
  <c r="F14" i="8" s="1"/>
  <c r="K15" i="38"/>
  <c r="F15" i="8" s="1"/>
  <c r="K16" i="38"/>
  <c r="F16" i="8" s="1"/>
  <c r="K17" i="38"/>
  <c r="F17" i="8" s="1"/>
  <c r="K18" i="38"/>
  <c r="F18" i="8" s="1"/>
  <c r="K19" i="38"/>
  <c r="F19" i="8" s="1"/>
  <c r="K20" i="38"/>
  <c r="F20" i="8" s="1"/>
  <c r="K21" i="38"/>
  <c r="F21" i="8" s="1"/>
  <c r="K22" i="38"/>
  <c r="F22" i="8" s="1"/>
  <c r="K23" i="38"/>
  <c r="F23" i="8" s="1"/>
  <c r="K24" i="38"/>
  <c r="F24" i="8" s="1"/>
  <c r="K25" i="38"/>
  <c r="F25" i="8" s="1"/>
  <c r="K26" i="38"/>
  <c r="F26" i="8" s="1"/>
  <c r="K27" i="38"/>
  <c r="F27" i="8" s="1"/>
  <c r="K28" i="38"/>
  <c r="F28" i="8" s="1"/>
  <c r="K29" i="38"/>
  <c r="F29" i="8" s="1"/>
  <c r="K30" i="38"/>
  <c r="F30" i="8" s="1"/>
  <c r="K31" i="38"/>
  <c r="F31" i="8" s="1"/>
  <c r="K32" i="38"/>
  <c r="F32" i="8" s="1"/>
  <c r="K33" i="38"/>
  <c r="F33" i="8" s="1"/>
  <c r="K34" i="38"/>
  <c r="F34" i="8" s="1"/>
  <c r="K35" i="38"/>
  <c r="F35" i="8" s="1"/>
  <c r="K36" i="38"/>
  <c r="F36" i="8" s="1"/>
  <c r="K37" i="38"/>
  <c r="F37" i="8" s="1"/>
  <c r="K38" i="38"/>
  <c r="F38" i="8" s="1"/>
  <c r="K39" i="38"/>
  <c r="F39" i="8" s="1"/>
  <c r="K40" i="38"/>
  <c r="F40" i="8" s="1"/>
  <c r="K41" i="38"/>
  <c r="F41" i="8" s="1"/>
  <c r="K42" i="38"/>
  <c r="F42" i="8" s="1"/>
  <c r="K43" i="38"/>
  <c r="F43" i="8" s="1"/>
  <c r="K44" i="38"/>
  <c r="F44" i="8" s="1"/>
  <c r="K45" i="38"/>
  <c r="F45" i="8" s="1"/>
  <c r="K46" i="38"/>
  <c r="F46" i="8" s="1"/>
  <c r="K47" i="38"/>
  <c r="F47" i="8" s="1"/>
  <c r="K48" i="38"/>
  <c r="F48" i="8" s="1"/>
  <c r="K49" i="38"/>
  <c r="F49" i="8" s="1"/>
  <c r="K50" i="38"/>
  <c r="F50" i="8" s="1"/>
  <c r="K51" i="38"/>
  <c r="F51" i="8" s="1"/>
  <c r="K52" i="38"/>
  <c r="F52" i="8" s="1"/>
  <c r="K53" i="38"/>
  <c r="F53" i="8" s="1"/>
  <c r="K54" i="38"/>
  <c r="F54" i="8" s="1"/>
  <c r="K55" i="38"/>
  <c r="F55" i="8" s="1"/>
  <c r="K56" i="38"/>
  <c r="F56" i="8" s="1"/>
  <c r="K57" i="38"/>
  <c r="F57" i="8" s="1"/>
  <c r="K58" i="38"/>
  <c r="F58" i="8" s="1"/>
  <c r="K59" i="38"/>
  <c r="F59" i="8" s="1"/>
  <c r="K60" i="38"/>
  <c r="F60" i="8" s="1"/>
  <c r="K61" i="38"/>
  <c r="F61" i="8" s="1"/>
  <c r="K62" i="38"/>
  <c r="F62" i="8" s="1"/>
  <c r="K63" i="38"/>
  <c r="F63" i="8" s="1"/>
  <c r="K64" i="38"/>
  <c r="F64" i="8" s="1"/>
  <c r="K65" i="38"/>
  <c r="F65" i="8" s="1"/>
  <c r="K66" i="38"/>
  <c r="F66" i="8" s="1"/>
  <c r="K67" i="38"/>
  <c r="F67" i="8" s="1"/>
  <c r="K68" i="38"/>
  <c r="F68" i="8" s="1"/>
  <c r="K69" i="38"/>
  <c r="F69" i="8" s="1"/>
  <c r="K70" i="38"/>
  <c r="F70" i="8" s="1"/>
  <c r="K71" i="38"/>
  <c r="F71" i="8" s="1"/>
  <c r="K72" i="38"/>
  <c r="F72" i="8" s="1"/>
  <c r="K73" i="38"/>
  <c r="F73" i="8" s="1"/>
  <c r="K74" i="38"/>
  <c r="F74" i="8" s="1"/>
  <c r="K75" i="38"/>
  <c r="F75" i="8" s="1"/>
  <c r="K76" i="38"/>
  <c r="F76" i="8" s="1"/>
  <c r="K77" i="38"/>
  <c r="F77" i="8" s="1"/>
  <c r="K78" i="38"/>
  <c r="F78" i="8" s="1"/>
  <c r="K79" i="38"/>
  <c r="F79" i="8" s="1"/>
  <c r="K80" i="38"/>
  <c r="F80" i="8" s="1"/>
  <c r="K81" i="38"/>
  <c r="F81" i="8" s="1"/>
  <c r="K82" i="38"/>
  <c r="F82" i="8" s="1"/>
  <c r="K83" i="38"/>
  <c r="F83" i="8" s="1"/>
  <c r="K84" i="38"/>
  <c r="F84" i="8" s="1"/>
  <c r="K85" i="38"/>
  <c r="F85" i="8" s="1"/>
  <c r="K86" i="38"/>
  <c r="F86" i="8" s="1"/>
  <c r="K87" i="38"/>
  <c r="F87" i="8" s="1"/>
  <c r="K88" i="38"/>
  <c r="F88" i="8" s="1"/>
  <c r="K89" i="38"/>
  <c r="F89" i="8" s="1"/>
  <c r="K90" i="38"/>
  <c r="F90" i="8" s="1"/>
  <c r="K91" i="38"/>
  <c r="F91" i="8" s="1"/>
  <c r="K92" i="38"/>
  <c r="F92" i="8" s="1"/>
  <c r="K93" i="38"/>
  <c r="F93" i="8" s="1"/>
  <c r="K94" i="38"/>
  <c r="F94" i="8" s="1"/>
  <c r="K95" i="38"/>
  <c r="F95" i="8" s="1"/>
  <c r="K96" i="38"/>
  <c r="F96" i="8" s="1"/>
  <c r="K97" i="38"/>
  <c r="F97" i="8" s="1"/>
  <c r="K98" i="38"/>
  <c r="F98" i="8" s="1"/>
  <c r="K99" i="38"/>
  <c r="F99" i="8" s="1"/>
  <c r="K100" i="38"/>
  <c r="F100" i="8" s="1"/>
  <c r="K101" i="38"/>
  <c r="F101" i="8" s="1"/>
  <c r="K102" i="38"/>
  <c r="F102" i="8" s="1"/>
  <c r="K103" i="38"/>
  <c r="F103" i="8" s="1"/>
  <c r="K104" i="38"/>
  <c r="F104" i="8" s="1"/>
  <c r="K105" i="38"/>
  <c r="F105" i="8" s="1"/>
  <c r="K106" i="38"/>
  <c r="F106" i="8" s="1"/>
  <c r="K107" i="38"/>
  <c r="F107" i="8" s="1"/>
  <c r="K108" i="38"/>
  <c r="F108" i="8" s="1"/>
  <c r="K109" i="38"/>
  <c r="F109" i="8" s="1"/>
  <c r="K110" i="38"/>
  <c r="F110" i="8" s="1"/>
  <c r="K111" i="38"/>
  <c r="F111" i="8" s="1"/>
  <c r="K112" i="38"/>
  <c r="F112" i="8" s="1"/>
  <c r="K113" i="38"/>
  <c r="F113" i="8" s="1"/>
  <c r="K114" i="38"/>
  <c r="F114" i="8" s="1"/>
  <c r="K115" i="38"/>
  <c r="F115" i="8" s="1"/>
  <c r="K116" i="38"/>
  <c r="F116" i="8" s="1"/>
  <c r="K117" i="38"/>
  <c r="F117" i="8" s="1"/>
  <c r="K118" i="38"/>
  <c r="F118" i="8" s="1"/>
  <c r="K119" i="38"/>
  <c r="F119" i="8" s="1"/>
  <c r="K120" i="38"/>
  <c r="F120" i="8" s="1"/>
  <c r="K121" i="38"/>
  <c r="F121" i="8" s="1"/>
  <c r="K122" i="38"/>
  <c r="F122" i="8" s="1"/>
  <c r="K123" i="38"/>
  <c r="F123" i="8" s="1"/>
  <c r="K124" i="38"/>
  <c r="F124" i="8" s="1"/>
  <c r="K125" i="38"/>
  <c r="F125" i="8" s="1"/>
  <c r="K126" i="38"/>
  <c r="F126" i="8" s="1"/>
  <c r="K127" i="38"/>
  <c r="F127" i="8" s="1"/>
  <c r="K128" i="38"/>
  <c r="F128" i="8" s="1"/>
  <c r="K129" i="38"/>
  <c r="F129" i="8" s="1"/>
  <c r="K130" i="38"/>
  <c r="F130" i="8" s="1"/>
  <c r="K131" i="38"/>
  <c r="F131" i="8" s="1"/>
  <c r="K132" i="38"/>
  <c r="F132" i="8" s="1"/>
  <c r="K133" i="38"/>
  <c r="F133" i="8" s="1"/>
  <c r="K134" i="38"/>
  <c r="F134" i="8" s="1"/>
  <c r="K135" i="38"/>
  <c r="F135" i="8" s="1"/>
  <c r="K136" i="38"/>
  <c r="F136" i="8" s="1"/>
  <c r="K137" i="38"/>
  <c r="F137" i="8" s="1"/>
  <c r="K138" i="38"/>
  <c r="F138" i="8" s="1"/>
  <c r="K139" i="38"/>
  <c r="F139" i="8" s="1"/>
  <c r="K140" i="38"/>
  <c r="F140" i="8" s="1"/>
  <c r="K141" i="38"/>
  <c r="F141" i="8" s="1"/>
  <c r="K142" i="38"/>
  <c r="F142" i="8" s="1"/>
  <c r="K143" i="38"/>
  <c r="F143" i="8" s="1"/>
  <c r="K144" i="38"/>
  <c r="F144" i="8" s="1"/>
  <c r="K145" i="38"/>
  <c r="F145" i="8" s="1"/>
  <c r="K146" i="38"/>
  <c r="F146" i="8" s="1"/>
  <c r="K147" i="38"/>
  <c r="F147" i="8" s="1"/>
  <c r="K148" i="38"/>
  <c r="F148" i="8" s="1"/>
  <c r="K149" i="38"/>
  <c r="F149" i="8" s="1"/>
  <c r="K150" i="38"/>
  <c r="F150" i="8" s="1"/>
  <c r="K151" i="38"/>
  <c r="F151" i="8" s="1"/>
  <c r="K152" i="38"/>
  <c r="F152" i="8" s="1"/>
  <c r="K153" i="38"/>
  <c r="F153" i="8" s="1"/>
  <c r="K154" i="38"/>
  <c r="F154" i="8" s="1"/>
  <c r="K155" i="38"/>
  <c r="F155" i="8" s="1"/>
  <c r="K156" i="38"/>
  <c r="F156" i="8" s="1"/>
  <c r="K157" i="38"/>
  <c r="F157" i="8" s="1"/>
  <c r="K158" i="38"/>
  <c r="F158" i="8" s="1"/>
  <c r="K159" i="38"/>
  <c r="F159" i="8" s="1"/>
  <c r="K160" i="38"/>
  <c r="F160" i="8" s="1"/>
  <c r="K161" i="38"/>
  <c r="F161" i="8" s="1"/>
  <c r="K162" i="38"/>
  <c r="F162" i="8" s="1"/>
  <c r="K163" i="38"/>
  <c r="F163" i="8" s="1"/>
  <c r="K164" i="38"/>
  <c r="F164" i="8" s="1"/>
  <c r="K165" i="38"/>
  <c r="F165" i="8" s="1"/>
  <c r="K166" i="38"/>
  <c r="F166" i="8" s="1"/>
  <c r="K167" i="38"/>
  <c r="F167" i="8" s="1"/>
  <c r="K168" i="38"/>
  <c r="F168" i="8" s="1"/>
  <c r="K169" i="38"/>
  <c r="F169" i="8" s="1"/>
  <c r="K170" i="38"/>
  <c r="F170" i="8" s="1"/>
  <c r="K171" i="38"/>
  <c r="F171" i="8" s="1"/>
  <c r="K172" i="38"/>
  <c r="F172" i="8" s="1"/>
  <c r="K173" i="38"/>
  <c r="F173" i="8" s="1"/>
  <c r="K174" i="38"/>
  <c r="F174" i="8" s="1"/>
  <c r="K175" i="38"/>
  <c r="F175" i="8" s="1"/>
  <c r="K176" i="38"/>
  <c r="F176" i="8" s="1"/>
  <c r="K177" i="38"/>
  <c r="F177" i="8" s="1"/>
  <c r="K178" i="38"/>
  <c r="F178" i="8" s="1"/>
  <c r="K179" i="38"/>
  <c r="F179" i="8" s="1"/>
  <c r="K180" i="38"/>
  <c r="F180" i="8" s="1"/>
  <c r="K181" i="38"/>
  <c r="F181" i="8" s="1"/>
  <c r="K182" i="38"/>
  <c r="F182" i="8" s="1"/>
  <c r="K183" i="38"/>
  <c r="F183" i="8" s="1"/>
  <c r="K184" i="38"/>
  <c r="F184" i="8" s="1"/>
  <c r="K185" i="38"/>
  <c r="F185" i="8" s="1"/>
  <c r="K186" i="38"/>
  <c r="F186" i="8" s="1"/>
  <c r="K187" i="38"/>
  <c r="F187" i="8" s="1"/>
  <c r="K188" i="38"/>
  <c r="F188" i="8" s="1"/>
  <c r="K189" i="38"/>
  <c r="F189" i="8" s="1"/>
  <c r="K190" i="38"/>
  <c r="F190" i="8" s="1"/>
  <c r="K191" i="38"/>
  <c r="F191" i="8" s="1"/>
  <c r="K192" i="38"/>
  <c r="F192" i="8" s="1"/>
  <c r="K193" i="38"/>
  <c r="F193" i="8" s="1"/>
  <c r="K194" i="38"/>
  <c r="F194" i="8" s="1"/>
  <c r="K195" i="38"/>
  <c r="F195" i="8" s="1"/>
  <c r="K196" i="38"/>
  <c r="F196" i="8" s="1"/>
  <c r="K197" i="38"/>
  <c r="F197" i="8" s="1"/>
  <c r="K198" i="38"/>
  <c r="F198" i="8" s="1"/>
  <c r="K199" i="38"/>
  <c r="F199" i="8" s="1"/>
  <c r="K200" i="38"/>
  <c r="F200" i="8" s="1"/>
  <c r="K201" i="38"/>
  <c r="F201" i="8" s="1"/>
  <c r="K202" i="38"/>
  <c r="F202" i="8" s="1"/>
  <c r="K203" i="38"/>
  <c r="F203" i="8" s="1"/>
  <c r="K204" i="38"/>
  <c r="F204" i="8" s="1"/>
  <c r="K205" i="38"/>
  <c r="F205" i="8" s="1"/>
  <c r="K206" i="38"/>
  <c r="F206" i="8" s="1"/>
  <c r="K207" i="38"/>
  <c r="F207" i="8" s="1"/>
  <c r="K208" i="38"/>
  <c r="F208" i="8" s="1"/>
  <c r="K209" i="38"/>
  <c r="F209" i="8" s="1"/>
  <c r="K210" i="38"/>
  <c r="F210" i="8" s="1"/>
  <c r="K211" i="38"/>
  <c r="F211" i="8" s="1"/>
  <c r="K212" i="38"/>
  <c r="F212" i="8" s="1"/>
  <c r="K213" i="38"/>
  <c r="F213" i="8" s="1"/>
  <c r="K214" i="38"/>
  <c r="F214" i="8" s="1"/>
  <c r="K215" i="38"/>
  <c r="F215" i="8" s="1"/>
  <c r="K216" i="38"/>
  <c r="F216" i="8" s="1"/>
  <c r="K217" i="38"/>
  <c r="F217" i="8" s="1"/>
  <c r="K218" i="38"/>
  <c r="F218" i="8" s="1"/>
  <c r="K219" i="38"/>
  <c r="F219" i="8" s="1"/>
  <c r="K220" i="38"/>
  <c r="F220" i="8" s="1"/>
  <c r="K221" i="38"/>
  <c r="F221" i="8" s="1"/>
  <c r="K222" i="38"/>
  <c r="F222" i="8" s="1"/>
  <c r="K223" i="38"/>
  <c r="F223" i="8" s="1"/>
  <c r="K224" i="38"/>
  <c r="F224" i="8" s="1"/>
  <c r="K225" i="38"/>
  <c r="F225" i="8" s="1"/>
  <c r="K226" i="38"/>
  <c r="F226" i="8" s="1"/>
  <c r="K227" i="38"/>
  <c r="F227" i="8" s="1"/>
  <c r="K228" i="38"/>
  <c r="F228" i="8" s="1"/>
  <c r="K229" i="38"/>
  <c r="F229" i="8" s="1"/>
  <c r="K230" i="38"/>
  <c r="F230" i="8" s="1"/>
  <c r="K231" i="38"/>
  <c r="F231" i="8" s="1"/>
  <c r="K232" i="38"/>
  <c r="F232" i="8" s="1"/>
  <c r="K233" i="38"/>
  <c r="F233" i="8" s="1"/>
  <c r="K234" i="38"/>
  <c r="F234" i="8" s="1"/>
  <c r="K235" i="38"/>
  <c r="F235" i="8" s="1"/>
  <c r="K236" i="38"/>
  <c r="F236" i="8" s="1"/>
  <c r="K237" i="38"/>
  <c r="F237" i="8" s="1"/>
  <c r="K238" i="38"/>
  <c r="F238" i="8" s="1"/>
  <c r="K239" i="38"/>
  <c r="F239" i="8" s="1"/>
  <c r="K240" i="38"/>
  <c r="F240" i="8" s="1"/>
  <c r="K241" i="38"/>
  <c r="F241" i="8" s="1"/>
  <c r="K242" i="38"/>
  <c r="F242" i="8" s="1"/>
  <c r="K243" i="38"/>
  <c r="F243" i="8" s="1"/>
  <c r="K244" i="38"/>
  <c r="F244" i="8" s="1"/>
  <c r="K245" i="38"/>
  <c r="F245" i="8" s="1"/>
  <c r="K246" i="38"/>
  <c r="F246" i="8" s="1"/>
  <c r="K247" i="38"/>
  <c r="F247" i="8" s="1"/>
  <c r="K248" i="38"/>
  <c r="F248" i="8" s="1"/>
  <c r="K249" i="38"/>
  <c r="F249" i="8" s="1"/>
  <c r="K250" i="38"/>
  <c r="F250" i="8" s="1"/>
  <c r="K251" i="38"/>
  <c r="F251" i="8" s="1"/>
  <c r="K252" i="38"/>
  <c r="F252" i="8" s="1"/>
  <c r="K253" i="38"/>
  <c r="F253" i="8" s="1"/>
  <c r="K254" i="38"/>
  <c r="F254" i="8" s="1"/>
  <c r="K255" i="38"/>
  <c r="F255" i="8" s="1"/>
  <c r="K256" i="38"/>
  <c r="F256" i="8" s="1"/>
  <c r="K257" i="38"/>
  <c r="F257" i="8" s="1"/>
  <c r="K258" i="38"/>
  <c r="F258" i="8" s="1"/>
  <c r="K259" i="38"/>
  <c r="F259" i="8" s="1"/>
  <c r="K260" i="38"/>
  <c r="F260" i="8" s="1"/>
  <c r="K261" i="38"/>
  <c r="F261" i="8" s="1"/>
  <c r="K262" i="38"/>
  <c r="F262" i="8" s="1"/>
  <c r="K263" i="38"/>
  <c r="F263" i="8" s="1"/>
  <c r="K264" i="38"/>
  <c r="F264" i="8" s="1"/>
  <c r="K265" i="38"/>
  <c r="F265" i="8" s="1"/>
  <c r="K266" i="38"/>
  <c r="F266" i="8" s="1"/>
  <c r="K267" i="38"/>
  <c r="F267" i="8" s="1"/>
  <c r="K268" i="38"/>
  <c r="F268" i="8" s="1"/>
  <c r="K269" i="38"/>
  <c r="F269" i="8" s="1"/>
  <c r="K270" i="38"/>
  <c r="F270" i="8" s="1"/>
  <c r="K271" i="38"/>
  <c r="F271" i="8" s="1"/>
  <c r="K272" i="38"/>
  <c r="F272" i="8" s="1"/>
  <c r="K273" i="38"/>
  <c r="F273" i="8" s="1"/>
  <c r="K274" i="38"/>
  <c r="F274" i="8" s="1"/>
  <c r="K275" i="38"/>
  <c r="F275" i="8" s="1"/>
  <c r="K276" i="38"/>
  <c r="F276" i="8" s="1"/>
  <c r="K277" i="38"/>
  <c r="F277" i="8" s="1"/>
  <c r="K278" i="38"/>
  <c r="F278" i="8" s="1"/>
  <c r="K279" i="38"/>
  <c r="F279" i="8" s="1"/>
  <c r="K280" i="38"/>
  <c r="F280" i="8" s="1"/>
  <c r="K281" i="38"/>
  <c r="F281" i="8" s="1"/>
  <c r="K282" i="38"/>
  <c r="F282" i="8" s="1"/>
  <c r="K283" i="38"/>
  <c r="F283" i="8" s="1"/>
  <c r="K284" i="38"/>
  <c r="F284" i="8" s="1"/>
  <c r="K285" i="38"/>
  <c r="F285" i="8" s="1"/>
  <c r="K286" i="38"/>
  <c r="F286" i="8" s="1"/>
  <c r="K287" i="38"/>
  <c r="F287" i="8" s="1"/>
  <c r="K288" i="38"/>
  <c r="F288" i="8" s="1"/>
  <c r="K289" i="38"/>
  <c r="F289" i="8" s="1"/>
  <c r="K290" i="38"/>
  <c r="F290" i="8" s="1"/>
  <c r="K291" i="38"/>
  <c r="F291" i="8" s="1"/>
  <c r="K292" i="38"/>
  <c r="F292" i="8" s="1"/>
  <c r="K293" i="38"/>
  <c r="F293" i="8" s="1"/>
  <c r="K294" i="38"/>
  <c r="F294" i="8" s="1"/>
  <c r="K295" i="38"/>
  <c r="F295" i="8" s="1"/>
  <c r="K296" i="38"/>
  <c r="F296" i="8" s="1"/>
  <c r="K297" i="38"/>
  <c r="F297" i="8" s="1"/>
  <c r="K298" i="38"/>
  <c r="F298" i="8" s="1"/>
  <c r="K299" i="38"/>
  <c r="F299" i="8" s="1"/>
  <c r="K300" i="38"/>
  <c r="F300" i="8" s="1"/>
  <c r="K301" i="38"/>
  <c r="F301" i="8" s="1"/>
  <c r="K302" i="38"/>
  <c r="F302" i="8" s="1"/>
  <c r="K303" i="38"/>
  <c r="F303" i="8" s="1"/>
  <c r="K304" i="38"/>
  <c r="F304" i="8" s="1"/>
  <c r="K305" i="38"/>
  <c r="F305" i="8" s="1"/>
  <c r="K306" i="38"/>
  <c r="F306" i="8" s="1"/>
  <c r="K307" i="38"/>
  <c r="F307" i="8" s="1"/>
  <c r="K308" i="38"/>
  <c r="F308" i="8" s="1"/>
  <c r="K309" i="38"/>
  <c r="F309" i="8" s="1"/>
  <c r="K310" i="38"/>
  <c r="F310" i="8" s="1"/>
  <c r="K311" i="38"/>
  <c r="F311" i="8" s="1"/>
  <c r="K312" i="38"/>
  <c r="F312" i="8" s="1"/>
  <c r="K313" i="38"/>
  <c r="F313" i="8" s="1"/>
  <c r="K314" i="38"/>
  <c r="F314" i="8" s="1"/>
  <c r="K315" i="38"/>
  <c r="F315" i="8" s="1"/>
  <c r="K316" i="38"/>
  <c r="F316" i="8" s="1"/>
  <c r="K317" i="38"/>
  <c r="F317" i="8" s="1"/>
  <c r="K318" i="38"/>
  <c r="F318" i="8" s="1"/>
  <c r="K319" i="38"/>
  <c r="F319" i="8" s="1"/>
  <c r="K320" i="38"/>
  <c r="F320" i="8" s="1"/>
  <c r="K321" i="38"/>
  <c r="F321" i="8" s="1"/>
  <c r="K322" i="38"/>
  <c r="F322" i="8" s="1"/>
  <c r="K323" i="38"/>
  <c r="F323" i="8" s="1"/>
  <c r="K324" i="38"/>
  <c r="F324" i="8" s="1"/>
  <c r="K325" i="38"/>
  <c r="F325" i="8" s="1"/>
  <c r="K326" i="38"/>
  <c r="F326" i="8" s="1"/>
  <c r="K327" i="38"/>
  <c r="F327" i="8" s="1"/>
  <c r="K328" i="38"/>
  <c r="F328" i="8" s="1"/>
  <c r="K329" i="38"/>
  <c r="F329" i="8" s="1"/>
  <c r="K330" i="38"/>
  <c r="F330" i="8" s="1"/>
  <c r="K331" i="38"/>
  <c r="F331" i="8" s="1"/>
  <c r="K332" i="38"/>
  <c r="F332" i="8" s="1"/>
  <c r="K333" i="38"/>
  <c r="F333" i="8" s="1"/>
  <c r="K334" i="38"/>
  <c r="F334" i="8" s="1"/>
  <c r="K335" i="38"/>
  <c r="F335" i="8" s="1"/>
  <c r="K336" i="38"/>
  <c r="F336" i="8" s="1"/>
  <c r="K337" i="38"/>
  <c r="F337" i="8" s="1"/>
  <c r="K338" i="38"/>
  <c r="F338" i="8" s="1"/>
  <c r="K339" i="38"/>
  <c r="F339" i="8" s="1"/>
  <c r="K340" i="38"/>
  <c r="F340" i="8" s="1"/>
  <c r="K341" i="38"/>
  <c r="F341" i="8" s="1"/>
  <c r="K342" i="38"/>
  <c r="F342" i="8" s="1"/>
  <c r="K343" i="38"/>
  <c r="F343" i="8" s="1"/>
  <c r="K344" i="38"/>
  <c r="F344" i="8" s="1"/>
  <c r="K345" i="38"/>
  <c r="F345" i="8" s="1"/>
  <c r="K346" i="38"/>
  <c r="F346" i="8" s="1"/>
  <c r="K347" i="38"/>
  <c r="F347" i="8" s="1"/>
  <c r="K348" i="38"/>
  <c r="F348" i="8" s="1"/>
  <c r="K349" i="38"/>
  <c r="F349" i="8" s="1"/>
  <c r="K350" i="38"/>
  <c r="F350" i="8" s="1"/>
  <c r="K351" i="38"/>
  <c r="F351" i="8" s="1"/>
  <c r="K352" i="38"/>
  <c r="F352" i="8" s="1"/>
  <c r="K353" i="38"/>
  <c r="F353" i="8" s="1"/>
  <c r="K354" i="38"/>
  <c r="F354" i="8" s="1"/>
  <c r="K355" i="38"/>
  <c r="F355" i="8" s="1"/>
  <c r="K356" i="38"/>
  <c r="F356" i="8" s="1"/>
  <c r="K357" i="38"/>
  <c r="F357" i="8" s="1"/>
  <c r="K358" i="38"/>
  <c r="F358" i="8" s="1"/>
  <c r="K359" i="38"/>
  <c r="F359" i="8" s="1"/>
  <c r="K360" i="38"/>
  <c r="F360" i="8" s="1"/>
  <c r="K361" i="38"/>
  <c r="F361" i="8" s="1"/>
  <c r="K362" i="38"/>
  <c r="F362" i="8" s="1"/>
  <c r="K363" i="38"/>
  <c r="F363" i="8" s="1"/>
  <c r="K364" i="38"/>
  <c r="F364" i="8" s="1"/>
  <c r="K365" i="38"/>
  <c r="F365" i="8" s="1"/>
  <c r="K366" i="38"/>
  <c r="F366" i="8" s="1"/>
  <c r="K367" i="38"/>
  <c r="F367" i="8" s="1"/>
  <c r="K368" i="38"/>
  <c r="F368" i="8" s="1"/>
  <c r="K369" i="38"/>
  <c r="F369" i="8" s="1"/>
  <c r="K370" i="38"/>
  <c r="F370" i="8" s="1"/>
  <c r="K371" i="38"/>
  <c r="F371" i="8" s="1"/>
  <c r="K372" i="38"/>
  <c r="F372" i="8" s="1"/>
  <c r="K373" i="38"/>
  <c r="F373" i="8" s="1"/>
  <c r="K374" i="38"/>
  <c r="F374" i="8" s="1"/>
  <c r="K375" i="38"/>
  <c r="F375" i="8" s="1"/>
  <c r="K376" i="38"/>
  <c r="F376" i="8" s="1"/>
  <c r="K377" i="38"/>
  <c r="F377" i="8" s="1"/>
  <c r="K378" i="38"/>
  <c r="F378" i="8" s="1"/>
  <c r="K379" i="38"/>
  <c r="F379" i="8" s="1"/>
  <c r="K380" i="38"/>
  <c r="F380" i="8" s="1"/>
  <c r="K381" i="38"/>
  <c r="F381" i="8" s="1"/>
  <c r="K382" i="38"/>
  <c r="F382" i="8" s="1"/>
  <c r="K383" i="38"/>
  <c r="F383" i="8" s="1"/>
  <c r="K384" i="38"/>
  <c r="F384" i="8" s="1"/>
  <c r="K385" i="38"/>
  <c r="F385" i="8" s="1"/>
  <c r="K386" i="38"/>
  <c r="F386" i="8" s="1"/>
  <c r="K387" i="38"/>
  <c r="F387" i="8" s="1"/>
  <c r="K388" i="38"/>
  <c r="F388" i="8" s="1"/>
  <c r="K389" i="38"/>
  <c r="F389" i="8" s="1"/>
  <c r="K390" i="38"/>
  <c r="F390" i="8" s="1"/>
  <c r="K391" i="38"/>
  <c r="F391" i="8" s="1"/>
  <c r="K392" i="38"/>
  <c r="F392" i="8" s="1"/>
  <c r="K393" i="38"/>
  <c r="F393" i="8" s="1"/>
  <c r="K394" i="38"/>
  <c r="F394" i="8" s="1"/>
  <c r="K395" i="38"/>
  <c r="F395" i="8" s="1"/>
  <c r="K396" i="38"/>
  <c r="F396" i="8" s="1"/>
  <c r="K397" i="38"/>
  <c r="F397" i="8" s="1"/>
  <c r="K398" i="38"/>
  <c r="F398" i="8" s="1"/>
  <c r="K399" i="38"/>
  <c r="F399" i="8" s="1"/>
  <c r="K400" i="38"/>
  <c r="F400" i="8" s="1"/>
  <c r="K401" i="38"/>
  <c r="F401" i="8" s="1"/>
  <c r="K402" i="38"/>
  <c r="F402" i="8" s="1"/>
  <c r="K403" i="38"/>
  <c r="F403" i="8" s="1"/>
  <c r="K404" i="38"/>
  <c r="F404" i="8" s="1"/>
  <c r="K405" i="38"/>
  <c r="F405" i="8" s="1"/>
  <c r="K406" i="38"/>
  <c r="F406" i="8" s="1"/>
  <c r="K407" i="38"/>
  <c r="F407" i="8" s="1"/>
  <c r="K408" i="38"/>
  <c r="F408" i="8" s="1"/>
  <c r="K409" i="38"/>
  <c r="F409" i="8" s="1"/>
  <c r="K410" i="38"/>
  <c r="F410" i="8" s="1"/>
  <c r="K411" i="38"/>
  <c r="F411" i="8" s="1"/>
  <c r="K412" i="38"/>
  <c r="F412" i="8" s="1"/>
  <c r="K413" i="38"/>
  <c r="F413" i="8" s="1"/>
  <c r="K414" i="38"/>
  <c r="F414" i="8" s="1"/>
  <c r="K415" i="38"/>
  <c r="F415" i="8" s="1"/>
  <c r="K416" i="38"/>
  <c r="F416" i="8" s="1"/>
  <c r="K417" i="38"/>
  <c r="F417" i="8" s="1"/>
  <c r="K418" i="38"/>
  <c r="F418" i="8" s="1"/>
  <c r="K419" i="38"/>
  <c r="F419" i="8" s="1"/>
  <c r="K420" i="38"/>
  <c r="F420" i="8" s="1"/>
  <c r="K421" i="38"/>
  <c r="F421" i="8" s="1"/>
  <c r="K422" i="38"/>
  <c r="F422" i="8" s="1"/>
  <c r="K423" i="38"/>
  <c r="F423" i="8" s="1"/>
  <c r="K424" i="38"/>
  <c r="F424" i="8" s="1"/>
  <c r="K425" i="38"/>
  <c r="F425" i="8" s="1"/>
  <c r="K426" i="38"/>
  <c r="F426" i="8" s="1"/>
  <c r="K427" i="38"/>
  <c r="F427" i="8" s="1"/>
  <c r="K428" i="38"/>
  <c r="F428" i="8" s="1"/>
  <c r="K429" i="38"/>
  <c r="F429" i="8" s="1"/>
  <c r="K430" i="38"/>
  <c r="F430" i="8" s="1"/>
  <c r="K431" i="38"/>
  <c r="F431" i="8" s="1"/>
  <c r="K432" i="38"/>
  <c r="F432" i="8" s="1"/>
  <c r="K433" i="38"/>
  <c r="F433" i="8" s="1"/>
  <c r="K434" i="38"/>
  <c r="F434" i="8" s="1"/>
  <c r="K435" i="38"/>
  <c r="F435" i="8" s="1"/>
  <c r="K436" i="38"/>
  <c r="F436" i="8" s="1"/>
  <c r="K437" i="38"/>
  <c r="F437" i="8" s="1"/>
  <c r="K438" i="38"/>
  <c r="F438" i="8" s="1"/>
  <c r="K439" i="38"/>
  <c r="F439" i="8" s="1"/>
  <c r="K440" i="38"/>
  <c r="F440" i="8" s="1"/>
  <c r="K441" i="38"/>
  <c r="F441" i="8" s="1"/>
  <c r="K442" i="38"/>
  <c r="F442" i="8" s="1"/>
  <c r="K443" i="38"/>
  <c r="F443" i="8" s="1"/>
  <c r="K444" i="38"/>
  <c r="F444" i="8" s="1"/>
  <c r="K445" i="38"/>
  <c r="F445" i="8" s="1"/>
  <c r="K446" i="38"/>
  <c r="F446" i="8" s="1"/>
  <c r="K447" i="38"/>
  <c r="F447" i="8" s="1"/>
  <c r="K448" i="38"/>
  <c r="F448" i="8" s="1"/>
  <c r="K449" i="38"/>
  <c r="F449" i="8" s="1"/>
  <c r="K450" i="38"/>
  <c r="F450" i="8" s="1"/>
  <c r="K451" i="38"/>
  <c r="F451" i="8" s="1"/>
  <c r="K452" i="38"/>
  <c r="F452" i="8" s="1"/>
  <c r="K453" i="38"/>
  <c r="F453" i="8" s="1"/>
  <c r="K454" i="38"/>
  <c r="F454" i="8" s="1"/>
  <c r="K455" i="38"/>
  <c r="F455" i="8" s="1"/>
  <c r="K456" i="38"/>
  <c r="F456" i="8" s="1"/>
  <c r="K457" i="38"/>
  <c r="F457" i="8" s="1"/>
  <c r="K458" i="38"/>
  <c r="F458" i="8" s="1"/>
  <c r="K459" i="38"/>
  <c r="F459" i="8" s="1"/>
  <c r="K460" i="38"/>
  <c r="F460" i="8" s="1"/>
  <c r="K461" i="38"/>
  <c r="F461" i="8" s="1"/>
  <c r="K462" i="38"/>
  <c r="F462" i="8" s="1"/>
  <c r="K463" i="38"/>
  <c r="F463" i="8" s="1"/>
  <c r="K464" i="38"/>
  <c r="F464" i="8" s="1"/>
  <c r="K465" i="38"/>
  <c r="F465" i="8" s="1"/>
  <c r="K466" i="38"/>
  <c r="F466" i="8" s="1"/>
  <c r="K467" i="38"/>
  <c r="F467" i="8" s="1"/>
  <c r="K468" i="38"/>
  <c r="F468" i="8" s="1"/>
  <c r="K469" i="38"/>
  <c r="F469" i="8" s="1"/>
  <c r="K470" i="38"/>
  <c r="F470" i="8" s="1"/>
  <c r="K471" i="38"/>
  <c r="F471" i="8" s="1"/>
  <c r="K472" i="38"/>
  <c r="F472" i="8" s="1"/>
  <c r="K473" i="38"/>
  <c r="F473" i="8" s="1"/>
  <c r="K474" i="38"/>
  <c r="F474" i="8" s="1"/>
  <c r="K475" i="38"/>
  <c r="F475" i="8" s="1"/>
  <c r="K476" i="38"/>
  <c r="F476" i="8" s="1"/>
  <c r="K477" i="38"/>
  <c r="F477" i="8" s="1"/>
  <c r="K478" i="38"/>
  <c r="F478" i="8" s="1"/>
  <c r="K479" i="38"/>
  <c r="F479" i="8" s="1"/>
  <c r="K480" i="38"/>
  <c r="F480" i="8" s="1"/>
  <c r="K481" i="38"/>
  <c r="F481" i="8" s="1"/>
  <c r="K482" i="38"/>
  <c r="F482" i="8" s="1"/>
  <c r="K483" i="38"/>
  <c r="F483" i="8" s="1"/>
  <c r="K484" i="38"/>
  <c r="F484" i="8" s="1"/>
  <c r="K485" i="38"/>
  <c r="F485" i="8" s="1"/>
  <c r="K486" i="38"/>
  <c r="F486" i="8" s="1"/>
  <c r="K487" i="38"/>
  <c r="F487" i="8" s="1"/>
  <c r="K488" i="38"/>
  <c r="F488" i="8" s="1"/>
  <c r="K489" i="38"/>
  <c r="F489" i="8" s="1"/>
  <c r="K490" i="38"/>
  <c r="F490" i="8" s="1"/>
  <c r="K491" i="38"/>
  <c r="F491" i="8" s="1"/>
  <c r="K492" i="38"/>
  <c r="F492" i="8" s="1"/>
  <c r="K493" i="38"/>
  <c r="F493" i="8" s="1"/>
  <c r="K494" i="38"/>
  <c r="F494" i="8" s="1"/>
  <c r="K495" i="38"/>
  <c r="F495" i="8" s="1"/>
  <c r="K496" i="38"/>
  <c r="F496" i="8" s="1"/>
  <c r="K497" i="38"/>
  <c r="F497" i="8" s="1"/>
  <c r="K498" i="38"/>
  <c r="F498" i="8" s="1"/>
  <c r="K499" i="38"/>
  <c r="F499" i="8" s="1"/>
  <c r="K500" i="38"/>
  <c r="F500" i="8" s="1"/>
  <c r="K501" i="38"/>
  <c r="F501" i="8" s="1"/>
  <c r="K502" i="38"/>
  <c r="F502" i="8" s="1"/>
  <c r="K503" i="38"/>
  <c r="F503" i="8" s="1"/>
  <c r="K504" i="38"/>
  <c r="F504" i="8" s="1"/>
  <c r="K505" i="38"/>
  <c r="F505" i="8" s="1"/>
  <c r="K506" i="38"/>
  <c r="F506" i="8" s="1"/>
  <c r="K507" i="38"/>
  <c r="F507" i="8" s="1"/>
  <c r="K508" i="38"/>
  <c r="F508" i="8" s="1"/>
  <c r="K509" i="38"/>
  <c r="F509" i="8" s="1"/>
  <c r="K510" i="38"/>
  <c r="F510" i="8" s="1"/>
  <c r="K511" i="38"/>
  <c r="F511" i="8" s="1"/>
  <c r="K512" i="38"/>
  <c r="F512" i="8" s="1"/>
  <c r="K513" i="38"/>
  <c r="F513" i="8" s="1"/>
  <c r="K514" i="38"/>
  <c r="F514" i="8" s="1"/>
  <c r="K515" i="38"/>
  <c r="F515" i="8" s="1"/>
  <c r="K516" i="38"/>
  <c r="F516" i="8" s="1"/>
  <c r="K517" i="38"/>
  <c r="F517" i="8" s="1"/>
  <c r="K518" i="38"/>
  <c r="F518" i="8" s="1"/>
  <c r="K519" i="38"/>
  <c r="F519" i="8" s="1"/>
  <c r="K520" i="38"/>
  <c r="F520" i="8" s="1"/>
  <c r="K521" i="38"/>
  <c r="F521" i="8" s="1"/>
  <c r="K522" i="38"/>
  <c r="F522" i="8" s="1"/>
  <c r="K523" i="38"/>
  <c r="F523" i="8" s="1"/>
  <c r="K524" i="38"/>
  <c r="F524" i="8" s="1"/>
  <c r="K525" i="38"/>
  <c r="F525" i="8" s="1"/>
  <c r="K526" i="38"/>
  <c r="F526" i="8" s="1"/>
  <c r="K527" i="38"/>
  <c r="F527" i="8" s="1"/>
  <c r="K528" i="38"/>
  <c r="F528" i="8" s="1"/>
  <c r="K529" i="38"/>
  <c r="F529" i="8" s="1"/>
  <c r="K530" i="38"/>
  <c r="F530" i="8" s="1"/>
  <c r="K531" i="38"/>
  <c r="F531" i="8" s="1"/>
  <c r="K532" i="38"/>
  <c r="F532" i="8" s="1"/>
  <c r="K533" i="38"/>
  <c r="F533" i="8" s="1"/>
  <c r="K534" i="38"/>
  <c r="F534" i="8" s="1"/>
  <c r="K535" i="38"/>
  <c r="F535" i="8" s="1"/>
  <c r="K536" i="38"/>
  <c r="F536" i="8" s="1"/>
  <c r="K537" i="38"/>
  <c r="F537" i="8" s="1"/>
  <c r="K538" i="38"/>
  <c r="F538" i="8" s="1"/>
  <c r="K539" i="38"/>
  <c r="F539" i="8" s="1"/>
  <c r="K540" i="38"/>
  <c r="F540" i="8" s="1"/>
  <c r="K541" i="38"/>
  <c r="F541" i="8" s="1"/>
  <c r="K542" i="38"/>
  <c r="F542" i="8" s="1"/>
  <c r="K543" i="38"/>
  <c r="F543" i="8" s="1"/>
  <c r="K544" i="38"/>
  <c r="F544" i="8" s="1"/>
  <c r="K545" i="38"/>
  <c r="F545" i="8" s="1"/>
  <c r="K546" i="38"/>
  <c r="F546" i="8" s="1"/>
  <c r="K547" i="38"/>
  <c r="F547" i="8" s="1"/>
  <c r="K548" i="38"/>
  <c r="F548" i="8" s="1"/>
  <c r="K549" i="38"/>
  <c r="F549" i="8" s="1"/>
  <c r="K550" i="38"/>
  <c r="F550" i="8" s="1"/>
  <c r="K551" i="38"/>
  <c r="F551" i="8" s="1"/>
  <c r="K552" i="38"/>
  <c r="F552" i="8" s="1"/>
  <c r="K553" i="38"/>
  <c r="F553" i="8" s="1"/>
  <c r="K554" i="38"/>
  <c r="F554" i="8" s="1"/>
  <c r="K555" i="38"/>
  <c r="F555" i="8" s="1"/>
  <c r="K556" i="38"/>
  <c r="F556" i="8" s="1"/>
  <c r="K557" i="38"/>
  <c r="F557" i="8" s="1"/>
  <c r="K558" i="38"/>
  <c r="F558" i="8" s="1"/>
  <c r="K559" i="38"/>
  <c r="F559" i="8" s="1"/>
  <c r="K560" i="38"/>
  <c r="F560" i="8" s="1"/>
  <c r="K561" i="38"/>
  <c r="F561" i="8" s="1"/>
  <c r="K562" i="38"/>
  <c r="F562" i="8" s="1"/>
  <c r="K563" i="38"/>
  <c r="F563" i="8" s="1"/>
  <c r="K564" i="38"/>
  <c r="F564" i="8" s="1"/>
  <c r="K565" i="38"/>
  <c r="F565" i="8" s="1"/>
  <c r="K566" i="38"/>
  <c r="F566" i="8" s="1"/>
  <c r="K567" i="38"/>
  <c r="F567" i="8" s="1"/>
  <c r="K568" i="38"/>
  <c r="F568" i="8" s="1"/>
  <c r="K569" i="38"/>
  <c r="F569" i="8" s="1"/>
  <c r="K570" i="38"/>
  <c r="F570" i="8" s="1"/>
  <c r="K571" i="38"/>
  <c r="F571" i="8" s="1"/>
  <c r="K572" i="38"/>
  <c r="F572" i="8" s="1"/>
  <c r="K573" i="38"/>
  <c r="F573" i="8" s="1"/>
  <c r="K574" i="38"/>
  <c r="F574" i="8" s="1"/>
  <c r="K575" i="38"/>
  <c r="F575" i="8" s="1"/>
  <c r="K576" i="38"/>
  <c r="F576" i="8" s="1"/>
  <c r="K577" i="38"/>
  <c r="F577" i="8" s="1"/>
  <c r="K578" i="38"/>
  <c r="F578" i="8" s="1"/>
  <c r="K579" i="38"/>
  <c r="F579" i="8" s="1"/>
  <c r="K580" i="38"/>
  <c r="F580" i="8" s="1"/>
  <c r="K581" i="38"/>
  <c r="F581" i="8" s="1"/>
  <c r="K582" i="38"/>
  <c r="F582" i="8" s="1"/>
  <c r="K583" i="38"/>
  <c r="F583" i="8" s="1"/>
  <c r="K584" i="38"/>
  <c r="F584" i="8" s="1"/>
  <c r="K585" i="38"/>
  <c r="F585" i="8" s="1"/>
  <c r="K586" i="38"/>
  <c r="F586" i="8" s="1"/>
  <c r="K587" i="38"/>
  <c r="F587" i="8" s="1"/>
  <c r="K588" i="38"/>
  <c r="F588" i="8" s="1"/>
  <c r="K589" i="38"/>
  <c r="F589" i="8" s="1"/>
  <c r="K590" i="38"/>
  <c r="F590" i="8" s="1"/>
  <c r="K591" i="38"/>
  <c r="F591" i="8" s="1"/>
  <c r="K592" i="38"/>
  <c r="F592" i="8" s="1"/>
  <c r="K593" i="38"/>
  <c r="F593" i="8" s="1"/>
  <c r="K594" i="38"/>
  <c r="F594" i="8" s="1"/>
  <c r="K595" i="38"/>
  <c r="F595" i="8" s="1"/>
  <c r="K596" i="38"/>
  <c r="F596" i="8" s="1"/>
  <c r="K597" i="38"/>
  <c r="F597" i="8" s="1"/>
  <c r="K598" i="38"/>
  <c r="F598" i="8" s="1"/>
  <c r="K599" i="38"/>
  <c r="F599" i="8" s="1"/>
  <c r="K600" i="38"/>
  <c r="F600" i="8" s="1"/>
  <c r="K601" i="38"/>
  <c r="F601" i="8" s="1"/>
  <c r="K602" i="38"/>
  <c r="F602" i="8" s="1"/>
  <c r="K603" i="38"/>
  <c r="F603" i="8" s="1"/>
  <c r="K604" i="38"/>
  <c r="F604" i="8" s="1"/>
  <c r="K605" i="38"/>
  <c r="F605" i="8" s="1"/>
  <c r="K606" i="38"/>
  <c r="F606" i="8" s="1"/>
  <c r="K607" i="38"/>
  <c r="F607" i="8" s="1"/>
  <c r="K608" i="38"/>
  <c r="F608" i="8" s="1"/>
  <c r="K609" i="38"/>
  <c r="F609" i="8" s="1"/>
  <c r="K610" i="38"/>
  <c r="F610" i="8" s="1"/>
  <c r="K611" i="38"/>
  <c r="F611" i="8" s="1"/>
  <c r="K612" i="38"/>
  <c r="F612" i="8" s="1"/>
  <c r="K613" i="38"/>
  <c r="F613" i="8" s="1"/>
  <c r="K614" i="38"/>
  <c r="F614" i="8" s="1"/>
  <c r="K615" i="38"/>
  <c r="F615" i="8" s="1"/>
  <c r="K616" i="38"/>
  <c r="F616" i="8" s="1"/>
  <c r="K617" i="38"/>
  <c r="F617" i="8" s="1"/>
  <c r="K618" i="38"/>
  <c r="F618" i="8" s="1"/>
  <c r="K619" i="38"/>
  <c r="F619" i="8" s="1"/>
  <c r="K620" i="38"/>
  <c r="F620" i="8" s="1"/>
  <c r="K621" i="38"/>
  <c r="F621" i="8" s="1"/>
  <c r="K622" i="38"/>
  <c r="F622" i="8" s="1"/>
  <c r="K623" i="38"/>
  <c r="F623" i="8" s="1"/>
  <c r="K624" i="38"/>
  <c r="F624" i="8" s="1"/>
  <c r="K625" i="38"/>
  <c r="F625" i="8" s="1"/>
  <c r="K626" i="38"/>
  <c r="F626" i="8" s="1"/>
  <c r="K627" i="38"/>
  <c r="F627" i="8" s="1"/>
  <c r="K628" i="38"/>
  <c r="F628" i="8" s="1"/>
  <c r="K629" i="38"/>
  <c r="F629" i="8" s="1"/>
  <c r="K630" i="38"/>
  <c r="F630" i="8" s="1"/>
  <c r="K631" i="38"/>
  <c r="F631" i="8" s="1"/>
  <c r="K632" i="38"/>
  <c r="F632" i="8" s="1"/>
  <c r="K633" i="38"/>
  <c r="F633" i="8" s="1"/>
  <c r="K634" i="38"/>
  <c r="F634" i="8" s="1"/>
  <c r="K635" i="38"/>
  <c r="F635" i="8" s="1"/>
  <c r="K636" i="38"/>
  <c r="F636" i="8" s="1"/>
  <c r="K637" i="38"/>
  <c r="F637" i="8" s="1"/>
  <c r="K638" i="38"/>
  <c r="F638" i="8" s="1"/>
  <c r="K639" i="38"/>
  <c r="F639" i="8" s="1"/>
  <c r="K640" i="38"/>
  <c r="F640" i="8" s="1"/>
  <c r="K641" i="38"/>
  <c r="F641" i="8" s="1"/>
  <c r="K642" i="38"/>
  <c r="F642" i="8" s="1"/>
  <c r="K643" i="38"/>
  <c r="F643" i="8" s="1"/>
  <c r="K644" i="38"/>
  <c r="F644" i="8" s="1"/>
  <c r="K645" i="38"/>
  <c r="F645" i="8" s="1"/>
  <c r="K646" i="38"/>
  <c r="F646" i="8" s="1"/>
  <c r="K647" i="38"/>
  <c r="F647" i="8" s="1"/>
  <c r="K648" i="38"/>
  <c r="F648" i="8" s="1"/>
  <c r="K649" i="38"/>
  <c r="F649" i="8" s="1"/>
  <c r="K650" i="38"/>
  <c r="F650" i="8" s="1"/>
  <c r="K651" i="38"/>
  <c r="F651" i="8" s="1"/>
  <c r="K652" i="38"/>
  <c r="F652" i="8" s="1"/>
  <c r="K653" i="38"/>
  <c r="F653" i="8" s="1"/>
  <c r="K654" i="38"/>
  <c r="F654" i="8" s="1"/>
  <c r="K655" i="38"/>
  <c r="F655" i="8" s="1"/>
  <c r="K656" i="38"/>
  <c r="F656" i="8" s="1"/>
  <c r="K657" i="38"/>
  <c r="F657" i="8" s="1"/>
  <c r="K658" i="38"/>
  <c r="F658" i="8" s="1"/>
  <c r="K659" i="38"/>
  <c r="F659" i="8" s="1"/>
  <c r="K660" i="38"/>
  <c r="F660" i="8" s="1"/>
  <c r="K661" i="38"/>
  <c r="F661" i="8" s="1"/>
  <c r="K662" i="38"/>
  <c r="F662" i="8" s="1"/>
  <c r="K663" i="38"/>
  <c r="F663" i="8" s="1"/>
  <c r="K664" i="38"/>
  <c r="F664" i="8" s="1"/>
  <c r="K665" i="38"/>
  <c r="F665" i="8" s="1"/>
  <c r="K666" i="38"/>
  <c r="F666" i="8" s="1"/>
  <c r="K667" i="38"/>
  <c r="F667" i="8" s="1"/>
  <c r="K668" i="38"/>
  <c r="F668" i="8" s="1"/>
  <c r="K669" i="38"/>
  <c r="F669" i="8" s="1"/>
  <c r="K670" i="38"/>
  <c r="F670" i="8" s="1"/>
  <c r="K671" i="38"/>
  <c r="F671" i="8" s="1"/>
  <c r="K672" i="38"/>
  <c r="F672" i="8" s="1"/>
  <c r="K673" i="38"/>
  <c r="F673" i="8" s="1"/>
  <c r="K674" i="38"/>
  <c r="F674" i="8" s="1"/>
  <c r="K675" i="38"/>
  <c r="F675" i="8" s="1"/>
  <c r="K676" i="38"/>
  <c r="F676" i="8" s="1"/>
  <c r="K677" i="38"/>
  <c r="F677" i="8" s="1"/>
  <c r="K678" i="38"/>
  <c r="F678" i="8" s="1"/>
  <c r="K679" i="38"/>
  <c r="F679" i="8" s="1"/>
  <c r="K680" i="38"/>
  <c r="F680" i="8" s="1"/>
  <c r="K681" i="38"/>
  <c r="F681" i="8" s="1"/>
  <c r="K682" i="38"/>
  <c r="F682" i="8" s="1"/>
  <c r="K683" i="38"/>
  <c r="F683" i="8" s="1"/>
  <c r="K684" i="38"/>
  <c r="F684" i="8" s="1"/>
  <c r="K685" i="38"/>
  <c r="F685" i="8" s="1"/>
  <c r="K686" i="38"/>
  <c r="F686" i="8" s="1"/>
  <c r="K687" i="38"/>
  <c r="F687" i="8" s="1"/>
  <c r="K688" i="38"/>
  <c r="F688" i="8" s="1"/>
  <c r="K689" i="38"/>
  <c r="F689" i="8" s="1"/>
  <c r="K690" i="38"/>
  <c r="F690" i="8" s="1"/>
  <c r="K691" i="38"/>
  <c r="F691" i="8" s="1"/>
  <c r="K692" i="38"/>
  <c r="F692" i="8" s="1"/>
  <c r="K693" i="38"/>
  <c r="F693" i="8" s="1"/>
  <c r="K694" i="38"/>
  <c r="F694" i="8" s="1"/>
  <c r="K695" i="38"/>
  <c r="F695" i="8" s="1"/>
  <c r="K696" i="38"/>
  <c r="F696" i="8" s="1"/>
  <c r="K697" i="38"/>
  <c r="F697" i="8" s="1"/>
  <c r="K698" i="38"/>
  <c r="F698" i="8" s="1"/>
  <c r="K699" i="38"/>
  <c r="F699" i="8" s="1"/>
  <c r="K700" i="38"/>
  <c r="F700" i="8" s="1"/>
  <c r="K701" i="38"/>
  <c r="F701" i="8" s="1"/>
  <c r="K702" i="38"/>
  <c r="F702" i="8" s="1"/>
  <c r="K703" i="38"/>
  <c r="F703" i="8" s="1"/>
  <c r="K704" i="38"/>
  <c r="F704" i="8" s="1"/>
  <c r="K705" i="38"/>
  <c r="F705" i="8" s="1"/>
  <c r="K706" i="38"/>
  <c r="F706" i="8" s="1"/>
  <c r="K707" i="38"/>
  <c r="F707" i="8" s="1"/>
  <c r="K708" i="38"/>
  <c r="F708" i="8" s="1"/>
  <c r="K709" i="38"/>
  <c r="F709" i="8" s="1"/>
  <c r="K710" i="38"/>
  <c r="F710" i="8" s="1"/>
  <c r="K711" i="38"/>
  <c r="F711" i="8" s="1"/>
  <c r="K712" i="38"/>
  <c r="F712" i="8" s="1"/>
  <c r="K713" i="38"/>
  <c r="F713" i="8" s="1"/>
  <c r="K714" i="38"/>
  <c r="F714" i="8" s="1"/>
  <c r="K715" i="38"/>
  <c r="F715" i="8" s="1"/>
  <c r="K716" i="38"/>
  <c r="F716" i="8" s="1"/>
  <c r="K717" i="38"/>
  <c r="F717" i="8" s="1"/>
  <c r="K718" i="38"/>
  <c r="F718" i="8" s="1"/>
  <c r="K719" i="38"/>
  <c r="F719" i="8" s="1"/>
  <c r="K720" i="38"/>
  <c r="F720" i="8" s="1"/>
  <c r="K721" i="38"/>
  <c r="F721" i="8" s="1"/>
  <c r="K722" i="38"/>
  <c r="F722" i="8" s="1"/>
  <c r="K723" i="38"/>
  <c r="F723" i="8" s="1"/>
  <c r="K724" i="38"/>
  <c r="F724" i="8" s="1"/>
  <c r="K725" i="38"/>
  <c r="F725" i="8" s="1"/>
  <c r="K726" i="38"/>
  <c r="F726" i="8" s="1"/>
  <c r="K727" i="38"/>
  <c r="F727" i="8" s="1"/>
  <c r="K728" i="38"/>
  <c r="F728" i="8" s="1"/>
  <c r="K729" i="38"/>
  <c r="F729" i="8" s="1"/>
  <c r="K730" i="38"/>
  <c r="F730" i="8" s="1"/>
  <c r="K731" i="38"/>
  <c r="F731" i="8" s="1"/>
  <c r="K732" i="38"/>
  <c r="F732" i="8" s="1"/>
  <c r="K733" i="38"/>
  <c r="F733" i="8" s="1"/>
  <c r="K734" i="38"/>
  <c r="F734" i="8" s="1"/>
  <c r="K735" i="38"/>
  <c r="F735" i="8" s="1"/>
  <c r="K736" i="38"/>
  <c r="F736" i="8" s="1"/>
  <c r="K737" i="38"/>
  <c r="F737" i="8" s="1"/>
  <c r="K738" i="38"/>
  <c r="F738" i="8" s="1"/>
  <c r="K739" i="38"/>
  <c r="F739" i="8" s="1"/>
  <c r="K740" i="38"/>
  <c r="F740" i="8" s="1"/>
  <c r="K741" i="38"/>
  <c r="F741" i="8" s="1"/>
  <c r="K742" i="38"/>
  <c r="F742" i="8" s="1"/>
  <c r="K743" i="38"/>
  <c r="F743" i="8" s="1"/>
  <c r="K744" i="38"/>
  <c r="F744" i="8" s="1"/>
  <c r="K745" i="38"/>
  <c r="F745" i="8" s="1"/>
  <c r="K746" i="38"/>
  <c r="F746" i="8" s="1"/>
  <c r="K747" i="38"/>
  <c r="F747" i="8" s="1"/>
  <c r="K748" i="38"/>
  <c r="F748" i="8" s="1"/>
  <c r="K749" i="38"/>
  <c r="F749" i="8" s="1"/>
  <c r="K750" i="38"/>
  <c r="F750" i="8" s="1"/>
  <c r="K751" i="38"/>
  <c r="F751" i="8" s="1"/>
  <c r="K752" i="38"/>
  <c r="F752" i="8" s="1"/>
  <c r="K753" i="38"/>
  <c r="F753" i="8" s="1"/>
  <c r="K754" i="38"/>
  <c r="F754" i="8" s="1"/>
  <c r="K755" i="38"/>
  <c r="F755" i="8" s="1"/>
  <c r="K756" i="38"/>
  <c r="F756" i="8" s="1"/>
  <c r="K757" i="38"/>
  <c r="F757" i="8" s="1"/>
  <c r="K758" i="38"/>
  <c r="F758" i="8" s="1"/>
  <c r="K759" i="38"/>
  <c r="F759" i="8" s="1"/>
  <c r="K760" i="38"/>
  <c r="F760" i="8" s="1"/>
  <c r="K761" i="38"/>
  <c r="F761" i="8" s="1"/>
  <c r="K762" i="38"/>
  <c r="F762" i="8" s="1"/>
  <c r="K763" i="38"/>
  <c r="F763" i="8" s="1"/>
  <c r="K764" i="38"/>
  <c r="F764" i="8" s="1"/>
  <c r="K765" i="38"/>
  <c r="F765" i="8" s="1"/>
  <c r="K766" i="38"/>
  <c r="F766" i="8" s="1"/>
  <c r="K767" i="38"/>
  <c r="F767" i="8" s="1"/>
  <c r="K768" i="38"/>
  <c r="F768" i="8" s="1"/>
  <c r="K769" i="38"/>
  <c r="F769" i="8" s="1"/>
  <c r="K770" i="38"/>
  <c r="F770" i="8" s="1"/>
  <c r="K771" i="38"/>
  <c r="F771" i="8" s="1"/>
  <c r="K772" i="38"/>
  <c r="F772" i="8" s="1"/>
  <c r="K773" i="38"/>
  <c r="F773" i="8" s="1"/>
  <c r="K774" i="38"/>
  <c r="F774" i="8" s="1"/>
  <c r="K775" i="38"/>
  <c r="F775" i="8" s="1"/>
  <c r="K776" i="38"/>
  <c r="F776" i="8" s="1"/>
  <c r="K777" i="38"/>
  <c r="F777" i="8" s="1"/>
  <c r="K778" i="38"/>
  <c r="F778" i="8" s="1"/>
  <c r="K779" i="38"/>
  <c r="F779" i="8" s="1"/>
  <c r="K780" i="38"/>
  <c r="F780" i="8" s="1"/>
  <c r="K781" i="38"/>
  <c r="F781" i="8" s="1"/>
  <c r="K782" i="38"/>
  <c r="F782" i="8" s="1"/>
  <c r="K783" i="38"/>
  <c r="F783" i="8" s="1"/>
  <c r="K784" i="38"/>
  <c r="F784" i="8" s="1"/>
  <c r="K785" i="38"/>
  <c r="F785" i="8" s="1"/>
  <c r="K786" i="38"/>
  <c r="F786" i="8" s="1"/>
  <c r="K787" i="38"/>
  <c r="F787" i="8" s="1"/>
  <c r="K788" i="38"/>
  <c r="F788" i="8" s="1"/>
  <c r="K789" i="38"/>
  <c r="F789" i="8" s="1"/>
  <c r="K790" i="38"/>
  <c r="F790" i="8" s="1"/>
  <c r="K791" i="38"/>
  <c r="F791" i="8" s="1"/>
  <c r="K792" i="38"/>
  <c r="F792" i="8" s="1"/>
  <c r="K793" i="38"/>
  <c r="F793" i="8" s="1"/>
  <c r="K794" i="38"/>
  <c r="F794" i="8" s="1"/>
  <c r="K795" i="38"/>
  <c r="F795" i="8" s="1"/>
  <c r="K796" i="38"/>
  <c r="F796" i="8" s="1"/>
  <c r="K797" i="38"/>
  <c r="F797" i="8" s="1"/>
  <c r="K798" i="38"/>
  <c r="F798" i="8" s="1"/>
  <c r="K799" i="38"/>
  <c r="F799" i="8" s="1"/>
  <c r="K800" i="38"/>
  <c r="F800" i="8" s="1"/>
  <c r="K801" i="38"/>
  <c r="F801" i="8" s="1"/>
  <c r="K802" i="38"/>
  <c r="F802" i="8" s="1"/>
  <c r="K803" i="38"/>
  <c r="F803" i="8" s="1"/>
  <c r="K804" i="38"/>
  <c r="F804" i="8" s="1"/>
  <c r="K805" i="38"/>
  <c r="F805" i="8" s="1"/>
  <c r="K806" i="38"/>
  <c r="F806" i="8" s="1"/>
  <c r="K807" i="38"/>
  <c r="F807" i="8" s="1"/>
  <c r="K808" i="38"/>
  <c r="F808" i="8" s="1"/>
  <c r="K809" i="38"/>
  <c r="F809" i="8" s="1"/>
  <c r="K810" i="38"/>
  <c r="F810" i="8" s="1"/>
  <c r="K811" i="38"/>
  <c r="F811" i="8" s="1"/>
  <c r="K812" i="38"/>
  <c r="F812" i="8" s="1"/>
  <c r="K813" i="38"/>
  <c r="F813" i="8" s="1"/>
  <c r="K814" i="38"/>
  <c r="F814" i="8" s="1"/>
  <c r="K815" i="38"/>
  <c r="F815" i="8" s="1"/>
  <c r="K816" i="38"/>
  <c r="F816" i="8" s="1"/>
  <c r="K817" i="38"/>
  <c r="F817" i="8" s="1"/>
  <c r="K818" i="38"/>
  <c r="F818" i="8" s="1"/>
  <c r="K819" i="38"/>
  <c r="F819" i="8" s="1"/>
  <c r="K820" i="38"/>
  <c r="F820" i="8" s="1"/>
  <c r="K821" i="38"/>
  <c r="F821" i="8" s="1"/>
  <c r="K822" i="38"/>
  <c r="F822" i="8" s="1"/>
  <c r="K823" i="38"/>
  <c r="F823" i="8" s="1"/>
  <c r="K824" i="38"/>
  <c r="F824" i="8" s="1"/>
  <c r="K825" i="38"/>
  <c r="F825" i="8" s="1"/>
  <c r="K826" i="38"/>
  <c r="F826" i="8" s="1"/>
  <c r="K827" i="38"/>
  <c r="F827" i="8" s="1"/>
  <c r="K828" i="38"/>
  <c r="F828" i="8" s="1"/>
  <c r="K829" i="38"/>
  <c r="F829" i="8" s="1"/>
  <c r="K830" i="38"/>
  <c r="F830" i="8" s="1"/>
  <c r="K831" i="38"/>
  <c r="F831" i="8" s="1"/>
  <c r="K832" i="38"/>
  <c r="F832" i="8" s="1"/>
  <c r="K833" i="38"/>
  <c r="F833" i="8" s="1"/>
  <c r="K834" i="38"/>
  <c r="F834" i="8" s="1"/>
  <c r="K835" i="38"/>
  <c r="F835" i="8" s="1"/>
  <c r="K836" i="38"/>
  <c r="F836" i="8" s="1"/>
  <c r="K837" i="38"/>
  <c r="F837" i="8" s="1"/>
  <c r="K838" i="38"/>
  <c r="F838" i="8" s="1"/>
  <c r="K839" i="38"/>
  <c r="F839" i="8" s="1"/>
  <c r="K840" i="38"/>
  <c r="F840" i="8" s="1"/>
  <c r="K841" i="38"/>
  <c r="F841" i="8" s="1"/>
  <c r="K842" i="38"/>
  <c r="F842" i="8" s="1"/>
  <c r="K843" i="38"/>
  <c r="F843" i="8" s="1"/>
  <c r="K844" i="38"/>
  <c r="F844" i="8" s="1"/>
  <c r="K845" i="38"/>
  <c r="F845" i="8" s="1"/>
  <c r="K846" i="38"/>
  <c r="F846" i="8" s="1"/>
  <c r="K847" i="38"/>
  <c r="F847" i="8" s="1"/>
  <c r="K848" i="38"/>
  <c r="F848" i="8" s="1"/>
  <c r="K849" i="38"/>
  <c r="F849" i="8" s="1"/>
  <c r="K850" i="38"/>
  <c r="F850" i="8" s="1"/>
  <c r="K851" i="38"/>
  <c r="F851" i="8" s="1"/>
  <c r="K852" i="38"/>
  <c r="F852" i="8" s="1"/>
  <c r="K853" i="38"/>
  <c r="F853" i="8" s="1"/>
  <c r="K854" i="38"/>
  <c r="F854" i="8" s="1"/>
  <c r="K855" i="38"/>
  <c r="F855" i="8" s="1"/>
  <c r="K856" i="38"/>
  <c r="F856" i="8" s="1"/>
  <c r="K857" i="38"/>
  <c r="F857" i="8" s="1"/>
  <c r="K858" i="38"/>
  <c r="F858" i="8" s="1"/>
  <c r="K859" i="38"/>
  <c r="F859" i="8" s="1"/>
  <c r="K860" i="38"/>
  <c r="F860" i="8" s="1"/>
  <c r="K861" i="38"/>
  <c r="F861" i="8" s="1"/>
  <c r="K862" i="38"/>
  <c r="F862" i="8" s="1"/>
  <c r="K863" i="38"/>
  <c r="F863" i="8" s="1"/>
  <c r="K864" i="38"/>
  <c r="F864" i="8" s="1"/>
  <c r="K865" i="38"/>
  <c r="F865" i="8" s="1"/>
  <c r="K866" i="38"/>
  <c r="F866" i="8" s="1"/>
  <c r="K867" i="38"/>
  <c r="F867" i="8" s="1"/>
  <c r="K868" i="38"/>
  <c r="F868" i="8" s="1"/>
  <c r="K869" i="38"/>
  <c r="F869" i="8" s="1"/>
  <c r="K870" i="38"/>
  <c r="F870" i="8" s="1"/>
  <c r="K871" i="38"/>
  <c r="F871" i="8" s="1"/>
  <c r="K872" i="38"/>
  <c r="F872" i="8" s="1"/>
  <c r="K873" i="38"/>
  <c r="F873" i="8" s="1"/>
  <c r="K874" i="38"/>
  <c r="F874" i="8" s="1"/>
  <c r="K875" i="38"/>
  <c r="F875" i="8" s="1"/>
  <c r="K876" i="38"/>
  <c r="F876" i="8" s="1"/>
  <c r="K877" i="38"/>
  <c r="F877" i="8" s="1"/>
  <c r="K878" i="38"/>
  <c r="F878" i="8" s="1"/>
  <c r="K879" i="38"/>
  <c r="F879" i="8" s="1"/>
  <c r="K880" i="38"/>
  <c r="F880" i="8" s="1"/>
  <c r="K881" i="38"/>
  <c r="F881" i="8" s="1"/>
  <c r="K882" i="38"/>
  <c r="F882" i="8" s="1"/>
  <c r="K883" i="38"/>
  <c r="F883" i="8" s="1"/>
  <c r="K884" i="38"/>
  <c r="F884" i="8" s="1"/>
  <c r="K885" i="38"/>
  <c r="F885" i="8" s="1"/>
  <c r="K886" i="38"/>
  <c r="F886" i="8" s="1"/>
  <c r="K887" i="38"/>
  <c r="F887" i="8" s="1"/>
  <c r="K888" i="38"/>
  <c r="F888" i="8" s="1"/>
  <c r="K889" i="38"/>
  <c r="F889" i="8" s="1"/>
  <c r="K890" i="38"/>
  <c r="F890" i="8" s="1"/>
  <c r="K891" i="38"/>
  <c r="F891" i="8" s="1"/>
  <c r="K892" i="38"/>
  <c r="F892" i="8" s="1"/>
  <c r="K893" i="38"/>
  <c r="F893" i="8" s="1"/>
  <c r="K894" i="38"/>
  <c r="F894" i="8" s="1"/>
  <c r="K895" i="38"/>
  <c r="F895" i="8" s="1"/>
  <c r="K896" i="38"/>
  <c r="F896" i="8" s="1"/>
  <c r="K897" i="38"/>
  <c r="F897" i="8" s="1"/>
  <c r="K898" i="38"/>
  <c r="F898" i="8" s="1"/>
  <c r="K899" i="38"/>
  <c r="F899" i="8" s="1"/>
  <c r="K900" i="38"/>
  <c r="F900" i="8" s="1"/>
  <c r="K901" i="38"/>
  <c r="F901" i="8" s="1"/>
  <c r="K902" i="38"/>
  <c r="F902" i="8" s="1"/>
  <c r="K903" i="38"/>
  <c r="F903" i="8" s="1"/>
  <c r="K904" i="38"/>
  <c r="F904" i="8" s="1"/>
  <c r="K905" i="38"/>
  <c r="F905" i="8" s="1"/>
  <c r="K906" i="38"/>
  <c r="F906" i="8" s="1"/>
  <c r="K907" i="38"/>
  <c r="F907" i="8" s="1"/>
  <c r="K908" i="38"/>
  <c r="F908" i="8" s="1"/>
  <c r="K909" i="38"/>
  <c r="F909" i="8" s="1"/>
  <c r="K910" i="38"/>
  <c r="F910" i="8" s="1"/>
  <c r="K911" i="38"/>
  <c r="F911" i="8" s="1"/>
  <c r="K912" i="38"/>
  <c r="F912" i="8" s="1"/>
  <c r="K913" i="38"/>
  <c r="F913" i="8" s="1"/>
  <c r="K914" i="38"/>
  <c r="F914" i="8" s="1"/>
  <c r="K915" i="38"/>
  <c r="F915" i="8" s="1"/>
  <c r="K916" i="38"/>
  <c r="F916" i="8" s="1"/>
  <c r="K917" i="38"/>
  <c r="F917" i="8" s="1"/>
  <c r="K918" i="38"/>
  <c r="F918" i="8" s="1"/>
  <c r="K919" i="38"/>
  <c r="F919" i="8" s="1"/>
  <c r="K920" i="38"/>
  <c r="F920" i="8" s="1"/>
  <c r="K921" i="38"/>
  <c r="F921" i="8" s="1"/>
  <c r="K922" i="38"/>
  <c r="F922" i="8" s="1"/>
  <c r="K923" i="38"/>
  <c r="F923" i="8" s="1"/>
  <c r="K924" i="38"/>
  <c r="F924" i="8" s="1"/>
  <c r="K925" i="38"/>
  <c r="F925" i="8" s="1"/>
  <c r="K926" i="38"/>
  <c r="F926" i="8" s="1"/>
  <c r="K927" i="38"/>
  <c r="F927" i="8" s="1"/>
  <c r="K928" i="38"/>
  <c r="F928" i="8" s="1"/>
  <c r="K929" i="38"/>
  <c r="F929" i="8" s="1"/>
  <c r="K930" i="38"/>
  <c r="F930" i="8" s="1"/>
  <c r="K931" i="38"/>
  <c r="F931" i="8" s="1"/>
  <c r="K932" i="38"/>
  <c r="F932" i="8" s="1"/>
  <c r="K933" i="38"/>
  <c r="F933" i="8" s="1"/>
  <c r="K934" i="38"/>
  <c r="F934" i="8" s="1"/>
  <c r="K935" i="38"/>
  <c r="F935" i="8" s="1"/>
  <c r="K936" i="38"/>
  <c r="F936" i="8" s="1"/>
  <c r="K937" i="38"/>
  <c r="F937" i="8" s="1"/>
  <c r="K938" i="38"/>
  <c r="F938" i="8" s="1"/>
  <c r="K939" i="38"/>
  <c r="F939" i="8" s="1"/>
  <c r="K940" i="38"/>
  <c r="F940" i="8" s="1"/>
  <c r="K941" i="38"/>
  <c r="F941" i="8" s="1"/>
  <c r="K942" i="38"/>
  <c r="F942" i="8" s="1"/>
  <c r="K943" i="38"/>
  <c r="F943" i="8" s="1"/>
  <c r="K944" i="38"/>
  <c r="F944" i="8" s="1"/>
  <c r="K945" i="38"/>
  <c r="F945" i="8" s="1"/>
  <c r="K946" i="38"/>
  <c r="F946" i="8" s="1"/>
  <c r="K947" i="38"/>
  <c r="F947" i="8" s="1"/>
  <c r="K948" i="38"/>
  <c r="F948" i="8" s="1"/>
  <c r="K949" i="38"/>
  <c r="F949" i="8" s="1"/>
  <c r="K950" i="38"/>
  <c r="F950" i="8" s="1"/>
  <c r="K951" i="38"/>
  <c r="F951" i="8" s="1"/>
  <c r="K952" i="38"/>
  <c r="F952" i="8" s="1"/>
  <c r="K953" i="38"/>
  <c r="F953" i="8" s="1"/>
  <c r="K954" i="38"/>
  <c r="F954" i="8" s="1"/>
  <c r="K955" i="38"/>
  <c r="F955" i="8" s="1"/>
  <c r="K956" i="38"/>
  <c r="F956" i="8" s="1"/>
  <c r="K957" i="38"/>
  <c r="F957" i="8" s="1"/>
  <c r="K958" i="38"/>
  <c r="F958" i="8" s="1"/>
  <c r="K959" i="38"/>
  <c r="F959" i="8" s="1"/>
  <c r="K960" i="38"/>
  <c r="F960" i="8" s="1"/>
  <c r="K961" i="38"/>
  <c r="F961" i="8" s="1"/>
  <c r="K962" i="38"/>
  <c r="F962" i="8" s="1"/>
  <c r="K963" i="38"/>
  <c r="F963" i="8" s="1"/>
  <c r="K964" i="38"/>
  <c r="F964" i="8" s="1"/>
  <c r="K965" i="38"/>
  <c r="F965" i="8" s="1"/>
  <c r="K966" i="38"/>
  <c r="F966" i="8" s="1"/>
  <c r="K967" i="38"/>
  <c r="F967" i="8" s="1"/>
  <c r="K968" i="38"/>
  <c r="F968" i="8" s="1"/>
  <c r="K969" i="38"/>
  <c r="F969" i="8" s="1"/>
  <c r="K970" i="38"/>
  <c r="F970" i="8" s="1"/>
  <c r="K971" i="38"/>
  <c r="F971" i="8" s="1"/>
  <c r="K972" i="38"/>
  <c r="F972" i="8" s="1"/>
  <c r="K973" i="38"/>
  <c r="F973" i="8" s="1"/>
  <c r="K974" i="38"/>
  <c r="F974" i="8" s="1"/>
  <c r="K975" i="38"/>
  <c r="F975" i="8" s="1"/>
  <c r="K976" i="38"/>
  <c r="F976" i="8" s="1"/>
  <c r="K977" i="38"/>
  <c r="F977" i="8" s="1"/>
  <c r="K978" i="38"/>
  <c r="F978" i="8" s="1"/>
  <c r="K979" i="38"/>
  <c r="F979" i="8" s="1"/>
  <c r="K980" i="38"/>
  <c r="F980" i="8" s="1"/>
  <c r="K981" i="38"/>
  <c r="F981" i="8" s="1"/>
  <c r="K982" i="38"/>
  <c r="F982" i="8" s="1"/>
  <c r="K983" i="38"/>
  <c r="F983" i="8" s="1"/>
  <c r="K984" i="38"/>
  <c r="F984" i="8" s="1"/>
  <c r="K985" i="38"/>
  <c r="F985" i="8" s="1"/>
  <c r="K986" i="38"/>
  <c r="F986" i="8" s="1"/>
  <c r="K987" i="38"/>
  <c r="F987" i="8" s="1"/>
  <c r="K988" i="38"/>
  <c r="F988" i="8" s="1"/>
  <c r="K989" i="38"/>
  <c r="F989" i="8" s="1"/>
  <c r="K990" i="38"/>
  <c r="F990" i="8" s="1"/>
  <c r="K991" i="38"/>
  <c r="F991" i="8" s="1"/>
  <c r="K992" i="38"/>
  <c r="F992" i="8" s="1"/>
  <c r="K993" i="38"/>
  <c r="F993" i="8" s="1"/>
  <c r="K994" i="38"/>
  <c r="F994" i="8" s="1"/>
  <c r="K995" i="38"/>
  <c r="F995" i="8" s="1"/>
  <c r="K996" i="38"/>
  <c r="F996" i="8" s="1"/>
  <c r="K997" i="38"/>
  <c r="F997" i="8" s="1"/>
  <c r="K998" i="38"/>
  <c r="F998" i="8" s="1"/>
  <c r="K999" i="38"/>
  <c r="F999" i="8" s="1"/>
  <c r="K1000" i="38"/>
  <c r="F1000" i="8" s="1"/>
  <c r="K1001" i="38"/>
  <c r="F1001" i="8" s="1"/>
  <c r="K1002" i="38"/>
  <c r="F1002" i="8" s="1"/>
  <c r="K1003" i="38"/>
  <c r="F1003" i="8" s="1"/>
  <c r="K1004" i="38"/>
  <c r="F1004" i="8" s="1"/>
  <c r="N6" i="38"/>
  <c r="N7" i="38"/>
  <c r="N8" i="38"/>
  <c r="N9" i="38"/>
  <c r="N10" i="38"/>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N37" i="38"/>
  <c r="N38" i="38"/>
  <c r="N39" i="38"/>
  <c r="N40" i="38"/>
  <c r="N41" i="38"/>
  <c r="N42" i="38"/>
  <c r="N43" i="38"/>
  <c r="N44" i="38"/>
  <c r="N45" i="38"/>
  <c r="N46" i="38"/>
  <c r="N47" i="38"/>
  <c r="N48" i="38"/>
  <c r="N49" i="38"/>
  <c r="N50" i="38"/>
  <c r="N51" i="38"/>
  <c r="N52" i="38"/>
  <c r="N53" i="38"/>
  <c r="N54" i="38"/>
  <c r="N55" i="38"/>
  <c r="N56" i="38"/>
  <c r="N57" i="38"/>
  <c r="N58" i="38"/>
  <c r="N59" i="38"/>
  <c r="N60" i="38"/>
  <c r="N61" i="38"/>
  <c r="N62" i="38"/>
  <c r="N63" i="38"/>
  <c r="N64" i="38"/>
  <c r="N65" i="38"/>
  <c r="N66" i="38"/>
  <c r="N67" i="38"/>
  <c r="N68" i="38"/>
  <c r="N69" i="38"/>
  <c r="N70" i="38"/>
  <c r="N71" i="38"/>
  <c r="N72" i="38"/>
  <c r="N73" i="38"/>
  <c r="N74" i="38"/>
  <c r="N75" i="38"/>
  <c r="N76" i="38"/>
  <c r="N77" i="38"/>
  <c r="N78" i="38"/>
  <c r="N79" i="38"/>
  <c r="N80" i="38"/>
  <c r="N81" i="38"/>
  <c r="N82" i="38"/>
  <c r="N83" i="38"/>
  <c r="N84" i="38"/>
  <c r="N85" i="38"/>
  <c r="N86" i="38"/>
  <c r="N87" i="38"/>
  <c r="N88" i="38"/>
  <c r="N89" i="38"/>
  <c r="N90" i="38"/>
  <c r="N91" i="38"/>
  <c r="N92" i="38"/>
  <c r="N93" i="38"/>
  <c r="N94" i="38"/>
  <c r="N95" i="38"/>
  <c r="N96" i="38"/>
  <c r="N97" i="38"/>
  <c r="N98" i="38"/>
  <c r="N99" i="38"/>
  <c r="N100" i="38"/>
  <c r="N101" i="38"/>
  <c r="N102" i="38"/>
  <c r="N103" i="38"/>
  <c r="N104" i="38"/>
  <c r="N105" i="38"/>
  <c r="N106" i="38"/>
  <c r="N107" i="38"/>
  <c r="N108" i="38"/>
  <c r="N109" i="38"/>
  <c r="N110" i="38"/>
  <c r="N111" i="38"/>
  <c r="N112" i="38"/>
  <c r="N113" i="38"/>
  <c r="N114" i="38"/>
  <c r="N115" i="38"/>
  <c r="N116" i="38"/>
  <c r="N117" i="38"/>
  <c r="N118" i="38"/>
  <c r="N119" i="38"/>
  <c r="N120" i="38"/>
  <c r="N121" i="38"/>
  <c r="N122" i="38"/>
  <c r="N123" i="38"/>
  <c r="N124" i="38"/>
  <c r="N125" i="38"/>
  <c r="N126" i="38"/>
  <c r="N127" i="38"/>
  <c r="N128" i="38"/>
  <c r="N129" i="38"/>
  <c r="N130" i="38"/>
  <c r="N131" i="38"/>
  <c r="N132" i="38"/>
  <c r="N133" i="38"/>
  <c r="N134" i="38"/>
  <c r="N135" i="38"/>
  <c r="N136" i="38"/>
  <c r="N137" i="38"/>
  <c r="N138" i="38"/>
  <c r="N139" i="38"/>
  <c r="N140" i="38"/>
  <c r="N141" i="38"/>
  <c r="N142" i="38"/>
  <c r="N143" i="38"/>
  <c r="N144" i="38"/>
  <c r="N145" i="38"/>
  <c r="N146" i="38"/>
  <c r="N147" i="38"/>
  <c r="N148" i="38"/>
  <c r="N149" i="38"/>
  <c r="N150" i="38"/>
  <c r="N151" i="38"/>
  <c r="N152" i="38"/>
  <c r="N153" i="38"/>
  <c r="N154" i="38"/>
  <c r="N155" i="38"/>
  <c r="N156" i="38"/>
  <c r="N157" i="38"/>
  <c r="N158" i="38"/>
  <c r="N159" i="38"/>
  <c r="N160" i="38"/>
  <c r="N161" i="38"/>
  <c r="N162" i="38"/>
  <c r="N163" i="38"/>
  <c r="N164" i="38"/>
  <c r="N165" i="38"/>
  <c r="N166" i="38"/>
  <c r="N167" i="38"/>
  <c r="N168" i="38"/>
  <c r="N169" i="38"/>
  <c r="N170" i="38"/>
  <c r="N171" i="38"/>
  <c r="N172" i="38"/>
  <c r="N173" i="38"/>
  <c r="N174" i="38"/>
  <c r="N175" i="38"/>
  <c r="N176" i="38"/>
  <c r="N177" i="38"/>
  <c r="N178" i="38"/>
  <c r="N179" i="38"/>
  <c r="N180" i="38"/>
  <c r="N181" i="38"/>
  <c r="N182" i="38"/>
  <c r="N183" i="38"/>
  <c r="N184" i="38"/>
  <c r="N185" i="38"/>
  <c r="N186" i="38"/>
  <c r="N187" i="38"/>
  <c r="N188" i="38"/>
  <c r="N189" i="38"/>
  <c r="N190" i="38"/>
  <c r="N191" i="38"/>
  <c r="N192" i="38"/>
  <c r="N193" i="38"/>
  <c r="N194" i="38"/>
  <c r="N195" i="38"/>
  <c r="N196" i="38"/>
  <c r="N197" i="38"/>
  <c r="N198" i="38"/>
  <c r="N199" i="38"/>
  <c r="N200" i="38"/>
  <c r="N201" i="38"/>
  <c r="N202" i="38"/>
  <c r="N203" i="38"/>
  <c r="N204" i="38"/>
  <c r="N205" i="38"/>
  <c r="N206" i="38"/>
  <c r="N207" i="38"/>
  <c r="N208" i="38"/>
  <c r="N209" i="38"/>
  <c r="N210" i="38"/>
  <c r="N211" i="38"/>
  <c r="N212" i="38"/>
  <c r="N213" i="38"/>
  <c r="N214" i="38"/>
  <c r="N215" i="38"/>
  <c r="N216" i="38"/>
  <c r="N217" i="38"/>
  <c r="N218" i="38"/>
  <c r="N219" i="38"/>
  <c r="N220" i="38"/>
  <c r="N221" i="38"/>
  <c r="N222" i="38"/>
  <c r="N223" i="38"/>
  <c r="N224" i="38"/>
  <c r="N225" i="38"/>
  <c r="N226" i="38"/>
  <c r="N227" i="38"/>
  <c r="N228" i="38"/>
  <c r="N229" i="38"/>
  <c r="N230" i="38"/>
  <c r="N231" i="38"/>
  <c r="N232" i="38"/>
  <c r="N233" i="38"/>
  <c r="N234" i="38"/>
  <c r="N235" i="38"/>
  <c r="N236" i="38"/>
  <c r="N237" i="38"/>
  <c r="N238" i="38"/>
  <c r="N239" i="38"/>
  <c r="N240" i="38"/>
  <c r="N241" i="38"/>
  <c r="N242" i="38"/>
  <c r="N243" i="38"/>
  <c r="N244" i="38"/>
  <c r="N245" i="38"/>
  <c r="N246" i="38"/>
  <c r="N247" i="38"/>
  <c r="N248" i="38"/>
  <c r="N249" i="38"/>
  <c r="N250" i="38"/>
  <c r="N251" i="38"/>
  <c r="N252" i="38"/>
  <c r="N253" i="38"/>
  <c r="N254" i="38"/>
  <c r="N255" i="38"/>
  <c r="N256" i="38"/>
  <c r="N257" i="38"/>
  <c r="N258" i="38"/>
  <c r="N259" i="38"/>
  <c r="N260" i="38"/>
  <c r="N261" i="38"/>
  <c r="N262" i="38"/>
  <c r="N263" i="38"/>
  <c r="N264" i="38"/>
  <c r="N265" i="38"/>
  <c r="N266" i="38"/>
  <c r="N267" i="38"/>
  <c r="N268" i="38"/>
  <c r="N269" i="38"/>
  <c r="N270" i="38"/>
  <c r="N271" i="38"/>
  <c r="N272" i="38"/>
  <c r="N273" i="38"/>
  <c r="N274" i="38"/>
  <c r="N275" i="38"/>
  <c r="N276" i="38"/>
  <c r="N277" i="38"/>
  <c r="N278" i="38"/>
  <c r="N279" i="38"/>
  <c r="N280" i="38"/>
  <c r="N281" i="38"/>
  <c r="N282" i="38"/>
  <c r="N283" i="38"/>
  <c r="N284" i="38"/>
  <c r="N285" i="38"/>
  <c r="N286" i="38"/>
  <c r="N287" i="38"/>
  <c r="N288" i="38"/>
  <c r="N289" i="38"/>
  <c r="N290" i="38"/>
  <c r="N291" i="38"/>
  <c r="N292" i="38"/>
  <c r="N293" i="38"/>
  <c r="N294" i="38"/>
  <c r="N295" i="38"/>
  <c r="N296" i="38"/>
  <c r="N297" i="38"/>
  <c r="N298" i="38"/>
  <c r="N299" i="38"/>
  <c r="N300" i="38"/>
  <c r="N301" i="38"/>
  <c r="N302" i="38"/>
  <c r="N303" i="38"/>
  <c r="N304" i="38"/>
  <c r="N305" i="38"/>
  <c r="N306" i="38"/>
  <c r="N307" i="38"/>
  <c r="N308" i="38"/>
  <c r="N309" i="38"/>
  <c r="N310" i="38"/>
  <c r="N311" i="38"/>
  <c r="N312" i="38"/>
  <c r="N313" i="38"/>
  <c r="N314" i="38"/>
  <c r="N315" i="38"/>
  <c r="N316" i="38"/>
  <c r="N317" i="38"/>
  <c r="N318" i="38"/>
  <c r="N319" i="38"/>
  <c r="N320" i="38"/>
  <c r="N321" i="38"/>
  <c r="N322" i="38"/>
  <c r="N323" i="38"/>
  <c r="N324" i="38"/>
  <c r="N325" i="38"/>
  <c r="N326" i="38"/>
  <c r="N327" i="38"/>
  <c r="N328" i="38"/>
  <c r="N329" i="38"/>
  <c r="N330" i="38"/>
  <c r="N331" i="38"/>
  <c r="N332" i="38"/>
  <c r="N333" i="38"/>
  <c r="N334" i="38"/>
  <c r="N335" i="38"/>
  <c r="N336" i="38"/>
  <c r="N337" i="38"/>
  <c r="N338" i="38"/>
  <c r="N339" i="38"/>
  <c r="N340" i="38"/>
  <c r="N341" i="38"/>
  <c r="N342" i="38"/>
  <c r="N343" i="38"/>
  <c r="N344" i="38"/>
  <c r="N345" i="38"/>
  <c r="N346" i="38"/>
  <c r="N347" i="38"/>
  <c r="N348" i="38"/>
  <c r="N349" i="38"/>
  <c r="N350" i="38"/>
  <c r="N351" i="38"/>
  <c r="N352" i="38"/>
  <c r="N353" i="38"/>
  <c r="N354" i="38"/>
  <c r="N355" i="38"/>
  <c r="N356" i="38"/>
  <c r="N357" i="38"/>
  <c r="N358" i="38"/>
  <c r="N359" i="38"/>
  <c r="N360" i="38"/>
  <c r="N361" i="38"/>
  <c r="N362" i="38"/>
  <c r="N363" i="38"/>
  <c r="N364" i="38"/>
  <c r="N365" i="38"/>
  <c r="N366" i="38"/>
  <c r="N367" i="38"/>
  <c r="N368" i="38"/>
  <c r="N369" i="38"/>
  <c r="N370" i="38"/>
  <c r="N371" i="38"/>
  <c r="N372" i="38"/>
  <c r="N373" i="38"/>
  <c r="N374" i="38"/>
  <c r="N375" i="38"/>
  <c r="N376" i="38"/>
  <c r="N377" i="38"/>
  <c r="N378" i="38"/>
  <c r="N379" i="38"/>
  <c r="N380" i="38"/>
  <c r="N381" i="38"/>
  <c r="N382" i="38"/>
  <c r="N383" i="38"/>
  <c r="N384" i="38"/>
  <c r="N385" i="38"/>
  <c r="N386" i="38"/>
  <c r="N387" i="38"/>
  <c r="N388" i="38"/>
  <c r="N389" i="38"/>
  <c r="N390" i="38"/>
  <c r="N391" i="38"/>
  <c r="N392" i="38"/>
  <c r="N393" i="38"/>
  <c r="N394" i="38"/>
  <c r="N395" i="38"/>
  <c r="N396" i="38"/>
  <c r="N397" i="38"/>
  <c r="N398" i="38"/>
  <c r="N399" i="38"/>
  <c r="N400" i="38"/>
  <c r="N401" i="38"/>
  <c r="N402" i="38"/>
  <c r="N403" i="38"/>
  <c r="N404" i="38"/>
  <c r="N405" i="38"/>
  <c r="N406" i="38"/>
  <c r="N407" i="38"/>
  <c r="N408" i="38"/>
  <c r="N409" i="38"/>
  <c r="N410" i="38"/>
  <c r="N411" i="38"/>
  <c r="N412" i="38"/>
  <c r="N413" i="38"/>
  <c r="N414" i="38"/>
  <c r="N415" i="38"/>
  <c r="N416" i="38"/>
  <c r="N417" i="38"/>
  <c r="N418" i="38"/>
  <c r="N419" i="38"/>
  <c r="N420" i="38"/>
  <c r="N421" i="38"/>
  <c r="N422" i="38"/>
  <c r="N423" i="38"/>
  <c r="N424" i="38"/>
  <c r="N425" i="38"/>
  <c r="N426" i="38"/>
  <c r="N427" i="38"/>
  <c r="N428" i="38"/>
  <c r="N429" i="38"/>
  <c r="N430" i="38"/>
  <c r="N431" i="38"/>
  <c r="N432" i="38"/>
  <c r="N433" i="38"/>
  <c r="N434" i="38"/>
  <c r="N435" i="38"/>
  <c r="N436" i="38"/>
  <c r="N437" i="38"/>
  <c r="N438" i="38"/>
  <c r="N439" i="38"/>
  <c r="N440" i="38"/>
  <c r="N441" i="38"/>
  <c r="N442" i="38"/>
  <c r="N443" i="38"/>
  <c r="N444" i="38"/>
  <c r="N445" i="38"/>
  <c r="N446" i="38"/>
  <c r="N447" i="38"/>
  <c r="N448" i="38"/>
  <c r="N449" i="38"/>
  <c r="N450" i="38"/>
  <c r="N451" i="38"/>
  <c r="N452" i="38"/>
  <c r="N453" i="38"/>
  <c r="N454" i="38"/>
  <c r="N455" i="38"/>
  <c r="N456" i="38"/>
  <c r="N457" i="38"/>
  <c r="N458" i="38"/>
  <c r="N459" i="38"/>
  <c r="N460" i="38"/>
  <c r="N461" i="38"/>
  <c r="N462" i="38"/>
  <c r="N463" i="38"/>
  <c r="N464" i="38"/>
  <c r="N465" i="38"/>
  <c r="N466" i="38"/>
  <c r="N467" i="38"/>
  <c r="N468" i="38"/>
  <c r="N469" i="38"/>
  <c r="N470" i="38"/>
  <c r="N471" i="38"/>
  <c r="N472" i="38"/>
  <c r="N473" i="38"/>
  <c r="N474" i="38"/>
  <c r="N475" i="38"/>
  <c r="N476" i="38"/>
  <c r="N477" i="38"/>
  <c r="N478" i="38"/>
  <c r="N479" i="38"/>
  <c r="N480" i="38"/>
  <c r="N481" i="38"/>
  <c r="N482" i="38"/>
  <c r="N483" i="38"/>
  <c r="N484" i="38"/>
  <c r="N485" i="38"/>
  <c r="N486" i="38"/>
  <c r="N487" i="38"/>
  <c r="N488" i="38"/>
  <c r="N489" i="38"/>
  <c r="N490" i="38"/>
  <c r="N491" i="38"/>
  <c r="N492" i="38"/>
  <c r="N493" i="38"/>
  <c r="N494" i="38"/>
  <c r="N495" i="38"/>
  <c r="N496" i="38"/>
  <c r="N497" i="38"/>
  <c r="N498" i="38"/>
  <c r="N499" i="38"/>
  <c r="N500" i="38"/>
  <c r="N501" i="38"/>
  <c r="N502" i="38"/>
  <c r="N503" i="38"/>
  <c r="N504" i="38"/>
  <c r="N505" i="38"/>
  <c r="N506" i="38"/>
  <c r="N507" i="38"/>
  <c r="N508" i="38"/>
  <c r="N509" i="38"/>
  <c r="N510" i="38"/>
  <c r="N511" i="38"/>
  <c r="N512" i="38"/>
  <c r="N513" i="38"/>
  <c r="N514" i="38"/>
  <c r="N515" i="38"/>
  <c r="N516" i="38"/>
  <c r="N517" i="38"/>
  <c r="N518" i="38"/>
  <c r="N519" i="38"/>
  <c r="N520" i="38"/>
  <c r="N521" i="38"/>
  <c r="N522" i="38"/>
  <c r="N523" i="38"/>
  <c r="N524" i="38"/>
  <c r="N525" i="38"/>
  <c r="N526" i="38"/>
  <c r="N527" i="38"/>
  <c r="N528" i="38"/>
  <c r="N529" i="38"/>
  <c r="N530" i="38"/>
  <c r="N531" i="38"/>
  <c r="N532" i="38"/>
  <c r="N533" i="38"/>
  <c r="N534" i="38"/>
  <c r="N535" i="38"/>
  <c r="N536" i="38"/>
  <c r="N537" i="38"/>
  <c r="N538" i="38"/>
  <c r="N539" i="38"/>
  <c r="N540" i="38"/>
  <c r="N541" i="38"/>
  <c r="N542" i="38"/>
  <c r="N543" i="38"/>
  <c r="N544" i="38"/>
  <c r="N545" i="38"/>
  <c r="N546" i="38"/>
  <c r="N547" i="38"/>
  <c r="N548" i="38"/>
  <c r="N549" i="38"/>
  <c r="N550" i="38"/>
  <c r="N551" i="38"/>
  <c r="N552" i="38"/>
  <c r="N553" i="38"/>
  <c r="N554" i="38"/>
  <c r="N555" i="38"/>
  <c r="N556" i="38"/>
  <c r="N557" i="38"/>
  <c r="N558" i="38"/>
  <c r="N559" i="38"/>
  <c r="N560" i="38"/>
  <c r="N561" i="38"/>
  <c r="N562" i="38"/>
  <c r="N563" i="38"/>
  <c r="N564" i="38"/>
  <c r="N565" i="38"/>
  <c r="N566" i="38"/>
  <c r="N567" i="38"/>
  <c r="N568" i="38"/>
  <c r="N569" i="38"/>
  <c r="N570" i="38"/>
  <c r="N571" i="38"/>
  <c r="N572" i="38"/>
  <c r="N573" i="38"/>
  <c r="N574" i="38"/>
  <c r="N575" i="38"/>
  <c r="N576" i="38"/>
  <c r="N577" i="38"/>
  <c r="N578" i="38"/>
  <c r="N579" i="38"/>
  <c r="N580" i="38"/>
  <c r="N581" i="38"/>
  <c r="N582" i="38"/>
  <c r="N583" i="38"/>
  <c r="N584" i="38"/>
  <c r="N585" i="38"/>
  <c r="N586" i="38"/>
  <c r="N587" i="38"/>
  <c r="N588" i="38"/>
  <c r="N589" i="38"/>
  <c r="N590" i="38"/>
  <c r="N591" i="38"/>
  <c r="N592" i="38"/>
  <c r="N593" i="38"/>
  <c r="N594" i="38"/>
  <c r="N595" i="38"/>
  <c r="N596" i="38"/>
  <c r="N597" i="38"/>
  <c r="N598" i="38"/>
  <c r="N599" i="38"/>
  <c r="N600" i="38"/>
  <c r="N601" i="38"/>
  <c r="N602" i="38"/>
  <c r="N603" i="38"/>
  <c r="N604" i="38"/>
  <c r="N605" i="38"/>
  <c r="N606" i="38"/>
  <c r="N607" i="38"/>
  <c r="N608" i="38"/>
  <c r="N609" i="38"/>
  <c r="N610" i="38"/>
  <c r="N611" i="38"/>
  <c r="N612" i="38"/>
  <c r="N613" i="38"/>
  <c r="N614" i="38"/>
  <c r="N615" i="38"/>
  <c r="N616" i="38"/>
  <c r="N617" i="38"/>
  <c r="N618" i="38"/>
  <c r="N619" i="38"/>
  <c r="N620" i="38"/>
  <c r="N621" i="38"/>
  <c r="N622" i="38"/>
  <c r="N623" i="38"/>
  <c r="N624" i="38"/>
  <c r="N625" i="38"/>
  <c r="N626" i="38"/>
  <c r="N627" i="38"/>
  <c r="N628" i="38"/>
  <c r="N629" i="38"/>
  <c r="N630" i="38"/>
  <c r="N631" i="38"/>
  <c r="N632" i="38"/>
  <c r="N633" i="38"/>
  <c r="N634" i="38"/>
  <c r="N635" i="38"/>
  <c r="N636" i="38"/>
  <c r="N637" i="38"/>
  <c r="N638" i="38"/>
  <c r="N639" i="38"/>
  <c r="N640" i="38"/>
  <c r="N641" i="38"/>
  <c r="N642" i="38"/>
  <c r="N643" i="38"/>
  <c r="N644" i="38"/>
  <c r="N645" i="38"/>
  <c r="N646" i="38"/>
  <c r="N647" i="38"/>
  <c r="N648" i="38"/>
  <c r="N649" i="38"/>
  <c r="N650" i="38"/>
  <c r="N651" i="38"/>
  <c r="N652" i="38"/>
  <c r="N653" i="38"/>
  <c r="N654" i="38"/>
  <c r="N655" i="38"/>
  <c r="N656" i="38"/>
  <c r="N657" i="38"/>
  <c r="N658" i="38"/>
  <c r="N659" i="38"/>
  <c r="N660" i="38"/>
  <c r="N661" i="38"/>
  <c r="N662" i="38"/>
  <c r="N663" i="38"/>
  <c r="N664" i="38"/>
  <c r="N665" i="38"/>
  <c r="N666" i="38"/>
  <c r="N667" i="38"/>
  <c r="N668" i="38"/>
  <c r="N669" i="38"/>
  <c r="N670" i="38"/>
  <c r="N671" i="38"/>
  <c r="N672" i="38"/>
  <c r="N673" i="38"/>
  <c r="N674" i="38"/>
  <c r="N675" i="38"/>
  <c r="N676" i="38"/>
  <c r="N677" i="38"/>
  <c r="N678" i="38"/>
  <c r="N679" i="38"/>
  <c r="N680" i="38"/>
  <c r="N681" i="38"/>
  <c r="N682" i="38"/>
  <c r="N683" i="38"/>
  <c r="N684" i="38"/>
  <c r="N685" i="38"/>
  <c r="N686" i="38"/>
  <c r="N687" i="38"/>
  <c r="N688" i="38"/>
  <c r="N689" i="38"/>
  <c r="N690" i="38"/>
  <c r="N691" i="38"/>
  <c r="N692" i="38"/>
  <c r="N693" i="38"/>
  <c r="N694" i="38"/>
  <c r="N695" i="38"/>
  <c r="N696" i="38"/>
  <c r="N697" i="38"/>
  <c r="N698" i="38"/>
  <c r="N699" i="38"/>
  <c r="N700" i="38"/>
  <c r="N701" i="38"/>
  <c r="N702" i="38"/>
  <c r="N703" i="38"/>
  <c r="N704" i="38"/>
  <c r="N705" i="38"/>
  <c r="N706" i="38"/>
  <c r="N707" i="38"/>
  <c r="N708" i="38"/>
  <c r="N709" i="38"/>
  <c r="N710" i="38"/>
  <c r="N711" i="38"/>
  <c r="N712" i="38"/>
  <c r="N713" i="38"/>
  <c r="N714" i="38"/>
  <c r="N715" i="38"/>
  <c r="N716" i="38"/>
  <c r="N717" i="38"/>
  <c r="N718" i="38"/>
  <c r="N719" i="38"/>
  <c r="N720" i="38"/>
  <c r="N721" i="38"/>
  <c r="N722" i="38"/>
  <c r="N723" i="38"/>
  <c r="N724" i="38"/>
  <c r="N725" i="38"/>
  <c r="N726" i="38"/>
  <c r="N727" i="38"/>
  <c r="N728" i="38"/>
  <c r="N729" i="38"/>
  <c r="N730" i="38"/>
  <c r="N731" i="38"/>
  <c r="N732" i="38"/>
  <c r="N733" i="38"/>
  <c r="N734" i="38"/>
  <c r="N735" i="38"/>
  <c r="N736" i="38"/>
  <c r="N737" i="38"/>
  <c r="N738" i="38"/>
  <c r="N739" i="38"/>
  <c r="N740" i="38"/>
  <c r="N741" i="38"/>
  <c r="N742" i="38"/>
  <c r="N743" i="38"/>
  <c r="N744" i="38"/>
  <c r="N745" i="38"/>
  <c r="N746" i="38"/>
  <c r="N747" i="38"/>
  <c r="N748" i="38"/>
  <c r="N749" i="38"/>
  <c r="N750" i="38"/>
  <c r="N751" i="38"/>
  <c r="N752" i="38"/>
  <c r="N753" i="38"/>
  <c r="N754" i="38"/>
  <c r="N755" i="38"/>
  <c r="N756" i="38"/>
  <c r="N757" i="38"/>
  <c r="N758" i="38"/>
  <c r="N759" i="38"/>
  <c r="N760" i="38"/>
  <c r="N761" i="38"/>
  <c r="N762" i="38"/>
  <c r="N763" i="38"/>
  <c r="N764" i="38"/>
  <c r="N765" i="38"/>
  <c r="N766" i="38"/>
  <c r="N767" i="38"/>
  <c r="N768" i="38"/>
  <c r="N769" i="38"/>
  <c r="N770" i="38"/>
  <c r="N771" i="38"/>
  <c r="N772" i="38"/>
  <c r="N773" i="38"/>
  <c r="N774" i="38"/>
  <c r="N775" i="38"/>
  <c r="N776" i="38"/>
  <c r="N777" i="38"/>
  <c r="N778" i="38"/>
  <c r="N779" i="38"/>
  <c r="N780" i="38"/>
  <c r="N781" i="38"/>
  <c r="N782" i="38"/>
  <c r="N783" i="38"/>
  <c r="N784" i="38"/>
  <c r="N785" i="38"/>
  <c r="N786" i="38"/>
  <c r="N787" i="38"/>
  <c r="N788" i="38"/>
  <c r="N789" i="38"/>
  <c r="N790" i="38"/>
  <c r="N791" i="38"/>
  <c r="N792" i="38"/>
  <c r="N793" i="38"/>
  <c r="N794" i="38"/>
  <c r="N795" i="38"/>
  <c r="N796" i="38"/>
  <c r="N797" i="38"/>
  <c r="N798" i="38"/>
  <c r="N799" i="38"/>
  <c r="N800" i="38"/>
  <c r="N801" i="38"/>
  <c r="N802" i="38"/>
  <c r="N803" i="38"/>
  <c r="N804" i="38"/>
  <c r="N805" i="38"/>
  <c r="N806" i="38"/>
  <c r="N807" i="38"/>
  <c r="N808" i="38"/>
  <c r="N809" i="38"/>
  <c r="N810" i="38"/>
  <c r="N811" i="38"/>
  <c r="N812" i="38"/>
  <c r="N813" i="38"/>
  <c r="N814" i="38"/>
  <c r="N815" i="38"/>
  <c r="N816" i="38"/>
  <c r="N817" i="38"/>
  <c r="N818" i="38"/>
  <c r="N819" i="38"/>
  <c r="N820" i="38"/>
  <c r="N821" i="38"/>
  <c r="N822" i="38"/>
  <c r="N823" i="38"/>
  <c r="N824" i="38"/>
  <c r="N825" i="38"/>
  <c r="N826" i="38"/>
  <c r="N827" i="38"/>
  <c r="N828" i="38"/>
  <c r="N829" i="38"/>
  <c r="N830" i="38"/>
  <c r="N831" i="38"/>
  <c r="N832" i="38"/>
  <c r="N833" i="38"/>
  <c r="N834" i="38"/>
  <c r="N835" i="38"/>
  <c r="N836" i="38"/>
  <c r="N837" i="38"/>
  <c r="N838" i="38"/>
  <c r="N839" i="38"/>
  <c r="N840" i="38"/>
  <c r="N841" i="38"/>
  <c r="N842" i="38"/>
  <c r="N843" i="38"/>
  <c r="N844" i="38"/>
  <c r="N845" i="38"/>
  <c r="N846" i="38"/>
  <c r="N847" i="38"/>
  <c r="N848" i="38"/>
  <c r="N849" i="38"/>
  <c r="N850" i="38"/>
  <c r="N851" i="38"/>
  <c r="N852" i="38"/>
  <c r="N853" i="38"/>
  <c r="N854" i="38"/>
  <c r="N855" i="38"/>
  <c r="N856" i="38"/>
  <c r="N857" i="38"/>
  <c r="N858" i="38"/>
  <c r="N859" i="38"/>
  <c r="N860" i="38"/>
  <c r="N861" i="38"/>
  <c r="N862" i="38"/>
  <c r="N863" i="38"/>
  <c r="N864" i="38"/>
  <c r="N865" i="38"/>
  <c r="N866" i="38"/>
  <c r="N867" i="38"/>
  <c r="N868" i="38"/>
  <c r="N869" i="38"/>
  <c r="N870" i="38"/>
  <c r="N871" i="38"/>
  <c r="N872" i="38"/>
  <c r="N873" i="38"/>
  <c r="N874" i="38"/>
  <c r="N875" i="38"/>
  <c r="N876" i="38"/>
  <c r="N877" i="38"/>
  <c r="N878" i="38"/>
  <c r="N879" i="38"/>
  <c r="N880" i="38"/>
  <c r="N881" i="38"/>
  <c r="N882" i="38"/>
  <c r="N883" i="38"/>
  <c r="N884" i="38"/>
  <c r="N885" i="38"/>
  <c r="N886" i="38"/>
  <c r="N887" i="38"/>
  <c r="N888" i="38"/>
  <c r="N889" i="38"/>
  <c r="N890" i="38"/>
  <c r="N891" i="38"/>
  <c r="N892" i="38"/>
  <c r="N893" i="38"/>
  <c r="N894" i="38"/>
  <c r="N895" i="38"/>
  <c r="N896" i="38"/>
  <c r="N897" i="38"/>
  <c r="N898" i="38"/>
  <c r="N899" i="38"/>
  <c r="N900" i="38"/>
  <c r="N901" i="38"/>
  <c r="N902" i="38"/>
  <c r="N903" i="38"/>
  <c r="N904" i="38"/>
  <c r="N905" i="38"/>
  <c r="N906" i="38"/>
  <c r="N907" i="38"/>
  <c r="N908" i="38"/>
  <c r="N909" i="38"/>
  <c r="N910" i="38"/>
  <c r="N911" i="38"/>
  <c r="N912" i="38"/>
  <c r="N913" i="38"/>
  <c r="N914" i="38"/>
  <c r="N915" i="38"/>
  <c r="N916" i="38"/>
  <c r="N917" i="38"/>
  <c r="N918" i="38"/>
  <c r="N919" i="38"/>
  <c r="N920" i="38"/>
  <c r="N921" i="38"/>
  <c r="N922" i="38"/>
  <c r="N923" i="38"/>
  <c r="N924" i="38"/>
  <c r="N925" i="38"/>
  <c r="N926" i="38"/>
  <c r="N927" i="38"/>
  <c r="N928" i="38"/>
  <c r="N929" i="38"/>
  <c r="N930" i="38"/>
  <c r="N931" i="38"/>
  <c r="N932" i="38"/>
  <c r="N933" i="38"/>
  <c r="N934" i="38"/>
  <c r="N935" i="38"/>
  <c r="N936" i="38"/>
  <c r="N937" i="38"/>
  <c r="N938" i="38"/>
  <c r="N939" i="38"/>
  <c r="N940" i="38"/>
  <c r="N941" i="38"/>
  <c r="N942" i="38"/>
  <c r="N943" i="38"/>
  <c r="N944" i="38"/>
  <c r="N945" i="38"/>
  <c r="N946" i="38"/>
  <c r="N947" i="38"/>
  <c r="N948" i="38"/>
  <c r="N949" i="38"/>
  <c r="N950" i="38"/>
  <c r="N951" i="38"/>
  <c r="N952" i="38"/>
  <c r="N953" i="38"/>
  <c r="N954" i="38"/>
  <c r="N955" i="38"/>
  <c r="N956" i="38"/>
  <c r="N957" i="38"/>
  <c r="N958" i="38"/>
  <c r="N959" i="38"/>
  <c r="N960" i="38"/>
  <c r="N961" i="38"/>
  <c r="N962" i="38"/>
  <c r="N963" i="38"/>
  <c r="N964" i="38"/>
  <c r="N965" i="38"/>
  <c r="N966" i="38"/>
  <c r="N967" i="38"/>
  <c r="N968" i="38"/>
  <c r="N969" i="38"/>
  <c r="N970" i="38"/>
  <c r="N971" i="38"/>
  <c r="N972" i="38"/>
  <c r="N973" i="38"/>
  <c r="N974" i="38"/>
  <c r="N975" i="38"/>
  <c r="N976" i="38"/>
  <c r="N977" i="38"/>
  <c r="N978" i="38"/>
  <c r="N979" i="38"/>
  <c r="N980" i="38"/>
  <c r="N981" i="38"/>
  <c r="N982" i="38"/>
  <c r="N983" i="38"/>
  <c r="N984" i="38"/>
  <c r="N985" i="38"/>
  <c r="N986" i="38"/>
  <c r="N987" i="38"/>
  <c r="N988" i="38"/>
  <c r="N989" i="38"/>
  <c r="N990" i="38"/>
  <c r="N991" i="38"/>
  <c r="N992" i="38"/>
  <c r="N993" i="38"/>
  <c r="N994" i="38"/>
  <c r="N995" i="38"/>
  <c r="N996" i="38"/>
  <c r="N997" i="38"/>
  <c r="N998" i="38"/>
  <c r="N999" i="38"/>
  <c r="N1000" i="38"/>
  <c r="N1001" i="38"/>
  <c r="N1002" i="38"/>
  <c r="N1003" i="38"/>
  <c r="N1004" i="38"/>
  <c r="N5" i="38"/>
  <c r="D10" i="38"/>
  <c r="D11" i="38"/>
  <c r="D12" i="38"/>
  <c r="D13" i="38"/>
  <c r="M13" i="38" s="1"/>
  <c r="D14" i="38"/>
  <c r="D15" i="38"/>
  <c r="D16" i="38"/>
  <c r="D17" i="38"/>
  <c r="D18" i="38"/>
  <c r="D19" i="38"/>
  <c r="D20" i="38"/>
  <c r="D21" i="38"/>
  <c r="D22" i="38"/>
  <c r="D23" i="38"/>
  <c r="D24" i="38"/>
  <c r="D25" i="38"/>
  <c r="M25" i="38" s="1"/>
  <c r="D26" i="38"/>
  <c r="D27" i="38"/>
  <c r="D28" i="38"/>
  <c r="D29" i="38"/>
  <c r="M29" i="38" s="1"/>
  <c r="D30" i="38"/>
  <c r="D31" i="38"/>
  <c r="D32" i="38"/>
  <c r="D33" i="38"/>
  <c r="D34" i="38"/>
  <c r="D35" i="38"/>
  <c r="D36" i="38"/>
  <c r="D37" i="38"/>
  <c r="D38" i="38"/>
  <c r="D39" i="38"/>
  <c r="D40" i="38"/>
  <c r="D41" i="38"/>
  <c r="M41" i="38" s="1"/>
  <c r="D42" i="38"/>
  <c r="D43" i="38"/>
  <c r="D44" i="38"/>
  <c r="D45" i="38"/>
  <c r="M45" i="38" s="1"/>
  <c r="D46" i="38"/>
  <c r="D47" i="38"/>
  <c r="D48" i="38"/>
  <c r="D49" i="38"/>
  <c r="D50" i="38"/>
  <c r="D51" i="38"/>
  <c r="D52" i="38"/>
  <c r="D53" i="38"/>
  <c r="D54" i="38"/>
  <c r="D55" i="38"/>
  <c r="D56" i="38"/>
  <c r="D57" i="38"/>
  <c r="M57" i="38" s="1"/>
  <c r="D58" i="38"/>
  <c r="D59" i="38"/>
  <c r="D60" i="38"/>
  <c r="D61" i="38"/>
  <c r="M61" i="38" s="1"/>
  <c r="D62" i="38"/>
  <c r="D63" i="38"/>
  <c r="D64" i="38"/>
  <c r="D65" i="38"/>
  <c r="D66" i="38"/>
  <c r="D67" i="38"/>
  <c r="D68" i="38"/>
  <c r="D69" i="38"/>
  <c r="D70" i="38"/>
  <c r="D71" i="38"/>
  <c r="D72" i="38"/>
  <c r="D73" i="38"/>
  <c r="M73" i="38" s="1"/>
  <c r="D74" i="38"/>
  <c r="D75" i="38"/>
  <c r="D76" i="38"/>
  <c r="D77" i="38"/>
  <c r="M77" i="38" s="1"/>
  <c r="D78" i="38"/>
  <c r="D79" i="38"/>
  <c r="D80" i="38"/>
  <c r="D81" i="38"/>
  <c r="D82" i="38"/>
  <c r="D83" i="38"/>
  <c r="D84" i="38"/>
  <c r="D85" i="38"/>
  <c r="D86" i="38"/>
  <c r="D87" i="38"/>
  <c r="D88" i="38"/>
  <c r="D89" i="38"/>
  <c r="M89" i="38" s="1"/>
  <c r="D90" i="38"/>
  <c r="D91" i="38"/>
  <c r="D92" i="38"/>
  <c r="D93" i="38"/>
  <c r="M93" i="38" s="1"/>
  <c r="D94" i="38"/>
  <c r="D95" i="38"/>
  <c r="D96" i="38"/>
  <c r="D97" i="38"/>
  <c r="D98" i="38"/>
  <c r="D99" i="38"/>
  <c r="D100" i="38"/>
  <c r="D101" i="38"/>
  <c r="D102" i="38"/>
  <c r="D103" i="38"/>
  <c r="D104" i="38"/>
  <c r="D105" i="38"/>
  <c r="M105" i="38" s="1"/>
  <c r="D106" i="38"/>
  <c r="D107" i="38"/>
  <c r="D108" i="38"/>
  <c r="D109" i="38"/>
  <c r="M109" i="38" s="1"/>
  <c r="D110" i="38"/>
  <c r="D111" i="38"/>
  <c r="D112" i="38"/>
  <c r="D113" i="38"/>
  <c r="D114" i="38"/>
  <c r="D115" i="38"/>
  <c r="D116" i="38"/>
  <c r="D117" i="38"/>
  <c r="D118" i="38"/>
  <c r="D119" i="38"/>
  <c r="D120" i="38"/>
  <c r="D121" i="38"/>
  <c r="M121" i="38" s="1"/>
  <c r="D122" i="38"/>
  <c r="D123" i="38"/>
  <c r="D124" i="38"/>
  <c r="D125" i="38"/>
  <c r="M125" i="38" s="1"/>
  <c r="D126" i="38"/>
  <c r="D127" i="38"/>
  <c r="D128" i="38"/>
  <c r="D129" i="38"/>
  <c r="D130" i="38"/>
  <c r="D131" i="38"/>
  <c r="D132" i="38"/>
  <c r="D133" i="38"/>
  <c r="D134" i="38"/>
  <c r="D135" i="38"/>
  <c r="D136" i="38"/>
  <c r="D137" i="38"/>
  <c r="M137" i="38" s="1"/>
  <c r="D138" i="38"/>
  <c r="D139" i="38"/>
  <c r="D140" i="38"/>
  <c r="D141" i="38"/>
  <c r="M141" i="38" s="1"/>
  <c r="D142" i="38"/>
  <c r="D143" i="38"/>
  <c r="D144" i="38"/>
  <c r="D145" i="38"/>
  <c r="D146" i="38"/>
  <c r="D147" i="38"/>
  <c r="D148" i="38"/>
  <c r="D149" i="38"/>
  <c r="D150" i="38"/>
  <c r="D151" i="38"/>
  <c r="D152" i="38"/>
  <c r="D153" i="38"/>
  <c r="M153" i="38" s="1"/>
  <c r="D154" i="38"/>
  <c r="D155" i="38"/>
  <c r="D156" i="38"/>
  <c r="D157" i="38"/>
  <c r="M157" i="38" s="1"/>
  <c r="D158" i="38"/>
  <c r="D159" i="38"/>
  <c r="D160" i="38"/>
  <c r="D161" i="38"/>
  <c r="D162" i="38"/>
  <c r="D163" i="38"/>
  <c r="D164" i="38"/>
  <c r="D165" i="38"/>
  <c r="D166" i="38"/>
  <c r="D167" i="38"/>
  <c r="D168" i="38"/>
  <c r="D169" i="38"/>
  <c r="M169" i="38" s="1"/>
  <c r="D170" i="38"/>
  <c r="D171" i="38"/>
  <c r="D172" i="38"/>
  <c r="D173" i="38"/>
  <c r="M173" i="38" s="1"/>
  <c r="D174" i="38"/>
  <c r="D175" i="38"/>
  <c r="D176" i="38"/>
  <c r="D177" i="38"/>
  <c r="D178" i="38"/>
  <c r="D179" i="38"/>
  <c r="D180" i="38"/>
  <c r="D181" i="38"/>
  <c r="D182" i="38"/>
  <c r="D183" i="38"/>
  <c r="D184" i="38"/>
  <c r="D185" i="38"/>
  <c r="M185" i="38" s="1"/>
  <c r="D186" i="38"/>
  <c r="D187" i="38"/>
  <c r="D188" i="38"/>
  <c r="D189" i="38"/>
  <c r="M189" i="38" s="1"/>
  <c r="D190" i="38"/>
  <c r="D191" i="38"/>
  <c r="D192" i="38"/>
  <c r="D193" i="38"/>
  <c r="D194" i="38"/>
  <c r="D195" i="38"/>
  <c r="D196" i="38"/>
  <c r="D197" i="38"/>
  <c r="D198" i="38"/>
  <c r="D199" i="38"/>
  <c r="D200" i="38"/>
  <c r="D201" i="38"/>
  <c r="M201" i="38" s="1"/>
  <c r="D202" i="38"/>
  <c r="D203" i="38"/>
  <c r="D204" i="38"/>
  <c r="D205" i="38"/>
  <c r="M205" i="38" s="1"/>
  <c r="D206" i="38"/>
  <c r="D207" i="38"/>
  <c r="D208" i="38"/>
  <c r="D209" i="38"/>
  <c r="D210" i="38"/>
  <c r="D211" i="38"/>
  <c r="D212" i="38"/>
  <c r="D213" i="38"/>
  <c r="D214" i="38"/>
  <c r="D215" i="38"/>
  <c r="D216" i="38"/>
  <c r="D217" i="38"/>
  <c r="M217" i="38" s="1"/>
  <c r="D218" i="38"/>
  <c r="D219" i="38"/>
  <c r="D220" i="38"/>
  <c r="D221" i="38"/>
  <c r="M221" i="38" s="1"/>
  <c r="D222" i="38"/>
  <c r="D223" i="38"/>
  <c r="D224" i="38"/>
  <c r="D225" i="38"/>
  <c r="D226" i="38"/>
  <c r="D227" i="38"/>
  <c r="D228" i="38"/>
  <c r="D229" i="38"/>
  <c r="D230" i="38"/>
  <c r="D231" i="38"/>
  <c r="D232" i="38"/>
  <c r="D233" i="38"/>
  <c r="M233" i="38" s="1"/>
  <c r="D234" i="38"/>
  <c r="D235" i="38"/>
  <c r="D236" i="38"/>
  <c r="D237" i="38"/>
  <c r="M237" i="38" s="1"/>
  <c r="D238" i="38"/>
  <c r="D239" i="38"/>
  <c r="D240" i="38"/>
  <c r="D241" i="38"/>
  <c r="D242" i="38"/>
  <c r="D243" i="38"/>
  <c r="D244" i="38"/>
  <c r="D245" i="38"/>
  <c r="D246" i="38"/>
  <c r="D247" i="38"/>
  <c r="D248" i="38"/>
  <c r="D249" i="38"/>
  <c r="M249" i="38" s="1"/>
  <c r="D250" i="38"/>
  <c r="D251" i="38"/>
  <c r="D252" i="38"/>
  <c r="D253" i="38"/>
  <c r="M253" i="38" s="1"/>
  <c r="D254" i="38"/>
  <c r="D255" i="38"/>
  <c r="D256" i="38"/>
  <c r="D257" i="38"/>
  <c r="D258" i="38"/>
  <c r="D259" i="38"/>
  <c r="D260" i="38"/>
  <c r="D261" i="38"/>
  <c r="D262" i="38"/>
  <c r="D263" i="38"/>
  <c r="D264" i="38"/>
  <c r="D265" i="38"/>
  <c r="M265" i="38" s="1"/>
  <c r="D266" i="38"/>
  <c r="D267" i="38"/>
  <c r="D268" i="38"/>
  <c r="D269" i="38"/>
  <c r="M269" i="38" s="1"/>
  <c r="D270" i="38"/>
  <c r="D271" i="38"/>
  <c r="D272" i="38"/>
  <c r="D273" i="38"/>
  <c r="D274" i="38"/>
  <c r="D275" i="38"/>
  <c r="D276" i="38"/>
  <c r="D277" i="38"/>
  <c r="D278" i="38"/>
  <c r="D279" i="38"/>
  <c r="D280" i="38"/>
  <c r="D281" i="38"/>
  <c r="M281" i="38" s="1"/>
  <c r="D282" i="38"/>
  <c r="D283" i="38"/>
  <c r="D284" i="38"/>
  <c r="D285" i="38"/>
  <c r="M285" i="38" s="1"/>
  <c r="D286" i="38"/>
  <c r="D287" i="38"/>
  <c r="D288" i="38"/>
  <c r="D289" i="38"/>
  <c r="D290" i="38"/>
  <c r="D291" i="38"/>
  <c r="D292" i="38"/>
  <c r="D293" i="38"/>
  <c r="D294" i="38"/>
  <c r="D295" i="38"/>
  <c r="D296" i="38"/>
  <c r="D297" i="38"/>
  <c r="M297" i="38" s="1"/>
  <c r="D298" i="38"/>
  <c r="D299" i="38"/>
  <c r="D300" i="38"/>
  <c r="D301" i="38"/>
  <c r="M301" i="38" s="1"/>
  <c r="D302" i="38"/>
  <c r="D303" i="38"/>
  <c r="D304" i="38"/>
  <c r="D305" i="38"/>
  <c r="D306" i="38"/>
  <c r="D307" i="38"/>
  <c r="D308" i="38"/>
  <c r="D309" i="38"/>
  <c r="D310" i="38"/>
  <c r="D311" i="38"/>
  <c r="D312" i="38"/>
  <c r="D313" i="38"/>
  <c r="M313" i="38" s="1"/>
  <c r="D314" i="38"/>
  <c r="D315" i="38"/>
  <c r="D316" i="38"/>
  <c r="D317" i="38"/>
  <c r="M317" i="38" s="1"/>
  <c r="D318" i="38"/>
  <c r="D319" i="38"/>
  <c r="D320" i="38"/>
  <c r="D321" i="38"/>
  <c r="D322" i="38"/>
  <c r="D323" i="38"/>
  <c r="D324" i="38"/>
  <c r="D325" i="38"/>
  <c r="D326" i="38"/>
  <c r="D327" i="38"/>
  <c r="D328" i="38"/>
  <c r="D329" i="38"/>
  <c r="M329" i="38" s="1"/>
  <c r="D330" i="38"/>
  <c r="D331" i="38"/>
  <c r="D332" i="38"/>
  <c r="D333" i="38"/>
  <c r="M333" i="38" s="1"/>
  <c r="D334" i="38"/>
  <c r="D335" i="38"/>
  <c r="D336" i="38"/>
  <c r="D337" i="38"/>
  <c r="D338" i="38"/>
  <c r="D339" i="38"/>
  <c r="D340" i="38"/>
  <c r="D341" i="38"/>
  <c r="D342" i="38"/>
  <c r="D343" i="38"/>
  <c r="D344" i="38"/>
  <c r="D345" i="38"/>
  <c r="M345" i="38" s="1"/>
  <c r="D346" i="38"/>
  <c r="D347" i="38"/>
  <c r="D348" i="38"/>
  <c r="D349" i="38"/>
  <c r="M349" i="38" s="1"/>
  <c r="D350" i="38"/>
  <c r="D351" i="38"/>
  <c r="D352" i="38"/>
  <c r="D353" i="38"/>
  <c r="D354" i="38"/>
  <c r="D355" i="38"/>
  <c r="D356" i="38"/>
  <c r="D357" i="38"/>
  <c r="D358" i="38"/>
  <c r="D359" i="38"/>
  <c r="D360" i="38"/>
  <c r="D361" i="38"/>
  <c r="M361" i="38" s="1"/>
  <c r="D362" i="38"/>
  <c r="D363" i="38"/>
  <c r="D364" i="38"/>
  <c r="D365" i="38"/>
  <c r="M365" i="38" s="1"/>
  <c r="D366" i="38"/>
  <c r="D367" i="38"/>
  <c r="D368" i="38"/>
  <c r="D369" i="38"/>
  <c r="D370" i="38"/>
  <c r="D371" i="38"/>
  <c r="D372" i="38"/>
  <c r="D373" i="38"/>
  <c r="D374" i="38"/>
  <c r="D375" i="38"/>
  <c r="D376" i="38"/>
  <c r="D377" i="38"/>
  <c r="M377" i="38" s="1"/>
  <c r="D378" i="38"/>
  <c r="D379" i="38"/>
  <c r="D380" i="38"/>
  <c r="D381" i="38"/>
  <c r="M381" i="38" s="1"/>
  <c r="D382" i="38"/>
  <c r="D383" i="38"/>
  <c r="D384" i="38"/>
  <c r="D385" i="38"/>
  <c r="D386" i="38"/>
  <c r="D387" i="38"/>
  <c r="D388" i="38"/>
  <c r="D389" i="38"/>
  <c r="D390" i="38"/>
  <c r="D391" i="38"/>
  <c r="D392" i="38"/>
  <c r="D393" i="38"/>
  <c r="M393" i="38" s="1"/>
  <c r="D394" i="38"/>
  <c r="D395" i="38"/>
  <c r="D396" i="38"/>
  <c r="D397" i="38"/>
  <c r="M397" i="38" s="1"/>
  <c r="D398" i="38"/>
  <c r="D399" i="38"/>
  <c r="D400" i="38"/>
  <c r="D401" i="38"/>
  <c r="D402" i="38"/>
  <c r="D403" i="38"/>
  <c r="D404" i="38"/>
  <c r="D405" i="38"/>
  <c r="D406" i="38"/>
  <c r="D407" i="38"/>
  <c r="D408" i="38"/>
  <c r="D409" i="38"/>
  <c r="M409" i="38" s="1"/>
  <c r="D410" i="38"/>
  <c r="D411" i="38"/>
  <c r="D412" i="38"/>
  <c r="D413" i="38"/>
  <c r="M413" i="38" s="1"/>
  <c r="D414" i="38"/>
  <c r="D415" i="38"/>
  <c r="D416" i="38"/>
  <c r="D417" i="38"/>
  <c r="D418" i="38"/>
  <c r="D419" i="38"/>
  <c r="D420" i="38"/>
  <c r="D421" i="38"/>
  <c r="D422" i="38"/>
  <c r="D423" i="38"/>
  <c r="D424" i="38"/>
  <c r="D425" i="38"/>
  <c r="M425" i="38" s="1"/>
  <c r="D426" i="38"/>
  <c r="D427" i="38"/>
  <c r="D428" i="38"/>
  <c r="D429" i="38"/>
  <c r="D430" i="38"/>
  <c r="D431" i="38"/>
  <c r="D432" i="38"/>
  <c r="D433" i="38"/>
  <c r="D434" i="38"/>
  <c r="D435" i="38"/>
  <c r="D436" i="38"/>
  <c r="D437" i="38"/>
  <c r="M437" i="38" s="1"/>
  <c r="D438" i="38"/>
  <c r="D439" i="38"/>
  <c r="D440" i="38"/>
  <c r="D441" i="38"/>
  <c r="D442" i="38"/>
  <c r="D443" i="38"/>
  <c r="D444" i="38"/>
  <c r="D445" i="38"/>
  <c r="M445" i="38" s="1"/>
  <c r="D446" i="38"/>
  <c r="D447" i="38"/>
  <c r="D448" i="38"/>
  <c r="D449" i="38"/>
  <c r="D450" i="38"/>
  <c r="D451" i="38"/>
  <c r="D452" i="38"/>
  <c r="D453" i="38"/>
  <c r="M453" i="38" s="1"/>
  <c r="D454" i="38"/>
  <c r="D455" i="38"/>
  <c r="D456" i="38"/>
  <c r="D457" i="38"/>
  <c r="D458" i="38"/>
  <c r="D459" i="38"/>
  <c r="D460" i="38"/>
  <c r="D461" i="38"/>
  <c r="M461" i="38" s="1"/>
  <c r="D462" i="38"/>
  <c r="D463" i="38"/>
  <c r="D464" i="38"/>
  <c r="D465" i="38"/>
  <c r="D466" i="38"/>
  <c r="D467" i="38"/>
  <c r="D468" i="38"/>
  <c r="D469" i="38"/>
  <c r="M469" i="38" s="1"/>
  <c r="D470" i="38"/>
  <c r="D471" i="38"/>
  <c r="D472" i="38"/>
  <c r="D473" i="38"/>
  <c r="D474" i="38"/>
  <c r="D475" i="38"/>
  <c r="D476" i="38"/>
  <c r="D477" i="38"/>
  <c r="M477" i="38" s="1"/>
  <c r="D478" i="38"/>
  <c r="D479" i="38"/>
  <c r="D480" i="38"/>
  <c r="D481" i="38"/>
  <c r="D482" i="38"/>
  <c r="D483" i="38"/>
  <c r="D484" i="38"/>
  <c r="D485" i="38"/>
  <c r="M485" i="38" s="1"/>
  <c r="D486" i="38"/>
  <c r="D487" i="38"/>
  <c r="D488" i="38"/>
  <c r="D489" i="38"/>
  <c r="D490" i="38"/>
  <c r="D491" i="38"/>
  <c r="D492" i="38"/>
  <c r="D493" i="38"/>
  <c r="M493" i="38" s="1"/>
  <c r="D494" i="38"/>
  <c r="D495" i="38"/>
  <c r="D496" i="38"/>
  <c r="D497" i="38"/>
  <c r="D498" i="38"/>
  <c r="D499" i="38"/>
  <c r="D500" i="38"/>
  <c r="D501" i="38"/>
  <c r="D502" i="38"/>
  <c r="D503" i="38"/>
  <c r="D504" i="38"/>
  <c r="D505" i="38"/>
  <c r="M505" i="38" s="1"/>
  <c r="D506" i="38"/>
  <c r="D507" i="38"/>
  <c r="D508" i="38"/>
  <c r="D509" i="38"/>
  <c r="D510" i="38"/>
  <c r="D511" i="38"/>
  <c r="D512" i="38"/>
  <c r="D513" i="38"/>
  <c r="D514" i="38"/>
  <c r="D515" i="38"/>
  <c r="D516" i="38"/>
  <c r="D517" i="38"/>
  <c r="D518" i="38"/>
  <c r="D519" i="38"/>
  <c r="D520" i="38"/>
  <c r="D521" i="38"/>
  <c r="D522" i="38"/>
  <c r="D523" i="38"/>
  <c r="D524" i="38"/>
  <c r="D525" i="38"/>
  <c r="M525" i="38" s="1"/>
  <c r="D526" i="38"/>
  <c r="D527" i="38"/>
  <c r="D528" i="38"/>
  <c r="D529" i="38"/>
  <c r="D530" i="38"/>
  <c r="D531" i="38"/>
  <c r="D532" i="38"/>
  <c r="D533" i="38"/>
  <c r="D534" i="38"/>
  <c r="D535" i="38"/>
  <c r="D536" i="38"/>
  <c r="D537" i="38"/>
  <c r="M537" i="38" s="1"/>
  <c r="D538" i="38"/>
  <c r="D539" i="38"/>
  <c r="D540" i="38"/>
  <c r="D541" i="38"/>
  <c r="D542" i="38"/>
  <c r="D543" i="38"/>
  <c r="D544" i="38"/>
  <c r="D545" i="38"/>
  <c r="D546" i="38"/>
  <c r="D547" i="38"/>
  <c r="D548" i="38"/>
  <c r="D549" i="38"/>
  <c r="M549" i="38" s="1"/>
  <c r="D550" i="38"/>
  <c r="D551" i="38"/>
  <c r="D552" i="38"/>
  <c r="D553" i="38"/>
  <c r="D554" i="38"/>
  <c r="D555" i="38"/>
  <c r="D556" i="38"/>
  <c r="D557" i="38"/>
  <c r="M557" i="38" s="1"/>
  <c r="D558" i="38"/>
  <c r="D559" i="38"/>
  <c r="D560" i="38"/>
  <c r="D561" i="38"/>
  <c r="D562" i="38"/>
  <c r="D563" i="38"/>
  <c r="D564" i="38"/>
  <c r="D565" i="38"/>
  <c r="D566" i="38"/>
  <c r="D567" i="38"/>
  <c r="D568" i="38"/>
  <c r="D569" i="38"/>
  <c r="D570" i="38"/>
  <c r="D571" i="38"/>
  <c r="D572" i="38"/>
  <c r="D573" i="38"/>
  <c r="M573" i="38" s="1"/>
  <c r="D574" i="38"/>
  <c r="D575" i="38"/>
  <c r="D576" i="38"/>
  <c r="D577" i="38"/>
  <c r="D578" i="38"/>
  <c r="D579" i="38"/>
  <c r="D580" i="38"/>
  <c r="D581" i="38"/>
  <c r="D582" i="38"/>
  <c r="D583" i="38"/>
  <c r="D584" i="38"/>
  <c r="D585" i="38"/>
  <c r="M585" i="38" s="1"/>
  <c r="D586" i="38"/>
  <c r="D587" i="38"/>
  <c r="D588" i="38"/>
  <c r="D589" i="38"/>
  <c r="D590" i="38"/>
  <c r="D591" i="38"/>
  <c r="D592" i="38"/>
  <c r="D593" i="38"/>
  <c r="D594" i="38"/>
  <c r="D595" i="38"/>
  <c r="D596" i="38"/>
  <c r="D597" i="38"/>
  <c r="M597" i="38" s="1"/>
  <c r="D598" i="38"/>
  <c r="D599" i="38"/>
  <c r="D600" i="38"/>
  <c r="D601" i="38"/>
  <c r="D602" i="38"/>
  <c r="D603" i="38"/>
  <c r="D604" i="38"/>
  <c r="D605" i="38"/>
  <c r="M605" i="38" s="1"/>
  <c r="D606" i="38"/>
  <c r="D607" i="38"/>
  <c r="D608" i="38"/>
  <c r="D609" i="38"/>
  <c r="D610" i="38"/>
  <c r="D611" i="38"/>
  <c r="D612" i="38"/>
  <c r="D613" i="38"/>
  <c r="D614" i="38"/>
  <c r="D615" i="38"/>
  <c r="D616" i="38"/>
  <c r="D617" i="38"/>
  <c r="D618" i="38"/>
  <c r="D619" i="38"/>
  <c r="D620" i="38"/>
  <c r="D621" i="38"/>
  <c r="M621" i="38" s="1"/>
  <c r="D622" i="38"/>
  <c r="D623" i="38"/>
  <c r="D624" i="38"/>
  <c r="D625" i="38"/>
  <c r="D626" i="38"/>
  <c r="D627" i="38"/>
  <c r="D628" i="38"/>
  <c r="D629" i="38"/>
  <c r="D630" i="38"/>
  <c r="D631" i="38"/>
  <c r="D632" i="38"/>
  <c r="D633" i="38"/>
  <c r="M633" i="38" s="1"/>
  <c r="D634" i="38"/>
  <c r="D635" i="38"/>
  <c r="D636" i="38"/>
  <c r="D637" i="38"/>
  <c r="D638" i="38"/>
  <c r="D639" i="38"/>
  <c r="D640" i="38"/>
  <c r="D641" i="38"/>
  <c r="M641" i="38" s="1"/>
  <c r="D642" i="38"/>
  <c r="D643" i="38"/>
  <c r="D644" i="38"/>
  <c r="M644" i="38" s="1"/>
  <c r="D645" i="38"/>
  <c r="M645" i="38" s="1"/>
  <c r="D646" i="38"/>
  <c r="D647" i="38"/>
  <c r="D648" i="38"/>
  <c r="D649" i="38"/>
  <c r="D650" i="38"/>
  <c r="D651" i="38"/>
  <c r="D652" i="38"/>
  <c r="M652" i="38" s="1"/>
  <c r="D653" i="38"/>
  <c r="D654" i="38"/>
  <c r="D655" i="38"/>
  <c r="M655" i="38" s="1"/>
  <c r="D656" i="38"/>
  <c r="M656" i="38" s="1"/>
  <c r="D657" i="38"/>
  <c r="M657" i="38" s="1"/>
  <c r="D658" i="38"/>
  <c r="D659" i="38"/>
  <c r="D660" i="38"/>
  <c r="M660" i="38" s="1"/>
  <c r="D661" i="38"/>
  <c r="D662" i="38"/>
  <c r="D663" i="38"/>
  <c r="D664" i="38"/>
  <c r="D665" i="38"/>
  <c r="D666" i="38"/>
  <c r="D667" i="38"/>
  <c r="D668" i="38"/>
  <c r="M668" i="38" s="1"/>
  <c r="D669" i="38"/>
  <c r="D670" i="38"/>
  <c r="D671" i="38"/>
  <c r="M671" i="38" s="1"/>
  <c r="D672" i="38"/>
  <c r="M672" i="38" s="1"/>
  <c r="D673" i="38"/>
  <c r="D674" i="38"/>
  <c r="D675" i="38"/>
  <c r="D676" i="38"/>
  <c r="M676" i="38" s="1"/>
  <c r="D677" i="38"/>
  <c r="D678" i="38"/>
  <c r="D679" i="38"/>
  <c r="D680" i="38"/>
  <c r="D681" i="38"/>
  <c r="M681" i="38" s="1"/>
  <c r="D682" i="38"/>
  <c r="D683" i="38"/>
  <c r="D684" i="38"/>
  <c r="M684" i="38" s="1"/>
  <c r="D685" i="38"/>
  <c r="D686" i="38"/>
  <c r="D687" i="38"/>
  <c r="M687" i="38" s="1"/>
  <c r="D688" i="38"/>
  <c r="M688" i="38" s="1"/>
  <c r="D689" i="38"/>
  <c r="M689" i="38" s="1"/>
  <c r="D690" i="38"/>
  <c r="D691" i="38"/>
  <c r="D692" i="38"/>
  <c r="M692" i="38" s="1"/>
  <c r="D693" i="38"/>
  <c r="M693" i="38" s="1"/>
  <c r="D694" i="38"/>
  <c r="D695" i="38"/>
  <c r="D696" i="38"/>
  <c r="D697" i="38"/>
  <c r="D698" i="38"/>
  <c r="D699" i="38"/>
  <c r="D700" i="38"/>
  <c r="M700" i="38" s="1"/>
  <c r="D701" i="38"/>
  <c r="D702" i="38"/>
  <c r="D703" i="38"/>
  <c r="M703" i="38" s="1"/>
  <c r="D704" i="38"/>
  <c r="M704" i="38" s="1"/>
  <c r="D705" i="38"/>
  <c r="M705" i="38" s="1"/>
  <c r="D706" i="38"/>
  <c r="D707" i="38"/>
  <c r="D708" i="38"/>
  <c r="M708" i="38" s="1"/>
  <c r="D709" i="38"/>
  <c r="D710" i="38"/>
  <c r="D711" i="38"/>
  <c r="D712" i="38"/>
  <c r="D713" i="38"/>
  <c r="M713" i="38" s="1"/>
  <c r="D714" i="38"/>
  <c r="D715" i="38"/>
  <c r="D716" i="38"/>
  <c r="M716" i="38" s="1"/>
  <c r="D717" i="38"/>
  <c r="D718" i="38"/>
  <c r="D719" i="38"/>
  <c r="M719" i="38" s="1"/>
  <c r="D720" i="38"/>
  <c r="M720" i="38" s="1"/>
  <c r="D721" i="38"/>
  <c r="D722" i="38"/>
  <c r="D723" i="38"/>
  <c r="D724" i="38"/>
  <c r="M724" i="38" s="1"/>
  <c r="D725" i="38"/>
  <c r="M725" i="38" s="1"/>
  <c r="D726" i="38"/>
  <c r="D727" i="38"/>
  <c r="D728" i="38"/>
  <c r="D729" i="38"/>
  <c r="D730" i="38"/>
  <c r="D731" i="38"/>
  <c r="D732" i="38"/>
  <c r="M732" i="38" s="1"/>
  <c r="D733" i="38"/>
  <c r="D734" i="38"/>
  <c r="D735" i="38"/>
  <c r="M735" i="38" s="1"/>
  <c r="D736" i="38"/>
  <c r="M736" i="38" s="1"/>
  <c r="D737" i="38"/>
  <c r="M737" i="38" s="1"/>
  <c r="D738" i="38"/>
  <c r="D739" i="38"/>
  <c r="D740" i="38"/>
  <c r="M740" i="38" s="1"/>
  <c r="D741" i="38"/>
  <c r="D742" i="38"/>
  <c r="D743" i="38"/>
  <c r="D744" i="38"/>
  <c r="D745" i="38"/>
  <c r="M745" i="38" s="1"/>
  <c r="D746" i="38"/>
  <c r="D747" i="38"/>
  <c r="D748" i="38"/>
  <c r="M748" i="38" s="1"/>
  <c r="D749" i="38"/>
  <c r="D750" i="38"/>
  <c r="D751" i="38"/>
  <c r="M751" i="38" s="1"/>
  <c r="D752" i="38"/>
  <c r="M752" i="38" s="1"/>
  <c r="D753" i="38"/>
  <c r="M753" i="38" s="1"/>
  <c r="D754" i="38"/>
  <c r="D755" i="38"/>
  <c r="D756" i="38"/>
  <c r="M756" i="38" s="1"/>
  <c r="D757" i="38"/>
  <c r="D758" i="38"/>
  <c r="D759" i="38"/>
  <c r="D760" i="38"/>
  <c r="D761" i="38"/>
  <c r="D762" i="38"/>
  <c r="D763" i="38"/>
  <c r="D764" i="38"/>
  <c r="M764" i="38" s="1"/>
  <c r="D765" i="38"/>
  <c r="D766" i="38"/>
  <c r="D767" i="38"/>
  <c r="M767" i="38" s="1"/>
  <c r="D768" i="38"/>
  <c r="M768" i="38" s="1"/>
  <c r="D769" i="38"/>
  <c r="D770" i="38"/>
  <c r="D771" i="38"/>
  <c r="D772" i="38"/>
  <c r="M772" i="38" s="1"/>
  <c r="D773" i="38"/>
  <c r="D774" i="38"/>
  <c r="D775" i="38"/>
  <c r="D776" i="38"/>
  <c r="D777" i="38"/>
  <c r="M777" i="38" s="1"/>
  <c r="D778" i="38"/>
  <c r="D779" i="38"/>
  <c r="D780" i="38"/>
  <c r="M780" i="38" s="1"/>
  <c r="D781" i="38"/>
  <c r="D782" i="38"/>
  <c r="D783" i="38"/>
  <c r="M783" i="38" s="1"/>
  <c r="D784" i="38"/>
  <c r="M784" i="38" s="1"/>
  <c r="D785" i="38"/>
  <c r="M785" i="38" s="1"/>
  <c r="D786" i="38"/>
  <c r="D787" i="38"/>
  <c r="D788" i="38"/>
  <c r="M788" i="38" s="1"/>
  <c r="D789" i="38"/>
  <c r="M789" i="38" s="1"/>
  <c r="D790" i="38"/>
  <c r="D791" i="38"/>
  <c r="D792" i="38"/>
  <c r="D793" i="38"/>
  <c r="D794" i="38"/>
  <c r="D795" i="38"/>
  <c r="D796" i="38"/>
  <c r="M796" i="38" s="1"/>
  <c r="D797" i="38"/>
  <c r="D798" i="38"/>
  <c r="D799" i="38"/>
  <c r="M799" i="38" s="1"/>
  <c r="D800" i="38"/>
  <c r="M800" i="38" s="1"/>
  <c r="D801" i="38"/>
  <c r="M801" i="38" s="1"/>
  <c r="D802" i="38"/>
  <c r="D803" i="38"/>
  <c r="D804" i="38"/>
  <c r="M804" i="38" s="1"/>
  <c r="D805" i="38"/>
  <c r="D806" i="38"/>
  <c r="D807" i="38"/>
  <c r="D808" i="38"/>
  <c r="D809" i="38"/>
  <c r="M809" i="38" s="1"/>
  <c r="D810" i="38"/>
  <c r="D811" i="38"/>
  <c r="D812" i="38"/>
  <c r="M812" i="38" s="1"/>
  <c r="D813" i="38"/>
  <c r="D814" i="38"/>
  <c r="D815" i="38"/>
  <c r="M815" i="38" s="1"/>
  <c r="D816" i="38"/>
  <c r="M816" i="38" s="1"/>
  <c r="D817" i="38"/>
  <c r="M817" i="38" s="1"/>
  <c r="D818" i="38"/>
  <c r="D819" i="38"/>
  <c r="D820" i="38"/>
  <c r="M820" i="38" s="1"/>
  <c r="D821" i="38"/>
  <c r="M821" i="38" s="1"/>
  <c r="D822" i="38"/>
  <c r="D823" i="38"/>
  <c r="D824" i="38"/>
  <c r="D825" i="38"/>
  <c r="D826" i="38"/>
  <c r="D827" i="38"/>
  <c r="D828" i="38"/>
  <c r="M828" i="38" s="1"/>
  <c r="D829" i="38"/>
  <c r="D830" i="38"/>
  <c r="D831" i="38"/>
  <c r="M831" i="38" s="1"/>
  <c r="D832" i="38"/>
  <c r="M832" i="38" s="1"/>
  <c r="D833" i="38"/>
  <c r="M833" i="38" s="1"/>
  <c r="D834" i="38"/>
  <c r="D835" i="38"/>
  <c r="D836" i="38"/>
  <c r="M836" i="38" s="1"/>
  <c r="D837" i="38"/>
  <c r="D838" i="38"/>
  <c r="D839" i="38"/>
  <c r="D840" i="38"/>
  <c r="D841" i="38"/>
  <c r="D842" i="38"/>
  <c r="D843" i="38"/>
  <c r="D844" i="38"/>
  <c r="M844" i="38" s="1"/>
  <c r="D845" i="38"/>
  <c r="D846" i="38"/>
  <c r="D847" i="38"/>
  <c r="M847" i="38" s="1"/>
  <c r="D848" i="38"/>
  <c r="M848" i="38" s="1"/>
  <c r="D849" i="38"/>
  <c r="D850" i="38"/>
  <c r="D851" i="38"/>
  <c r="D852" i="38"/>
  <c r="M852" i="38" s="1"/>
  <c r="D853" i="38"/>
  <c r="D854" i="38"/>
  <c r="D855" i="38"/>
  <c r="D856" i="38"/>
  <c r="D857" i="38"/>
  <c r="D858" i="38"/>
  <c r="D859" i="38"/>
  <c r="D860" i="38"/>
  <c r="M860" i="38" s="1"/>
  <c r="D861" i="38"/>
  <c r="D862" i="38"/>
  <c r="D863" i="38"/>
  <c r="M863" i="38" s="1"/>
  <c r="D864" i="38"/>
  <c r="M864" i="38" s="1"/>
  <c r="D865" i="38"/>
  <c r="M865" i="38" s="1"/>
  <c r="D866" i="38"/>
  <c r="D867" i="38"/>
  <c r="D868" i="38"/>
  <c r="M868" i="38" s="1"/>
  <c r="D869" i="38"/>
  <c r="D870" i="38"/>
  <c r="D871" i="38"/>
  <c r="D872" i="38"/>
  <c r="D873" i="38"/>
  <c r="M873" i="38" s="1"/>
  <c r="D874" i="38"/>
  <c r="D875" i="38"/>
  <c r="D876" i="38"/>
  <c r="M876" i="38" s="1"/>
  <c r="D877" i="38"/>
  <c r="D878" i="38"/>
  <c r="D879" i="38"/>
  <c r="M879" i="38" s="1"/>
  <c r="D880" i="38"/>
  <c r="M880" i="38" s="1"/>
  <c r="D881" i="38"/>
  <c r="D882" i="38"/>
  <c r="D883" i="38"/>
  <c r="D884" i="38"/>
  <c r="M884" i="38" s="1"/>
  <c r="D885" i="38"/>
  <c r="M885" i="38" s="1"/>
  <c r="D886" i="38"/>
  <c r="D887" i="38"/>
  <c r="D888" i="38"/>
  <c r="D889" i="38"/>
  <c r="D890" i="38"/>
  <c r="D891" i="38"/>
  <c r="D892" i="38"/>
  <c r="M892" i="38" s="1"/>
  <c r="D893" i="38"/>
  <c r="D894" i="38"/>
  <c r="D895" i="38"/>
  <c r="M895" i="38" s="1"/>
  <c r="D896" i="38"/>
  <c r="M896" i="38" s="1"/>
  <c r="D897" i="38"/>
  <c r="M897" i="38" s="1"/>
  <c r="D898" i="38"/>
  <c r="D899" i="38"/>
  <c r="D900" i="38"/>
  <c r="M900" i="38" s="1"/>
  <c r="D901" i="38"/>
  <c r="D902" i="38"/>
  <c r="D903" i="38"/>
  <c r="D904" i="38"/>
  <c r="D905" i="38"/>
  <c r="D906" i="38"/>
  <c r="D907" i="38"/>
  <c r="D908" i="38"/>
  <c r="M908" i="38" s="1"/>
  <c r="D909" i="38"/>
  <c r="D910" i="38"/>
  <c r="D911" i="38"/>
  <c r="M911" i="38" s="1"/>
  <c r="D912" i="38"/>
  <c r="M912" i="38" s="1"/>
  <c r="D913" i="38"/>
  <c r="M913" i="38" s="1"/>
  <c r="D914" i="38"/>
  <c r="D915" i="38"/>
  <c r="D916" i="38"/>
  <c r="M916" i="38" s="1"/>
  <c r="D917" i="38"/>
  <c r="D918" i="38"/>
  <c r="D919" i="38"/>
  <c r="D920" i="38"/>
  <c r="D921" i="38"/>
  <c r="M921" i="38" s="1"/>
  <c r="D922" i="38"/>
  <c r="D923" i="38"/>
  <c r="D924" i="38"/>
  <c r="M924" i="38" s="1"/>
  <c r="D925" i="38"/>
  <c r="D926" i="38"/>
  <c r="D927" i="38"/>
  <c r="M927" i="38" s="1"/>
  <c r="D928" i="38"/>
  <c r="M928" i="38" s="1"/>
  <c r="D929" i="38"/>
  <c r="D930" i="38"/>
  <c r="D931" i="38"/>
  <c r="D932" i="38"/>
  <c r="M932" i="38" s="1"/>
  <c r="D933" i="38"/>
  <c r="M933" i="38" s="1"/>
  <c r="D934" i="38"/>
  <c r="D935" i="38"/>
  <c r="D936" i="38"/>
  <c r="D937" i="38"/>
  <c r="D938" i="38"/>
  <c r="D939" i="38"/>
  <c r="D940" i="38"/>
  <c r="M940" i="38" s="1"/>
  <c r="D941" i="38"/>
  <c r="D942" i="38"/>
  <c r="D943" i="38"/>
  <c r="M943" i="38" s="1"/>
  <c r="D944" i="38"/>
  <c r="M944" i="38" s="1"/>
  <c r="D945" i="38"/>
  <c r="D946" i="38"/>
  <c r="D947" i="38"/>
  <c r="D948" i="38"/>
  <c r="M948" i="38" s="1"/>
  <c r="D949" i="38"/>
  <c r="D950" i="38"/>
  <c r="D951" i="38"/>
  <c r="D952" i="38"/>
  <c r="D953" i="38"/>
  <c r="M953" i="38" s="1"/>
  <c r="D954" i="38"/>
  <c r="D955" i="38"/>
  <c r="D956" i="38"/>
  <c r="M956" i="38" s="1"/>
  <c r="D957" i="38"/>
  <c r="D958" i="38"/>
  <c r="D959" i="38"/>
  <c r="M959" i="38" s="1"/>
  <c r="D960" i="38"/>
  <c r="M960" i="38" s="1"/>
  <c r="D961" i="38"/>
  <c r="M961" i="38" s="1"/>
  <c r="D962" i="38"/>
  <c r="D963" i="38"/>
  <c r="D964" i="38"/>
  <c r="M964" i="38" s="1"/>
  <c r="D965" i="38"/>
  <c r="M965" i="38" s="1"/>
  <c r="D966" i="38"/>
  <c r="D967" i="38"/>
  <c r="D968" i="38"/>
  <c r="D969" i="38"/>
  <c r="D970" i="38"/>
  <c r="D971" i="38"/>
  <c r="D972" i="38"/>
  <c r="M972" i="38" s="1"/>
  <c r="D973" i="38"/>
  <c r="D974" i="38"/>
  <c r="D975" i="38"/>
  <c r="M975" i="38" s="1"/>
  <c r="D976" i="38"/>
  <c r="M976" i="38" s="1"/>
  <c r="D977" i="38"/>
  <c r="M977" i="38" s="1"/>
  <c r="D978" i="38"/>
  <c r="D979" i="38"/>
  <c r="D980" i="38"/>
  <c r="M980" i="38" s="1"/>
  <c r="D981" i="38"/>
  <c r="D982" i="38"/>
  <c r="M982" i="38" s="1"/>
  <c r="D983" i="38"/>
  <c r="D984" i="38"/>
  <c r="M984" i="38" s="1"/>
  <c r="D985" i="38"/>
  <c r="M985" i="38" s="1"/>
  <c r="D986" i="38"/>
  <c r="M986" i="38" s="1"/>
  <c r="D987" i="38"/>
  <c r="D988" i="38"/>
  <c r="M988" i="38" s="1"/>
  <c r="D989" i="38"/>
  <c r="D990" i="38"/>
  <c r="M990" i="38" s="1"/>
  <c r="D991" i="38"/>
  <c r="D992" i="38"/>
  <c r="M992" i="38" s="1"/>
  <c r="D993" i="38"/>
  <c r="D994" i="38"/>
  <c r="M994" i="38" s="1"/>
  <c r="D995" i="38"/>
  <c r="D996" i="38"/>
  <c r="M996" i="38" s="1"/>
  <c r="D997" i="38"/>
  <c r="M997" i="38" s="1"/>
  <c r="D998" i="38"/>
  <c r="M998" i="38" s="1"/>
  <c r="D999" i="38"/>
  <c r="D1000" i="38"/>
  <c r="M1000" i="38" s="1"/>
  <c r="D1001" i="38"/>
  <c r="D1002" i="38"/>
  <c r="M1002" i="38" s="1"/>
  <c r="D1003" i="38"/>
  <c r="D1004" i="38"/>
  <c r="M1004" i="38" s="1"/>
  <c r="D6" i="38"/>
  <c r="D7" i="38"/>
  <c r="D8" i="38"/>
  <c r="D9" i="38"/>
  <c r="M9" i="38" s="1"/>
  <c r="D5" i="38"/>
  <c r="M5" i="38" s="1"/>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G10" i="39" l="1"/>
  <c r="F10" i="39"/>
  <c r="G11" i="39"/>
  <c r="F11" i="39"/>
  <c r="H9" i="37"/>
  <c r="I9" i="37" s="1"/>
  <c r="F9" i="8"/>
  <c r="H7" i="37"/>
  <c r="F7" i="8"/>
  <c r="F5" i="39"/>
  <c r="F6" i="39"/>
  <c r="H6" i="39" s="1"/>
  <c r="P993" i="38"/>
  <c r="O993" i="38"/>
  <c r="P981" i="38"/>
  <c r="O981" i="38"/>
  <c r="P969" i="38"/>
  <c r="O969" i="38"/>
  <c r="P957" i="38"/>
  <c r="O957" i="38"/>
  <c r="P945" i="38"/>
  <c r="O945" i="38"/>
  <c r="P929" i="38"/>
  <c r="O929" i="38"/>
  <c r="P917" i="38"/>
  <c r="O917" i="38"/>
  <c r="P905" i="38"/>
  <c r="O905" i="38"/>
  <c r="P893" i="38"/>
  <c r="O893" i="38"/>
  <c r="P881" i="38"/>
  <c r="O881" i="38"/>
  <c r="P869" i="38"/>
  <c r="O869" i="38"/>
  <c r="P857" i="38"/>
  <c r="O857" i="38"/>
  <c r="P849" i="38"/>
  <c r="O849" i="38"/>
  <c r="P837" i="38"/>
  <c r="O837" i="38"/>
  <c r="P825" i="38"/>
  <c r="O825" i="38"/>
  <c r="P813" i="38"/>
  <c r="O813" i="38"/>
  <c r="O805" i="38"/>
  <c r="P805" i="38"/>
  <c r="P793" i="38"/>
  <c r="O793" i="38"/>
  <c r="O781" i="38"/>
  <c r="P781" i="38"/>
  <c r="P769" i="38"/>
  <c r="O769" i="38"/>
  <c r="P757" i="38"/>
  <c r="O757" i="38"/>
  <c r="O741" i="38"/>
  <c r="P741" i="38"/>
  <c r="P721" i="38"/>
  <c r="O721" i="38"/>
  <c r="O709" i="38"/>
  <c r="P709" i="38"/>
  <c r="P697" i="38"/>
  <c r="O697" i="38"/>
  <c r="P685" i="38"/>
  <c r="O685" i="38"/>
  <c r="P673" i="38"/>
  <c r="O673" i="38"/>
  <c r="P661" i="38"/>
  <c r="O661" i="38"/>
  <c r="P649" i="38"/>
  <c r="O649" i="38"/>
  <c r="P637" i="38"/>
  <c r="O637" i="38"/>
  <c r="P625" i="38"/>
  <c r="O625" i="38"/>
  <c r="P613" i="38"/>
  <c r="O613" i="38"/>
  <c r="O601" i="38"/>
  <c r="P601" i="38"/>
  <c r="P589" i="38"/>
  <c r="O589" i="38"/>
  <c r="P577" i="38"/>
  <c r="O577" i="38"/>
  <c r="P565" i="38"/>
  <c r="O565" i="38"/>
  <c r="P553" i="38"/>
  <c r="O553" i="38"/>
  <c r="P541" i="38"/>
  <c r="O541" i="38"/>
  <c r="P529" i="38"/>
  <c r="O529" i="38"/>
  <c r="P517" i="38"/>
  <c r="O517" i="38"/>
  <c r="O509" i="38"/>
  <c r="P509" i="38"/>
  <c r="P497" i="38"/>
  <c r="O497" i="38"/>
  <c r="P489" i="38"/>
  <c r="O489" i="38"/>
  <c r="P481" i="38"/>
  <c r="O481" i="38"/>
  <c r="P473" i="38"/>
  <c r="O473" i="38"/>
  <c r="P465" i="38"/>
  <c r="O465" i="38"/>
  <c r="P457" i="38"/>
  <c r="O457" i="38"/>
  <c r="P449" i="38"/>
  <c r="O449" i="38"/>
  <c r="P441" i="38"/>
  <c r="O441" i="38"/>
  <c r="P429" i="38"/>
  <c r="O429" i="38"/>
  <c r="P417" i="38"/>
  <c r="O417" i="38"/>
  <c r="P7" i="38"/>
  <c r="O7" i="38"/>
  <c r="M7" i="38"/>
  <c r="P1003" i="38"/>
  <c r="O1003" i="38"/>
  <c r="P999" i="38"/>
  <c r="O999" i="38"/>
  <c r="P995" i="38"/>
  <c r="O995" i="38"/>
  <c r="P991" i="38"/>
  <c r="O991" i="38"/>
  <c r="P987" i="38"/>
  <c r="O987" i="38"/>
  <c r="P983" i="38"/>
  <c r="O983" i="38"/>
  <c r="P979" i="38"/>
  <c r="O979" i="38"/>
  <c r="P975" i="38"/>
  <c r="O975" i="38"/>
  <c r="P971" i="38"/>
  <c r="O971" i="38"/>
  <c r="P967" i="38"/>
  <c r="O967" i="38"/>
  <c r="P963" i="38"/>
  <c r="O963" i="38"/>
  <c r="P959" i="38"/>
  <c r="O959" i="38"/>
  <c r="P955" i="38"/>
  <c r="O955" i="38"/>
  <c r="P951" i="38"/>
  <c r="O951" i="38"/>
  <c r="P947" i="38"/>
  <c r="O947" i="38"/>
  <c r="P943" i="38"/>
  <c r="O943" i="38"/>
  <c r="P939" i="38"/>
  <c r="O939" i="38"/>
  <c r="P935" i="38"/>
  <c r="O935" i="38"/>
  <c r="P931" i="38"/>
  <c r="O931" i="38"/>
  <c r="P927" i="38"/>
  <c r="O927" i="38"/>
  <c r="P923" i="38"/>
  <c r="O923" i="38"/>
  <c r="P919" i="38"/>
  <c r="O919" i="38"/>
  <c r="P915" i="38"/>
  <c r="O915" i="38"/>
  <c r="P911" i="38"/>
  <c r="O911" i="38"/>
  <c r="P907" i="38"/>
  <c r="O907" i="38"/>
  <c r="P903" i="38"/>
  <c r="O903" i="38"/>
  <c r="P899" i="38"/>
  <c r="O899" i="38"/>
  <c r="P895" i="38"/>
  <c r="O895" i="38"/>
  <c r="P891" i="38"/>
  <c r="O891" i="38"/>
  <c r="P887" i="38"/>
  <c r="O887" i="38"/>
  <c r="P883" i="38"/>
  <c r="O883" i="38"/>
  <c r="P879" i="38"/>
  <c r="O879" i="38"/>
  <c r="P875" i="38"/>
  <c r="O875" i="38"/>
  <c r="P871" i="38"/>
  <c r="O871" i="38"/>
  <c r="P867" i="38"/>
  <c r="O867" i="38"/>
  <c r="P863" i="38"/>
  <c r="O863" i="38"/>
  <c r="P859" i="38"/>
  <c r="O859" i="38"/>
  <c r="P855" i="38"/>
  <c r="O855" i="38"/>
  <c r="P851" i="38"/>
  <c r="O851" i="38"/>
  <c r="P847" i="38"/>
  <c r="O847" i="38"/>
  <c r="P843" i="38"/>
  <c r="O843" i="38"/>
  <c r="P839" i="38"/>
  <c r="O839" i="38"/>
  <c r="P835" i="38"/>
  <c r="O835" i="38"/>
  <c r="P831" i="38"/>
  <c r="O831" i="38"/>
  <c r="P827" i="38"/>
  <c r="O827" i="38"/>
  <c r="P823" i="38"/>
  <c r="O823" i="38"/>
  <c r="P819" i="38"/>
  <c r="O819" i="38"/>
  <c r="P815" i="38"/>
  <c r="O815" i="38"/>
  <c r="P811" i="38"/>
  <c r="O811" i="38"/>
  <c r="P807" i="38"/>
  <c r="O807" i="38"/>
  <c r="O803" i="38"/>
  <c r="P803" i="38"/>
  <c r="P799" i="38"/>
  <c r="O799" i="38"/>
  <c r="O795" i="38"/>
  <c r="P795" i="38"/>
  <c r="P791" i="38"/>
  <c r="O791" i="38"/>
  <c r="P787" i="38"/>
  <c r="O787" i="38"/>
  <c r="P783" i="38"/>
  <c r="O783" i="38"/>
  <c r="P779" i="38"/>
  <c r="O779" i="38"/>
  <c r="P775" i="38"/>
  <c r="O775" i="38"/>
  <c r="O771" i="38"/>
  <c r="P771" i="38"/>
  <c r="P767" i="38"/>
  <c r="O767" i="38"/>
  <c r="O763" i="38"/>
  <c r="P763" i="38"/>
  <c r="P759" i="38"/>
  <c r="O759" i="38"/>
  <c r="P755" i="38"/>
  <c r="O755" i="38"/>
  <c r="P751" i="38"/>
  <c r="O751" i="38"/>
  <c r="P747" i="38"/>
  <c r="O747" i="38"/>
  <c r="P743" i="38"/>
  <c r="O743" i="38"/>
  <c r="O739" i="38"/>
  <c r="P739" i="38"/>
  <c r="P735" i="38"/>
  <c r="O735" i="38"/>
  <c r="O731" i="38"/>
  <c r="P731" i="38"/>
  <c r="P727" i="38"/>
  <c r="O727" i="38"/>
  <c r="P723" i="38"/>
  <c r="O723" i="38"/>
  <c r="P719" i="38"/>
  <c r="O719" i="38"/>
  <c r="P715" i="38"/>
  <c r="O715" i="38"/>
  <c r="P711" i="38"/>
  <c r="O711" i="38"/>
  <c r="P707" i="38"/>
  <c r="O707" i="38"/>
  <c r="P703" i="38"/>
  <c r="O703" i="38"/>
  <c r="P699" i="38"/>
  <c r="O699" i="38"/>
  <c r="P695" i="38"/>
  <c r="O695" i="38"/>
  <c r="P691" i="38"/>
  <c r="O691" i="38"/>
  <c r="P687" i="38"/>
  <c r="O687" i="38"/>
  <c r="P683" i="38"/>
  <c r="O683" i="38"/>
  <c r="P679" i="38"/>
  <c r="O679" i="38"/>
  <c r="P675" i="38"/>
  <c r="O675" i="38"/>
  <c r="P671" i="38"/>
  <c r="O671" i="38"/>
  <c r="O667" i="38"/>
  <c r="P667" i="38"/>
  <c r="P663" i="38"/>
  <c r="O663" i="38"/>
  <c r="P659" i="38"/>
  <c r="O659" i="38"/>
  <c r="P655" i="38"/>
  <c r="O655" i="38"/>
  <c r="P651" i="38"/>
  <c r="O651" i="38"/>
  <c r="P647" i="38"/>
  <c r="O647" i="38"/>
  <c r="P643" i="38"/>
  <c r="O643" i="38"/>
  <c r="P639" i="38"/>
  <c r="O639" i="38"/>
  <c r="P635" i="38"/>
  <c r="O635" i="38"/>
  <c r="P631" i="38"/>
  <c r="O631" i="38"/>
  <c r="P627" i="38"/>
  <c r="O627" i="38"/>
  <c r="M627" i="38"/>
  <c r="P623" i="38"/>
  <c r="O623" i="38"/>
  <c r="M623" i="38"/>
  <c r="P619" i="38"/>
  <c r="O619" i="38"/>
  <c r="M619" i="38"/>
  <c r="P615" i="38"/>
  <c r="O615" i="38"/>
  <c r="M615" i="38"/>
  <c r="P611" i="38"/>
  <c r="O611" i="38"/>
  <c r="M611" i="38"/>
  <c r="P607" i="38"/>
  <c r="O607" i="38"/>
  <c r="M607" i="38"/>
  <c r="P603" i="38"/>
  <c r="O603" i="38"/>
  <c r="M603" i="38"/>
  <c r="P599" i="38"/>
  <c r="O599" i="38"/>
  <c r="M599" i="38"/>
  <c r="P595" i="38"/>
  <c r="O595" i="38"/>
  <c r="M595" i="38"/>
  <c r="P591" i="38"/>
  <c r="O591" i="38"/>
  <c r="M591" i="38"/>
  <c r="P587" i="38"/>
  <c r="O587" i="38"/>
  <c r="M587" i="38"/>
  <c r="P583" i="38"/>
  <c r="O583" i="38"/>
  <c r="M583" i="38"/>
  <c r="P579" i="38"/>
  <c r="O579" i="38"/>
  <c r="M579" i="38"/>
  <c r="P575" i="38"/>
  <c r="O575" i="38"/>
  <c r="M575" i="38"/>
  <c r="P571" i="38"/>
  <c r="O571" i="38"/>
  <c r="M571" i="38"/>
  <c r="P567" i="38"/>
  <c r="O567" i="38"/>
  <c r="M567" i="38"/>
  <c r="P563" i="38"/>
  <c r="O563" i="38"/>
  <c r="M563" i="38"/>
  <c r="P559" i="38"/>
  <c r="O559" i="38"/>
  <c r="M559" i="38"/>
  <c r="P555" i="38"/>
  <c r="O555" i="38"/>
  <c r="M555" i="38"/>
  <c r="P551" i="38"/>
  <c r="O551" i="38"/>
  <c r="M551" i="38"/>
  <c r="P547" i="38"/>
  <c r="O547" i="38"/>
  <c r="M547" i="38"/>
  <c r="P543" i="38"/>
  <c r="O543" i="38"/>
  <c r="M543" i="38"/>
  <c r="P539" i="38"/>
  <c r="O539" i="38"/>
  <c r="M539" i="38"/>
  <c r="P535" i="38"/>
  <c r="O535" i="38"/>
  <c r="M535" i="38"/>
  <c r="P531" i="38"/>
  <c r="O531" i="38"/>
  <c r="M531" i="38"/>
  <c r="P527" i="38"/>
  <c r="O527" i="38"/>
  <c r="M527" i="38"/>
  <c r="P523" i="38"/>
  <c r="O523" i="38"/>
  <c r="M523" i="38"/>
  <c r="P519" i="38"/>
  <c r="O519" i="38"/>
  <c r="M519" i="38"/>
  <c r="P515" i="38"/>
  <c r="O515" i="38"/>
  <c r="M515" i="38"/>
  <c r="P511" i="38"/>
  <c r="O511" i="38"/>
  <c r="M511" i="38"/>
  <c r="P507" i="38"/>
  <c r="O507" i="38"/>
  <c r="M507" i="38"/>
  <c r="P503" i="38"/>
  <c r="O503" i="38"/>
  <c r="M503" i="38"/>
  <c r="P499" i="38"/>
  <c r="O499" i="38"/>
  <c r="M499" i="38"/>
  <c r="O495" i="38"/>
  <c r="P495" i="38"/>
  <c r="M495" i="38"/>
  <c r="P491" i="38"/>
  <c r="O491" i="38"/>
  <c r="M491" i="38"/>
  <c r="P487" i="38"/>
  <c r="O487" i="38"/>
  <c r="M487" i="38"/>
  <c r="P483" i="38"/>
  <c r="O483" i="38"/>
  <c r="M483" i="38"/>
  <c r="P479" i="38"/>
  <c r="O479" i="38"/>
  <c r="M479" i="38"/>
  <c r="P475" i="38"/>
  <c r="O475" i="38"/>
  <c r="M475" i="38"/>
  <c r="P471" i="38"/>
  <c r="O471" i="38"/>
  <c r="M471" i="38"/>
  <c r="O467" i="38"/>
  <c r="P467" i="38"/>
  <c r="M467" i="38"/>
  <c r="P463" i="38"/>
  <c r="O463" i="38"/>
  <c r="M463" i="38"/>
  <c r="P459" i="38"/>
  <c r="O459" i="38"/>
  <c r="M459" i="38"/>
  <c r="P455" i="38"/>
  <c r="O455" i="38"/>
  <c r="M455" i="38"/>
  <c r="P451" i="38"/>
  <c r="O451" i="38"/>
  <c r="M451" i="38"/>
  <c r="P447" i="38"/>
  <c r="O447" i="38"/>
  <c r="M447" i="38"/>
  <c r="P443" i="38"/>
  <c r="O443" i="38"/>
  <c r="M443" i="38"/>
  <c r="P439" i="38"/>
  <c r="O439" i="38"/>
  <c r="M439" i="38"/>
  <c r="P435" i="38"/>
  <c r="O435" i="38"/>
  <c r="M435" i="38"/>
  <c r="P431" i="38"/>
  <c r="O431" i="38"/>
  <c r="M431" i="38"/>
  <c r="P427" i="38"/>
  <c r="O427" i="38"/>
  <c r="M427" i="38"/>
  <c r="P423" i="38"/>
  <c r="O423" i="38"/>
  <c r="M423" i="38"/>
  <c r="P419" i="38"/>
  <c r="O419" i="38"/>
  <c r="M419" i="38"/>
  <c r="P415" i="38"/>
  <c r="O415" i="38"/>
  <c r="M415" i="38"/>
  <c r="P411" i="38"/>
  <c r="O411" i="38"/>
  <c r="M411" i="38"/>
  <c r="P407" i="38"/>
  <c r="O407" i="38"/>
  <c r="M407" i="38"/>
  <c r="O403" i="38"/>
  <c r="P403" i="38"/>
  <c r="M403" i="38"/>
  <c r="P399" i="38"/>
  <c r="O399" i="38"/>
  <c r="M399" i="38"/>
  <c r="P395" i="38"/>
  <c r="O395" i="38"/>
  <c r="M395" i="38"/>
  <c r="P391" i="38"/>
  <c r="O391" i="38"/>
  <c r="M391" i="38"/>
  <c r="P387" i="38"/>
  <c r="O387" i="38"/>
  <c r="M387" i="38"/>
  <c r="P383" i="38"/>
  <c r="O383" i="38"/>
  <c r="M383" i="38"/>
  <c r="P379" i="38"/>
  <c r="O379" i="38"/>
  <c r="M379" i="38"/>
  <c r="P375" i="38"/>
  <c r="O375" i="38"/>
  <c r="M375" i="38"/>
  <c r="P371" i="38"/>
  <c r="O371" i="38"/>
  <c r="M371" i="38"/>
  <c r="P367" i="38"/>
  <c r="O367" i="38"/>
  <c r="M367" i="38"/>
  <c r="P363" i="38"/>
  <c r="O363" i="38"/>
  <c r="M363" i="38"/>
  <c r="P359" i="38"/>
  <c r="O359" i="38"/>
  <c r="M359" i="38"/>
  <c r="P355" i="38"/>
  <c r="O355" i="38"/>
  <c r="M355" i="38"/>
  <c r="P351" i="38"/>
  <c r="O351" i="38"/>
  <c r="M351" i="38"/>
  <c r="P347" i="38"/>
  <c r="O347" i="38"/>
  <c r="M347" i="38"/>
  <c r="P343" i="38"/>
  <c r="O343" i="38"/>
  <c r="M343" i="38"/>
  <c r="P339" i="38"/>
  <c r="O339" i="38"/>
  <c r="M339" i="38"/>
  <c r="P335" i="38"/>
  <c r="O335" i="38"/>
  <c r="M335" i="38"/>
  <c r="P331" i="38"/>
  <c r="O331" i="38"/>
  <c r="M331" i="38"/>
  <c r="P327" i="38"/>
  <c r="O327" i="38"/>
  <c r="M327" i="38"/>
  <c r="P323" i="38"/>
  <c r="O323" i="38"/>
  <c r="M323" i="38"/>
  <c r="P319" i="38"/>
  <c r="O319" i="38"/>
  <c r="M319" i="38"/>
  <c r="P315" i="38"/>
  <c r="O315" i="38"/>
  <c r="M315" i="38"/>
  <c r="P311" i="38"/>
  <c r="O311" i="38"/>
  <c r="M311" i="38"/>
  <c r="P307" i="38"/>
  <c r="O307" i="38"/>
  <c r="M307" i="38"/>
  <c r="P303" i="38"/>
  <c r="O303" i="38"/>
  <c r="M303" i="38"/>
  <c r="P299" i="38"/>
  <c r="O299" i="38"/>
  <c r="M299" i="38"/>
  <c r="P295" i="38"/>
  <c r="O295" i="38"/>
  <c r="M295" i="38"/>
  <c r="P291" i="38"/>
  <c r="O291" i="38"/>
  <c r="M291" i="38"/>
  <c r="P287" i="38"/>
  <c r="O287" i="38"/>
  <c r="M287" i="38"/>
  <c r="P283" i="38"/>
  <c r="O283" i="38"/>
  <c r="M283" i="38"/>
  <c r="P279" i="38"/>
  <c r="O279" i="38"/>
  <c r="M279" i="38"/>
  <c r="P275" i="38"/>
  <c r="O275" i="38"/>
  <c r="M275" i="38"/>
  <c r="P271" i="38"/>
  <c r="O271" i="38"/>
  <c r="M271" i="38"/>
  <c r="P267" i="38"/>
  <c r="O267" i="38"/>
  <c r="M267" i="38"/>
  <c r="P263" i="38"/>
  <c r="O263" i="38"/>
  <c r="M263" i="38"/>
  <c r="P259" i="38"/>
  <c r="O259" i="38"/>
  <c r="M259" i="38"/>
  <c r="P255" i="38"/>
  <c r="O255" i="38"/>
  <c r="M255" i="38"/>
  <c r="P251" i="38"/>
  <c r="O251" i="38"/>
  <c r="M251" i="38"/>
  <c r="P247" i="38"/>
  <c r="O247" i="38"/>
  <c r="M247" i="38"/>
  <c r="P243" i="38"/>
  <c r="O243" i="38"/>
  <c r="M243" i="38"/>
  <c r="P239" i="38"/>
  <c r="O239" i="38"/>
  <c r="M239" i="38"/>
  <c r="P235" i="38"/>
  <c r="O235" i="38"/>
  <c r="M235" i="38"/>
  <c r="P231" i="38"/>
  <c r="O231" i="38"/>
  <c r="M231" i="38"/>
  <c r="P227" i="38"/>
  <c r="O227" i="38"/>
  <c r="M227" i="38"/>
  <c r="P223" i="38"/>
  <c r="O223" i="38"/>
  <c r="M223" i="38"/>
  <c r="P219" i="38"/>
  <c r="O219" i="38"/>
  <c r="M219" i="38"/>
  <c r="P215" i="38"/>
  <c r="O215" i="38"/>
  <c r="M215" i="38"/>
  <c r="P211" i="38"/>
  <c r="O211" i="38"/>
  <c r="M211" i="38"/>
  <c r="P207" i="38"/>
  <c r="O207" i="38"/>
  <c r="M207" i="38"/>
  <c r="P203" i="38"/>
  <c r="O203" i="38"/>
  <c r="M203" i="38"/>
  <c r="P199" i="38"/>
  <c r="O199" i="38"/>
  <c r="M199" i="38"/>
  <c r="P195" i="38"/>
  <c r="O195" i="38"/>
  <c r="M195" i="38"/>
  <c r="P191" i="38"/>
  <c r="O191" i="38"/>
  <c r="M191" i="38"/>
  <c r="P187" i="38"/>
  <c r="O187" i="38"/>
  <c r="M187" i="38"/>
  <c r="P183" i="38"/>
  <c r="O183" i="38"/>
  <c r="M183" i="38"/>
  <c r="P179" i="38"/>
  <c r="O179" i="38"/>
  <c r="M179" i="38"/>
  <c r="P175" i="38"/>
  <c r="O175" i="38"/>
  <c r="M175" i="38"/>
  <c r="P171" i="38"/>
  <c r="O171" i="38"/>
  <c r="M171" i="38"/>
  <c r="P167" i="38"/>
  <c r="O167" i="38"/>
  <c r="M167" i="38"/>
  <c r="P163" i="38"/>
  <c r="O163" i="38"/>
  <c r="M163" i="38"/>
  <c r="P159" i="38"/>
  <c r="O159" i="38"/>
  <c r="M159" i="38"/>
  <c r="P155" i="38"/>
  <c r="O155" i="38"/>
  <c r="M155" i="38"/>
  <c r="P151" i="38"/>
  <c r="O151" i="38"/>
  <c r="M151" i="38"/>
  <c r="P147" i="38"/>
  <c r="O147" i="38"/>
  <c r="M147" i="38"/>
  <c r="P143" i="38"/>
  <c r="O143" i="38"/>
  <c r="M143" i="38"/>
  <c r="P139" i="38"/>
  <c r="O139" i="38"/>
  <c r="M139" i="38"/>
  <c r="P135" i="38"/>
  <c r="O135" i="38"/>
  <c r="M135" i="38"/>
  <c r="P131" i="38"/>
  <c r="O131" i="38"/>
  <c r="M131" i="38"/>
  <c r="P127" i="38"/>
  <c r="O127" i="38"/>
  <c r="M127" i="38"/>
  <c r="P123" i="38"/>
  <c r="O123" i="38"/>
  <c r="M123" i="38"/>
  <c r="P119" i="38"/>
  <c r="O119" i="38"/>
  <c r="M119" i="38"/>
  <c r="P115" i="38"/>
  <c r="O115" i="38"/>
  <c r="M115" i="38"/>
  <c r="P111" i="38"/>
  <c r="O111" i="38"/>
  <c r="M111" i="38"/>
  <c r="P107" i="38"/>
  <c r="O107" i="38"/>
  <c r="M107" i="38"/>
  <c r="P103" i="38"/>
  <c r="O103" i="38"/>
  <c r="M103" i="38"/>
  <c r="P99" i="38"/>
  <c r="O99" i="38"/>
  <c r="M99" i="38"/>
  <c r="P95" i="38"/>
  <c r="O95" i="38"/>
  <c r="M95" i="38"/>
  <c r="P91" i="38"/>
  <c r="O91" i="38"/>
  <c r="M91" i="38"/>
  <c r="P87" i="38"/>
  <c r="O87" i="38"/>
  <c r="M87" i="38"/>
  <c r="P83" i="38"/>
  <c r="O83" i="38"/>
  <c r="M83" i="38"/>
  <c r="P79" i="38"/>
  <c r="O79" i="38"/>
  <c r="M79" i="38"/>
  <c r="P75" i="38"/>
  <c r="O75" i="38"/>
  <c r="M75" i="38"/>
  <c r="P71" i="38"/>
  <c r="O71" i="38"/>
  <c r="M71" i="38"/>
  <c r="P67" i="38"/>
  <c r="O67" i="38"/>
  <c r="M67" i="38"/>
  <c r="P63" i="38"/>
  <c r="O63" i="38"/>
  <c r="M63" i="38"/>
  <c r="P59" i="38"/>
  <c r="O59" i="38"/>
  <c r="M59" i="38"/>
  <c r="P55" i="38"/>
  <c r="O55" i="38"/>
  <c r="M55" i="38"/>
  <c r="P51" i="38"/>
  <c r="O51" i="38"/>
  <c r="M51" i="38"/>
  <c r="P47" i="38"/>
  <c r="O47" i="38"/>
  <c r="M47" i="38"/>
  <c r="P43" i="38"/>
  <c r="O43" i="38"/>
  <c r="M43" i="38"/>
  <c r="P39" i="38"/>
  <c r="O39" i="38"/>
  <c r="M39" i="38"/>
  <c r="P35" i="38"/>
  <c r="O35" i="38"/>
  <c r="M35" i="38"/>
  <c r="P31" i="38"/>
  <c r="O31" i="38"/>
  <c r="M31" i="38"/>
  <c r="P27" i="38"/>
  <c r="O27" i="38"/>
  <c r="M27" i="38"/>
  <c r="P23" i="38"/>
  <c r="O23" i="38"/>
  <c r="M23" i="38"/>
  <c r="P19" i="38"/>
  <c r="O19" i="38"/>
  <c r="M19" i="38"/>
  <c r="P15" i="38"/>
  <c r="O15" i="38"/>
  <c r="M15" i="38"/>
  <c r="P11" i="38"/>
  <c r="O11" i="38"/>
  <c r="M11" i="38"/>
  <c r="M967" i="38"/>
  <c r="M951" i="38"/>
  <c r="M945" i="38"/>
  <c r="M935" i="38"/>
  <c r="M929" i="38"/>
  <c r="M919" i="38"/>
  <c r="M903" i="38"/>
  <c r="M887" i="38"/>
  <c r="M881" i="38"/>
  <c r="M871" i="38"/>
  <c r="M855" i="38"/>
  <c r="M849" i="38"/>
  <c r="M839" i="38"/>
  <c r="M823" i="38"/>
  <c r="M807" i="38"/>
  <c r="M791" i="38"/>
  <c r="M775" i="38"/>
  <c r="M769" i="38"/>
  <c r="M759" i="38"/>
  <c r="M743" i="38"/>
  <c r="M727" i="38"/>
  <c r="M721" i="38"/>
  <c r="M711" i="38"/>
  <c r="M695" i="38"/>
  <c r="M679" i="38"/>
  <c r="M673" i="38"/>
  <c r="M663" i="38"/>
  <c r="M647" i="38"/>
  <c r="M589" i="38"/>
  <c r="M541" i="38"/>
  <c r="M509" i="38"/>
  <c r="M429" i="38"/>
  <c r="P1001" i="38"/>
  <c r="O1001" i="38"/>
  <c r="P989" i="38"/>
  <c r="O989" i="38"/>
  <c r="P973" i="38"/>
  <c r="O973" i="38"/>
  <c r="P961" i="38"/>
  <c r="O961" i="38"/>
  <c r="P949" i="38"/>
  <c r="O949" i="38"/>
  <c r="P937" i="38"/>
  <c r="O937" i="38"/>
  <c r="P925" i="38"/>
  <c r="O925" i="38"/>
  <c r="P913" i="38"/>
  <c r="O913" i="38"/>
  <c r="P901" i="38"/>
  <c r="O901" i="38"/>
  <c r="P889" i="38"/>
  <c r="O889" i="38"/>
  <c r="P877" i="38"/>
  <c r="O877" i="38"/>
  <c r="P865" i="38"/>
  <c r="O865" i="38"/>
  <c r="P853" i="38"/>
  <c r="O853" i="38"/>
  <c r="P841" i="38"/>
  <c r="O841" i="38"/>
  <c r="P829" i="38"/>
  <c r="O829" i="38"/>
  <c r="P817" i="38"/>
  <c r="O817" i="38"/>
  <c r="P801" i="38"/>
  <c r="O801" i="38"/>
  <c r="P785" i="38"/>
  <c r="O785" i="38"/>
  <c r="P773" i="38"/>
  <c r="O773" i="38"/>
  <c r="P761" i="38"/>
  <c r="O761" i="38"/>
  <c r="P749" i="38"/>
  <c r="O749" i="38"/>
  <c r="P737" i="38"/>
  <c r="O737" i="38"/>
  <c r="P729" i="38"/>
  <c r="O729" i="38"/>
  <c r="P717" i="38"/>
  <c r="O717" i="38"/>
  <c r="P705" i="38"/>
  <c r="O705" i="38"/>
  <c r="P689" i="38"/>
  <c r="O689" i="38"/>
  <c r="P677" i="38"/>
  <c r="O677" i="38"/>
  <c r="P665" i="38"/>
  <c r="O665" i="38"/>
  <c r="P653" i="38"/>
  <c r="O653" i="38"/>
  <c r="P641" i="38"/>
  <c r="O641" i="38"/>
  <c r="O629" i="38"/>
  <c r="P629" i="38"/>
  <c r="P617" i="38"/>
  <c r="O617" i="38"/>
  <c r="P605" i="38"/>
  <c r="O605" i="38"/>
  <c r="P593" i="38"/>
  <c r="O593" i="38"/>
  <c r="P581" i="38"/>
  <c r="O581" i="38"/>
  <c r="P569" i="38"/>
  <c r="O569" i="38"/>
  <c r="P557" i="38"/>
  <c r="O557" i="38"/>
  <c r="P545" i="38"/>
  <c r="O545" i="38"/>
  <c r="P533" i="38"/>
  <c r="O533" i="38"/>
  <c r="P521" i="38"/>
  <c r="O521" i="38"/>
  <c r="P501" i="38"/>
  <c r="O501" i="38"/>
  <c r="P421" i="38"/>
  <c r="O421" i="38"/>
  <c r="P5" i="38"/>
  <c r="O5" i="38"/>
  <c r="K5" i="38" s="1"/>
  <c r="P6" i="38"/>
  <c r="O6" i="38"/>
  <c r="K6" i="38" s="1"/>
  <c r="M6" i="38"/>
  <c r="O1002" i="38"/>
  <c r="P1002" i="38"/>
  <c r="P998" i="38"/>
  <c r="O998" i="38"/>
  <c r="O994" i="38"/>
  <c r="P994" i="38"/>
  <c r="P990" i="38"/>
  <c r="O990" i="38"/>
  <c r="O986" i="38"/>
  <c r="P986" i="38"/>
  <c r="P982" i="38"/>
  <c r="O982" i="38"/>
  <c r="O978" i="38"/>
  <c r="P978" i="38"/>
  <c r="M978" i="38"/>
  <c r="P974" i="38"/>
  <c r="O974" i="38"/>
  <c r="M974" i="38"/>
  <c r="O970" i="38"/>
  <c r="P970" i="38"/>
  <c r="M970" i="38"/>
  <c r="P966" i="38"/>
  <c r="O966" i="38"/>
  <c r="M966" i="38"/>
  <c r="O962" i="38"/>
  <c r="P962" i="38"/>
  <c r="M962" i="38"/>
  <c r="P958" i="38"/>
  <c r="O958" i="38"/>
  <c r="M958" i="38"/>
  <c r="O954" i="38"/>
  <c r="P954" i="38"/>
  <c r="M954" i="38"/>
  <c r="P950" i="38"/>
  <c r="O950" i="38"/>
  <c r="M950" i="38"/>
  <c r="O946" i="38"/>
  <c r="P946" i="38"/>
  <c r="M946" i="38"/>
  <c r="P942" i="38"/>
  <c r="O942" i="38"/>
  <c r="M942" i="38"/>
  <c r="O938" i="38"/>
  <c r="P938" i="38"/>
  <c r="M938" i="38"/>
  <c r="P934" i="38"/>
  <c r="O934" i="38"/>
  <c r="M934" i="38"/>
  <c r="O930" i="38"/>
  <c r="P930" i="38"/>
  <c r="M930" i="38"/>
  <c r="P926" i="38"/>
  <c r="O926" i="38"/>
  <c r="M926" i="38"/>
  <c r="O922" i="38"/>
  <c r="P922" i="38"/>
  <c r="M922" i="38"/>
  <c r="P918" i="38"/>
  <c r="O918" i="38"/>
  <c r="M918" i="38"/>
  <c r="O914" i="38"/>
  <c r="P914" i="38"/>
  <c r="M914" i="38"/>
  <c r="P910" i="38"/>
  <c r="O910" i="38"/>
  <c r="M910" i="38"/>
  <c r="O906" i="38"/>
  <c r="P906" i="38"/>
  <c r="M906" i="38"/>
  <c r="P902" i="38"/>
  <c r="O902" i="38"/>
  <c r="M902" i="38"/>
  <c r="O898" i="38"/>
  <c r="P898" i="38"/>
  <c r="M898" i="38"/>
  <c r="P894" i="38"/>
  <c r="O894" i="38"/>
  <c r="M894" i="38"/>
  <c r="O890" i="38"/>
  <c r="P890" i="38"/>
  <c r="M890" i="38"/>
  <c r="P886" i="38"/>
  <c r="O886" i="38"/>
  <c r="M886" i="38"/>
  <c r="P882" i="38"/>
  <c r="M882" i="38"/>
  <c r="O882" i="38"/>
  <c r="P878" i="38"/>
  <c r="O878" i="38"/>
  <c r="M878" i="38"/>
  <c r="O874" i="38"/>
  <c r="P874" i="38"/>
  <c r="M874" i="38"/>
  <c r="P870" i="38"/>
  <c r="O870" i="38"/>
  <c r="M870" i="38"/>
  <c r="P866" i="38"/>
  <c r="O866" i="38"/>
  <c r="M866" i="38"/>
  <c r="P862" i="38"/>
  <c r="O862" i="38"/>
  <c r="M862" i="38"/>
  <c r="O858" i="38"/>
  <c r="P858" i="38"/>
  <c r="M858" i="38"/>
  <c r="P854" i="38"/>
  <c r="O854" i="38"/>
  <c r="M854" i="38"/>
  <c r="P850" i="38"/>
  <c r="O850" i="38"/>
  <c r="M850" i="38"/>
  <c r="P846" i="38"/>
  <c r="O846" i="38"/>
  <c r="M846" i="38"/>
  <c r="O842" i="38"/>
  <c r="P842" i="38"/>
  <c r="M842" i="38"/>
  <c r="P838" i="38"/>
  <c r="O838" i="38"/>
  <c r="M838" i="38"/>
  <c r="P834" i="38"/>
  <c r="O834" i="38"/>
  <c r="M834" i="38"/>
  <c r="P830" i="38"/>
  <c r="O830" i="38"/>
  <c r="M830" i="38"/>
  <c r="O826" i="38"/>
  <c r="P826" i="38"/>
  <c r="M826" i="38"/>
  <c r="P822" i="38"/>
  <c r="O822" i="38"/>
  <c r="M822" i="38"/>
  <c r="P818" i="38"/>
  <c r="O818" i="38"/>
  <c r="M818" i="38"/>
  <c r="P814" i="38"/>
  <c r="O814" i="38"/>
  <c r="M814" i="38"/>
  <c r="P810" i="38"/>
  <c r="O810" i="38"/>
  <c r="M810" i="38"/>
  <c r="P806" i="38"/>
  <c r="O806" i="38"/>
  <c r="M806" i="38"/>
  <c r="P802" i="38"/>
  <c r="O802" i="38"/>
  <c r="M802" i="38"/>
  <c r="P798" i="38"/>
  <c r="O798" i="38"/>
  <c r="M798" i="38"/>
  <c r="P794" i="38"/>
  <c r="O794" i="38"/>
  <c r="M794" i="38"/>
  <c r="P790" i="38"/>
  <c r="O790" i="38"/>
  <c r="M790" i="38"/>
  <c r="P786" i="38"/>
  <c r="O786" i="38"/>
  <c r="M786" i="38"/>
  <c r="P782" i="38"/>
  <c r="O782" i="38"/>
  <c r="M782" i="38"/>
  <c r="P778" i="38"/>
  <c r="O778" i="38"/>
  <c r="M778" i="38"/>
  <c r="P774" i="38"/>
  <c r="O774" i="38"/>
  <c r="M774" i="38"/>
  <c r="P770" i="38"/>
  <c r="O770" i="38"/>
  <c r="M770" i="38"/>
  <c r="P766" i="38"/>
  <c r="O766" i="38"/>
  <c r="M766" i="38"/>
  <c r="P762" i="38"/>
  <c r="O762" i="38"/>
  <c r="M762" i="38"/>
  <c r="P758" i="38"/>
  <c r="O758" i="38"/>
  <c r="M758" i="38"/>
  <c r="P754" i="38"/>
  <c r="O754" i="38"/>
  <c r="M754" i="38"/>
  <c r="P750" i="38"/>
  <c r="O750" i="38"/>
  <c r="M750" i="38"/>
  <c r="P746" i="38"/>
  <c r="O746" i="38"/>
  <c r="M746" i="38"/>
  <c r="P742" i="38"/>
  <c r="O742" i="38"/>
  <c r="M742" i="38"/>
  <c r="P738" i="38"/>
  <c r="O738" i="38"/>
  <c r="M738" i="38"/>
  <c r="P734" i="38"/>
  <c r="O734" i="38"/>
  <c r="M734" i="38"/>
  <c r="P730" i="38"/>
  <c r="O730" i="38"/>
  <c r="M730" i="38"/>
  <c r="P726" i="38"/>
  <c r="O726" i="38"/>
  <c r="M726" i="38"/>
  <c r="P722" i="38"/>
  <c r="M722" i="38"/>
  <c r="O722" i="38"/>
  <c r="P718" i="38"/>
  <c r="O718" i="38"/>
  <c r="M718" i="38"/>
  <c r="P714" i="38"/>
  <c r="O714" i="38"/>
  <c r="M714" i="38"/>
  <c r="P710" i="38"/>
  <c r="O710" i="38"/>
  <c r="M710" i="38"/>
  <c r="P706" i="38"/>
  <c r="O706" i="38"/>
  <c r="M706" i="38"/>
  <c r="P702" i="38"/>
  <c r="O702" i="38"/>
  <c r="M702" i="38"/>
  <c r="P698" i="38"/>
  <c r="O698" i="38"/>
  <c r="M698" i="38"/>
  <c r="P694" i="38"/>
  <c r="O694" i="38"/>
  <c r="M694" i="38"/>
  <c r="P690" i="38"/>
  <c r="O690" i="38"/>
  <c r="M690" i="38"/>
  <c r="P686" i="38"/>
  <c r="O686" i="38"/>
  <c r="M686" i="38"/>
  <c r="P682" i="38"/>
  <c r="O682" i="38"/>
  <c r="M682" i="38"/>
  <c r="P678" i="38"/>
  <c r="O678" i="38"/>
  <c r="M678" i="38"/>
  <c r="P674" i="38"/>
  <c r="O674" i="38"/>
  <c r="M674" i="38"/>
  <c r="P670" i="38"/>
  <c r="O670" i="38"/>
  <c r="M670" i="38"/>
  <c r="P666" i="38"/>
  <c r="O666" i="38"/>
  <c r="M666" i="38"/>
  <c r="P662" i="38"/>
  <c r="O662" i="38"/>
  <c r="M662" i="38"/>
  <c r="P658" i="38"/>
  <c r="O658" i="38"/>
  <c r="M658" i="38"/>
  <c r="P654" i="38"/>
  <c r="O654" i="38"/>
  <c r="M654" i="38"/>
  <c r="P650" i="38"/>
  <c r="O650" i="38"/>
  <c r="M650" i="38"/>
  <c r="P646" i="38"/>
  <c r="O646" i="38"/>
  <c r="M646" i="38"/>
  <c r="P642" i="38"/>
  <c r="O642" i="38"/>
  <c r="M642" i="38"/>
  <c r="P638" i="38"/>
  <c r="O638" i="38"/>
  <c r="M638" i="38"/>
  <c r="P634" i="38"/>
  <c r="O634" i="38"/>
  <c r="M634" i="38"/>
  <c r="P630" i="38"/>
  <c r="O630" i="38"/>
  <c r="M630" i="38"/>
  <c r="P626" i="38"/>
  <c r="O626" i="38"/>
  <c r="M626" i="38"/>
  <c r="P622" i="38"/>
  <c r="O622" i="38"/>
  <c r="M622" i="38"/>
  <c r="P618" i="38"/>
  <c r="O618" i="38"/>
  <c r="M618" i="38"/>
  <c r="P614" i="38"/>
  <c r="O614" i="38"/>
  <c r="M614" i="38"/>
  <c r="P610" i="38"/>
  <c r="O610" i="38"/>
  <c r="M610" i="38"/>
  <c r="P606" i="38"/>
  <c r="O606" i="38"/>
  <c r="M606" i="38"/>
  <c r="P602" i="38"/>
  <c r="O602" i="38"/>
  <c r="M602" i="38"/>
  <c r="P598" i="38"/>
  <c r="O598" i="38"/>
  <c r="M598" i="38"/>
  <c r="P594" i="38"/>
  <c r="O594" i="38"/>
  <c r="M594" i="38"/>
  <c r="P590" i="38"/>
  <c r="O590" i="38"/>
  <c r="M590" i="38"/>
  <c r="P586" i="38"/>
  <c r="O586" i="38"/>
  <c r="M586" i="38"/>
  <c r="P582" i="38"/>
  <c r="O582" i="38"/>
  <c r="M582" i="38"/>
  <c r="P578" i="38"/>
  <c r="O578" i="38"/>
  <c r="M578" i="38"/>
  <c r="P574" i="38"/>
  <c r="O574" i="38"/>
  <c r="M574" i="38"/>
  <c r="P570" i="38"/>
  <c r="O570" i="38"/>
  <c r="M570" i="38"/>
  <c r="P566" i="38"/>
  <c r="O566" i="38"/>
  <c r="M566" i="38"/>
  <c r="P562" i="38"/>
  <c r="O562" i="38"/>
  <c r="M562" i="38"/>
  <c r="P558" i="38"/>
  <c r="O558" i="38"/>
  <c r="M558" i="38"/>
  <c r="P554" i="38"/>
  <c r="O554" i="38"/>
  <c r="M554" i="38"/>
  <c r="P550" i="38"/>
  <c r="O550" i="38"/>
  <c r="M550" i="38"/>
  <c r="P546" i="38"/>
  <c r="O546" i="38"/>
  <c r="M546" i="38"/>
  <c r="P542" i="38"/>
  <c r="O542" i="38"/>
  <c r="M542" i="38"/>
  <c r="P538" i="38"/>
  <c r="O538" i="38"/>
  <c r="M538" i="38"/>
  <c r="P534" i="38"/>
  <c r="O534" i="38"/>
  <c r="M534" i="38"/>
  <c r="P530" i="38"/>
  <c r="O530" i="38"/>
  <c r="M530" i="38"/>
  <c r="P526" i="38"/>
  <c r="O526" i="38"/>
  <c r="M526" i="38"/>
  <c r="P522" i="38"/>
  <c r="O522" i="38"/>
  <c r="M522" i="38"/>
  <c r="P518" i="38"/>
  <c r="O518" i="38"/>
  <c r="M518" i="38"/>
  <c r="P514" i="38"/>
  <c r="O514" i="38"/>
  <c r="M514" i="38"/>
  <c r="P510" i="38"/>
  <c r="O510" i="38"/>
  <c r="M510" i="38"/>
  <c r="P506" i="38"/>
  <c r="O506" i="38"/>
  <c r="M506" i="38"/>
  <c r="P502" i="38"/>
  <c r="O502" i="38"/>
  <c r="M502" i="38"/>
  <c r="P498" i="38"/>
  <c r="O498" i="38"/>
  <c r="M498" i="38"/>
  <c r="P494" i="38"/>
  <c r="O494" i="38"/>
  <c r="M494" i="38"/>
  <c r="P490" i="38"/>
  <c r="O490" i="38"/>
  <c r="M490" i="38"/>
  <c r="P486" i="38"/>
  <c r="O486" i="38"/>
  <c r="M486" i="38"/>
  <c r="P482" i="38"/>
  <c r="O482" i="38"/>
  <c r="M482" i="38"/>
  <c r="P478" i="38"/>
  <c r="O478" i="38"/>
  <c r="M478" i="38"/>
  <c r="P474" i="38"/>
  <c r="O474" i="38"/>
  <c r="M474" i="38"/>
  <c r="P470" i="38"/>
  <c r="O470" i="38"/>
  <c r="M470" i="38"/>
  <c r="P466" i="38"/>
  <c r="O466" i="38"/>
  <c r="M466" i="38"/>
  <c r="P462" i="38"/>
  <c r="O462" i="38"/>
  <c r="M462" i="38"/>
  <c r="P458" i="38"/>
  <c r="O458" i="38"/>
  <c r="M458" i="38"/>
  <c r="P454" i="38"/>
  <c r="O454" i="38"/>
  <c r="M454" i="38"/>
  <c r="P450" i="38"/>
  <c r="O450" i="38"/>
  <c r="M450" i="38"/>
  <c r="P446" i="38"/>
  <c r="O446" i="38"/>
  <c r="M446" i="38"/>
  <c r="P442" i="38"/>
  <c r="O442" i="38"/>
  <c r="M442" i="38"/>
  <c r="P438" i="38"/>
  <c r="O438" i="38"/>
  <c r="M438" i="38"/>
  <c r="P434" i="38"/>
  <c r="O434" i="38"/>
  <c r="M434" i="38"/>
  <c r="P430" i="38"/>
  <c r="O430" i="38"/>
  <c r="M430" i="38"/>
  <c r="P426" i="38"/>
  <c r="O426" i="38"/>
  <c r="M426" i="38"/>
  <c r="P422" i="38"/>
  <c r="O422" i="38"/>
  <c r="M422" i="38"/>
  <c r="P418" i="38"/>
  <c r="O418" i="38"/>
  <c r="M418" i="38"/>
  <c r="P414" i="38"/>
  <c r="O414" i="38"/>
  <c r="M414" i="38"/>
  <c r="P410" i="38"/>
  <c r="O410" i="38"/>
  <c r="M410" i="38"/>
  <c r="P406" i="38"/>
  <c r="O406" i="38"/>
  <c r="M406" i="38"/>
  <c r="P402" i="38"/>
  <c r="O402" i="38"/>
  <c r="M402" i="38"/>
  <c r="P398" i="38"/>
  <c r="O398" i="38"/>
  <c r="M398" i="38"/>
  <c r="P394" i="38"/>
  <c r="O394" i="38"/>
  <c r="M394" i="38"/>
  <c r="P390" i="38"/>
  <c r="O390" i="38"/>
  <c r="M390" i="38"/>
  <c r="P386" i="38"/>
  <c r="O386" i="38"/>
  <c r="M386" i="38"/>
  <c r="P382" i="38"/>
  <c r="O382" i="38"/>
  <c r="M382" i="38"/>
  <c r="P378" i="38"/>
  <c r="O378" i="38"/>
  <c r="M378" i="38"/>
  <c r="P374" i="38"/>
  <c r="O374" i="38"/>
  <c r="M374" i="38"/>
  <c r="P370" i="38"/>
  <c r="O370" i="38"/>
  <c r="M370" i="38"/>
  <c r="P366" i="38"/>
  <c r="O366" i="38"/>
  <c r="M366" i="38"/>
  <c r="P362" i="38"/>
  <c r="O362" i="38"/>
  <c r="M362" i="38"/>
  <c r="P358" i="38"/>
  <c r="O358" i="38"/>
  <c r="M358" i="38"/>
  <c r="P354" i="38"/>
  <c r="O354" i="38"/>
  <c r="M354" i="38"/>
  <c r="P350" i="38"/>
  <c r="O350" i="38"/>
  <c r="M350" i="38"/>
  <c r="P346" i="38"/>
  <c r="O346" i="38"/>
  <c r="M346" i="38"/>
  <c r="P342" i="38"/>
  <c r="O342" i="38"/>
  <c r="M342" i="38"/>
  <c r="P338" i="38"/>
  <c r="O338" i="38"/>
  <c r="M338" i="38"/>
  <c r="P334" i="38"/>
  <c r="O334" i="38"/>
  <c r="M334" i="38"/>
  <c r="P330" i="38"/>
  <c r="O330" i="38"/>
  <c r="M330" i="38"/>
  <c r="P326" i="38"/>
  <c r="O326" i="38"/>
  <c r="M326" i="38"/>
  <c r="P322" i="38"/>
  <c r="O322" i="38"/>
  <c r="M322" i="38"/>
  <c r="P318" i="38"/>
  <c r="O318" i="38"/>
  <c r="M318" i="38"/>
  <c r="P314" i="38"/>
  <c r="O314" i="38"/>
  <c r="M314" i="38"/>
  <c r="P310" i="38"/>
  <c r="O310" i="38"/>
  <c r="M310" i="38"/>
  <c r="P306" i="38"/>
  <c r="O306" i="38"/>
  <c r="M306" i="38"/>
  <c r="P302" i="38"/>
  <c r="O302" i="38"/>
  <c r="M302" i="38"/>
  <c r="P298" i="38"/>
  <c r="O298" i="38"/>
  <c r="M298" i="38"/>
  <c r="P294" i="38"/>
  <c r="O294" i="38"/>
  <c r="M294" i="38"/>
  <c r="P290" i="38"/>
  <c r="O290" i="38"/>
  <c r="M290" i="38"/>
  <c r="P286" i="38"/>
  <c r="O286" i="38"/>
  <c r="M286" i="38"/>
  <c r="P282" i="38"/>
  <c r="O282" i="38"/>
  <c r="M282" i="38"/>
  <c r="P278" i="38"/>
  <c r="O278" i="38"/>
  <c r="M278" i="38"/>
  <c r="P274" i="38"/>
  <c r="O274" i="38"/>
  <c r="M274" i="38"/>
  <c r="P270" i="38"/>
  <c r="O270" i="38"/>
  <c r="M270" i="38"/>
  <c r="P266" i="38"/>
  <c r="O266" i="38"/>
  <c r="M266" i="38"/>
  <c r="P262" i="38"/>
  <c r="O262" i="38"/>
  <c r="M262" i="38"/>
  <c r="P258" i="38"/>
  <c r="O258" i="38"/>
  <c r="M258" i="38"/>
  <c r="P254" i="38"/>
  <c r="O254" i="38"/>
  <c r="M254" i="38"/>
  <c r="P250" i="38"/>
  <c r="O250" i="38"/>
  <c r="M250" i="38"/>
  <c r="P246" i="38"/>
  <c r="O246" i="38"/>
  <c r="M246" i="38"/>
  <c r="P242" i="38"/>
  <c r="O242" i="38"/>
  <c r="M242" i="38"/>
  <c r="P238" i="38"/>
  <c r="O238" i="38"/>
  <c r="M238" i="38"/>
  <c r="P234" i="38"/>
  <c r="O234" i="38"/>
  <c r="M234" i="38"/>
  <c r="P230" i="38"/>
  <c r="O230" i="38"/>
  <c r="M230" i="38"/>
  <c r="P226" i="38"/>
  <c r="O226" i="38"/>
  <c r="M226" i="38"/>
  <c r="P222" i="38"/>
  <c r="O222" i="38"/>
  <c r="M222" i="38"/>
  <c r="P218" i="38"/>
  <c r="O218" i="38"/>
  <c r="M218" i="38"/>
  <c r="P214" i="38"/>
  <c r="O214" i="38"/>
  <c r="M214" i="38"/>
  <c r="P210" i="38"/>
  <c r="O210" i="38"/>
  <c r="M210" i="38"/>
  <c r="P206" i="38"/>
  <c r="O206" i="38"/>
  <c r="M206" i="38"/>
  <c r="P202" i="38"/>
  <c r="O202" i="38"/>
  <c r="M202" i="38"/>
  <c r="P198" i="38"/>
  <c r="O198" i="38"/>
  <c r="M198" i="38"/>
  <c r="P194" i="38"/>
  <c r="O194" i="38"/>
  <c r="M194" i="38"/>
  <c r="P190" i="38"/>
  <c r="O190" i="38"/>
  <c r="M190" i="38"/>
  <c r="P186" i="38"/>
  <c r="O186" i="38"/>
  <c r="M186" i="38"/>
  <c r="P182" i="38"/>
  <c r="O182" i="38"/>
  <c r="M182" i="38"/>
  <c r="P178" i="38"/>
  <c r="O178" i="38"/>
  <c r="M178" i="38"/>
  <c r="P174" i="38"/>
  <c r="O174" i="38"/>
  <c r="M174" i="38"/>
  <c r="P170" i="38"/>
  <c r="O170" i="38"/>
  <c r="M170" i="38"/>
  <c r="P166" i="38"/>
  <c r="O166" i="38"/>
  <c r="M166" i="38"/>
  <c r="P162" i="38"/>
  <c r="O162" i="38"/>
  <c r="M162" i="38"/>
  <c r="P158" i="38"/>
  <c r="O158" i="38"/>
  <c r="M158" i="38"/>
  <c r="P154" i="38"/>
  <c r="O154" i="38"/>
  <c r="M154" i="38"/>
  <c r="P150" i="38"/>
  <c r="O150" i="38"/>
  <c r="M150" i="38"/>
  <c r="P146" i="38"/>
  <c r="O146" i="38"/>
  <c r="M146" i="38"/>
  <c r="P142" i="38"/>
  <c r="O142" i="38"/>
  <c r="M142" i="38"/>
  <c r="P138" i="38"/>
  <c r="O138" i="38"/>
  <c r="M138" i="38"/>
  <c r="P134" i="38"/>
  <c r="O134" i="38"/>
  <c r="M134" i="38"/>
  <c r="P130" i="38"/>
  <c r="O130" i="38"/>
  <c r="M130" i="38"/>
  <c r="P126" i="38"/>
  <c r="O126" i="38"/>
  <c r="M126" i="38"/>
  <c r="P122" i="38"/>
  <c r="O122" i="38"/>
  <c r="M122" i="38"/>
  <c r="P118" i="38"/>
  <c r="O118" i="38"/>
  <c r="M118" i="38"/>
  <c r="P114" i="38"/>
  <c r="O114" i="38"/>
  <c r="M114" i="38"/>
  <c r="P110" i="38"/>
  <c r="O110" i="38"/>
  <c r="M110" i="38"/>
  <c r="P106" i="38"/>
  <c r="O106" i="38"/>
  <c r="M106" i="38"/>
  <c r="P102" i="38"/>
  <c r="O102" i="38"/>
  <c r="M102" i="38"/>
  <c r="P98" i="38"/>
  <c r="O98" i="38"/>
  <c r="M98" i="38"/>
  <c r="P94" i="38"/>
  <c r="O94" i="38"/>
  <c r="M94" i="38"/>
  <c r="P90" i="38"/>
  <c r="O90" i="38"/>
  <c r="M90" i="38"/>
  <c r="P86" i="38"/>
  <c r="O86" i="38"/>
  <c r="M86" i="38"/>
  <c r="P82" i="38"/>
  <c r="O82" i="38"/>
  <c r="M82" i="38"/>
  <c r="P78" i="38"/>
  <c r="O78" i="38"/>
  <c r="M78" i="38"/>
  <c r="P74" i="38"/>
  <c r="O74" i="38"/>
  <c r="M74" i="38"/>
  <c r="P70" i="38"/>
  <c r="O70" i="38"/>
  <c r="M70" i="38"/>
  <c r="P66" i="38"/>
  <c r="O66" i="38"/>
  <c r="M66" i="38"/>
  <c r="P62" i="38"/>
  <c r="O62" i="38"/>
  <c r="M62" i="38"/>
  <c r="P58" i="38"/>
  <c r="O58" i="38"/>
  <c r="M58" i="38"/>
  <c r="P54" i="38"/>
  <c r="O54" i="38"/>
  <c r="M54" i="38"/>
  <c r="P50" i="38"/>
  <c r="O50" i="38"/>
  <c r="M50" i="38"/>
  <c r="P46" i="38"/>
  <c r="O46" i="38"/>
  <c r="M46" i="38"/>
  <c r="P42" i="38"/>
  <c r="O42" i="38"/>
  <c r="M42" i="38"/>
  <c r="P38" i="38"/>
  <c r="O38" i="38"/>
  <c r="M38" i="38"/>
  <c r="P34" i="38"/>
  <c r="O34" i="38"/>
  <c r="M34" i="38"/>
  <c r="P30" i="38"/>
  <c r="O30" i="38"/>
  <c r="M30" i="38"/>
  <c r="P26" i="38"/>
  <c r="O26" i="38"/>
  <c r="M26" i="38"/>
  <c r="P22" i="38"/>
  <c r="O22" i="38"/>
  <c r="M22" i="38"/>
  <c r="P18" i="38"/>
  <c r="O18" i="38"/>
  <c r="M18" i="38"/>
  <c r="P14" i="38"/>
  <c r="O14" i="38"/>
  <c r="M14" i="38"/>
  <c r="P10" i="38"/>
  <c r="O10" i="38"/>
  <c r="M10" i="38"/>
  <c r="M1001" i="38"/>
  <c r="M993" i="38"/>
  <c r="M989" i="38"/>
  <c r="M981" i="38"/>
  <c r="M971" i="38"/>
  <c r="M955" i="38"/>
  <c r="M949" i="38"/>
  <c r="M939" i="38"/>
  <c r="M923" i="38"/>
  <c r="M917" i="38"/>
  <c r="M907" i="38"/>
  <c r="M901" i="38"/>
  <c r="M891" i="38"/>
  <c r="M875" i="38"/>
  <c r="M869" i="38"/>
  <c r="M859" i="38"/>
  <c r="M853" i="38"/>
  <c r="M843" i="38"/>
  <c r="M837" i="38"/>
  <c r="M827" i="38"/>
  <c r="M811" i="38"/>
  <c r="M805" i="38"/>
  <c r="M795" i="38"/>
  <c r="M779" i="38"/>
  <c r="M773" i="38"/>
  <c r="M763" i="38"/>
  <c r="M757" i="38"/>
  <c r="M747" i="38"/>
  <c r="M741" i="38"/>
  <c r="M731" i="38"/>
  <c r="M715" i="38"/>
  <c r="M709" i="38"/>
  <c r="M699" i="38"/>
  <c r="M683" i="38"/>
  <c r="M677" i="38"/>
  <c r="M667" i="38"/>
  <c r="M661" i="38"/>
  <c r="M651" i="38"/>
  <c r="M639" i="38"/>
  <c r="M631" i="38"/>
  <c r="M617" i="38"/>
  <c r="M601" i="38"/>
  <c r="M569" i="38"/>
  <c r="M553" i="38"/>
  <c r="M521" i="38"/>
  <c r="M489" i="38"/>
  <c r="M473" i="38"/>
  <c r="M457" i="38"/>
  <c r="M441" i="38"/>
  <c r="P413" i="38"/>
  <c r="O413" i="38"/>
  <c r="O409" i="38"/>
  <c r="P409" i="38"/>
  <c r="P405" i="38"/>
  <c r="O405" i="38"/>
  <c r="P401" i="38"/>
  <c r="O401" i="38"/>
  <c r="P397" i="38"/>
  <c r="O397" i="38"/>
  <c r="P393" i="38"/>
  <c r="O393" i="38"/>
  <c r="P389" i="38"/>
  <c r="O389" i="38"/>
  <c r="P385" i="38"/>
  <c r="O385" i="38"/>
  <c r="O381" i="38"/>
  <c r="P381" i="38"/>
  <c r="P377" i="38"/>
  <c r="O377" i="38"/>
  <c r="P373" i="38"/>
  <c r="O373" i="38"/>
  <c r="P369" i="38"/>
  <c r="O369" i="38"/>
  <c r="P365" i="38"/>
  <c r="O365" i="38"/>
  <c r="P361" i="38"/>
  <c r="O361" i="38"/>
  <c r="P357" i="38"/>
  <c r="O357" i="38"/>
  <c r="P353" i="38"/>
  <c r="O353" i="38"/>
  <c r="P349" i="38"/>
  <c r="O349" i="38"/>
  <c r="O345" i="38"/>
  <c r="P345" i="38"/>
  <c r="P341" i="38"/>
  <c r="O341" i="38"/>
  <c r="P337" i="38"/>
  <c r="O337" i="38"/>
  <c r="P333" i="38"/>
  <c r="O333" i="38"/>
  <c r="P329" i="38"/>
  <c r="O329" i="38"/>
  <c r="P325" i="38"/>
  <c r="O325" i="38"/>
  <c r="P321" i="38"/>
  <c r="O321" i="38"/>
  <c r="O317" i="38"/>
  <c r="P317" i="38"/>
  <c r="P313" i="38"/>
  <c r="O313" i="38"/>
  <c r="P309" i="38"/>
  <c r="O309" i="38"/>
  <c r="P305" i="38"/>
  <c r="O305" i="38"/>
  <c r="P301" i="38"/>
  <c r="O301" i="38"/>
  <c r="P297" i="38"/>
  <c r="O297" i="38"/>
  <c r="P293" i="38"/>
  <c r="O293" i="38"/>
  <c r="P289" i="38"/>
  <c r="O289" i="38"/>
  <c r="P285" i="38"/>
  <c r="O285" i="38"/>
  <c r="P281" i="38"/>
  <c r="O281" i="38"/>
  <c r="O277" i="38"/>
  <c r="P277" i="38"/>
  <c r="P273" i="38"/>
  <c r="O273" i="38"/>
  <c r="P269" i="38"/>
  <c r="O269" i="38"/>
  <c r="P265" i="38"/>
  <c r="O265" i="38"/>
  <c r="O261" i="38"/>
  <c r="P261" i="38"/>
  <c r="P257" i="38"/>
  <c r="O257" i="38"/>
  <c r="P253" i="38"/>
  <c r="O253" i="38"/>
  <c r="P249" i="38"/>
  <c r="O249" i="38"/>
  <c r="P245" i="38"/>
  <c r="O245" i="38"/>
  <c r="P241" i="38"/>
  <c r="O241" i="38"/>
  <c r="P237" i="38"/>
  <c r="O237" i="38"/>
  <c r="P233" i="38"/>
  <c r="O233" i="38"/>
  <c r="P229" i="38"/>
  <c r="O229" i="38"/>
  <c r="P225" i="38"/>
  <c r="O225" i="38"/>
  <c r="P221" i="38"/>
  <c r="O221" i="38"/>
  <c r="P217" i="38"/>
  <c r="O217" i="38"/>
  <c r="P213" i="38"/>
  <c r="O213" i="38"/>
  <c r="P209" i="38"/>
  <c r="O209" i="38"/>
  <c r="O205" i="38"/>
  <c r="P205" i="38"/>
  <c r="P201" i="38"/>
  <c r="O201" i="38"/>
  <c r="P197" i="38"/>
  <c r="O197" i="38"/>
  <c r="P193" i="38"/>
  <c r="O193" i="38"/>
  <c r="P189" i="38"/>
  <c r="O189" i="38"/>
  <c r="P185" i="38"/>
  <c r="O185" i="38"/>
  <c r="P181" i="38"/>
  <c r="O181" i="38"/>
  <c r="P177" i="38"/>
  <c r="O177" i="38"/>
  <c r="P173" i="38"/>
  <c r="O173" i="38"/>
  <c r="P169" i="38"/>
  <c r="O169" i="38"/>
  <c r="P165" i="38"/>
  <c r="O165" i="38"/>
  <c r="P161" i="38"/>
  <c r="O161" i="38"/>
  <c r="P157" i="38"/>
  <c r="O157" i="38"/>
  <c r="P153" i="38"/>
  <c r="O153" i="38"/>
  <c r="O149" i="38"/>
  <c r="P149" i="38"/>
  <c r="P145" i="38"/>
  <c r="O145" i="38"/>
  <c r="P141" i="38"/>
  <c r="O141" i="38"/>
  <c r="P137" i="38"/>
  <c r="O137" i="38"/>
  <c r="P133" i="38"/>
  <c r="O133" i="38"/>
  <c r="P129" i="38"/>
  <c r="O129" i="38"/>
  <c r="P125" i="38"/>
  <c r="O125" i="38"/>
  <c r="P121" i="38"/>
  <c r="O121" i="38"/>
  <c r="P117" i="38"/>
  <c r="O117" i="38"/>
  <c r="P113" i="38"/>
  <c r="O113" i="38"/>
  <c r="P109" i="38"/>
  <c r="O109" i="38"/>
  <c r="P105" i="38"/>
  <c r="O105" i="38"/>
  <c r="P101" i="38"/>
  <c r="O101" i="38"/>
  <c r="P97" i="38"/>
  <c r="O97" i="38"/>
  <c r="P93" i="38"/>
  <c r="O93" i="38"/>
  <c r="P89" i="38"/>
  <c r="O89" i="38"/>
  <c r="P85" i="38"/>
  <c r="O85" i="38"/>
  <c r="P81" i="38"/>
  <c r="O81" i="38"/>
  <c r="P77" i="38"/>
  <c r="O77" i="38"/>
  <c r="P73" i="38"/>
  <c r="O73" i="38"/>
  <c r="P69" i="38"/>
  <c r="O69" i="38"/>
  <c r="P65" i="38"/>
  <c r="O65" i="38"/>
  <c r="P61" i="38"/>
  <c r="O61" i="38"/>
  <c r="P57" i="38"/>
  <c r="O57" i="38"/>
  <c r="P53" i="38"/>
  <c r="O53" i="38"/>
  <c r="P49" i="38"/>
  <c r="O49" i="38"/>
  <c r="P45" i="38"/>
  <c r="O45" i="38"/>
  <c r="P41" i="38"/>
  <c r="O41" i="38"/>
  <c r="P37" i="38"/>
  <c r="O37" i="38"/>
  <c r="P33" i="38"/>
  <c r="O33" i="38"/>
  <c r="P29" i="38"/>
  <c r="O29" i="38"/>
  <c r="P25" i="38"/>
  <c r="O25" i="38"/>
  <c r="P21" i="38"/>
  <c r="O21" i="38"/>
  <c r="P17" i="38"/>
  <c r="O17" i="38"/>
  <c r="P13" i="38"/>
  <c r="O13" i="38"/>
  <c r="M969" i="38"/>
  <c r="M937" i="38"/>
  <c r="M905" i="38"/>
  <c r="M889" i="38"/>
  <c r="M857" i="38"/>
  <c r="M841" i="38"/>
  <c r="M825" i="38"/>
  <c r="M793" i="38"/>
  <c r="M761" i="38"/>
  <c r="M729" i="38"/>
  <c r="M697" i="38"/>
  <c r="M665" i="38"/>
  <c r="M649" i="38"/>
  <c r="M637" i="38"/>
  <c r="M629" i="38"/>
  <c r="M613" i="38"/>
  <c r="M581" i="38"/>
  <c r="M565" i="38"/>
  <c r="M533" i="38"/>
  <c r="M517" i="38"/>
  <c r="M501" i="38"/>
  <c r="M421" i="38"/>
  <c r="M405" i="38"/>
  <c r="M389" i="38"/>
  <c r="M373" i="38"/>
  <c r="M357" i="38"/>
  <c r="M341" i="38"/>
  <c r="M325" i="38"/>
  <c r="M309" i="38"/>
  <c r="M293" i="38"/>
  <c r="M277" i="38"/>
  <c r="M261" i="38"/>
  <c r="M245" i="38"/>
  <c r="M229" i="38"/>
  <c r="M213" i="38"/>
  <c r="M197" i="38"/>
  <c r="M181" i="38"/>
  <c r="M165" i="38"/>
  <c r="M149" i="38"/>
  <c r="M133" i="38"/>
  <c r="M117" i="38"/>
  <c r="M101" i="38"/>
  <c r="M85" i="38"/>
  <c r="M69" i="38"/>
  <c r="M53" i="38"/>
  <c r="M37" i="38"/>
  <c r="M21" i="38"/>
  <c r="P9" i="38"/>
  <c r="O9" i="38"/>
  <c r="P997" i="38"/>
  <c r="O997" i="38"/>
  <c r="P985" i="38"/>
  <c r="O985" i="38"/>
  <c r="P977" i="38"/>
  <c r="O977" i="38"/>
  <c r="P965" i="38"/>
  <c r="O965" i="38"/>
  <c r="P953" i="38"/>
  <c r="O953" i="38"/>
  <c r="P941" i="38"/>
  <c r="O941" i="38"/>
  <c r="P933" i="38"/>
  <c r="O933" i="38"/>
  <c r="P921" i="38"/>
  <c r="O921" i="38"/>
  <c r="P909" i="38"/>
  <c r="O909" i="38"/>
  <c r="P897" i="38"/>
  <c r="O897" i="38"/>
  <c r="P885" i="38"/>
  <c r="O885" i="38"/>
  <c r="P873" i="38"/>
  <c r="O873" i="38"/>
  <c r="P861" i="38"/>
  <c r="O861" i="38"/>
  <c r="P845" i="38"/>
  <c r="O845" i="38"/>
  <c r="P833" i="38"/>
  <c r="O833" i="38"/>
  <c r="P821" i="38"/>
  <c r="O821" i="38"/>
  <c r="P809" i="38"/>
  <c r="O809" i="38"/>
  <c r="P797" i="38"/>
  <c r="O797" i="38"/>
  <c r="P789" i="38"/>
  <c r="O789" i="38"/>
  <c r="P777" i="38"/>
  <c r="O777" i="38"/>
  <c r="P765" i="38"/>
  <c r="O765" i="38"/>
  <c r="P753" i="38"/>
  <c r="O753" i="38"/>
  <c r="P745" i="38"/>
  <c r="O745" i="38"/>
  <c r="P733" i="38"/>
  <c r="O733" i="38"/>
  <c r="P725" i="38"/>
  <c r="O725" i="38"/>
  <c r="P713" i="38"/>
  <c r="O713" i="38"/>
  <c r="P701" i="38"/>
  <c r="O701" i="38"/>
  <c r="P693" i="38"/>
  <c r="O693" i="38"/>
  <c r="P681" i="38"/>
  <c r="O681" i="38"/>
  <c r="P669" i="38"/>
  <c r="O669" i="38"/>
  <c r="P657" i="38"/>
  <c r="O657" i="38"/>
  <c r="P645" i="38"/>
  <c r="O645" i="38"/>
  <c r="P633" i="38"/>
  <c r="O633" i="38"/>
  <c r="P621" i="38"/>
  <c r="O621" i="38"/>
  <c r="P609" i="38"/>
  <c r="O609" i="38"/>
  <c r="P597" i="38"/>
  <c r="O597" i="38"/>
  <c r="P585" i="38"/>
  <c r="O585" i="38"/>
  <c r="O573" i="38"/>
  <c r="P573" i="38"/>
  <c r="P561" i="38"/>
  <c r="O561" i="38"/>
  <c r="P549" i="38"/>
  <c r="O549" i="38"/>
  <c r="P537" i="38"/>
  <c r="O537" i="38"/>
  <c r="P525" i="38"/>
  <c r="O525" i="38"/>
  <c r="P513" i="38"/>
  <c r="O513" i="38"/>
  <c r="P505" i="38"/>
  <c r="O505" i="38"/>
  <c r="P493" i="38"/>
  <c r="O493" i="38"/>
  <c r="P485" i="38"/>
  <c r="O485" i="38"/>
  <c r="P477" i="38"/>
  <c r="O477" i="38"/>
  <c r="P469" i="38"/>
  <c r="O469" i="38"/>
  <c r="P461" i="38"/>
  <c r="O461" i="38"/>
  <c r="P453" i="38"/>
  <c r="O453" i="38"/>
  <c r="P445" i="38"/>
  <c r="O445" i="38"/>
  <c r="P437" i="38"/>
  <c r="O437" i="38"/>
  <c r="P433" i="38"/>
  <c r="O433" i="38"/>
  <c r="P425" i="38"/>
  <c r="O425" i="38"/>
  <c r="P8" i="38"/>
  <c r="O8" i="38"/>
  <c r="M8" i="38"/>
  <c r="P1004" i="38"/>
  <c r="O1004" i="38"/>
  <c r="P1000" i="38"/>
  <c r="O1000" i="38"/>
  <c r="P996" i="38"/>
  <c r="O996" i="38"/>
  <c r="P992" i="38"/>
  <c r="O992" i="38"/>
  <c r="P988" i="38"/>
  <c r="O988" i="38"/>
  <c r="P984" i="38"/>
  <c r="O984" i="38"/>
  <c r="P980" i="38"/>
  <c r="O980" i="38"/>
  <c r="P976" i="38"/>
  <c r="O976" i="38"/>
  <c r="P972" i="38"/>
  <c r="O972" i="38"/>
  <c r="P968" i="38"/>
  <c r="O968" i="38"/>
  <c r="P964" i="38"/>
  <c r="O964" i="38"/>
  <c r="P960" i="38"/>
  <c r="O960" i="38"/>
  <c r="P956" i="38"/>
  <c r="O956" i="38"/>
  <c r="P952" i="38"/>
  <c r="O952" i="38"/>
  <c r="P948" i="38"/>
  <c r="O948" i="38"/>
  <c r="P944" i="38"/>
  <c r="O944" i="38"/>
  <c r="P940" i="38"/>
  <c r="O940" i="38"/>
  <c r="P936" i="38"/>
  <c r="O936" i="38"/>
  <c r="P932" i="38"/>
  <c r="O932" i="38"/>
  <c r="P928" i="38"/>
  <c r="O928" i="38"/>
  <c r="P924" i="38"/>
  <c r="O924" i="38"/>
  <c r="P920" i="38"/>
  <c r="O920" i="38"/>
  <c r="P916" i="38"/>
  <c r="O916" i="38"/>
  <c r="P912" i="38"/>
  <c r="O912" i="38"/>
  <c r="P908" i="38"/>
  <c r="O908" i="38"/>
  <c r="P904" i="38"/>
  <c r="O904" i="38"/>
  <c r="P900" i="38"/>
  <c r="O900" i="38"/>
  <c r="P896" i="38"/>
  <c r="O896" i="38"/>
  <c r="O892" i="38"/>
  <c r="P892" i="38"/>
  <c r="O888" i="38"/>
  <c r="P888" i="38"/>
  <c r="O884" i="38"/>
  <c r="P884" i="38"/>
  <c r="O880" i="38"/>
  <c r="P880" i="38"/>
  <c r="O876" i="38"/>
  <c r="P876" i="38"/>
  <c r="O872" i="38"/>
  <c r="P872" i="38"/>
  <c r="O868" i="38"/>
  <c r="P868" i="38"/>
  <c r="O864" i="38"/>
  <c r="P864" i="38"/>
  <c r="O860" i="38"/>
  <c r="P860" i="38"/>
  <c r="O856" i="38"/>
  <c r="P856" i="38"/>
  <c r="O852" i="38"/>
  <c r="P852" i="38"/>
  <c r="O848" i="38"/>
  <c r="P848" i="38"/>
  <c r="O844" i="38"/>
  <c r="P844" i="38"/>
  <c r="O840" i="38"/>
  <c r="P840" i="38"/>
  <c r="O836" i="38"/>
  <c r="P836" i="38"/>
  <c r="O832" i="38"/>
  <c r="P832" i="38"/>
  <c r="O828" i="38"/>
  <c r="P828" i="38"/>
  <c r="O824" i="38"/>
  <c r="P824" i="38"/>
  <c r="P820" i="38"/>
  <c r="O820" i="38"/>
  <c r="O816" i="38"/>
  <c r="P816" i="38"/>
  <c r="O812" i="38"/>
  <c r="P812" i="38"/>
  <c r="O808" i="38"/>
  <c r="P808" i="38"/>
  <c r="P804" i="38"/>
  <c r="O804" i="38"/>
  <c r="O800" i="38"/>
  <c r="P800" i="38"/>
  <c r="O796" i="38"/>
  <c r="P796" i="38"/>
  <c r="O792" i="38"/>
  <c r="P792" i="38"/>
  <c r="P788" i="38"/>
  <c r="O788" i="38"/>
  <c r="O784" i="38"/>
  <c r="P784" i="38"/>
  <c r="O780" i="38"/>
  <c r="P780" i="38"/>
  <c r="O776" i="38"/>
  <c r="P776" i="38"/>
  <c r="P772" i="38"/>
  <c r="O772" i="38"/>
  <c r="O768" i="38"/>
  <c r="P768" i="38"/>
  <c r="O764" i="38"/>
  <c r="P764" i="38"/>
  <c r="O760" i="38"/>
  <c r="P760" i="38"/>
  <c r="P756" i="38"/>
  <c r="O756" i="38"/>
  <c r="O752" i="38"/>
  <c r="P752" i="38"/>
  <c r="O748" i="38"/>
  <c r="P748" i="38"/>
  <c r="O744" i="38"/>
  <c r="P744" i="38"/>
  <c r="P740" i="38"/>
  <c r="O740" i="38"/>
  <c r="O736" i="38"/>
  <c r="P736" i="38"/>
  <c r="O732" i="38"/>
  <c r="P732" i="38"/>
  <c r="O728" i="38"/>
  <c r="P728" i="38"/>
  <c r="P724" i="38"/>
  <c r="O724" i="38"/>
  <c r="O720" i="38"/>
  <c r="P720" i="38"/>
  <c r="P716" i="38"/>
  <c r="O716" i="38"/>
  <c r="P712" i="38"/>
  <c r="O712" i="38"/>
  <c r="O708" i="38"/>
  <c r="P708" i="38"/>
  <c r="O704" i="38"/>
  <c r="P704" i="38"/>
  <c r="P700" i="38"/>
  <c r="O700" i="38"/>
  <c r="P696" i="38"/>
  <c r="O696" i="38"/>
  <c r="P692" i="38"/>
  <c r="O692" i="38"/>
  <c r="O688" i="38"/>
  <c r="P688" i="38"/>
  <c r="P684" i="38"/>
  <c r="O684" i="38"/>
  <c r="P680" i="38"/>
  <c r="O680" i="38"/>
  <c r="O676" i="38"/>
  <c r="P676" i="38"/>
  <c r="O672" i="38"/>
  <c r="P672" i="38"/>
  <c r="P668" i="38"/>
  <c r="O668" i="38"/>
  <c r="P664" i="38"/>
  <c r="O664" i="38"/>
  <c r="P660" i="38"/>
  <c r="O660" i="38"/>
  <c r="O656" i="38"/>
  <c r="P656" i="38"/>
  <c r="P652" i="38"/>
  <c r="O652" i="38"/>
  <c r="P648" i="38"/>
  <c r="O648" i="38"/>
  <c r="O644" i="38"/>
  <c r="P644" i="38"/>
  <c r="O640" i="38"/>
  <c r="P640" i="38"/>
  <c r="M640" i="38"/>
  <c r="P636" i="38"/>
  <c r="O636" i="38"/>
  <c r="M636" i="38"/>
  <c r="P632" i="38"/>
  <c r="O632" i="38"/>
  <c r="M632" i="38"/>
  <c r="P628" i="38"/>
  <c r="O628" i="38"/>
  <c r="M628" i="38"/>
  <c r="O624" i="38"/>
  <c r="P624" i="38"/>
  <c r="M624" i="38"/>
  <c r="P620" i="38"/>
  <c r="O620" i="38"/>
  <c r="M620" i="38"/>
  <c r="P616" i="38"/>
  <c r="O616" i="38"/>
  <c r="M616" i="38"/>
  <c r="O612" i="38"/>
  <c r="P612" i="38"/>
  <c r="M612" i="38"/>
  <c r="O608" i="38"/>
  <c r="P608" i="38"/>
  <c r="M608" i="38"/>
  <c r="P604" i="38"/>
  <c r="O604" i="38"/>
  <c r="M604" i="38"/>
  <c r="O600" i="38"/>
  <c r="P600" i="38"/>
  <c r="M600" i="38"/>
  <c r="P596" i="38"/>
  <c r="O596" i="38"/>
  <c r="M596" i="38"/>
  <c r="P592" i="38"/>
  <c r="O592" i="38"/>
  <c r="M592" i="38"/>
  <c r="P588" i="38"/>
  <c r="O588" i="38"/>
  <c r="M588" i="38"/>
  <c r="P584" i="38"/>
  <c r="O584" i="38"/>
  <c r="M584" i="38"/>
  <c r="O580" i="38"/>
  <c r="P580" i="38"/>
  <c r="M580" i="38"/>
  <c r="P576" i="38"/>
  <c r="O576" i="38"/>
  <c r="M576" i="38"/>
  <c r="P572" i="38"/>
  <c r="O572" i="38"/>
  <c r="M572" i="38"/>
  <c r="P568" i="38"/>
  <c r="O568" i="38"/>
  <c r="M568" i="38"/>
  <c r="P564" i="38"/>
  <c r="O564" i="38"/>
  <c r="M564" i="38"/>
  <c r="P560" i="38"/>
  <c r="O560" i="38"/>
  <c r="M560" i="38"/>
  <c r="P556" i="38"/>
  <c r="O556" i="38"/>
  <c r="M556" i="38"/>
  <c r="O552" i="38"/>
  <c r="P552" i="38"/>
  <c r="M552" i="38"/>
  <c r="P548" i="38"/>
  <c r="O548" i="38"/>
  <c r="M548" i="38"/>
  <c r="O544" i="38"/>
  <c r="P544" i="38"/>
  <c r="M544" i="38"/>
  <c r="P540" i="38"/>
  <c r="O540" i="38"/>
  <c r="M540" i="38"/>
  <c r="P536" i="38"/>
  <c r="O536" i="38"/>
  <c r="M536" i="38"/>
  <c r="P532" i="38"/>
  <c r="O532" i="38"/>
  <c r="M532" i="38"/>
  <c r="O528" i="38"/>
  <c r="P528" i="38"/>
  <c r="M528" i="38"/>
  <c r="P524" i="38"/>
  <c r="O524" i="38"/>
  <c r="M524" i="38"/>
  <c r="P520" i="38"/>
  <c r="O520" i="38"/>
  <c r="M520" i="38"/>
  <c r="O516" i="38"/>
  <c r="P516" i="38"/>
  <c r="M516" i="38"/>
  <c r="P512" i="38"/>
  <c r="O512" i="38"/>
  <c r="M512" i="38"/>
  <c r="P508" i="38"/>
  <c r="O508" i="38"/>
  <c r="M508" i="38"/>
  <c r="P504" i="38"/>
  <c r="O504" i="38"/>
  <c r="M504" i="38"/>
  <c r="O500" i="38"/>
  <c r="P500" i="38"/>
  <c r="M500" i="38"/>
  <c r="P496" i="38"/>
  <c r="O496" i="38"/>
  <c r="M496" i="38"/>
  <c r="P492" i="38"/>
  <c r="O492" i="38"/>
  <c r="M492" i="38"/>
  <c r="O488" i="38"/>
  <c r="P488" i="38"/>
  <c r="M488" i="38"/>
  <c r="P484" i="38"/>
  <c r="O484" i="38"/>
  <c r="M484" i="38"/>
  <c r="O480" i="38"/>
  <c r="P480" i="38"/>
  <c r="M480" i="38"/>
  <c r="P476" i="38"/>
  <c r="O476" i="38"/>
  <c r="M476" i="38"/>
  <c r="O472" i="38"/>
  <c r="P472" i="38"/>
  <c r="M472" i="38"/>
  <c r="P468" i="38"/>
  <c r="O468" i="38"/>
  <c r="M468" i="38"/>
  <c r="P464" i="38"/>
  <c r="O464" i="38"/>
  <c r="M464" i="38"/>
  <c r="P460" i="38"/>
  <c r="O460" i="38"/>
  <c r="M460" i="38"/>
  <c r="P456" i="38"/>
  <c r="O456" i="38"/>
  <c r="M456" i="38"/>
  <c r="O452" i="38"/>
  <c r="P452" i="38"/>
  <c r="M452" i="38"/>
  <c r="P448" i="38"/>
  <c r="O448" i="38"/>
  <c r="M448" i="38"/>
  <c r="P444" i="38"/>
  <c r="O444" i="38"/>
  <c r="M444" i="38"/>
  <c r="P440" i="38"/>
  <c r="O440" i="38"/>
  <c r="M440" i="38"/>
  <c r="P436" i="38"/>
  <c r="O436" i="38"/>
  <c r="M436" i="38"/>
  <c r="P432" i="38"/>
  <c r="O432" i="38"/>
  <c r="M432" i="38"/>
  <c r="P428" i="38"/>
  <c r="O428" i="38"/>
  <c r="M428" i="38"/>
  <c r="O424" i="38"/>
  <c r="P424" i="38"/>
  <c r="M424" i="38"/>
  <c r="P420" i="38"/>
  <c r="O420" i="38"/>
  <c r="M420" i="38"/>
  <c r="O416" i="38"/>
  <c r="P416" i="38"/>
  <c r="M416" i="38"/>
  <c r="P412" i="38"/>
  <c r="O412" i="38"/>
  <c r="M412" i="38"/>
  <c r="P408" i="38"/>
  <c r="O408" i="38"/>
  <c r="M408" i="38"/>
  <c r="P404" i="38"/>
  <c r="O404" i="38"/>
  <c r="M404" i="38"/>
  <c r="O400" i="38"/>
  <c r="P400" i="38"/>
  <c r="M400" i="38"/>
  <c r="P396" i="38"/>
  <c r="O396" i="38"/>
  <c r="M396" i="38"/>
  <c r="P392" i="38"/>
  <c r="O392" i="38"/>
  <c r="M392" i="38"/>
  <c r="O388" i="38"/>
  <c r="P388" i="38"/>
  <c r="M388" i="38"/>
  <c r="P384" i="38"/>
  <c r="O384" i="38"/>
  <c r="M384" i="38"/>
  <c r="P380" i="38"/>
  <c r="O380" i="38"/>
  <c r="M380" i="38"/>
  <c r="P376" i="38"/>
  <c r="O376" i="38"/>
  <c r="M376" i="38"/>
  <c r="O372" i="38"/>
  <c r="P372" i="38"/>
  <c r="M372" i="38"/>
  <c r="P368" i="38"/>
  <c r="O368" i="38"/>
  <c r="M368" i="38"/>
  <c r="P364" i="38"/>
  <c r="O364" i="38"/>
  <c r="M364" i="38"/>
  <c r="O360" i="38"/>
  <c r="P360" i="38"/>
  <c r="M360" i="38"/>
  <c r="P356" i="38"/>
  <c r="O356" i="38"/>
  <c r="M356" i="38"/>
  <c r="O352" i="38"/>
  <c r="P352" i="38"/>
  <c r="M352" i="38"/>
  <c r="P348" i="38"/>
  <c r="O348" i="38"/>
  <c r="M348" i="38"/>
  <c r="O344" i="38"/>
  <c r="P344" i="38"/>
  <c r="M344" i="38"/>
  <c r="P340" i="38"/>
  <c r="O340" i="38"/>
  <c r="M340" i="38"/>
  <c r="P336" i="38"/>
  <c r="O336" i="38"/>
  <c r="M336" i="38"/>
  <c r="P332" i="38"/>
  <c r="O332" i="38"/>
  <c r="M332" i="38"/>
  <c r="P328" i="38"/>
  <c r="O328" i="38"/>
  <c r="M328" i="38"/>
  <c r="O324" i="38"/>
  <c r="P324" i="38"/>
  <c r="M324" i="38"/>
  <c r="P320" i="38"/>
  <c r="O320" i="38"/>
  <c r="M320" i="38"/>
  <c r="P316" i="38"/>
  <c r="O316" i="38"/>
  <c r="M316" i="38"/>
  <c r="P312" i="38"/>
  <c r="O312" i="38"/>
  <c r="M312" i="38"/>
  <c r="P308" i="38"/>
  <c r="O308" i="38"/>
  <c r="M308" i="38"/>
  <c r="O304" i="38"/>
  <c r="P304" i="38"/>
  <c r="M304" i="38"/>
  <c r="P300" i="38"/>
  <c r="O300" i="38"/>
  <c r="M300" i="38"/>
  <c r="P296" i="38"/>
  <c r="O296" i="38"/>
  <c r="M296" i="38"/>
  <c r="O292" i="38"/>
  <c r="P292" i="38"/>
  <c r="M292" i="38"/>
  <c r="O288" i="38"/>
  <c r="P288" i="38"/>
  <c r="M288" i="38"/>
  <c r="P284" i="38"/>
  <c r="O284" i="38"/>
  <c r="M284" i="38"/>
  <c r="P280" i="38"/>
  <c r="O280" i="38"/>
  <c r="M280" i="38"/>
  <c r="P276" i="38"/>
  <c r="O276" i="38"/>
  <c r="M276" i="38"/>
  <c r="P272" i="38"/>
  <c r="O272" i="38"/>
  <c r="M272" i="38"/>
  <c r="P268" i="38"/>
  <c r="O268" i="38"/>
  <c r="M268" i="38"/>
  <c r="P264" i="38"/>
  <c r="O264" i="38"/>
  <c r="M264" i="38"/>
  <c r="O260" i="38"/>
  <c r="P260" i="38"/>
  <c r="M260" i="38"/>
  <c r="P256" i="38"/>
  <c r="O256" i="38"/>
  <c r="M256" i="38"/>
  <c r="P252" i="38"/>
  <c r="O252" i="38"/>
  <c r="M252" i="38"/>
  <c r="O248" i="38"/>
  <c r="P248" i="38"/>
  <c r="M248" i="38"/>
  <c r="P244" i="38"/>
  <c r="O244" i="38"/>
  <c r="M244" i="38"/>
  <c r="P240" i="38"/>
  <c r="O240" i="38"/>
  <c r="M240" i="38"/>
  <c r="O236" i="38"/>
  <c r="P236" i="38"/>
  <c r="M236" i="38"/>
  <c r="P232" i="38"/>
  <c r="O232" i="38"/>
  <c r="M232" i="38"/>
  <c r="P228" i="38"/>
  <c r="O228" i="38"/>
  <c r="M228" i="38"/>
  <c r="P224" i="38"/>
  <c r="O224" i="38"/>
  <c r="M224" i="38"/>
  <c r="O220" i="38"/>
  <c r="P220" i="38"/>
  <c r="M220" i="38"/>
  <c r="P216" i="38"/>
  <c r="O216" i="38"/>
  <c r="M216" i="38"/>
  <c r="P212" i="38"/>
  <c r="O212" i="38"/>
  <c r="M212" i="38"/>
  <c r="P208" i="38"/>
  <c r="O208" i="38"/>
  <c r="M208" i="38"/>
  <c r="O204" i="38"/>
  <c r="P204" i="38"/>
  <c r="M204" i="38"/>
  <c r="P200" i="38"/>
  <c r="O200" i="38"/>
  <c r="M200" i="38"/>
  <c r="P196" i="38"/>
  <c r="O196" i="38"/>
  <c r="M196" i="38"/>
  <c r="O192" i="38"/>
  <c r="P192" i="38"/>
  <c r="M192" i="38"/>
  <c r="P188" i="38"/>
  <c r="O188" i="38"/>
  <c r="M188" i="38"/>
  <c r="P184" i="38"/>
  <c r="O184" i="38"/>
  <c r="M184" i="38"/>
  <c r="P180" i="38"/>
  <c r="O180" i="38"/>
  <c r="M180" i="38"/>
  <c r="O176" i="38"/>
  <c r="P176" i="38"/>
  <c r="M176" i="38"/>
  <c r="P172" i="38"/>
  <c r="O172" i="38"/>
  <c r="M172" i="38"/>
  <c r="P168" i="38"/>
  <c r="O168" i="38"/>
  <c r="M168" i="38"/>
  <c r="O164" i="38"/>
  <c r="P164" i="38"/>
  <c r="M164" i="38"/>
  <c r="P160" i="38"/>
  <c r="O160" i="38"/>
  <c r="M160" i="38"/>
  <c r="P156" i="38"/>
  <c r="O156" i="38"/>
  <c r="M156" i="38"/>
  <c r="P152" i="38"/>
  <c r="O152" i="38"/>
  <c r="M152" i="38"/>
  <c r="P148" i="38"/>
  <c r="O148" i="38"/>
  <c r="M148" i="38"/>
  <c r="O144" i="38"/>
  <c r="P144" i="38"/>
  <c r="M144" i="38"/>
  <c r="P140" i="38"/>
  <c r="O140" i="38"/>
  <c r="M140" i="38"/>
  <c r="P136" i="38"/>
  <c r="O136" i="38"/>
  <c r="M136" i="38"/>
  <c r="P132" i="38"/>
  <c r="O132" i="38"/>
  <c r="M132" i="38"/>
  <c r="P128" i="38"/>
  <c r="O128" i="38"/>
  <c r="M128" i="38"/>
  <c r="P124" i="38"/>
  <c r="O124" i="38"/>
  <c r="M124" i="38"/>
  <c r="O120" i="38"/>
  <c r="P120" i="38"/>
  <c r="M120" i="38"/>
  <c r="P116" i="38"/>
  <c r="O116" i="38"/>
  <c r="M116" i="38"/>
  <c r="P112" i="38"/>
  <c r="O112" i="38"/>
  <c r="M112" i="38"/>
  <c r="O108" i="38"/>
  <c r="P108" i="38"/>
  <c r="M108" i="38"/>
  <c r="P104" i="38"/>
  <c r="O104" i="38"/>
  <c r="M104" i="38"/>
  <c r="P100" i="38"/>
  <c r="O100" i="38"/>
  <c r="M100" i="38"/>
  <c r="P96" i="38"/>
  <c r="O96" i="38"/>
  <c r="M96" i="38"/>
  <c r="O92" i="38"/>
  <c r="P92" i="38"/>
  <c r="M92" i="38"/>
  <c r="O88" i="38"/>
  <c r="P88" i="38"/>
  <c r="M88" i="38"/>
  <c r="P84" i="38"/>
  <c r="O84" i="38"/>
  <c r="M84" i="38"/>
  <c r="P80" i="38"/>
  <c r="O80" i="38"/>
  <c r="M80" i="38"/>
  <c r="P76" i="38"/>
  <c r="O76" i="38"/>
  <c r="M76" i="38"/>
  <c r="P72" i="38"/>
  <c r="O72" i="38"/>
  <c r="M72" i="38"/>
  <c r="P68" i="38"/>
  <c r="O68" i="38"/>
  <c r="M68" i="38"/>
  <c r="O64" i="38"/>
  <c r="P64" i="38"/>
  <c r="M64" i="38"/>
  <c r="O60" i="38"/>
  <c r="P60" i="38"/>
  <c r="M60" i="38"/>
  <c r="P56" i="38"/>
  <c r="O56" i="38"/>
  <c r="M56" i="38"/>
  <c r="P52" i="38"/>
  <c r="O52" i="38"/>
  <c r="M52" i="38"/>
  <c r="O48" i="38"/>
  <c r="P48" i="38"/>
  <c r="M48" i="38"/>
  <c r="P44" i="38"/>
  <c r="O44" i="38"/>
  <c r="M44" i="38"/>
  <c r="P40" i="38"/>
  <c r="O40" i="38"/>
  <c r="M40" i="38"/>
  <c r="O36" i="38"/>
  <c r="P36" i="38"/>
  <c r="M36" i="38"/>
  <c r="O32" i="38"/>
  <c r="P32" i="38"/>
  <c r="M32" i="38"/>
  <c r="P28" i="38"/>
  <c r="O28" i="38"/>
  <c r="M28" i="38"/>
  <c r="P24" i="38"/>
  <c r="O24" i="38"/>
  <c r="M24" i="38"/>
  <c r="P20" i="38"/>
  <c r="O20" i="38"/>
  <c r="M20" i="38"/>
  <c r="P16" i="38"/>
  <c r="O16" i="38"/>
  <c r="M16" i="38"/>
  <c r="P12" i="38"/>
  <c r="O12" i="38"/>
  <c r="M12" i="38"/>
  <c r="M1003" i="38"/>
  <c r="M999" i="38"/>
  <c r="M995" i="38"/>
  <c r="M991" i="38"/>
  <c r="M987" i="38"/>
  <c r="M983" i="38"/>
  <c r="M979" i="38"/>
  <c r="M973" i="38"/>
  <c r="M968" i="38"/>
  <c r="M963" i="38"/>
  <c r="M957" i="38"/>
  <c r="M952" i="38"/>
  <c r="M947" i="38"/>
  <c r="M941" i="38"/>
  <c r="M936" i="38"/>
  <c r="M931" i="38"/>
  <c r="M925" i="38"/>
  <c r="M920" i="38"/>
  <c r="M915" i="38"/>
  <c r="M909" i="38"/>
  <c r="M904" i="38"/>
  <c r="M899" i="38"/>
  <c r="M893" i="38"/>
  <c r="M888" i="38"/>
  <c r="M883" i="38"/>
  <c r="M877" i="38"/>
  <c r="M872" i="38"/>
  <c r="M867" i="38"/>
  <c r="M861" i="38"/>
  <c r="M856" i="38"/>
  <c r="M851" i="38"/>
  <c r="M845" i="38"/>
  <c r="M840" i="38"/>
  <c r="M835" i="38"/>
  <c r="M829" i="38"/>
  <c r="M824" i="38"/>
  <c r="M819" i="38"/>
  <c r="M813" i="38"/>
  <c r="M808" i="38"/>
  <c r="M803" i="38"/>
  <c r="M797" i="38"/>
  <c r="M792" i="38"/>
  <c r="M787" i="38"/>
  <c r="M781" i="38"/>
  <c r="M776" i="38"/>
  <c r="M771" i="38"/>
  <c r="M765" i="38"/>
  <c r="M760" i="38"/>
  <c r="M755" i="38"/>
  <c r="M749" i="38"/>
  <c r="M744" i="38"/>
  <c r="M739" i="38"/>
  <c r="M733" i="38"/>
  <c r="M728" i="38"/>
  <c r="M723" i="38"/>
  <c r="M717" i="38"/>
  <c r="M712" i="38"/>
  <c r="M707" i="38"/>
  <c r="M701" i="38"/>
  <c r="M696" i="38"/>
  <c r="M691" i="38"/>
  <c r="M685" i="38"/>
  <c r="M680" i="38"/>
  <c r="M675" i="38"/>
  <c r="M669" i="38"/>
  <c r="M664" i="38"/>
  <c r="M659" i="38"/>
  <c r="M653" i="38"/>
  <c r="M648" i="38"/>
  <c r="M643" i="38"/>
  <c r="M635" i="38"/>
  <c r="M625" i="38"/>
  <c r="M609" i="38"/>
  <c r="M593" i="38"/>
  <c r="M577" i="38"/>
  <c r="M561" i="38"/>
  <c r="M545" i="38"/>
  <c r="M529" i="38"/>
  <c r="M513" i="38"/>
  <c r="M497" i="38"/>
  <c r="M481" i="38"/>
  <c r="M465" i="38"/>
  <c r="M449" i="38"/>
  <c r="M433" i="38"/>
  <c r="M417" i="38"/>
  <c r="M401" i="38"/>
  <c r="M385" i="38"/>
  <c r="M369" i="38"/>
  <c r="M353" i="38"/>
  <c r="M337" i="38"/>
  <c r="M321" i="38"/>
  <c r="M305" i="38"/>
  <c r="M289" i="38"/>
  <c r="M273" i="38"/>
  <c r="M257" i="38"/>
  <c r="M241" i="38"/>
  <c r="M225" i="38"/>
  <c r="M209" i="38"/>
  <c r="M193" i="38"/>
  <c r="M177" i="38"/>
  <c r="M161" i="38"/>
  <c r="M145" i="38"/>
  <c r="M129" i="38"/>
  <c r="M113" i="38"/>
  <c r="M97" i="38"/>
  <c r="M81" i="38"/>
  <c r="M65" i="38"/>
  <c r="M49" i="38"/>
  <c r="M33" i="38"/>
  <c r="M17" i="38"/>
  <c r="H6" i="37" l="1"/>
  <c r="I6" i="37" s="1"/>
  <c r="F6" i="8"/>
  <c r="H5" i="37"/>
  <c r="F5" i="8"/>
  <c r="H5" i="39"/>
  <c r="F3" i="39"/>
  <c r="L8" i="35"/>
  <c r="J8" i="35" s="1"/>
  <c r="G9" i="8"/>
  <c r="B9" i="37"/>
  <c r="K8" i="38"/>
  <c r="I7" i="37"/>
  <c r="H9" i="39"/>
  <c r="I9" i="8"/>
  <c r="I11" i="8"/>
  <c r="H11" i="39"/>
  <c r="I10" i="8"/>
  <c r="H10" i="39"/>
  <c r="H7" i="39"/>
  <c r="I7" i="8"/>
  <c r="H8" i="39"/>
  <c r="I8" i="8"/>
  <c r="I6" i="8"/>
  <c r="I5" i="8"/>
  <c r="E4" i="13"/>
  <c r="C4" i="1" s="1"/>
  <c r="L5" i="35" l="1"/>
  <c r="J5" i="35" s="1"/>
  <c r="B6" i="37"/>
  <c r="G6" i="8"/>
  <c r="C12" i="1"/>
  <c r="E6" i="1" s="1"/>
  <c r="I5" i="37"/>
  <c r="H8" i="37"/>
  <c r="F8" i="8"/>
  <c r="L6" i="35"/>
  <c r="B7" i="37"/>
  <c r="G7" i="8"/>
  <c r="D5" i="9"/>
  <c r="D5" i="40"/>
  <c r="H3" i="39"/>
  <c r="G5" i="39" s="1"/>
  <c r="F6" i="1" l="1"/>
  <c r="G6" i="1" s="1"/>
  <c r="E13" i="1" s="1"/>
  <c r="L4" i="35"/>
  <c r="J4" i="35" s="1"/>
  <c r="C10" i="1"/>
  <c r="B5" i="37"/>
  <c r="G5" i="8"/>
  <c r="I8" i="37"/>
  <c r="D9" i="9" s="1"/>
  <c r="H3" i="37"/>
  <c r="J6" i="35"/>
  <c r="G6" i="39"/>
  <c r="G8" i="37"/>
  <c r="G5" i="37"/>
  <c r="C13" i="1" s="1"/>
  <c r="C14" i="1" s="1"/>
  <c r="E8" i="1" s="1"/>
  <c r="F8" i="1" s="1"/>
  <c r="G8" i="1" s="1"/>
  <c r="E15" i="1" s="1"/>
  <c r="G8" i="39"/>
  <c r="G6" i="37"/>
  <c r="G9" i="39"/>
  <c r="G7" i="37"/>
  <c r="G9" i="37"/>
  <c r="G7" i="39"/>
  <c r="E7" i="1" l="1"/>
  <c r="D9" i="40"/>
  <c r="G5" i="40" s="1"/>
  <c r="C17" i="1"/>
  <c r="C15" i="1" s="1"/>
  <c r="M6" i="35"/>
  <c r="O6" i="35" s="1"/>
  <c r="L7" i="35"/>
  <c r="G8" i="8"/>
  <c r="B8" i="37"/>
  <c r="G5" i="9"/>
  <c r="M536" i="37"/>
  <c r="N536" i="37" s="1"/>
  <c r="M408" i="37"/>
  <c r="N408" i="37" s="1"/>
  <c r="M376" i="37"/>
  <c r="N376" i="37" s="1"/>
  <c r="M149" i="37"/>
  <c r="N149" i="37" s="1"/>
  <c r="M73" i="37"/>
  <c r="N73" i="37" s="1"/>
  <c r="M314" i="37"/>
  <c r="N314" i="37" s="1"/>
  <c r="M378" i="37"/>
  <c r="N378" i="37" s="1"/>
  <c r="M442" i="37"/>
  <c r="N442" i="37" s="1"/>
  <c r="M506" i="37"/>
  <c r="N506" i="37" s="1"/>
  <c r="M570" i="37"/>
  <c r="N570" i="37" s="1"/>
  <c r="M634" i="37"/>
  <c r="N634" i="37" s="1"/>
  <c r="M698" i="37"/>
  <c r="N698" i="37" s="1"/>
  <c r="M762" i="37"/>
  <c r="N762" i="37" s="1"/>
  <c r="M826" i="37"/>
  <c r="N826" i="37" s="1"/>
  <c r="M221" i="37"/>
  <c r="N221" i="37" s="1"/>
  <c r="M351" i="37"/>
  <c r="N351" i="37" s="1"/>
  <c r="M415" i="37"/>
  <c r="N415" i="37" s="1"/>
  <c r="M479" i="37"/>
  <c r="N479" i="37" s="1"/>
  <c r="M543" i="37"/>
  <c r="N543" i="37" s="1"/>
  <c r="M607" i="37"/>
  <c r="N607" i="37" s="1"/>
  <c r="M671" i="37"/>
  <c r="N671" i="37" s="1"/>
  <c r="M735" i="37"/>
  <c r="N735" i="37" s="1"/>
  <c r="M799" i="37"/>
  <c r="N799" i="37" s="1"/>
  <c r="M760" i="37"/>
  <c r="N760" i="37" s="1"/>
  <c r="M101" i="37"/>
  <c r="N101" i="37" s="1"/>
  <c r="M25" i="37"/>
  <c r="N25" i="37" s="1"/>
  <c r="M281" i="37"/>
  <c r="N281" i="37" s="1"/>
  <c r="M366" i="37"/>
  <c r="N366" i="37" s="1"/>
  <c r="M430" i="37"/>
  <c r="N430" i="37" s="1"/>
  <c r="M494" i="37"/>
  <c r="N494" i="37" s="1"/>
  <c r="M558" i="37"/>
  <c r="N558" i="37" s="1"/>
  <c r="M622" i="37"/>
  <c r="N622" i="37" s="1"/>
  <c r="M686" i="37"/>
  <c r="N686" i="37" s="1"/>
  <c r="M750" i="37"/>
  <c r="N750" i="37" s="1"/>
  <c r="M814" i="37"/>
  <c r="N814" i="37" s="1"/>
  <c r="M173" i="37"/>
  <c r="N173" i="37" s="1"/>
  <c r="M339" i="37"/>
  <c r="N339" i="37" s="1"/>
  <c r="M403" i="37"/>
  <c r="N403" i="37" s="1"/>
  <c r="M467" i="37"/>
  <c r="N467" i="37" s="1"/>
  <c r="M531" i="37"/>
  <c r="N531" i="37" s="1"/>
  <c r="M595" i="37"/>
  <c r="N595" i="37" s="1"/>
  <c r="M659" i="37"/>
  <c r="N659" i="37" s="1"/>
  <c r="M723" i="37"/>
  <c r="N723" i="37" s="1"/>
  <c r="M787" i="37"/>
  <c r="N787" i="37" s="1"/>
  <c r="M851" i="37"/>
  <c r="N851" i="37" s="1"/>
  <c r="M472" i="37"/>
  <c r="N472" i="37" s="1"/>
  <c r="M245" i="37"/>
  <c r="N245" i="37" s="1"/>
  <c r="M169" i="37"/>
  <c r="N169" i="37" s="1"/>
  <c r="M338" i="37"/>
  <c r="N338" i="37" s="1"/>
  <c r="M402" i="37"/>
  <c r="N402" i="37" s="1"/>
  <c r="M466" i="37"/>
  <c r="N466" i="37" s="1"/>
  <c r="M530" i="37"/>
  <c r="N530" i="37" s="1"/>
  <c r="M594" i="37"/>
  <c r="N594" i="37" s="1"/>
  <c r="M658" i="37"/>
  <c r="N658" i="37" s="1"/>
  <c r="M722" i="37"/>
  <c r="N722" i="37" s="1"/>
  <c r="M786" i="37"/>
  <c r="N786" i="37" s="1"/>
  <c r="M61" i="37"/>
  <c r="N61" i="37" s="1"/>
  <c r="M311" i="37"/>
  <c r="N311" i="37" s="1"/>
  <c r="M375" i="37"/>
  <c r="N375" i="37" s="1"/>
  <c r="M439" i="37"/>
  <c r="N439" i="37" s="1"/>
  <c r="M503" i="37"/>
  <c r="N503" i="37" s="1"/>
  <c r="M567" i="37"/>
  <c r="N567" i="37" s="1"/>
  <c r="M631" i="37"/>
  <c r="N631" i="37" s="1"/>
  <c r="M695" i="37"/>
  <c r="N695" i="37" s="1"/>
  <c r="M759" i="37"/>
  <c r="N759" i="37" s="1"/>
  <c r="M823" i="37"/>
  <c r="N823" i="37" s="1"/>
  <c r="M121" i="37"/>
  <c r="N121" i="37" s="1"/>
  <c r="M518" i="37"/>
  <c r="N518" i="37" s="1"/>
  <c r="M774" i="37"/>
  <c r="N774" i="37" s="1"/>
  <c r="M427" i="37"/>
  <c r="N427" i="37" s="1"/>
  <c r="M683" i="37"/>
  <c r="N683" i="37" s="1"/>
  <c r="M892" i="37"/>
  <c r="N892" i="37" s="1"/>
  <c r="M728" i="37"/>
  <c r="N728" i="37" s="1"/>
  <c r="M213" i="37"/>
  <c r="N213" i="37" s="1"/>
  <c r="M137" i="37"/>
  <c r="N137" i="37" s="1"/>
  <c r="M330" i="37"/>
  <c r="N330" i="37" s="1"/>
  <c r="M394" i="37"/>
  <c r="N394" i="37" s="1"/>
  <c r="M458" i="37"/>
  <c r="N458" i="37" s="1"/>
  <c r="M522" i="37"/>
  <c r="N522" i="37" s="1"/>
  <c r="M586" i="37"/>
  <c r="N586" i="37" s="1"/>
  <c r="M650" i="37"/>
  <c r="N650" i="37" s="1"/>
  <c r="M714" i="37"/>
  <c r="N714" i="37" s="1"/>
  <c r="M778" i="37"/>
  <c r="N778" i="37" s="1"/>
  <c r="M29" i="37"/>
  <c r="N29" i="37" s="1"/>
  <c r="M285" i="37"/>
  <c r="N285" i="37" s="1"/>
  <c r="M367" i="37"/>
  <c r="N367" i="37" s="1"/>
  <c r="M431" i="37"/>
  <c r="N431" i="37" s="1"/>
  <c r="M495" i="37"/>
  <c r="N495" i="37" s="1"/>
  <c r="M559" i="37"/>
  <c r="N559" i="37" s="1"/>
  <c r="M623" i="37"/>
  <c r="N623" i="37" s="1"/>
  <c r="M687" i="37"/>
  <c r="N687" i="37" s="1"/>
  <c r="M751" i="37"/>
  <c r="N751" i="37" s="1"/>
  <c r="M815" i="37"/>
  <c r="N815" i="37" s="1"/>
  <c r="M991" i="37"/>
  <c r="N991" i="37" s="1"/>
  <c r="M165" i="37"/>
  <c r="N165" i="37" s="1"/>
  <c r="M89" i="37"/>
  <c r="N89" i="37" s="1"/>
  <c r="M318" i="37"/>
  <c r="N318" i="37" s="1"/>
  <c r="M382" i="37"/>
  <c r="N382" i="37" s="1"/>
  <c r="M446" i="37"/>
  <c r="N446" i="37" s="1"/>
  <c r="M510" i="37"/>
  <c r="N510" i="37" s="1"/>
  <c r="M574" i="37"/>
  <c r="N574" i="37" s="1"/>
  <c r="M638" i="37"/>
  <c r="N638" i="37" s="1"/>
  <c r="M702" i="37"/>
  <c r="N702" i="37" s="1"/>
  <c r="M766" i="37"/>
  <c r="N766" i="37" s="1"/>
  <c r="M830" i="37"/>
  <c r="N830" i="37" s="1"/>
  <c r="M237" i="37"/>
  <c r="N237" i="37" s="1"/>
  <c r="M355" i="37"/>
  <c r="N355" i="37" s="1"/>
  <c r="M419" i="37"/>
  <c r="N419" i="37" s="1"/>
  <c r="M483" i="37"/>
  <c r="N483" i="37" s="1"/>
  <c r="M547" i="37"/>
  <c r="N547" i="37" s="1"/>
  <c r="M611" i="37"/>
  <c r="N611" i="37" s="1"/>
  <c r="M675" i="37"/>
  <c r="N675" i="37" s="1"/>
  <c r="M739" i="37"/>
  <c r="N739" i="37" s="1"/>
  <c r="M803" i="37"/>
  <c r="N803" i="37" s="1"/>
  <c r="M6" i="37"/>
  <c r="N6" i="37" s="1"/>
  <c r="M53" i="37"/>
  <c r="N53" i="37" s="1"/>
  <c r="M309" i="37"/>
  <c r="N309" i="37" s="1"/>
  <c r="M233" i="37"/>
  <c r="N233" i="37" s="1"/>
  <c r="M354" i="37"/>
  <c r="N354" i="37" s="1"/>
  <c r="M418" i="37"/>
  <c r="N418" i="37" s="1"/>
  <c r="M482" i="37"/>
  <c r="N482" i="37" s="1"/>
  <c r="M546" i="37"/>
  <c r="N546" i="37" s="1"/>
  <c r="M610" i="37"/>
  <c r="N610" i="37" s="1"/>
  <c r="M674" i="37"/>
  <c r="N674" i="37" s="1"/>
  <c r="M738" i="37"/>
  <c r="N738" i="37" s="1"/>
  <c r="M802" i="37"/>
  <c r="N802" i="37" s="1"/>
  <c r="M125" i="37"/>
  <c r="N125" i="37" s="1"/>
  <c r="M327" i="37"/>
  <c r="N327" i="37" s="1"/>
  <c r="M391" i="37"/>
  <c r="N391" i="37" s="1"/>
  <c r="M455" i="37"/>
  <c r="N455" i="37" s="1"/>
  <c r="M519" i="37"/>
  <c r="N519" i="37" s="1"/>
  <c r="M583" i="37"/>
  <c r="N583" i="37" s="1"/>
  <c r="M647" i="37"/>
  <c r="N647" i="37" s="1"/>
  <c r="M711" i="37"/>
  <c r="N711" i="37" s="1"/>
  <c r="M775" i="37"/>
  <c r="N775" i="37" s="1"/>
  <c r="M839" i="37"/>
  <c r="N839" i="37" s="1"/>
  <c r="M326" i="37"/>
  <c r="N326" i="37" s="1"/>
  <c r="M582" i="37"/>
  <c r="N582" i="37" s="1"/>
  <c r="M13" i="37"/>
  <c r="N13" i="37" s="1"/>
  <c r="M491" i="37"/>
  <c r="N491" i="37" s="1"/>
  <c r="M747" i="37"/>
  <c r="N747" i="37" s="1"/>
  <c r="M891" i="37"/>
  <c r="N891" i="37" s="1"/>
  <c r="M377" i="37"/>
  <c r="N377" i="37" s="1"/>
  <c r="M505" i="37"/>
  <c r="N505" i="37" s="1"/>
  <c r="M633" i="37"/>
  <c r="N633" i="37" s="1"/>
  <c r="M761" i="37"/>
  <c r="N761" i="37" s="1"/>
  <c r="M872" i="37"/>
  <c r="N872" i="37" s="1"/>
  <c r="M944" i="37"/>
  <c r="N944" i="37" s="1"/>
  <c r="M17" i="37"/>
  <c r="N17" i="37" s="1"/>
  <c r="M404" i="37"/>
  <c r="N404" i="37" s="1"/>
  <c r="M532" i="37"/>
  <c r="N532" i="37" s="1"/>
  <c r="M660" i="37"/>
  <c r="N660" i="37" s="1"/>
  <c r="M788" i="37"/>
  <c r="N788" i="37" s="1"/>
  <c r="M889" i="37"/>
  <c r="N889" i="37" s="1"/>
  <c r="M957" i="37"/>
  <c r="N957" i="37" s="1"/>
  <c r="M344" i="37"/>
  <c r="N344" i="37" s="1"/>
  <c r="M49" i="37"/>
  <c r="N49" i="37" s="1"/>
  <c r="M959" i="37"/>
  <c r="N959" i="37" s="1"/>
  <c r="M21" i="37"/>
  <c r="N21" i="37" s="1"/>
  <c r="M277" i="37"/>
  <c r="N277" i="37" s="1"/>
  <c r="M201" i="37"/>
  <c r="N201" i="37" s="1"/>
  <c r="M346" i="37"/>
  <c r="N346" i="37" s="1"/>
  <c r="M410" i="37"/>
  <c r="N410" i="37" s="1"/>
  <c r="M474" i="37"/>
  <c r="N474" i="37" s="1"/>
  <c r="M538" i="37"/>
  <c r="N538" i="37" s="1"/>
  <c r="M602" i="37"/>
  <c r="N602" i="37" s="1"/>
  <c r="M666" i="37"/>
  <c r="N666" i="37" s="1"/>
  <c r="M730" i="37"/>
  <c r="N730" i="37" s="1"/>
  <c r="M794" i="37"/>
  <c r="N794" i="37" s="1"/>
  <c r="M93" i="37"/>
  <c r="N93" i="37" s="1"/>
  <c r="M319" i="37"/>
  <c r="N319" i="37" s="1"/>
  <c r="M383" i="37"/>
  <c r="N383" i="37" s="1"/>
  <c r="M447" i="37"/>
  <c r="N447" i="37" s="1"/>
  <c r="M511" i="37"/>
  <c r="N511" i="37" s="1"/>
  <c r="M575" i="37"/>
  <c r="N575" i="37" s="1"/>
  <c r="M639" i="37"/>
  <c r="N639" i="37" s="1"/>
  <c r="M703" i="37"/>
  <c r="N703" i="37" s="1"/>
  <c r="M767" i="37"/>
  <c r="N767" i="37" s="1"/>
  <c r="M831" i="37"/>
  <c r="N831" i="37" s="1"/>
  <c r="M600" i="37"/>
  <c r="N600" i="37" s="1"/>
  <c r="M229" i="37"/>
  <c r="N229" i="37" s="1"/>
  <c r="M153" i="37"/>
  <c r="N153" i="37" s="1"/>
  <c r="M334" i="37"/>
  <c r="N334" i="37" s="1"/>
  <c r="M398" i="37"/>
  <c r="N398" i="37" s="1"/>
  <c r="M462" i="37"/>
  <c r="N462" i="37" s="1"/>
  <c r="M526" i="37"/>
  <c r="N526" i="37" s="1"/>
  <c r="M590" i="37"/>
  <c r="N590" i="37" s="1"/>
  <c r="M654" i="37"/>
  <c r="N654" i="37" s="1"/>
  <c r="M718" i="37"/>
  <c r="N718" i="37" s="1"/>
  <c r="M782" i="37"/>
  <c r="N782" i="37" s="1"/>
  <c r="M45" i="37"/>
  <c r="N45" i="37" s="1"/>
  <c r="M301" i="37"/>
  <c r="N301" i="37" s="1"/>
  <c r="M371" i="37"/>
  <c r="N371" i="37" s="1"/>
  <c r="M435" i="37"/>
  <c r="N435" i="37" s="1"/>
  <c r="M499" i="37"/>
  <c r="N499" i="37" s="1"/>
  <c r="M563" i="37"/>
  <c r="N563" i="37" s="1"/>
  <c r="M627" i="37"/>
  <c r="N627" i="37" s="1"/>
  <c r="M691" i="37"/>
  <c r="N691" i="37" s="1"/>
  <c r="M755" i="37"/>
  <c r="N755" i="37" s="1"/>
  <c r="M819" i="37"/>
  <c r="N819" i="37" s="1"/>
  <c r="M632" i="37"/>
  <c r="N632" i="37" s="1"/>
  <c r="M117" i="37"/>
  <c r="N117" i="37" s="1"/>
  <c r="M41" i="37"/>
  <c r="N41" i="37" s="1"/>
  <c r="M297" i="37"/>
  <c r="N297" i="37" s="1"/>
  <c r="M370" i="37"/>
  <c r="N370" i="37" s="1"/>
  <c r="M434" i="37"/>
  <c r="N434" i="37" s="1"/>
  <c r="M498" i="37"/>
  <c r="N498" i="37" s="1"/>
  <c r="M562" i="37"/>
  <c r="N562" i="37" s="1"/>
  <c r="M626" i="37"/>
  <c r="N626" i="37" s="1"/>
  <c r="M690" i="37"/>
  <c r="N690" i="37" s="1"/>
  <c r="M754" i="37"/>
  <c r="N754" i="37" s="1"/>
  <c r="M818" i="37"/>
  <c r="N818" i="37" s="1"/>
  <c r="M189" i="37"/>
  <c r="N189" i="37" s="1"/>
  <c r="M343" i="37"/>
  <c r="N343" i="37" s="1"/>
  <c r="M407" i="37"/>
  <c r="N407" i="37" s="1"/>
  <c r="M471" i="37"/>
  <c r="N471" i="37" s="1"/>
  <c r="M535" i="37"/>
  <c r="N535" i="37" s="1"/>
  <c r="M599" i="37"/>
  <c r="N599" i="37" s="1"/>
  <c r="M663" i="37"/>
  <c r="N663" i="37" s="1"/>
  <c r="M727" i="37"/>
  <c r="N727" i="37" s="1"/>
  <c r="M791" i="37"/>
  <c r="N791" i="37" s="1"/>
  <c r="M849" i="37"/>
  <c r="N849" i="37" s="1"/>
  <c r="M390" i="37"/>
  <c r="N390" i="37" s="1"/>
  <c r="M646" i="37"/>
  <c r="N646" i="37" s="1"/>
  <c r="M269" i="37"/>
  <c r="N269" i="37" s="1"/>
  <c r="M555" i="37"/>
  <c r="N555" i="37" s="1"/>
  <c r="M811" i="37"/>
  <c r="N811" i="37" s="1"/>
  <c r="M65" i="37"/>
  <c r="N65" i="37" s="1"/>
  <c r="M409" i="37"/>
  <c r="N409" i="37" s="1"/>
  <c r="M537" i="37"/>
  <c r="N537" i="37" s="1"/>
  <c r="M665" i="37"/>
  <c r="N665" i="37" s="1"/>
  <c r="M793" i="37"/>
  <c r="N793" i="37" s="1"/>
  <c r="M893" i="37"/>
  <c r="N893" i="37" s="1"/>
  <c r="M960" i="37"/>
  <c r="N960" i="37" s="1"/>
  <c r="M273" i="37"/>
  <c r="N273" i="37" s="1"/>
  <c r="M436" i="37"/>
  <c r="N436" i="37" s="1"/>
  <c r="M564" i="37"/>
  <c r="N564" i="37" s="1"/>
  <c r="M692" i="37"/>
  <c r="N692" i="37" s="1"/>
  <c r="M820" i="37"/>
  <c r="N820" i="37" s="1"/>
  <c r="M909" i="37"/>
  <c r="N909" i="37" s="1"/>
  <c r="M870" i="37"/>
  <c r="N870" i="37" s="1"/>
  <c r="M362" i="37"/>
  <c r="N362" i="37" s="1"/>
  <c r="M618" i="37"/>
  <c r="N618" i="37" s="1"/>
  <c r="M157" i="37"/>
  <c r="N157" i="37" s="1"/>
  <c r="M527" i="37"/>
  <c r="N527" i="37" s="1"/>
  <c r="M783" i="37"/>
  <c r="N783" i="37" s="1"/>
  <c r="M217" i="37"/>
  <c r="N217" i="37" s="1"/>
  <c r="M542" i="37"/>
  <c r="N542" i="37" s="1"/>
  <c r="M798" i="37"/>
  <c r="N798" i="37" s="1"/>
  <c r="M451" i="37"/>
  <c r="N451" i="37" s="1"/>
  <c r="M707" i="37"/>
  <c r="N707" i="37" s="1"/>
  <c r="M181" i="37"/>
  <c r="N181" i="37" s="1"/>
  <c r="M450" i="37"/>
  <c r="N450" i="37" s="1"/>
  <c r="M706" i="37"/>
  <c r="N706" i="37" s="1"/>
  <c r="M359" i="37"/>
  <c r="N359" i="37" s="1"/>
  <c r="M615" i="37"/>
  <c r="N615" i="37" s="1"/>
  <c r="M197" i="37"/>
  <c r="N197" i="37" s="1"/>
  <c r="M619" i="37"/>
  <c r="N619" i="37" s="1"/>
  <c r="M345" i="37"/>
  <c r="N345" i="37" s="1"/>
  <c r="M601" i="37"/>
  <c r="N601" i="37" s="1"/>
  <c r="M850" i="37"/>
  <c r="N850" i="37" s="1"/>
  <c r="M992" i="37"/>
  <c r="N992" i="37" s="1"/>
  <c r="M500" i="37"/>
  <c r="N500" i="37" s="1"/>
  <c r="M756" i="37"/>
  <c r="N756" i="37" s="1"/>
  <c r="M941" i="37"/>
  <c r="N941" i="37" s="1"/>
  <c r="M289" i="37"/>
  <c r="N289" i="37" s="1"/>
  <c r="M437" i="37"/>
  <c r="N437" i="37" s="1"/>
  <c r="M565" i="37"/>
  <c r="N565" i="37" s="1"/>
  <c r="M693" i="37"/>
  <c r="N693" i="37" s="1"/>
  <c r="M821" i="37"/>
  <c r="N821" i="37" s="1"/>
  <c r="M910" i="37"/>
  <c r="N910" i="37" s="1"/>
  <c r="M974" i="37"/>
  <c r="N974" i="37" s="1"/>
  <c r="M544" i="37"/>
  <c r="N544" i="37" s="1"/>
  <c r="M963" i="37"/>
  <c r="N963" i="37" s="1"/>
  <c r="M712" i="37"/>
  <c r="N712" i="37" s="1"/>
  <c r="M368" i="37"/>
  <c r="N368" i="37" s="1"/>
  <c r="M865" i="37"/>
  <c r="N865" i="37" s="1"/>
  <c r="M308" i="37"/>
  <c r="N308" i="37" s="1"/>
  <c r="M244" i="37"/>
  <c r="N244" i="37" s="1"/>
  <c r="M180" i="37"/>
  <c r="N180" i="37" s="1"/>
  <c r="M116" i="37"/>
  <c r="N116" i="37" s="1"/>
  <c r="M52" i="37"/>
  <c r="N52" i="37" s="1"/>
  <c r="M291" i="37"/>
  <c r="N291" i="37" s="1"/>
  <c r="M227" i="37"/>
  <c r="N227" i="37" s="1"/>
  <c r="M163" i="37"/>
  <c r="N163" i="37" s="1"/>
  <c r="M99" i="37"/>
  <c r="N99" i="37" s="1"/>
  <c r="M35" i="37"/>
  <c r="N35" i="37" s="1"/>
  <c r="M274" i="37"/>
  <c r="N274" i="37" s="1"/>
  <c r="M261" i="37"/>
  <c r="N261" i="37" s="1"/>
  <c r="M470" i="37"/>
  <c r="N470" i="37" s="1"/>
  <c r="M726" i="37"/>
  <c r="N726" i="37" s="1"/>
  <c r="M379" i="37"/>
  <c r="N379" i="37" s="1"/>
  <c r="M635" i="37"/>
  <c r="N635" i="37" s="1"/>
  <c r="M863" i="37"/>
  <c r="N863" i="37" s="1"/>
  <c r="M321" i="37"/>
  <c r="N321" i="37" s="1"/>
  <c r="M449" i="37"/>
  <c r="N449" i="37" s="1"/>
  <c r="M577" i="37"/>
  <c r="N577" i="37" s="1"/>
  <c r="M705" i="37"/>
  <c r="N705" i="37" s="1"/>
  <c r="M833" i="37"/>
  <c r="N833" i="37" s="1"/>
  <c r="M916" i="37"/>
  <c r="N916" i="37" s="1"/>
  <c r="M980" i="37"/>
  <c r="N980" i="37" s="1"/>
  <c r="M348" i="37"/>
  <c r="N348" i="37" s="1"/>
  <c r="M476" i="37"/>
  <c r="N476" i="37" s="1"/>
  <c r="M604" i="37"/>
  <c r="N604" i="37" s="1"/>
  <c r="M732" i="37"/>
  <c r="N732" i="37" s="1"/>
  <c r="M852" i="37"/>
  <c r="N852" i="37" s="1"/>
  <c r="M249" i="37"/>
  <c r="N249" i="37" s="1"/>
  <c r="M550" i="37"/>
  <c r="N550" i="37" s="1"/>
  <c r="M806" i="37"/>
  <c r="N806" i="37" s="1"/>
  <c r="M459" i="37"/>
  <c r="N459" i="37" s="1"/>
  <c r="M715" i="37"/>
  <c r="N715" i="37" s="1"/>
  <c r="M883" i="37"/>
  <c r="N883" i="37" s="1"/>
  <c r="M361" i="37"/>
  <c r="N361" i="37" s="1"/>
  <c r="M489" i="37"/>
  <c r="N489" i="37" s="1"/>
  <c r="M617" i="37"/>
  <c r="N617" i="37" s="1"/>
  <c r="M745" i="37"/>
  <c r="N745" i="37" s="1"/>
  <c r="M861" i="37"/>
  <c r="N861" i="37" s="1"/>
  <c r="M936" i="37"/>
  <c r="N936" i="37" s="1"/>
  <c r="M1000" i="37"/>
  <c r="N1000" i="37" s="1"/>
  <c r="M388" i="37"/>
  <c r="N388" i="37" s="1"/>
  <c r="M516" i="37"/>
  <c r="N516" i="37" s="1"/>
  <c r="M644" i="37"/>
  <c r="N644" i="37" s="1"/>
  <c r="M772" i="37"/>
  <c r="N772" i="37" s="1"/>
  <c r="M878" i="37"/>
  <c r="N878" i="37" s="1"/>
  <c r="M949" i="37"/>
  <c r="N949" i="37" s="1"/>
  <c r="M664" i="37"/>
  <c r="N664" i="37" s="1"/>
  <c r="M85" i="37"/>
  <c r="N85" i="37" s="1"/>
  <c r="M426" i="37"/>
  <c r="N426" i="37" s="1"/>
  <c r="M682" i="37"/>
  <c r="N682" i="37" s="1"/>
  <c r="M335" i="37"/>
  <c r="N335" i="37" s="1"/>
  <c r="M591" i="37"/>
  <c r="N591" i="37" s="1"/>
  <c r="M847" i="37"/>
  <c r="N847" i="37" s="1"/>
  <c r="M350" i="37"/>
  <c r="N350" i="37" s="1"/>
  <c r="M606" i="37"/>
  <c r="N606" i="37" s="1"/>
  <c r="M109" i="37"/>
  <c r="N109" i="37" s="1"/>
  <c r="M515" i="37"/>
  <c r="N515" i="37" s="1"/>
  <c r="M771" i="37"/>
  <c r="N771" i="37" s="1"/>
  <c r="M105" i="37"/>
  <c r="N105" i="37" s="1"/>
  <c r="M514" i="37"/>
  <c r="N514" i="37" s="1"/>
  <c r="M770" i="37"/>
  <c r="N770" i="37" s="1"/>
  <c r="M423" i="37"/>
  <c r="N423" i="37" s="1"/>
  <c r="M679" i="37"/>
  <c r="N679" i="37" s="1"/>
  <c r="M454" i="37"/>
  <c r="N454" i="37" s="1"/>
  <c r="M859" i="37"/>
  <c r="N859" i="37" s="1"/>
  <c r="M441" i="37"/>
  <c r="N441" i="37" s="1"/>
  <c r="M697" i="37"/>
  <c r="N697" i="37" s="1"/>
  <c r="M912" i="37"/>
  <c r="N912" i="37" s="1"/>
  <c r="M340" i="37"/>
  <c r="N340" i="37" s="1"/>
  <c r="M596" i="37"/>
  <c r="N596" i="37" s="1"/>
  <c r="M846" i="37"/>
  <c r="N846" i="37" s="1"/>
  <c r="M973" i="37"/>
  <c r="N973" i="37" s="1"/>
  <c r="M341" i="37"/>
  <c r="N341" i="37" s="1"/>
  <c r="M469" i="37"/>
  <c r="N469" i="37" s="1"/>
  <c r="M597" i="37"/>
  <c r="N597" i="37" s="1"/>
  <c r="M725" i="37"/>
  <c r="N725" i="37" s="1"/>
  <c r="M848" i="37"/>
  <c r="N848" i="37" s="1"/>
  <c r="M926" i="37"/>
  <c r="N926" i="37" s="1"/>
  <c r="M990" i="37"/>
  <c r="N990" i="37" s="1"/>
  <c r="M672" i="37"/>
  <c r="N672" i="37" s="1"/>
  <c r="M328" i="37"/>
  <c r="N328" i="37" s="1"/>
  <c r="M838" i="37"/>
  <c r="N838" i="37" s="1"/>
  <c r="M496" i="37"/>
  <c r="N496" i="37" s="1"/>
  <c r="M939" i="37"/>
  <c r="N939" i="37" s="1"/>
  <c r="M292" i="37"/>
  <c r="N292" i="37" s="1"/>
  <c r="M228" i="37"/>
  <c r="N228" i="37" s="1"/>
  <c r="M164" i="37"/>
  <c r="N164" i="37" s="1"/>
  <c r="M100" i="37"/>
  <c r="N100" i="37" s="1"/>
  <c r="M36" i="37"/>
  <c r="N36" i="37" s="1"/>
  <c r="M275" i="37"/>
  <c r="N275" i="37" s="1"/>
  <c r="M211" i="37"/>
  <c r="N211" i="37" s="1"/>
  <c r="M147" i="37"/>
  <c r="N147" i="37" s="1"/>
  <c r="M83" i="37"/>
  <c r="N83" i="37" s="1"/>
  <c r="M19" i="37"/>
  <c r="N19" i="37" s="1"/>
  <c r="M258" i="37"/>
  <c r="N258" i="37" s="1"/>
  <c r="M185" i="37"/>
  <c r="N185" i="37" s="1"/>
  <c r="M534" i="37"/>
  <c r="N534" i="37" s="1"/>
  <c r="M790" i="37"/>
  <c r="N790" i="37" s="1"/>
  <c r="M443" i="37"/>
  <c r="N443" i="37" s="1"/>
  <c r="M699" i="37"/>
  <c r="N699" i="37" s="1"/>
  <c r="M879" i="37"/>
  <c r="N879" i="37" s="1"/>
  <c r="M353" i="37"/>
  <c r="N353" i="37" s="1"/>
  <c r="M481" i="37"/>
  <c r="N481" i="37" s="1"/>
  <c r="M609" i="37"/>
  <c r="N609" i="37" s="1"/>
  <c r="M737" i="37"/>
  <c r="N737" i="37" s="1"/>
  <c r="M856" i="37"/>
  <c r="N856" i="37" s="1"/>
  <c r="M932" i="37"/>
  <c r="N932" i="37" s="1"/>
  <c r="M996" i="37"/>
  <c r="N996" i="37" s="1"/>
  <c r="M380" i="37"/>
  <c r="N380" i="37" s="1"/>
  <c r="M508" i="37"/>
  <c r="N508" i="37" s="1"/>
  <c r="M9" i="37"/>
  <c r="N9" i="37" s="1"/>
  <c r="M490" i="37"/>
  <c r="N490" i="37" s="1"/>
  <c r="M746" i="37"/>
  <c r="N746" i="37" s="1"/>
  <c r="M399" i="37"/>
  <c r="N399" i="37" s="1"/>
  <c r="M655" i="37"/>
  <c r="N655" i="37" s="1"/>
  <c r="M37" i="37"/>
  <c r="N37" i="37" s="1"/>
  <c r="M414" i="37"/>
  <c r="N414" i="37" s="1"/>
  <c r="M670" i="37"/>
  <c r="N670" i="37" s="1"/>
  <c r="M323" i="37"/>
  <c r="N323" i="37" s="1"/>
  <c r="M579" i="37"/>
  <c r="N579" i="37" s="1"/>
  <c r="M835" i="37"/>
  <c r="N835" i="37" s="1"/>
  <c r="M322" i="37"/>
  <c r="N322" i="37" s="1"/>
  <c r="M578" i="37"/>
  <c r="N578" i="37" s="1"/>
  <c r="M834" i="37"/>
  <c r="N834" i="37" s="1"/>
  <c r="M487" i="37"/>
  <c r="N487" i="37" s="1"/>
  <c r="M743" i="37"/>
  <c r="N743" i="37" s="1"/>
  <c r="M710" i="37"/>
  <c r="N710" i="37" s="1"/>
  <c r="M875" i="37"/>
  <c r="N875" i="37" s="1"/>
  <c r="M473" i="37"/>
  <c r="N473" i="37" s="1"/>
  <c r="M729" i="37"/>
  <c r="N729" i="37" s="1"/>
  <c r="M928" i="37"/>
  <c r="N928" i="37" s="1"/>
  <c r="M372" i="37"/>
  <c r="N372" i="37" s="1"/>
  <c r="M628" i="37"/>
  <c r="N628" i="37" s="1"/>
  <c r="M868" i="37"/>
  <c r="N868" i="37" s="1"/>
  <c r="M989" i="37"/>
  <c r="N989" i="37" s="1"/>
  <c r="M373" i="37"/>
  <c r="N373" i="37" s="1"/>
  <c r="M501" i="37"/>
  <c r="N501" i="37" s="1"/>
  <c r="M629" i="37"/>
  <c r="N629" i="37" s="1"/>
  <c r="M757" i="37"/>
  <c r="N757" i="37" s="1"/>
  <c r="M869" i="37"/>
  <c r="N869" i="37" s="1"/>
  <c r="M942" i="37"/>
  <c r="N942" i="37" s="1"/>
  <c r="M113" i="37"/>
  <c r="N113" i="37" s="1"/>
  <c r="M800" i="37"/>
  <c r="N800" i="37" s="1"/>
  <c r="M456" i="37"/>
  <c r="N456" i="37" s="1"/>
  <c r="M919" i="37"/>
  <c r="N919" i="37" s="1"/>
  <c r="M624" i="37"/>
  <c r="N624" i="37" s="1"/>
  <c r="M1003" i="37"/>
  <c r="N1003" i="37" s="1"/>
  <c r="M276" i="37"/>
  <c r="N276" i="37" s="1"/>
  <c r="M212" i="37"/>
  <c r="N212" i="37" s="1"/>
  <c r="M148" i="37"/>
  <c r="N148" i="37" s="1"/>
  <c r="M84" i="37"/>
  <c r="N84" i="37" s="1"/>
  <c r="M20" i="37"/>
  <c r="N20" i="37" s="1"/>
  <c r="M259" i="37"/>
  <c r="N259" i="37" s="1"/>
  <c r="M195" i="37"/>
  <c r="N195" i="37" s="1"/>
  <c r="M131" i="37"/>
  <c r="N131" i="37" s="1"/>
  <c r="M67" i="37"/>
  <c r="N67" i="37" s="1"/>
  <c r="M306" i="37"/>
  <c r="N306" i="37" s="1"/>
  <c r="M242" i="37"/>
  <c r="N242" i="37" s="1"/>
  <c r="M342" i="37"/>
  <c r="N342" i="37" s="1"/>
  <c r="M598" i="37"/>
  <c r="N598" i="37" s="1"/>
  <c r="M77" i="37"/>
  <c r="N77" i="37" s="1"/>
  <c r="M507" i="37"/>
  <c r="N507" i="37" s="1"/>
  <c r="M763" i="37"/>
  <c r="N763" i="37" s="1"/>
  <c r="M895" i="37"/>
  <c r="N895" i="37" s="1"/>
  <c r="M385" i="37"/>
  <c r="N385" i="37" s="1"/>
  <c r="M513" i="37"/>
  <c r="N513" i="37" s="1"/>
  <c r="M641" i="37"/>
  <c r="N641" i="37" s="1"/>
  <c r="M769" i="37"/>
  <c r="N769" i="37" s="1"/>
  <c r="M877" i="37"/>
  <c r="N877" i="37" s="1"/>
  <c r="M948" i="37"/>
  <c r="N948" i="37" s="1"/>
  <c r="M81" i="37"/>
  <c r="N81" i="37" s="1"/>
  <c r="M412" i="37"/>
  <c r="N412" i="37" s="1"/>
  <c r="M540" i="37"/>
  <c r="N540" i="37" s="1"/>
  <c r="M668" i="37"/>
  <c r="N668" i="37" s="1"/>
  <c r="M796" i="37"/>
  <c r="N796" i="37" s="1"/>
  <c r="M69" i="37"/>
  <c r="N69" i="37" s="1"/>
  <c r="M422" i="37"/>
  <c r="N422" i="37" s="1"/>
  <c r="M678" i="37"/>
  <c r="N678" i="37" s="1"/>
  <c r="M331" i="37"/>
  <c r="N331" i="37" s="1"/>
  <c r="M587" i="37"/>
  <c r="N587" i="37" s="1"/>
  <c r="M843" i="37"/>
  <c r="N843" i="37" s="1"/>
  <c r="M193" i="37"/>
  <c r="N193" i="37" s="1"/>
  <c r="M425" i="37"/>
  <c r="N425" i="37" s="1"/>
  <c r="M553" i="37"/>
  <c r="N553" i="37" s="1"/>
  <c r="M681" i="37"/>
  <c r="N681" i="37" s="1"/>
  <c r="M809" i="37"/>
  <c r="N809" i="37" s="1"/>
  <c r="M904" i="37"/>
  <c r="N904" i="37" s="1"/>
  <c r="M968" i="37"/>
  <c r="N968" i="37" s="1"/>
  <c r="M324" i="37"/>
  <c r="N324" i="37" s="1"/>
  <c r="M452" i="37"/>
  <c r="N452" i="37" s="1"/>
  <c r="M580" i="37"/>
  <c r="N580" i="37" s="1"/>
  <c r="M708" i="37"/>
  <c r="N708" i="37" s="1"/>
  <c r="M836" i="37"/>
  <c r="N836" i="37" s="1"/>
  <c r="M917" i="37"/>
  <c r="N917" i="37" s="1"/>
  <c r="M981" i="37"/>
  <c r="N981" i="37" s="1"/>
  <c r="M357" i="37"/>
  <c r="N357" i="37" s="1"/>
  <c r="M485" i="37"/>
  <c r="N485" i="37" s="1"/>
  <c r="M613" i="37"/>
  <c r="N613" i="37" s="1"/>
  <c r="M741" i="37"/>
  <c r="N741" i="37" s="1"/>
  <c r="M858" i="37"/>
  <c r="N858" i="37" s="1"/>
  <c r="M934" i="37"/>
  <c r="N934" i="37" s="1"/>
  <c r="M998" i="37"/>
  <c r="N998" i="37" s="1"/>
  <c r="M736" i="37"/>
  <c r="N736" i="37" s="1"/>
  <c r="M392" i="37"/>
  <c r="N392" i="37" s="1"/>
  <c r="M881" i="37"/>
  <c r="N881" i="37" s="1"/>
  <c r="M560" i="37"/>
  <c r="N560" i="37" s="1"/>
  <c r="M971" i="37"/>
  <c r="N971" i="37" s="1"/>
  <c r="M284" i="37"/>
  <c r="N284" i="37" s="1"/>
  <c r="M554" i="37"/>
  <c r="N554" i="37" s="1"/>
  <c r="M293" i="37"/>
  <c r="N293" i="37" s="1"/>
  <c r="M643" i="37"/>
  <c r="N643" i="37" s="1"/>
  <c r="M253" i="37"/>
  <c r="N253" i="37" s="1"/>
  <c r="M312" i="37"/>
  <c r="N312" i="37" s="1"/>
  <c r="M468" i="37"/>
  <c r="N468" i="37" s="1"/>
  <c r="M405" i="37"/>
  <c r="N405" i="37" s="1"/>
  <c r="M890" i="37"/>
  <c r="N890" i="37" s="1"/>
  <c r="M584" i="37"/>
  <c r="N584" i="37" s="1"/>
  <c r="M260" i="37"/>
  <c r="N260" i="37" s="1"/>
  <c r="M307" i="37"/>
  <c r="N307" i="37" s="1"/>
  <c r="M51" i="37"/>
  <c r="N51" i="37" s="1"/>
  <c r="M662" i="37"/>
  <c r="N662" i="37" s="1"/>
  <c r="M129" i="37"/>
  <c r="N129" i="37" s="1"/>
  <c r="M801" i="37"/>
  <c r="N801" i="37" s="1"/>
  <c r="M444" i="37"/>
  <c r="N444" i="37" s="1"/>
  <c r="M764" i="37"/>
  <c r="N764" i="37" s="1"/>
  <c r="M358" i="37"/>
  <c r="N358" i="37" s="1"/>
  <c r="M141" i="37"/>
  <c r="N141" i="37" s="1"/>
  <c r="M779" i="37"/>
  <c r="N779" i="37" s="1"/>
  <c r="M393" i="37"/>
  <c r="N393" i="37" s="1"/>
  <c r="M649" i="37"/>
  <c r="N649" i="37" s="1"/>
  <c r="M882" i="37"/>
  <c r="N882" i="37" s="1"/>
  <c r="M145" i="37"/>
  <c r="N145" i="37" s="1"/>
  <c r="M548" i="37"/>
  <c r="N548" i="37" s="1"/>
  <c r="M804" i="37"/>
  <c r="N804" i="37" s="1"/>
  <c r="M965" i="37"/>
  <c r="N965" i="37" s="1"/>
  <c r="M389" i="37"/>
  <c r="N389" i="37" s="1"/>
  <c r="M549" i="37"/>
  <c r="N549" i="37" s="1"/>
  <c r="M709" i="37"/>
  <c r="N709" i="37" s="1"/>
  <c r="M880" i="37"/>
  <c r="N880" i="37" s="1"/>
  <c r="M966" i="37"/>
  <c r="N966" i="37" s="1"/>
  <c r="M608" i="37"/>
  <c r="N608" i="37" s="1"/>
  <c r="M520" i="37"/>
  <c r="N520" i="37" s="1"/>
  <c r="M241" i="37"/>
  <c r="N241" i="37" s="1"/>
  <c r="M907" i="37"/>
  <c r="N907" i="37" s="1"/>
  <c r="M268" i="37"/>
  <c r="N268" i="37" s="1"/>
  <c r="M204" i="37"/>
  <c r="N204" i="37" s="1"/>
  <c r="M140" i="37"/>
  <c r="N140" i="37" s="1"/>
  <c r="M76" i="37"/>
  <c r="N76" i="37" s="1"/>
  <c r="M12" i="37"/>
  <c r="N12" i="37" s="1"/>
  <c r="M251" i="37"/>
  <c r="N251" i="37" s="1"/>
  <c r="M187" i="37"/>
  <c r="N187" i="37" s="1"/>
  <c r="M123" i="37"/>
  <c r="N123" i="37" s="1"/>
  <c r="M59" i="37"/>
  <c r="N59" i="37" s="1"/>
  <c r="M298" i="37"/>
  <c r="N298" i="37" s="1"/>
  <c r="M57" i="37"/>
  <c r="N57" i="37" s="1"/>
  <c r="M667" i="37"/>
  <c r="N667" i="37" s="1"/>
  <c r="M593" i="37"/>
  <c r="N593" i="37" s="1"/>
  <c r="M988" i="37"/>
  <c r="N988" i="37" s="1"/>
  <c r="M748" i="37"/>
  <c r="N748" i="37" s="1"/>
  <c r="M969" i="37"/>
  <c r="N969" i="37" s="1"/>
  <c r="M461" i="37"/>
  <c r="N461" i="37" s="1"/>
  <c r="M717" i="37"/>
  <c r="N717" i="37" s="1"/>
  <c r="M922" i="37"/>
  <c r="N922" i="37" s="1"/>
  <c r="M640" i="37"/>
  <c r="N640" i="37" s="1"/>
  <c r="M808" i="37"/>
  <c r="N808" i="37" s="1"/>
  <c r="M923" i="37"/>
  <c r="N923" i="37" s="1"/>
  <c r="M232" i="37"/>
  <c r="N232" i="37" s="1"/>
  <c r="M104" i="37"/>
  <c r="N104" i="37" s="1"/>
  <c r="M279" i="37"/>
  <c r="N279" i="37" s="1"/>
  <c r="M151" i="37"/>
  <c r="N151" i="37" s="1"/>
  <c r="M23" i="37"/>
  <c r="N23" i="37" s="1"/>
  <c r="M218" i="37"/>
  <c r="N218" i="37" s="1"/>
  <c r="M810" i="37"/>
  <c r="N810" i="37" s="1"/>
  <c r="M478" i="37"/>
  <c r="N478" i="37" s="1"/>
  <c r="M927" i="37"/>
  <c r="N927" i="37" s="1"/>
  <c r="M551" i="37"/>
  <c r="N551" i="37" s="1"/>
  <c r="M569" i="37"/>
  <c r="N569" i="37" s="1"/>
  <c r="M724" i="37"/>
  <c r="N724" i="37" s="1"/>
  <c r="M533" i="37"/>
  <c r="N533" i="37" s="1"/>
  <c r="M958" i="37"/>
  <c r="N958" i="37" s="1"/>
  <c r="M983" i="37"/>
  <c r="N983" i="37" s="1"/>
  <c r="M196" i="37"/>
  <c r="N196" i="37" s="1"/>
  <c r="M243" i="37"/>
  <c r="N243" i="37" s="1"/>
  <c r="M290" i="37"/>
  <c r="N290" i="37" s="1"/>
  <c r="M315" i="37"/>
  <c r="N315" i="37" s="1"/>
  <c r="M417" i="37"/>
  <c r="N417" i="37" s="1"/>
  <c r="M898" i="37"/>
  <c r="N898" i="37" s="1"/>
  <c r="M572" i="37"/>
  <c r="N572" i="37" s="1"/>
  <c r="M828" i="37"/>
  <c r="N828" i="37" s="1"/>
  <c r="M486" i="37"/>
  <c r="N486" i="37" s="1"/>
  <c r="M395" i="37"/>
  <c r="N395" i="37" s="1"/>
  <c r="M867" i="37"/>
  <c r="N867" i="37" s="1"/>
  <c r="M457" i="37"/>
  <c r="N457" i="37" s="1"/>
  <c r="M713" i="37"/>
  <c r="N713" i="37" s="1"/>
  <c r="M920" i="37"/>
  <c r="N920" i="37" s="1"/>
  <c r="M356" i="37"/>
  <c r="N356" i="37" s="1"/>
  <c r="M612" i="37"/>
  <c r="N612" i="37" s="1"/>
  <c r="M857" i="37"/>
  <c r="N857" i="37" s="1"/>
  <c r="M997" i="37"/>
  <c r="N997" i="37" s="1"/>
  <c r="M421" i="37"/>
  <c r="N421" i="37" s="1"/>
  <c r="M581" i="37"/>
  <c r="N581" i="37" s="1"/>
  <c r="M773" i="37"/>
  <c r="N773" i="37" s="1"/>
  <c r="M901" i="37"/>
  <c r="N901" i="37" s="1"/>
  <c r="M982" i="37"/>
  <c r="N982" i="37" s="1"/>
  <c r="M854" i="37"/>
  <c r="N854" i="37" s="1"/>
  <c r="M648" i="37"/>
  <c r="N648" i="37" s="1"/>
  <c r="M432" i="37"/>
  <c r="N432" i="37" s="1"/>
  <c r="M911" i="37"/>
  <c r="N911" i="37" s="1"/>
  <c r="M252" i="37"/>
  <c r="N252" i="37" s="1"/>
  <c r="M188" i="37"/>
  <c r="N188" i="37" s="1"/>
  <c r="M124" i="37"/>
  <c r="N124" i="37" s="1"/>
  <c r="M60" i="37"/>
  <c r="N60" i="37" s="1"/>
  <c r="M299" i="37"/>
  <c r="N299" i="37" s="1"/>
  <c r="M235" i="37"/>
  <c r="N235" i="37" s="1"/>
  <c r="M171" i="37"/>
  <c r="N171" i="37" s="1"/>
  <c r="M107" i="37"/>
  <c r="N107" i="37" s="1"/>
  <c r="M43" i="37"/>
  <c r="N43" i="37" s="1"/>
  <c r="M282" i="37"/>
  <c r="N282" i="37" s="1"/>
  <c r="M502" i="37"/>
  <c r="N502" i="37" s="1"/>
  <c r="M871" i="37"/>
  <c r="N871" i="37" s="1"/>
  <c r="M721" i="37"/>
  <c r="N721" i="37" s="1"/>
  <c r="M364" i="37"/>
  <c r="N364" i="37" s="1"/>
  <c r="M862" i="37"/>
  <c r="N862" i="37" s="1"/>
  <c r="M1001" i="37"/>
  <c r="N1001" i="37" s="1"/>
  <c r="M525" i="37"/>
  <c r="N525" i="37" s="1"/>
  <c r="M781" i="37"/>
  <c r="N781" i="37" s="1"/>
  <c r="M954" i="37"/>
  <c r="N954" i="37" s="1"/>
  <c r="M876" i="37"/>
  <c r="N876" i="37" s="1"/>
  <c r="M967" i="37"/>
  <c r="N967" i="37" s="1"/>
  <c r="M824" i="37"/>
  <c r="N824" i="37" s="1"/>
  <c r="M200" i="37"/>
  <c r="N200" i="37" s="1"/>
  <c r="M72" i="37"/>
  <c r="N72" i="37" s="1"/>
  <c r="M247" i="37"/>
  <c r="N247" i="37" s="1"/>
  <c r="M119" i="37"/>
  <c r="N119" i="37" s="1"/>
  <c r="M294" i="37"/>
  <c r="N294" i="37" s="1"/>
  <c r="M202" i="37"/>
  <c r="N202" i="37" s="1"/>
  <c r="M138" i="37"/>
  <c r="N138" i="37" s="1"/>
  <c r="M74" i="37"/>
  <c r="N74" i="37" s="1"/>
  <c r="M10" i="37"/>
  <c r="N10" i="37" s="1"/>
  <c r="M817" i="37"/>
  <c r="N817" i="37" s="1"/>
  <c r="M381" i="37"/>
  <c r="N381" i="37" s="1"/>
  <c r="M320" i="37"/>
  <c r="N320" i="37" s="1"/>
  <c r="M240" i="37"/>
  <c r="N240" i="37" s="1"/>
  <c r="M159" i="37"/>
  <c r="N159" i="37" s="1"/>
  <c r="M190" i="37"/>
  <c r="N190" i="37" s="1"/>
  <c r="M310" i="37"/>
  <c r="N310" i="37" s="1"/>
  <c r="M731" i="37"/>
  <c r="N731" i="37" s="1"/>
  <c r="M625" i="37"/>
  <c r="N625" i="37" s="1"/>
  <c r="M1004" i="37"/>
  <c r="N1004" i="37" s="1"/>
  <c r="M780" i="37"/>
  <c r="N780" i="37" s="1"/>
  <c r="M977" i="37"/>
  <c r="N977" i="37" s="1"/>
  <c r="M477" i="37"/>
  <c r="N477" i="37" s="1"/>
  <c r="M733" i="37"/>
  <c r="N733" i="37" s="1"/>
  <c r="M930" i="37"/>
  <c r="N930" i="37" s="1"/>
  <c r="M704" i="37"/>
  <c r="N704" i="37" s="1"/>
  <c r="M860" i="37"/>
  <c r="N860" i="37" s="1"/>
  <c r="M955" i="37"/>
  <c r="N955" i="37" s="1"/>
  <c r="M792" i="37"/>
  <c r="N792" i="37" s="1"/>
  <c r="M463" i="37"/>
  <c r="N463" i="37" s="1"/>
  <c r="M734" i="37"/>
  <c r="N734" i="37" s="1"/>
  <c r="M386" i="37"/>
  <c r="N386" i="37" s="1"/>
  <c r="M807" i="37"/>
  <c r="N807" i="37" s="1"/>
  <c r="M825" i="37"/>
  <c r="N825" i="37" s="1"/>
  <c r="M925" i="37"/>
  <c r="N925" i="37" s="1"/>
  <c r="M661" i="37"/>
  <c r="N661" i="37" s="1"/>
  <c r="M416" i="37"/>
  <c r="N416" i="37" s="1"/>
  <c r="M752" i="37"/>
  <c r="N752" i="37" s="1"/>
  <c r="M132" i="37"/>
  <c r="N132" i="37" s="1"/>
  <c r="M179" i="37"/>
  <c r="N179" i="37" s="1"/>
  <c r="M5" i="37"/>
  <c r="N5" i="37" s="1"/>
  <c r="M571" i="37"/>
  <c r="N571" i="37" s="1"/>
  <c r="M545" i="37"/>
  <c r="N545" i="37" s="1"/>
  <c r="M964" i="37"/>
  <c r="N964" i="37" s="1"/>
  <c r="M636" i="37"/>
  <c r="N636" i="37" s="1"/>
  <c r="M943" i="37"/>
  <c r="N943" i="37" s="1"/>
  <c r="M614" i="37"/>
  <c r="N614" i="37" s="1"/>
  <c r="M523" i="37"/>
  <c r="N523" i="37" s="1"/>
  <c r="M899" i="37"/>
  <c r="N899" i="37" s="1"/>
  <c r="M521" i="37"/>
  <c r="N521" i="37" s="1"/>
  <c r="M777" i="37"/>
  <c r="N777" i="37" s="1"/>
  <c r="M952" i="37"/>
  <c r="N952" i="37" s="1"/>
  <c r="M420" i="37"/>
  <c r="N420" i="37" s="1"/>
  <c r="M676" i="37"/>
  <c r="N676" i="37" s="1"/>
  <c r="M900" i="37"/>
  <c r="N900" i="37" s="1"/>
  <c r="M161" i="37"/>
  <c r="N161" i="37" s="1"/>
  <c r="M453" i="37"/>
  <c r="N453" i="37" s="1"/>
  <c r="M645" i="37"/>
  <c r="N645" i="37" s="1"/>
  <c r="M805" i="37"/>
  <c r="N805" i="37" s="1"/>
  <c r="M918" i="37"/>
  <c r="N918" i="37" s="1"/>
  <c r="M352" i="37"/>
  <c r="N352" i="37" s="1"/>
  <c r="M931" i="37"/>
  <c r="N931" i="37" s="1"/>
  <c r="M776" i="37"/>
  <c r="N776" i="37" s="1"/>
  <c r="M688" i="37"/>
  <c r="N688" i="37" s="1"/>
  <c r="M440" i="37"/>
  <c r="N440" i="37" s="1"/>
  <c r="M236" i="37"/>
  <c r="N236" i="37" s="1"/>
  <c r="M172" i="37"/>
  <c r="N172" i="37" s="1"/>
  <c r="M108" i="37"/>
  <c r="N108" i="37" s="1"/>
  <c r="M44" i="37"/>
  <c r="N44" i="37" s="1"/>
  <c r="M283" i="37"/>
  <c r="N283" i="37" s="1"/>
  <c r="M219" i="37"/>
  <c r="N219" i="37" s="1"/>
  <c r="M155" i="37"/>
  <c r="N155" i="37" s="1"/>
  <c r="M91" i="37"/>
  <c r="N91" i="37" s="1"/>
  <c r="M27" i="37"/>
  <c r="N27" i="37" s="1"/>
  <c r="M266" i="37"/>
  <c r="N266" i="37" s="1"/>
  <c r="M758" i="37"/>
  <c r="N758" i="37" s="1"/>
  <c r="M337" i="37"/>
  <c r="N337" i="37" s="1"/>
  <c r="M845" i="37"/>
  <c r="N845" i="37" s="1"/>
  <c r="M492" i="37"/>
  <c r="N492" i="37" s="1"/>
  <c r="M905" i="37"/>
  <c r="N905" i="37" s="1"/>
  <c r="M333" i="37"/>
  <c r="N333" i="37" s="1"/>
  <c r="M589" i="37"/>
  <c r="N589" i="37" s="1"/>
  <c r="M842" i="37"/>
  <c r="N842" i="37" s="1"/>
  <c r="M986" i="37"/>
  <c r="N986" i="37" s="1"/>
  <c r="M177" i="37"/>
  <c r="N177" i="37" s="1"/>
  <c r="M464" i="37"/>
  <c r="N464" i="37" s="1"/>
  <c r="M296" i="37"/>
  <c r="N296" i="37" s="1"/>
  <c r="M168" i="37"/>
  <c r="N168" i="37" s="1"/>
  <c r="M40" i="37"/>
  <c r="N40" i="37" s="1"/>
  <c r="M215" i="37"/>
  <c r="N215" i="37" s="1"/>
  <c r="M87" i="37"/>
  <c r="N87" i="37" s="1"/>
  <c r="M262" i="37"/>
  <c r="N262" i="37" s="1"/>
  <c r="M186" i="37"/>
  <c r="N186" i="37" s="1"/>
  <c r="M122" i="37"/>
  <c r="N122" i="37" s="1"/>
  <c r="M58" i="37"/>
  <c r="N58" i="37" s="1"/>
  <c r="M694" i="37"/>
  <c r="N694" i="37" s="1"/>
  <c r="M332" i="37"/>
  <c r="N332" i="37" s="1"/>
  <c r="M573" i="37"/>
  <c r="N573" i="37" s="1"/>
  <c r="M979" i="37"/>
  <c r="N979" i="37" s="1"/>
  <c r="M144" i="37"/>
  <c r="N144" i="37" s="1"/>
  <c r="M63" i="37"/>
  <c r="N63" i="37" s="1"/>
  <c r="M142" i="37"/>
  <c r="N142" i="37" s="1"/>
  <c r="M566" i="37"/>
  <c r="N566" i="37" s="1"/>
  <c r="M887" i="37"/>
  <c r="N887" i="37" s="1"/>
  <c r="M753" i="37"/>
  <c r="N753" i="37" s="1"/>
  <c r="M396" i="37"/>
  <c r="N396" i="37" s="1"/>
  <c r="M873" i="37"/>
  <c r="N873" i="37" s="1"/>
  <c r="M97" i="37"/>
  <c r="N97" i="37" s="1"/>
  <c r="M541" i="37"/>
  <c r="N541" i="37" s="1"/>
  <c r="M797" i="37"/>
  <c r="N797" i="37" s="1"/>
  <c r="M962" i="37"/>
  <c r="N962" i="37" s="1"/>
  <c r="M915" i="37"/>
  <c r="N915" i="37" s="1"/>
  <c r="M999" i="37"/>
  <c r="N999" i="37" s="1"/>
  <c r="M568" i="37"/>
  <c r="N568" i="37" s="1"/>
  <c r="M192" i="37"/>
  <c r="N192" i="37" s="1"/>
  <c r="M387" i="37"/>
  <c r="N387" i="37" s="1"/>
  <c r="M33" i="37"/>
  <c r="N33" i="37" s="1"/>
  <c r="M68" i="37"/>
  <c r="N68" i="37" s="1"/>
  <c r="M673" i="37"/>
  <c r="N673" i="37" s="1"/>
  <c r="M742" i="37"/>
  <c r="N742" i="37" s="1"/>
  <c r="M840" i="37"/>
  <c r="N840" i="37" s="1"/>
  <c r="M933" i="37"/>
  <c r="N933" i="37" s="1"/>
  <c r="M837" i="37"/>
  <c r="N837" i="37" s="1"/>
  <c r="M951" i="37"/>
  <c r="N951" i="37" s="1"/>
  <c r="M156" i="37"/>
  <c r="N156" i="37" s="1"/>
  <c r="M203" i="37"/>
  <c r="N203" i="37" s="1"/>
  <c r="M250" i="37"/>
  <c r="N250" i="37" s="1"/>
  <c r="M620" i="37"/>
  <c r="N620" i="37" s="1"/>
  <c r="M885" i="37"/>
  <c r="N885" i="37" s="1"/>
  <c r="M264" i="37"/>
  <c r="N264" i="37" s="1"/>
  <c r="M55" i="37"/>
  <c r="N55" i="37" s="1"/>
  <c r="M106" i="37"/>
  <c r="N106" i="37" s="1"/>
  <c r="M855" i="37"/>
  <c r="N855" i="37" s="1"/>
  <c r="M765" i="37"/>
  <c r="N765" i="37" s="1"/>
  <c r="M48" i="37"/>
  <c r="N48" i="37" s="1"/>
  <c r="M94" i="37"/>
  <c r="N94" i="37" s="1"/>
  <c r="M369" i="37"/>
  <c r="N369" i="37" s="1"/>
  <c r="M524" i="37"/>
  <c r="N524" i="37" s="1"/>
  <c r="M349" i="37"/>
  <c r="N349" i="37" s="1"/>
  <c r="M853" i="37"/>
  <c r="N853" i="37" s="1"/>
  <c r="M360" i="37"/>
  <c r="N360" i="37" s="1"/>
  <c r="M288" i="37"/>
  <c r="N288" i="37" s="1"/>
  <c r="M128" i="37"/>
  <c r="N128" i="37" s="1"/>
  <c r="M303" i="37"/>
  <c r="N303" i="37" s="1"/>
  <c r="M175" i="37"/>
  <c r="N175" i="37" s="1"/>
  <c r="M47" i="37"/>
  <c r="N47" i="37" s="1"/>
  <c r="M230" i="37"/>
  <c r="N230" i="37" s="1"/>
  <c r="M166" i="37"/>
  <c r="N166" i="37" s="1"/>
  <c r="M102" i="37"/>
  <c r="N102" i="37" s="1"/>
  <c r="M38" i="37"/>
  <c r="N38" i="37" s="1"/>
  <c r="M438" i="37"/>
  <c r="N438" i="37" s="1"/>
  <c r="M972" i="37"/>
  <c r="N972" i="37" s="1"/>
  <c r="M445" i="37"/>
  <c r="N445" i="37" s="1"/>
  <c r="M576" i="37"/>
  <c r="N576" i="37" s="1"/>
  <c r="M208" i="37"/>
  <c r="N208" i="37" s="1"/>
  <c r="M127" i="37"/>
  <c r="N127" i="37" s="1"/>
  <c r="M126" i="37"/>
  <c r="N126" i="37" s="1"/>
  <c r="M374" i="37"/>
  <c r="N374" i="37" s="1"/>
  <c r="M795" i="37"/>
  <c r="N795" i="37" s="1"/>
  <c r="M657" i="37"/>
  <c r="N657" i="37" s="1"/>
  <c r="M209" i="37"/>
  <c r="N209" i="37" s="1"/>
  <c r="M812" i="37"/>
  <c r="N812" i="37" s="1"/>
  <c r="M985" i="37"/>
  <c r="N985" i="37" s="1"/>
  <c r="M493" i="37"/>
  <c r="N493" i="37" s="1"/>
  <c r="M749" i="37"/>
  <c r="N749" i="37" s="1"/>
  <c r="M938" i="37"/>
  <c r="N938" i="37" s="1"/>
  <c r="M768" i="37"/>
  <c r="N768" i="37" s="1"/>
  <c r="M902" i="37"/>
  <c r="N902" i="37" s="1"/>
  <c r="M987" i="37"/>
  <c r="N987" i="37" s="1"/>
  <c r="M216" i="37"/>
  <c r="N216" i="37" s="1"/>
  <c r="M88" i="37"/>
  <c r="N88" i="37" s="1"/>
  <c r="M263" i="37"/>
  <c r="N263" i="37" s="1"/>
  <c r="M135" i="37"/>
  <c r="N135" i="37" s="1"/>
  <c r="M7" i="37"/>
  <c r="N7" i="37" s="1"/>
  <c r="M210" i="37"/>
  <c r="N210" i="37" s="1"/>
  <c r="M146" i="37"/>
  <c r="N146" i="37" s="1"/>
  <c r="M82" i="37"/>
  <c r="N82" i="37" s="1"/>
  <c r="M347" i="37"/>
  <c r="N347" i="37" s="1"/>
  <c r="M841" i="37"/>
  <c r="N841" i="37" s="1"/>
  <c r="M701" i="37"/>
  <c r="N701" i="37" s="1"/>
  <c r="M488" i="37"/>
  <c r="N488" i="37" s="1"/>
  <c r="M176" i="37"/>
  <c r="N176" i="37" s="1"/>
  <c r="M95" i="37"/>
  <c r="N95" i="37" s="1"/>
  <c r="M110" i="37"/>
  <c r="N110" i="37" s="1"/>
  <c r="M680" i="37"/>
  <c r="N680" i="37" s="1"/>
  <c r="M120" i="37"/>
  <c r="N120" i="37" s="1"/>
  <c r="M39" i="37"/>
  <c r="N39" i="37" s="1"/>
  <c r="M98" i="37"/>
  <c r="N98" i="37" s="1"/>
  <c r="M509" i="37"/>
  <c r="N509" i="37" s="1"/>
  <c r="M191" i="37"/>
  <c r="N191" i="37" s="1"/>
  <c r="M642" i="37"/>
  <c r="N642" i="37" s="1"/>
  <c r="M789" i="37"/>
  <c r="N789" i="37" s="1"/>
  <c r="M115" i="37"/>
  <c r="N115" i="37" s="1"/>
  <c r="M316" i="37"/>
  <c r="N316" i="37" s="1"/>
  <c r="M651" i="37"/>
  <c r="N651" i="37" s="1"/>
  <c r="M984" i="37"/>
  <c r="N984" i="37" s="1"/>
  <c r="M325" i="37"/>
  <c r="N325" i="37" s="1"/>
  <c r="M950" i="37"/>
  <c r="N950" i="37" s="1"/>
  <c r="M816" i="37"/>
  <c r="N816" i="37" s="1"/>
  <c r="M92" i="37"/>
  <c r="N92" i="37" s="1"/>
  <c r="M139" i="37"/>
  <c r="N139" i="37" s="1"/>
  <c r="M411" i="37"/>
  <c r="N411" i="37" s="1"/>
  <c r="M937" i="37"/>
  <c r="N937" i="37" s="1"/>
  <c r="M384" i="37"/>
  <c r="N384" i="37" s="1"/>
  <c r="M136" i="37"/>
  <c r="N136" i="37" s="1"/>
  <c r="M234" i="37"/>
  <c r="N234" i="37" s="1"/>
  <c r="M90" i="37"/>
  <c r="N90" i="37" s="1"/>
  <c r="M561" i="37"/>
  <c r="N561" i="37" s="1"/>
  <c r="M914" i="37"/>
  <c r="N914" i="37" s="1"/>
  <c r="M255" i="37"/>
  <c r="N255" i="37" s="1"/>
  <c r="M46" i="37"/>
  <c r="N46" i="37" s="1"/>
  <c r="M497" i="37"/>
  <c r="N497" i="37" s="1"/>
  <c r="M652" i="37"/>
  <c r="N652" i="37" s="1"/>
  <c r="M413" i="37"/>
  <c r="N413" i="37" s="1"/>
  <c r="M896" i="37"/>
  <c r="N896" i="37" s="1"/>
  <c r="M616" i="37"/>
  <c r="N616" i="37" s="1"/>
  <c r="M256" i="37"/>
  <c r="N256" i="37" s="1"/>
  <c r="M96" i="37"/>
  <c r="N96" i="37" s="1"/>
  <c r="M271" i="37"/>
  <c r="N271" i="37" s="1"/>
  <c r="M143" i="37"/>
  <c r="N143" i="37" s="1"/>
  <c r="M15" i="37"/>
  <c r="N15" i="37" s="1"/>
  <c r="M214" i="37"/>
  <c r="N214" i="37" s="1"/>
  <c r="M150" i="37"/>
  <c r="N150" i="37" s="1"/>
  <c r="M86" i="37"/>
  <c r="N86" i="37" s="1"/>
  <c r="M22" i="37"/>
  <c r="N22" i="37" s="1"/>
  <c r="M603" i="37"/>
  <c r="N603" i="37" s="1"/>
  <c r="M588" i="37"/>
  <c r="N588" i="37" s="1"/>
  <c r="M637" i="37"/>
  <c r="N637" i="37" s="1"/>
  <c r="M744" i="37"/>
  <c r="N744" i="37" s="1"/>
  <c r="M112" i="37"/>
  <c r="N112" i="37" s="1"/>
  <c r="M31" i="37"/>
  <c r="N31" i="37" s="1"/>
  <c r="M78" i="37"/>
  <c r="N78" i="37" s="1"/>
  <c r="M630" i="37"/>
  <c r="N630" i="37" s="1"/>
  <c r="M903" i="37"/>
  <c r="N903" i="37" s="1"/>
  <c r="M785" i="37"/>
  <c r="N785" i="37" s="1"/>
  <c r="M428" i="37"/>
  <c r="N428" i="37" s="1"/>
  <c r="M884" i="37"/>
  <c r="N884" i="37" s="1"/>
  <c r="M225" i="37"/>
  <c r="N225" i="37" s="1"/>
  <c r="M557" i="37"/>
  <c r="N557" i="37" s="1"/>
  <c r="M813" i="37"/>
  <c r="N813" i="37" s="1"/>
  <c r="M970" i="37"/>
  <c r="N970" i="37" s="1"/>
  <c r="M947" i="37"/>
  <c r="N947" i="37" s="1"/>
  <c r="M336" i="37"/>
  <c r="N336" i="37" s="1"/>
  <c r="M305" i="37"/>
  <c r="N305" i="37" s="1"/>
  <c r="M184" i="37"/>
  <c r="N184" i="37" s="1"/>
  <c r="M56" i="37"/>
  <c r="N56" i="37" s="1"/>
  <c r="M231" i="37"/>
  <c r="N231" i="37" s="1"/>
  <c r="M103" i="37"/>
  <c r="N103" i="37" s="1"/>
  <c r="M278" i="37"/>
  <c r="N278" i="37" s="1"/>
  <c r="M194" i="37"/>
  <c r="N194" i="37" s="1"/>
  <c r="M130" i="37"/>
  <c r="N130" i="37" s="1"/>
  <c r="M50" i="37"/>
  <c r="N50" i="37" s="1"/>
  <c r="M433" i="37"/>
  <c r="N433" i="37" s="1"/>
  <c r="M961" i="37"/>
  <c r="N961" i="37" s="1"/>
  <c r="M874" i="37"/>
  <c r="N874" i="37" s="1"/>
  <c r="M400" i="37"/>
  <c r="N400" i="37" s="1"/>
  <c r="M80" i="37"/>
  <c r="N80" i="37" s="1"/>
  <c r="M270" i="37"/>
  <c r="N270" i="37" s="1"/>
  <c r="M62" i="37"/>
  <c r="N62" i="37" s="1"/>
  <c r="M719" i="37"/>
  <c r="N719" i="37" s="1"/>
  <c r="M976" i="37"/>
  <c r="N976" i="37" s="1"/>
  <c r="M696" i="37"/>
  <c r="N696" i="37" s="1"/>
  <c r="M313" i="37"/>
  <c r="N313" i="37" s="1"/>
  <c r="M740" i="37"/>
  <c r="N740" i="37" s="1"/>
  <c r="M995" i="37"/>
  <c r="N995" i="37" s="1"/>
  <c r="M267" i="37"/>
  <c r="N267" i="37" s="1"/>
  <c r="M924" i="37"/>
  <c r="N924" i="37" s="1"/>
  <c r="M720" i="37"/>
  <c r="N720" i="37" s="1"/>
  <c r="M183" i="37"/>
  <c r="N183" i="37" s="1"/>
  <c r="M26" i="37"/>
  <c r="N26" i="37" s="1"/>
  <c r="M886" i="37"/>
  <c r="N886" i="37" s="1"/>
  <c r="M475" i="37"/>
  <c r="N475" i="37" s="1"/>
  <c r="M945" i="37"/>
  <c r="N945" i="37" s="1"/>
  <c r="M448" i="37"/>
  <c r="N448" i="37" s="1"/>
  <c r="M160" i="37"/>
  <c r="N160" i="37" s="1"/>
  <c r="M207" i="37"/>
  <c r="N207" i="37" s="1"/>
  <c r="M254" i="37"/>
  <c r="N254" i="37" s="1"/>
  <c r="M118" i="37"/>
  <c r="N118" i="37" s="1"/>
  <c r="M34" i="37"/>
  <c r="N34" i="37" s="1"/>
  <c r="M993" i="37"/>
  <c r="N993" i="37" s="1"/>
  <c r="M304" i="37"/>
  <c r="N304" i="37" s="1"/>
  <c r="M174" i="37"/>
  <c r="N174" i="37" s="1"/>
  <c r="M539" i="37"/>
  <c r="N539" i="37" s="1"/>
  <c r="M956" i="37"/>
  <c r="N956" i="37" s="1"/>
  <c r="M953" i="37"/>
  <c r="N953" i="37" s="1"/>
  <c r="M685" i="37"/>
  <c r="N685" i="37" s="1"/>
  <c r="M512" i="37"/>
  <c r="N512" i="37" s="1"/>
  <c r="M248" i="37"/>
  <c r="N248" i="37" s="1"/>
  <c r="M167" i="37"/>
  <c r="N167" i="37" s="1"/>
  <c r="M162" i="37"/>
  <c r="N162" i="37" s="1"/>
  <c r="M133" i="37"/>
  <c r="N133" i="37" s="1"/>
  <c r="M832" i="37"/>
  <c r="N832" i="37" s="1"/>
  <c r="M158" i="37"/>
  <c r="N158" i="37" s="1"/>
  <c r="M265" i="37"/>
  <c r="N265" i="37" s="1"/>
  <c r="M363" i="37"/>
  <c r="N363" i="37" s="1"/>
  <c r="M897" i="37"/>
  <c r="N897" i="37" s="1"/>
  <c r="M406" i="37"/>
  <c r="N406" i="37" s="1"/>
  <c r="M700" i="37"/>
  <c r="N700" i="37" s="1"/>
  <c r="M329" i="37"/>
  <c r="N329" i="37" s="1"/>
  <c r="M484" i="37"/>
  <c r="N484" i="37" s="1"/>
  <c r="M517" i="37"/>
  <c r="N517" i="37" s="1"/>
  <c r="M480" i="37"/>
  <c r="N480" i="37" s="1"/>
  <c r="M300" i="37"/>
  <c r="N300" i="37" s="1"/>
  <c r="M28" i="37"/>
  <c r="N28" i="37" s="1"/>
  <c r="M75" i="37"/>
  <c r="N75" i="37" s="1"/>
  <c r="M465" i="37"/>
  <c r="N465" i="37" s="1"/>
  <c r="M397" i="37"/>
  <c r="N397" i="37" s="1"/>
  <c r="M552" i="37"/>
  <c r="N552" i="37" s="1"/>
  <c r="M8" i="37"/>
  <c r="N8" i="37" s="1"/>
  <c r="M170" i="37"/>
  <c r="N170" i="37" s="1"/>
  <c r="M42" i="37"/>
  <c r="N42" i="37" s="1"/>
  <c r="M716" i="37"/>
  <c r="N716" i="37" s="1"/>
  <c r="M935" i="37"/>
  <c r="N935" i="37" s="1"/>
  <c r="M302" i="37"/>
  <c r="N302" i="37" s="1"/>
  <c r="M822" i="37"/>
  <c r="N822" i="37" s="1"/>
  <c r="M866" i="37"/>
  <c r="N866" i="37" s="1"/>
  <c r="M913" i="37"/>
  <c r="N913" i="37" s="1"/>
  <c r="M605" i="37"/>
  <c r="N605" i="37" s="1"/>
  <c r="M994" i="37"/>
  <c r="N994" i="37" s="1"/>
  <c r="M528" i="37"/>
  <c r="N528" i="37" s="1"/>
  <c r="M224" i="37"/>
  <c r="N224" i="37" s="1"/>
  <c r="M64" i="37"/>
  <c r="N64" i="37" s="1"/>
  <c r="M239" i="37"/>
  <c r="N239" i="37" s="1"/>
  <c r="M111" i="37"/>
  <c r="N111" i="37" s="1"/>
  <c r="M286" i="37"/>
  <c r="N286" i="37" s="1"/>
  <c r="M198" i="37"/>
  <c r="N198" i="37" s="1"/>
  <c r="M134" i="37"/>
  <c r="N134" i="37" s="1"/>
  <c r="M70" i="37"/>
  <c r="N70" i="37" s="1"/>
  <c r="M66" i="37"/>
  <c r="N66" i="37" s="1"/>
  <c r="M257" i="37"/>
  <c r="N257" i="37" s="1"/>
  <c r="M894" i="37"/>
  <c r="N894" i="37" s="1"/>
  <c r="M829" i="37"/>
  <c r="N829" i="37" s="1"/>
  <c r="M656" i="37"/>
  <c r="N656" i="37" s="1"/>
  <c r="M16" i="37"/>
  <c r="N16" i="37" s="1"/>
  <c r="M222" i="37"/>
  <c r="N222" i="37" s="1"/>
  <c r="M30" i="37"/>
  <c r="N30" i="37" s="1"/>
  <c r="M205" i="37"/>
  <c r="N205" i="37" s="1"/>
  <c r="M401" i="37"/>
  <c r="N401" i="37" s="1"/>
  <c r="M888" i="37"/>
  <c r="N888" i="37" s="1"/>
  <c r="M556" i="37"/>
  <c r="N556" i="37" s="1"/>
  <c r="M921" i="37"/>
  <c r="N921" i="37" s="1"/>
  <c r="M365" i="37"/>
  <c r="N365" i="37" s="1"/>
  <c r="M621" i="37"/>
  <c r="N621" i="37" s="1"/>
  <c r="M864" i="37"/>
  <c r="N864" i="37" s="1"/>
  <c r="M1002" i="37"/>
  <c r="N1002" i="37" s="1"/>
  <c r="M424" i="37"/>
  <c r="N424" i="37" s="1"/>
  <c r="M592" i="37"/>
  <c r="N592" i="37" s="1"/>
  <c r="M280" i="37"/>
  <c r="N280" i="37" s="1"/>
  <c r="M152" i="37"/>
  <c r="N152" i="37" s="1"/>
  <c r="M24" i="37"/>
  <c r="N24" i="37" s="1"/>
  <c r="M199" i="37"/>
  <c r="N199" i="37" s="1"/>
  <c r="M71" i="37"/>
  <c r="N71" i="37" s="1"/>
  <c r="M246" i="37"/>
  <c r="N246" i="37" s="1"/>
  <c r="M178" i="37"/>
  <c r="N178" i="37" s="1"/>
  <c r="M114" i="37"/>
  <c r="N114" i="37" s="1"/>
  <c r="M18" i="37"/>
  <c r="N18" i="37" s="1"/>
  <c r="M908" i="37"/>
  <c r="N908" i="37" s="1"/>
  <c r="M317" i="37"/>
  <c r="N317" i="37" s="1"/>
  <c r="M978" i="37"/>
  <c r="N978" i="37" s="1"/>
  <c r="M975" i="37"/>
  <c r="N975" i="37" s="1"/>
  <c r="M287" i="37"/>
  <c r="N287" i="37" s="1"/>
  <c r="M206" i="37"/>
  <c r="N206" i="37" s="1"/>
  <c r="M14" i="37"/>
  <c r="N14" i="37" s="1"/>
  <c r="I3" i="37"/>
  <c r="M827" i="37"/>
  <c r="N827" i="37" s="1"/>
  <c r="M585" i="37"/>
  <c r="N585" i="37" s="1"/>
  <c r="M677" i="37"/>
  <c r="N677" i="37" s="1"/>
  <c r="M220" i="37"/>
  <c r="N220" i="37" s="1"/>
  <c r="M11" i="37"/>
  <c r="N11" i="37" s="1"/>
  <c r="M653" i="37"/>
  <c r="N653" i="37" s="1"/>
  <c r="M154" i="37"/>
  <c r="N154" i="37" s="1"/>
  <c r="M929" i="37"/>
  <c r="N929" i="37" s="1"/>
  <c r="M238" i="37"/>
  <c r="N238" i="37" s="1"/>
  <c r="M940" i="37"/>
  <c r="N940" i="37" s="1"/>
  <c r="M669" i="37"/>
  <c r="N669" i="37" s="1"/>
  <c r="M784" i="37"/>
  <c r="N784" i="37" s="1"/>
  <c r="M32" i="37"/>
  <c r="N32" i="37" s="1"/>
  <c r="M79" i="37"/>
  <c r="N79" i="37" s="1"/>
  <c r="M182" i="37"/>
  <c r="N182" i="37" s="1"/>
  <c r="M54" i="37"/>
  <c r="N54" i="37" s="1"/>
  <c r="M689" i="37"/>
  <c r="N689" i="37" s="1"/>
  <c r="M946" i="37"/>
  <c r="N946" i="37" s="1"/>
  <c r="M223" i="37"/>
  <c r="N223" i="37" s="1"/>
  <c r="M504" i="37"/>
  <c r="N504" i="37" s="1"/>
  <c r="M529" i="37"/>
  <c r="N529" i="37" s="1"/>
  <c r="M684" i="37"/>
  <c r="N684" i="37" s="1"/>
  <c r="M429" i="37"/>
  <c r="N429" i="37" s="1"/>
  <c r="M906" i="37"/>
  <c r="N906" i="37" s="1"/>
  <c r="M844" i="37"/>
  <c r="N844" i="37" s="1"/>
  <c r="M295" i="37"/>
  <c r="N295" i="37" s="1"/>
  <c r="M226" i="37"/>
  <c r="N226" i="37" s="1"/>
  <c r="M460" i="37"/>
  <c r="N460" i="37" s="1"/>
  <c r="M272" i="37"/>
  <c r="N272" i="37" s="1"/>
  <c r="G7" i="40" l="1"/>
  <c r="G9" i="40"/>
  <c r="F7" i="1"/>
  <c r="G7" i="1" s="1"/>
  <c r="E14" i="1"/>
  <c r="O363" i="37"/>
  <c r="P363" i="37" s="1"/>
  <c r="O244" i="37"/>
  <c r="P244" i="37" s="1"/>
  <c r="O279" i="37"/>
  <c r="P279" i="37" s="1"/>
  <c r="O425" i="37"/>
  <c r="P425" i="37" s="1"/>
  <c r="O1002" i="37"/>
  <c r="P1002" i="37" s="1"/>
  <c r="O830" i="37"/>
  <c r="P830" i="37" s="1"/>
  <c r="O601" i="37"/>
  <c r="P601" i="37" s="1"/>
  <c r="O717" i="37"/>
  <c r="P717" i="37" s="1"/>
  <c r="O975" i="37"/>
  <c r="P975" i="37" s="1"/>
  <c r="O490" i="37"/>
  <c r="P490" i="37" s="1"/>
  <c r="O800" i="37"/>
  <c r="P800" i="37" s="1"/>
  <c r="O544" i="37"/>
  <c r="P544" i="37" s="1"/>
  <c r="O95" i="37"/>
  <c r="P95" i="37" s="1"/>
  <c r="O711" i="37"/>
  <c r="P711" i="37" s="1"/>
  <c r="O455" i="37"/>
  <c r="P455" i="37" s="1"/>
  <c r="O282" i="37"/>
  <c r="P282" i="37" s="1"/>
  <c r="O19" i="37"/>
  <c r="P19" i="37" s="1"/>
  <c r="O109" i="37"/>
  <c r="P109" i="37" s="1"/>
  <c r="O192" i="37"/>
  <c r="P192" i="37" s="1"/>
  <c r="O886" i="37"/>
  <c r="P886" i="37" s="1"/>
  <c r="O977" i="37"/>
  <c r="P977" i="37" s="1"/>
  <c r="O777" i="37"/>
  <c r="P777" i="37" s="1"/>
  <c r="O805" i="37"/>
  <c r="P805" i="37" s="1"/>
  <c r="O115" i="37"/>
  <c r="P115" i="37" s="1"/>
  <c r="O578" i="37"/>
  <c r="P578" i="37" s="1"/>
  <c r="O844" i="37"/>
  <c r="P844" i="37" s="1"/>
  <c r="O588" i="37"/>
  <c r="P588" i="37" s="1"/>
  <c r="O271" i="37"/>
  <c r="P271" i="37" s="1"/>
  <c r="O755" i="37"/>
  <c r="P755" i="37" s="1"/>
  <c r="O499" i="37"/>
  <c r="P499" i="37" s="1"/>
  <c r="O326" i="37"/>
  <c r="P326" i="37" s="1"/>
  <c r="O70" i="37"/>
  <c r="P70" i="37" s="1"/>
  <c r="O153" i="37"/>
  <c r="P153" i="37" s="1"/>
  <c r="O236" i="37"/>
  <c r="P236" i="37" s="1"/>
  <c r="O598" i="37"/>
  <c r="P598" i="37" s="1"/>
  <c r="O477" i="37"/>
  <c r="P477" i="37" s="1"/>
  <c r="O762" i="37"/>
  <c r="P762" i="37" s="1"/>
  <c r="O936" i="37"/>
  <c r="P936" i="37" s="1"/>
  <c r="O680" i="37"/>
  <c r="P680" i="37" s="1"/>
  <c r="O424" i="37"/>
  <c r="P424" i="37" s="1"/>
  <c r="O847" i="37"/>
  <c r="P847" i="37" s="1"/>
  <c r="O591" i="37"/>
  <c r="P591" i="37" s="1"/>
  <c r="O283" i="37"/>
  <c r="P283" i="37" s="1"/>
  <c r="O441" i="37"/>
  <c r="P441" i="37" s="1"/>
  <c r="O718" i="37"/>
  <c r="P718" i="37" s="1"/>
  <c r="O859" i="37"/>
  <c r="P859" i="37" s="1"/>
  <c r="O587" i="37"/>
  <c r="P587" i="37" s="1"/>
  <c r="O737" i="37"/>
  <c r="P737" i="37" s="1"/>
  <c r="O510" i="37"/>
  <c r="P510" i="37" s="1"/>
  <c r="O67" i="37"/>
  <c r="P67" i="37" s="1"/>
  <c r="O557" i="37"/>
  <c r="P557" i="37" s="1"/>
  <c r="O842" i="37"/>
  <c r="P842" i="37" s="1"/>
  <c r="O263" i="37"/>
  <c r="P263" i="37" s="1"/>
  <c r="O720" i="37"/>
  <c r="P720" i="37" s="1"/>
  <c r="O464" i="37"/>
  <c r="P464" i="37" s="1"/>
  <c r="O887" i="37"/>
  <c r="P887" i="37" s="1"/>
  <c r="O631" i="37"/>
  <c r="P631" i="37" s="1"/>
  <c r="O375" i="37"/>
  <c r="P375" i="37" s="1"/>
  <c r="O202" i="37"/>
  <c r="P202" i="37" s="1"/>
  <c r="O285" i="37"/>
  <c r="P285" i="37" s="1"/>
  <c r="O23" i="37"/>
  <c r="P23" i="37" s="1"/>
  <c r="O112" i="37"/>
  <c r="P112" i="37" s="1"/>
  <c r="O913" i="37"/>
  <c r="P913" i="37" s="1"/>
  <c r="O686" i="37"/>
  <c r="P686" i="37" s="1"/>
  <c r="O457" i="37"/>
  <c r="P457" i="37" s="1"/>
  <c r="O645" i="37"/>
  <c r="P645" i="37" s="1"/>
  <c r="O930" i="37"/>
  <c r="P930" i="37" s="1"/>
  <c r="O418" i="37"/>
  <c r="P418" i="37" s="1"/>
  <c r="O764" i="37"/>
  <c r="P764" i="37" s="1"/>
  <c r="O508" i="37"/>
  <c r="P508" i="37" s="1"/>
  <c r="O931" i="37"/>
  <c r="P931" i="37" s="1"/>
  <c r="O675" i="37"/>
  <c r="P675" i="37" s="1"/>
  <c r="O419" i="37"/>
  <c r="P419" i="37" s="1"/>
  <c r="O246" i="37"/>
  <c r="P246" i="37" s="1"/>
  <c r="O329" i="37"/>
  <c r="P329" i="37" s="1"/>
  <c r="O73" i="37"/>
  <c r="P73" i="37" s="1"/>
  <c r="O156" i="37"/>
  <c r="P156" i="37" s="1"/>
  <c r="O806" i="37"/>
  <c r="P806" i="37" s="1"/>
  <c r="O211" i="37"/>
  <c r="P211" i="37" s="1"/>
  <c r="O602" i="37"/>
  <c r="P602" i="37" s="1"/>
  <c r="O856" i="37"/>
  <c r="P856" i="37" s="1"/>
  <c r="O600" i="37"/>
  <c r="P600" i="37" s="1"/>
  <c r="O319" i="37"/>
  <c r="P319" i="37" s="1"/>
  <c r="O767" i="37"/>
  <c r="P767" i="37" s="1"/>
  <c r="O511" i="37"/>
  <c r="P511" i="37" s="1"/>
  <c r="O875" i="37"/>
  <c r="P875" i="37" s="1"/>
  <c r="O142" i="37"/>
  <c r="P142" i="37" s="1"/>
  <c r="O16" i="37"/>
  <c r="P16" i="37" s="1"/>
  <c r="O654" i="37"/>
  <c r="P654" i="37" s="1"/>
  <c r="O929" i="37"/>
  <c r="P929" i="37" s="1"/>
  <c r="O702" i="37"/>
  <c r="P702" i="37" s="1"/>
  <c r="O473" i="37"/>
  <c r="P473" i="37" s="1"/>
  <c r="O653" i="37"/>
  <c r="P653" i="37" s="1"/>
  <c r="O938" i="37"/>
  <c r="P938" i="37" s="1"/>
  <c r="O426" i="37"/>
  <c r="P426" i="37" s="1"/>
  <c r="O768" i="37"/>
  <c r="P768" i="37" s="1"/>
  <c r="O512" i="37"/>
  <c r="P512" i="37" s="1"/>
  <c r="O935" i="37"/>
  <c r="P935" i="37" s="1"/>
  <c r="O679" i="37"/>
  <c r="P679" i="37" s="1"/>
  <c r="O423" i="37"/>
  <c r="P423" i="37" s="1"/>
  <c r="O250" i="37"/>
  <c r="P250" i="37" s="1"/>
  <c r="O333" i="37"/>
  <c r="P333" i="37" s="1"/>
  <c r="O77" i="37"/>
  <c r="P77" i="37" s="1"/>
  <c r="O160" i="37"/>
  <c r="P160" i="37" s="1"/>
  <c r="O742" i="37"/>
  <c r="P742" i="37" s="1"/>
  <c r="O878" i="37"/>
  <c r="P878" i="37" s="1"/>
  <c r="O649" i="37"/>
  <c r="P649" i="37" s="1"/>
  <c r="O741" i="37"/>
  <c r="P741" i="37" s="1"/>
  <c r="O987" i="37"/>
  <c r="P987" i="37" s="1"/>
  <c r="O514" i="37"/>
  <c r="P514" i="37" s="1"/>
  <c r="O812" i="37"/>
  <c r="P812" i="37" s="1"/>
  <c r="O556" i="37"/>
  <c r="P556" i="37" s="1"/>
  <c r="O143" i="37"/>
  <c r="P143" i="37" s="1"/>
  <c r="O723" i="37"/>
  <c r="P723" i="37" s="1"/>
  <c r="O467" i="37"/>
  <c r="P467" i="37" s="1"/>
  <c r="O294" i="37"/>
  <c r="P294" i="37" s="1"/>
  <c r="O35" i="37"/>
  <c r="P35" i="37" s="1"/>
  <c r="O121" i="37"/>
  <c r="P121" i="37" s="1"/>
  <c r="O204" i="37"/>
  <c r="P204" i="37" s="1"/>
  <c r="O438" i="37"/>
  <c r="P438" i="37" s="1"/>
  <c r="O413" i="37"/>
  <c r="P413" i="37" s="1"/>
  <c r="O698" i="37"/>
  <c r="P698" i="37" s="1"/>
  <c r="O904" i="37"/>
  <c r="P904" i="37" s="1"/>
  <c r="O648" i="37"/>
  <c r="P648" i="37" s="1"/>
  <c r="O392" i="37"/>
  <c r="P392" i="37" s="1"/>
  <c r="O815" i="37"/>
  <c r="P815" i="37" s="1"/>
  <c r="O559" i="37"/>
  <c r="P559" i="37" s="1"/>
  <c r="O155" i="37"/>
  <c r="P155" i="37" s="1"/>
  <c r="O885" i="37"/>
  <c r="P885" i="37" s="1"/>
  <c r="O877" i="37"/>
  <c r="P877" i="37" s="1"/>
  <c r="O624" i="37"/>
  <c r="P624" i="37" s="1"/>
  <c r="O59" i="37"/>
  <c r="P59" i="37" s="1"/>
  <c r="O6" i="37"/>
  <c r="P6" i="37" s="1"/>
  <c r="O453" i="37"/>
  <c r="P453" i="37" s="1"/>
  <c r="O412" i="37"/>
  <c r="P412" i="37" s="1"/>
  <c r="O150" i="37"/>
  <c r="P150" i="37" s="1"/>
  <c r="O637" i="37"/>
  <c r="P637" i="37" s="1"/>
  <c r="O504" i="37"/>
  <c r="P504" i="37" s="1"/>
  <c r="O21" i="37"/>
  <c r="P21" i="37" s="1"/>
  <c r="O98" i="37"/>
  <c r="P98" i="37" s="1"/>
  <c r="O181" i="37"/>
  <c r="P181" i="37" s="1"/>
  <c r="O264" i="37"/>
  <c r="P264" i="37" s="1"/>
  <c r="O502" i="37"/>
  <c r="P502" i="37" s="1"/>
  <c r="O84" i="37"/>
  <c r="P84" i="37" s="1"/>
  <c r="O665" i="37"/>
  <c r="P665" i="37" s="1"/>
  <c r="O816" i="37"/>
  <c r="P816" i="37" s="1"/>
  <c r="O471" i="37"/>
  <c r="P471" i="37" s="1"/>
  <c r="O208" i="37"/>
  <c r="P208" i="37" s="1"/>
  <c r="O837" i="37"/>
  <c r="P837" i="37" s="1"/>
  <c r="O604" i="37"/>
  <c r="P604" i="37" s="1"/>
  <c r="O342" i="37"/>
  <c r="P342" i="37" s="1"/>
  <c r="O311" i="37"/>
  <c r="P311" i="37" s="1"/>
  <c r="O696" i="37"/>
  <c r="P696" i="37" s="1"/>
  <c r="O347" i="37"/>
  <c r="P347" i="37" s="1"/>
  <c r="O146" i="37"/>
  <c r="P146" i="37" s="1"/>
  <c r="O229" i="37"/>
  <c r="P229" i="37" s="1"/>
  <c r="O312" i="37"/>
  <c r="P312" i="37" s="1"/>
  <c r="O56" i="37"/>
  <c r="P56" i="37" s="1"/>
  <c r="O693" i="37"/>
  <c r="P693" i="37" s="1"/>
  <c r="O638" i="37"/>
  <c r="P638" i="37" s="1"/>
  <c r="O394" i="37"/>
  <c r="P394" i="37" s="1"/>
  <c r="O663" i="37"/>
  <c r="P663" i="37" s="1"/>
  <c r="O61" i="37"/>
  <c r="P61" i="37" s="1"/>
  <c r="O585" i="37"/>
  <c r="P585" i="37" s="1"/>
  <c r="O796" i="37"/>
  <c r="P796" i="37" s="1"/>
  <c r="O451" i="37"/>
  <c r="P451" i="37" s="1"/>
  <c r="O188" i="37"/>
  <c r="P188" i="37" s="1"/>
  <c r="O888" i="37"/>
  <c r="P888" i="37" s="1"/>
  <c r="O543" i="37"/>
  <c r="P543" i="37" s="1"/>
  <c r="O708" i="37"/>
  <c r="P708" i="37" s="1"/>
  <c r="O891" i="37"/>
  <c r="P891" i="37" s="1"/>
  <c r="O340" i="37"/>
  <c r="P340" i="37" s="1"/>
  <c r="O881" i="37"/>
  <c r="P881" i="37" s="1"/>
  <c r="O801" i="37"/>
  <c r="P801" i="37" s="1"/>
  <c r="O574" i="37"/>
  <c r="P574" i="37" s="1"/>
  <c r="O323" i="37"/>
  <c r="P323" i="37" s="1"/>
  <c r="O589" i="37"/>
  <c r="P589" i="37" s="1"/>
  <c r="O874" i="37"/>
  <c r="P874" i="37" s="1"/>
  <c r="O362" i="37"/>
  <c r="P362" i="37" s="1"/>
  <c r="O736" i="37"/>
  <c r="P736" i="37" s="1"/>
  <c r="O480" i="37"/>
  <c r="P480" i="37" s="1"/>
  <c r="O903" i="37"/>
  <c r="P903" i="37" s="1"/>
  <c r="O647" i="37"/>
  <c r="P647" i="37" s="1"/>
  <c r="O391" i="37"/>
  <c r="P391" i="37" s="1"/>
  <c r="O218" i="37"/>
  <c r="P218" i="37" s="1"/>
  <c r="O301" i="37"/>
  <c r="P301" i="37" s="1"/>
  <c r="O45" i="37"/>
  <c r="P45" i="37" s="1"/>
  <c r="O128" i="37"/>
  <c r="P128" i="37" s="1"/>
  <c r="O981" i="37"/>
  <c r="P981" i="37" s="1"/>
  <c r="O750" i="37"/>
  <c r="P750" i="37" s="1"/>
  <c r="O521" i="37"/>
  <c r="P521" i="37" s="1"/>
  <c r="O677" i="37"/>
  <c r="P677" i="37" s="1"/>
  <c r="O955" i="37"/>
  <c r="P955" i="37" s="1"/>
  <c r="O450" i="37"/>
  <c r="P450" i="37" s="1"/>
  <c r="O780" i="37"/>
  <c r="P780" i="37" s="1"/>
  <c r="O524" i="37"/>
  <c r="P524" i="37" s="1"/>
  <c r="O947" i="37"/>
  <c r="P947" i="37" s="1"/>
  <c r="O691" i="37"/>
  <c r="P691" i="37" s="1"/>
  <c r="O435" i="37"/>
  <c r="P435" i="37" s="1"/>
  <c r="O262" i="37"/>
  <c r="P262" i="37" s="1"/>
  <c r="O345" i="37"/>
  <c r="P345" i="37" s="1"/>
  <c r="O89" i="37"/>
  <c r="P89" i="37" s="1"/>
  <c r="O172" i="37"/>
  <c r="P172" i="37" s="1"/>
  <c r="O550" i="37"/>
  <c r="P550" i="37" s="1"/>
  <c r="O339" i="37"/>
  <c r="P339" i="37" s="1"/>
  <c r="O634" i="37"/>
  <c r="P634" i="37" s="1"/>
  <c r="O872" i="37"/>
  <c r="P872" i="37" s="1"/>
  <c r="O616" i="37"/>
  <c r="P616" i="37" s="1"/>
  <c r="O360" i="37"/>
  <c r="P360" i="37" s="1"/>
  <c r="O783" i="37"/>
  <c r="P783" i="37" s="1"/>
  <c r="O527" i="37"/>
  <c r="P527" i="37" s="1"/>
  <c r="O7" i="37"/>
  <c r="P7" i="37" s="1"/>
  <c r="O897" i="37"/>
  <c r="P897" i="37" s="1"/>
  <c r="O596" i="37"/>
  <c r="P596" i="37" s="1"/>
  <c r="O786" i="37"/>
  <c r="P786" i="37" s="1"/>
  <c r="O868" i="37"/>
  <c r="P868" i="37" s="1"/>
  <c r="O481" i="37"/>
  <c r="P481" i="37" s="1"/>
  <c r="O998" i="37"/>
  <c r="P998" i="37" s="1"/>
  <c r="O941" i="37"/>
  <c r="P941" i="37" s="1"/>
  <c r="O429" i="37"/>
  <c r="P429" i="37" s="1"/>
  <c r="O714" i="37"/>
  <c r="P714" i="37" s="1"/>
  <c r="O912" i="37"/>
  <c r="P912" i="37" s="1"/>
  <c r="O656" i="37"/>
  <c r="P656" i="37" s="1"/>
  <c r="O400" i="37"/>
  <c r="P400" i="37" s="1"/>
  <c r="O823" i="37"/>
  <c r="P823" i="37" s="1"/>
  <c r="O567" i="37"/>
  <c r="P567" i="37" s="1"/>
  <c r="O187" i="37"/>
  <c r="P187" i="37" s="1"/>
  <c r="O138" i="37"/>
  <c r="P138" i="37" s="1"/>
  <c r="O221" i="37"/>
  <c r="P221" i="37" s="1"/>
  <c r="O304" i="37"/>
  <c r="P304" i="37" s="1"/>
  <c r="O48" i="37"/>
  <c r="P48" i="37" s="1"/>
  <c r="O657" i="37"/>
  <c r="P657" i="37" s="1"/>
  <c r="O430" i="37"/>
  <c r="P430" i="37" s="1"/>
  <c r="O988" i="37"/>
  <c r="P988" i="37" s="1"/>
  <c r="O517" i="37"/>
  <c r="P517" i="37" s="1"/>
  <c r="O802" i="37"/>
  <c r="P802" i="37" s="1"/>
  <c r="O103" i="37"/>
  <c r="P103" i="37" s="1"/>
  <c r="O700" i="37"/>
  <c r="P700" i="37" s="1"/>
  <c r="O444" i="37"/>
  <c r="P444" i="37" s="1"/>
  <c r="O867" i="37"/>
  <c r="P867" i="37" s="1"/>
  <c r="O611" i="37"/>
  <c r="P611" i="37" s="1"/>
  <c r="O355" i="37"/>
  <c r="P355" i="37" s="1"/>
  <c r="O182" i="37"/>
  <c r="P182" i="37" s="1"/>
  <c r="O265" i="37"/>
  <c r="P265" i="37" s="1"/>
  <c r="O348" i="37"/>
  <c r="P348" i="37" s="1"/>
  <c r="O92" i="37"/>
  <c r="P92" i="37" s="1"/>
  <c r="O701" i="37"/>
  <c r="P701" i="37" s="1"/>
  <c r="O967" i="37"/>
  <c r="P967" i="37" s="1"/>
  <c r="O474" i="37"/>
  <c r="P474" i="37" s="1"/>
  <c r="O792" i="37"/>
  <c r="P792" i="37" s="1"/>
  <c r="O536" i="37"/>
  <c r="P536" i="37" s="1"/>
  <c r="O63" i="37"/>
  <c r="P63" i="37" s="1"/>
  <c r="O703" i="37"/>
  <c r="P703" i="37" s="1"/>
  <c r="O447" i="37"/>
  <c r="P447" i="37" s="1"/>
  <c r="O818" i="37"/>
  <c r="P818" i="37" s="1"/>
  <c r="O594" i="37"/>
  <c r="P594" i="37" s="1"/>
  <c r="O174" i="37"/>
  <c r="P174" i="37" s="1"/>
  <c r="O833" i="37"/>
  <c r="P833" i="37" s="1"/>
  <c r="O673" i="37"/>
  <c r="P673" i="37" s="1"/>
  <c r="O446" i="37"/>
  <c r="P446" i="37" s="1"/>
  <c r="O992" i="37"/>
  <c r="P992" i="37" s="1"/>
  <c r="O525" i="37"/>
  <c r="P525" i="37" s="1"/>
  <c r="O810" i="37"/>
  <c r="P810" i="37" s="1"/>
  <c r="O135" i="37"/>
  <c r="P135" i="37" s="1"/>
  <c r="O704" i="37"/>
  <c r="P704" i="37" s="1"/>
  <c r="O448" i="37"/>
  <c r="P448" i="37" s="1"/>
  <c r="O871" i="37"/>
  <c r="P871" i="37" s="1"/>
  <c r="O615" i="37"/>
  <c r="P615" i="37" s="1"/>
  <c r="O359" i="37"/>
  <c r="P359" i="37" s="1"/>
  <c r="O186" i="37"/>
  <c r="P186" i="37" s="1"/>
  <c r="O269" i="37"/>
  <c r="P269" i="37" s="1"/>
  <c r="O352" i="37"/>
  <c r="P352" i="37" s="1"/>
  <c r="O96" i="37"/>
  <c r="P96" i="37" s="1"/>
  <c r="O849" i="37"/>
  <c r="P849" i="37" s="1"/>
  <c r="O622" i="37"/>
  <c r="P622" i="37" s="1"/>
  <c r="O393" i="37"/>
  <c r="P393" i="37" s="1"/>
  <c r="O613" i="37"/>
  <c r="P613" i="37" s="1"/>
  <c r="O898" i="37"/>
  <c r="P898" i="37" s="1"/>
  <c r="O386" i="37"/>
  <c r="P386" i="37" s="1"/>
  <c r="O748" i="37"/>
  <c r="P748" i="37" s="1"/>
  <c r="O492" i="37"/>
  <c r="P492" i="37" s="1"/>
  <c r="O915" i="37"/>
  <c r="P915" i="37" s="1"/>
  <c r="O659" i="37"/>
  <c r="P659" i="37" s="1"/>
  <c r="O403" i="37"/>
  <c r="P403" i="37" s="1"/>
  <c r="O230" i="37"/>
  <c r="P230" i="37" s="1"/>
  <c r="O313" i="37"/>
  <c r="P313" i="37" s="1"/>
  <c r="O57" i="37"/>
  <c r="P57" i="37" s="1"/>
  <c r="O140" i="37"/>
  <c r="P140" i="37" s="1"/>
  <c r="O183" i="37"/>
  <c r="P183" i="37" s="1"/>
  <c r="O83" i="37"/>
  <c r="P83" i="37" s="1"/>
  <c r="O570" i="37"/>
  <c r="P570" i="37" s="1"/>
  <c r="O840" i="37"/>
  <c r="P840" i="37" s="1"/>
  <c r="O584" i="37"/>
  <c r="P584" i="37" s="1"/>
  <c r="O255" i="37"/>
  <c r="P255" i="37" s="1"/>
  <c r="O751" i="37"/>
  <c r="P751" i="37" s="1"/>
  <c r="O495" i="37"/>
  <c r="P495" i="37" s="1"/>
  <c r="O190" i="37"/>
  <c r="P190" i="37" s="1"/>
  <c r="O260" i="37"/>
  <c r="P260" i="37" s="1"/>
  <c r="O365" i="37"/>
  <c r="P365" i="37" s="1"/>
  <c r="O368" i="37"/>
  <c r="P368" i="37" s="1"/>
  <c r="O106" i="37"/>
  <c r="P106" i="37" s="1"/>
  <c r="O529" i="37"/>
  <c r="P529" i="37" s="1"/>
  <c r="O738" i="37"/>
  <c r="P738" i="37" s="1"/>
  <c r="O835" i="37"/>
  <c r="P835" i="37" s="1"/>
  <c r="O233" i="37"/>
  <c r="P233" i="37" s="1"/>
  <c r="O922" i="37"/>
  <c r="P922" i="37" s="1"/>
  <c r="O927" i="37"/>
  <c r="P927" i="37" s="1"/>
  <c r="O290" i="37"/>
  <c r="P290" i="37" s="1"/>
  <c r="O30" i="37"/>
  <c r="P30" i="37" s="1"/>
  <c r="O117" i="37"/>
  <c r="P117" i="37" s="1"/>
  <c r="O200" i="37"/>
  <c r="P200" i="37" s="1"/>
  <c r="O630" i="37"/>
  <c r="P630" i="37" s="1"/>
  <c r="O369" i="37"/>
  <c r="P369" i="37" s="1"/>
  <c r="O749" i="37"/>
  <c r="P749" i="37" s="1"/>
  <c r="O560" i="37"/>
  <c r="P560" i="37" s="1"/>
  <c r="O298" i="37"/>
  <c r="P298" i="37" s="1"/>
  <c r="O997" i="37"/>
  <c r="P997" i="37" s="1"/>
  <c r="O243" i="37"/>
  <c r="P243" i="37" s="1"/>
  <c r="O335" i="37"/>
  <c r="P335" i="37" s="1"/>
  <c r="O86" i="37"/>
  <c r="P86" i="37" s="1"/>
  <c r="O509" i="37"/>
  <c r="P509" i="37" s="1"/>
  <c r="O440" i="37"/>
  <c r="P440" i="37" s="1"/>
  <c r="O338" i="37"/>
  <c r="P338" i="37" s="1"/>
  <c r="O82" i="37"/>
  <c r="P82" i="37" s="1"/>
  <c r="O165" i="37"/>
  <c r="P165" i="37" s="1"/>
  <c r="O248" i="37"/>
  <c r="P248" i="37" s="1"/>
  <c r="O406" i="37"/>
  <c r="P406" i="37" s="1"/>
  <c r="O331" i="37"/>
  <c r="P331" i="37" s="1"/>
  <c r="O409" i="37"/>
  <c r="P409" i="37" s="1"/>
  <c r="O752" i="37"/>
  <c r="P752" i="37" s="1"/>
  <c r="O407" i="37"/>
  <c r="P407" i="37" s="1"/>
  <c r="O144" i="37"/>
  <c r="P144" i="37" s="1"/>
  <c r="O709" i="37"/>
  <c r="P709" i="37" s="1"/>
  <c r="O540" i="37"/>
  <c r="P540" i="37" s="1"/>
  <c r="O278" i="37"/>
  <c r="P278" i="37" s="1"/>
  <c r="O119" i="37"/>
  <c r="P119" i="37" s="1"/>
  <c r="O632" i="37"/>
  <c r="P632" i="37" s="1"/>
  <c r="O219" i="37"/>
  <c r="P219" i="37" s="1"/>
  <c r="O130" i="37"/>
  <c r="P130" i="37" s="1"/>
  <c r="O893" i="37"/>
  <c r="P893" i="37" s="1"/>
  <c r="O489" i="37"/>
  <c r="P489" i="37" s="1"/>
  <c r="O603" i="37"/>
  <c r="P603" i="37" s="1"/>
  <c r="O932" i="37"/>
  <c r="P932" i="37" s="1"/>
  <c r="O545" i="37"/>
  <c r="P545" i="37" s="1"/>
  <c r="O215" i="37"/>
  <c r="P215" i="37" s="1"/>
  <c r="O960" i="37"/>
  <c r="P960" i="37" s="1"/>
  <c r="O461" i="37"/>
  <c r="P461" i="37" s="1"/>
  <c r="O746" i="37"/>
  <c r="P746" i="37" s="1"/>
  <c r="O928" i="37"/>
  <c r="P928" i="37" s="1"/>
  <c r="O672" i="37"/>
  <c r="P672" i="37" s="1"/>
  <c r="O416" i="37"/>
  <c r="P416" i="37" s="1"/>
  <c r="O839" i="37"/>
  <c r="P839" i="37" s="1"/>
  <c r="O583" i="37"/>
  <c r="P583" i="37" s="1"/>
  <c r="O251" i="37"/>
  <c r="P251" i="37" s="1"/>
  <c r="O154" i="37"/>
  <c r="P154" i="37" s="1"/>
  <c r="O237" i="37"/>
  <c r="P237" i="37" s="1"/>
  <c r="O320" i="37"/>
  <c r="P320" i="37" s="1"/>
  <c r="O64" i="37"/>
  <c r="P64" i="37" s="1"/>
  <c r="O721" i="37"/>
  <c r="P721" i="37" s="1"/>
  <c r="O494" i="37"/>
  <c r="P494" i="37" s="1"/>
  <c r="O1004" i="37"/>
  <c r="P1004" i="37" s="1"/>
  <c r="O549" i="37"/>
  <c r="P549" i="37" s="1"/>
  <c r="O834" i="37"/>
  <c r="P834" i="37" s="1"/>
  <c r="O231" i="37"/>
  <c r="P231" i="37" s="1"/>
  <c r="O716" i="37"/>
  <c r="P716" i="37" s="1"/>
  <c r="O460" i="37"/>
  <c r="P460" i="37" s="1"/>
  <c r="O883" i="37"/>
  <c r="P883" i="37" s="1"/>
  <c r="O627" i="37"/>
  <c r="P627" i="37" s="1"/>
  <c r="O371" i="37"/>
  <c r="P371" i="37" s="1"/>
  <c r="O198" i="37"/>
  <c r="P198" i="37" s="1"/>
  <c r="O281" i="37"/>
  <c r="P281" i="37" s="1"/>
  <c r="O18" i="37"/>
  <c r="P18" i="37" s="1"/>
  <c r="O108" i="37"/>
  <c r="P108" i="37" s="1"/>
  <c r="O733" i="37"/>
  <c r="P733" i="37" s="1"/>
  <c r="O983" i="37"/>
  <c r="P983" i="37" s="1"/>
  <c r="O506" i="37"/>
  <c r="P506" i="37" s="1"/>
  <c r="O808" i="37"/>
  <c r="P808" i="37" s="1"/>
  <c r="O552" i="37"/>
  <c r="P552" i="37" s="1"/>
  <c r="O127" i="37"/>
  <c r="P127" i="37" s="1"/>
  <c r="O719" i="37"/>
  <c r="P719" i="37" s="1"/>
  <c r="O463" i="37"/>
  <c r="P463" i="37" s="1"/>
  <c r="O619" i="37"/>
  <c r="P619" i="37" s="1"/>
  <c r="O225" i="37"/>
  <c r="P225" i="37" s="1"/>
  <c r="O689" i="37"/>
  <c r="P689" i="37" s="1"/>
  <c r="O937" i="37"/>
  <c r="P937" i="37" s="1"/>
  <c r="O566" i="37"/>
  <c r="P566" i="37" s="1"/>
  <c r="O985" i="37"/>
  <c r="P985" i="37" s="1"/>
  <c r="O793" i="37"/>
  <c r="P793" i="37" s="1"/>
  <c r="O813" i="37"/>
  <c r="P813" i="37" s="1"/>
  <c r="O147" i="37"/>
  <c r="P147" i="37" s="1"/>
  <c r="O586" i="37"/>
  <c r="P586" i="37" s="1"/>
  <c r="O848" i="37"/>
  <c r="P848" i="37" s="1"/>
  <c r="O592" i="37"/>
  <c r="P592" i="37" s="1"/>
  <c r="O287" i="37"/>
  <c r="P287" i="37" s="1"/>
  <c r="O759" i="37"/>
  <c r="P759" i="37" s="1"/>
  <c r="O503" i="37"/>
  <c r="P503" i="37" s="1"/>
  <c r="O330" i="37"/>
  <c r="P330" i="37" s="1"/>
  <c r="O74" i="37"/>
  <c r="P74" i="37" s="1"/>
  <c r="O157" i="37"/>
  <c r="P157" i="37" s="1"/>
  <c r="O240" i="37"/>
  <c r="P240" i="37" s="1"/>
  <c r="O534" i="37"/>
  <c r="P534" i="37" s="1"/>
  <c r="O401" i="37"/>
  <c r="P401" i="37" s="1"/>
  <c r="O958" i="37"/>
  <c r="P958" i="37" s="1"/>
  <c r="O901" i="37"/>
  <c r="P901" i="37" s="1"/>
  <c r="O389" i="37"/>
  <c r="P389" i="37" s="1"/>
  <c r="O674" i="37"/>
  <c r="P674" i="37" s="1"/>
  <c r="O892" i="37"/>
  <c r="P892" i="37" s="1"/>
  <c r="O636" i="37"/>
  <c r="P636" i="37" s="1"/>
  <c r="O380" i="37"/>
  <c r="P380" i="37" s="1"/>
  <c r="O803" i="37"/>
  <c r="P803" i="37" s="1"/>
  <c r="O547" i="37"/>
  <c r="P547" i="37" s="1"/>
  <c r="O107" i="37"/>
  <c r="P107" i="37" s="1"/>
  <c r="O118" i="37"/>
  <c r="P118" i="37" s="1"/>
  <c r="O201" i="37"/>
  <c r="P201" i="37" s="1"/>
  <c r="O284" i="37"/>
  <c r="P284" i="37" s="1"/>
  <c r="O22" i="37"/>
  <c r="P22" i="37" s="1"/>
  <c r="O573" i="37"/>
  <c r="P573" i="37" s="1"/>
  <c r="O858" i="37"/>
  <c r="P858" i="37" s="1"/>
  <c r="O327" i="37"/>
  <c r="P327" i="37" s="1"/>
  <c r="O728" i="37"/>
  <c r="P728" i="37" s="1"/>
  <c r="O472" i="37"/>
  <c r="P472" i="37" s="1"/>
  <c r="O895" i="37"/>
  <c r="P895" i="37" s="1"/>
  <c r="O639" i="37"/>
  <c r="P639" i="37" s="1"/>
  <c r="O383" i="37"/>
  <c r="P383" i="37" s="1"/>
  <c r="O950" i="37"/>
  <c r="P950" i="37" s="1"/>
  <c r="O817" i="37"/>
  <c r="P817" i="37" s="1"/>
  <c r="O436" i="37"/>
  <c r="P436" i="37" s="1"/>
  <c r="O324" i="37"/>
  <c r="P324" i="37" s="1"/>
  <c r="O417" i="37"/>
  <c r="P417" i="37" s="1"/>
  <c r="O966" i="37"/>
  <c r="P966" i="37" s="1"/>
  <c r="O909" i="37"/>
  <c r="P909" i="37" s="1"/>
  <c r="O397" i="37"/>
  <c r="P397" i="37" s="1"/>
  <c r="O682" i="37"/>
  <c r="P682" i="37" s="1"/>
  <c r="O896" i="37"/>
  <c r="P896" i="37" s="1"/>
  <c r="O640" i="37"/>
  <c r="P640" i="37" s="1"/>
  <c r="O384" i="37"/>
  <c r="P384" i="37" s="1"/>
  <c r="O807" i="37"/>
  <c r="P807" i="37" s="1"/>
  <c r="O551" i="37"/>
  <c r="P551" i="37" s="1"/>
  <c r="O123" i="37"/>
  <c r="P123" i="37" s="1"/>
  <c r="O122" i="37"/>
  <c r="P122" i="37" s="1"/>
  <c r="O205" i="37"/>
  <c r="P205" i="37" s="1"/>
  <c r="O288" i="37"/>
  <c r="P288" i="37" s="1"/>
  <c r="O27" i="37"/>
  <c r="P27" i="37" s="1"/>
  <c r="O593" i="37"/>
  <c r="P593" i="37" s="1"/>
  <c r="O366" i="37"/>
  <c r="P366" i="37" s="1"/>
  <c r="O972" i="37"/>
  <c r="P972" i="37" s="1"/>
  <c r="O485" i="37"/>
  <c r="P485" i="37" s="1"/>
  <c r="O770" i="37"/>
  <c r="P770" i="37" s="1"/>
  <c r="O940" i="37"/>
  <c r="P940" i="37" s="1"/>
  <c r="O684" i="37"/>
  <c r="P684" i="37" s="1"/>
  <c r="O428" i="37"/>
  <c r="P428" i="37" s="1"/>
  <c r="O851" i="37"/>
  <c r="P851" i="37" s="1"/>
  <c r="O595" i="37"/>
  <c r="P595" i="37" s="1"/>
  <c r="O299" i="37"/>
  <c r="P299" i="37" s="1"/>
  <c r="O166" i="37"/>
  <c r="P166" i="37" s="1"/>
  <c r="O249" i="37"/>
  <c r="P249" i="37" s="1"/>
  <c r="O332" i="37"/>
  <c r="P332" i="37" s="1"/>
  <c r="O76" i="37"/>
  <c r="P76" i="37" s="1"/>
  <c r="O669" i="37"/>
  <c r="P669" i="37" s="1"/>
  <c r="O951" i="37"/>
  <c r="P951" i="37" s="1"/>
  <c r="O442" i="37"/>
  <c r="P442" i="37" s="1"/>
  <c r="O776" i="37"/>
  <c r="P776" i="37" s="1"/>
  <c r="O520" i="37"/>
  <c r="P520" i="37" s="1"/>
  <c r="O943" i="37"/>
  <c r="P943" i="37" s="1"/>
  <c r="O687" i="37"/>
  <c r="P687" i="37" s="1"/>
  <c r="O431" i="37"/>
  <c r="P431" i="37" s="1"/>
  <c r="O470" i="37"/>
  <c r="P470" i="37" s="1"/>
  <c r="O353" i="37"/>
  <c r="P353" i="37" s="1"/>
  <c r="O650" i="37"/>
  <c r="P650" i="37" s="1"/>
  <c r="O791" i="37"/>
  <c r="P791" i="37" s="1"/>
  <c r="O189" i="37"/>
  <c r="P189" i="37" s="1"/>
  <c r="O151" i="37"/>
  <c r="P151" i="37" s="1"/>
  <c r="O924" i="37"/>
  <c r="P924" i="37" s="1"/>
  <c r="O579" i="37"/>
  <c r="P579" i="37" s="1"/>
  <c r="O316" i="37"/>
  <c r="P316" i="37" s="1"/>
  <c r="O410" i="37"/>
  <c r="P410" i="37" s="1"/>
  <c r="O671" i="37"/>
  <c r="P671" i="37" s="1"/>
  <c r="O226" i="37"/>
  <c r="P226" i="37" s="1"/>
  <c r="O309" i="37"/>
  <c r="P309" i="37" s="1"/>
  <c r="O53" i="37"/>
  <c r="P53" i="37" s="1"/>
  <c r="O136" i="37"/>
  <c r="P136" i="37" s="1"/>
  <c r="O452" i="37"/>
  <c r="P452" i="37" s="1"/>
  <c r="O838" i="37"/>
  <c r="P838" i="37" s="1"/>
  <c r="O991" i="37"/>
  <c r="P991" i="37" s="1"/>
  <c r="O159" i="37"/>
  <c r="P159" i="37" s="1"/>
  <c r="O41" i="37"/>
  <c r="P41" i="37" s="1"/>
  <c r="O31" i="37"/>
  <c r="P31" i="37" s="1"/>
  <c r="O610" i="37"/>
  <c r="P610" i="37" s="1"/>
  <c r="O771" i="37"/>
  <c r="P771" i="37" s="1"/>
  <c r="O169" i="37"/>
  <c r="P169" i="37" s="1"/>
  <c r="O794" i="37"/>
  <c r="P794" i="37" s="1"/>
  <c r="O863" i="37"/>
  <c r="P863" i="37" s="1"/>
  <c r="O274" i="37"/>
  <c r="P274" i="37" s="1"/>
  <c r="O9" i="37"/>
  <c r="P9" i="37" s="1"/>
  <c r="O101" i="37"/>
  <c r="P101" i="37" s="1"/>
  <c r="O184" i="37"/>
  <c r="P184" i="37" s="1"/>
  <c r="O358" i="37"/>
  <c r="P358" i="37" s="1"/>
  <c r="O377" i="37"/>
  <c r="P377" i="37" s="1"/>
  <c r="O621" i="37"/>
  <c r="P621" i="37" s="1"/>
  <c r="O496" i="37"/>
  <c r="P496" i="37" s="1"/>
  <c r="O234" i="37"/>
  <c r="P234" i="37" s="1"/>
  <c r="O973" i="37"/>
  <c r="P973" i="37" s="1"/>
  <c r="O971" i="37"/>
  <c r="P971" i="37" s="1"/>
  <c r="O79" i="37"/>
  <c r="P79" i="37" s="1"/>
  <c r="O14" i="37"/>
  <c r="P14" i="37" s="1"/>
  <c r="O381" i="37"/>
  <c r="P381" i="37" s="1"/>
  <c r="O376" i="37"/>
  <c r="P376" i="37" s="1"/>
  <c r="O322" i="37"/>
  <c r="P322" i="37" s="1"/>
  <c r="O66" i="37"/>
  <c r="P66" i="37" s="1"/>
  <c r="O635" i="37"/>
  <c r="P635" i="37" s="1"/>
  <c r="O857" i="37"/>
  <c r="P857" i="37" s="1"/>
  <c r="O864" i="37"/>
  <c r="P864" i="37" s="1"/>
  <c r="O519" i="37"/>
  <c r="P519" i="37" s="1"/>
  <c r="O256" i="37"/>
  <c r="P256" i="37" s="1"/>
  <c r="O933" i="37"/>
  <c r="P933" i="37" s="1"/>
  <c r="O652" i="37"/>
  <c r="P652" i="37" s="1"/>
  <c r="O171" i="37"/>
  <c r="P171" i="37" s="1"/>
  <c r="O43" i="37"/>
  <c r="P43" i="37" s="1"/>
  <c r="O744" i="37"/>
  <c r="P744" i="37" s="1"/>
  <c r="O399" i="37"/>
  <c r="P399" i="37" s="1"/>
  <c r="O454" i="37"/>
  <c r="P454" i="37" s="1"/>
  <c r="O685" i="37"/>
  <c r="P685" i="37" s="1"/>
  <c r="O528" i="37"/>
  <c r="P528" i="37" s="1"/>
  <c r="O266" i="37"/>
  <c r="P266" i="37" s="1"/>
  <c r="O486" i="37"/>
  <c r="P486" i="37" s="1"/>
  <c r="O1003" i="37"/>
  <c r="P1003" i="37" s="1"/>
  <c r="O207" i="37"/>
  <c r="P207" i="37" s="1"/>
  <c r="O54" i="37"/>
  <c r="P54" i="37" s="1"/>
  <c r="O445" i="37"/>
  <c r="P445" i="37" s="1"/>
  <c r="O408" i="37"/>
  <c r="P408" i="37" s="1"/>
  <c r="O390" i="37"/>
  <c r="P390" i="37" s="1"/>
  <c r="O953" i="37"/>
  <c r="P953" i="37" s="1"/>
  <c r="O554" i="37"/>
  <c r="P554" i="37" s="1"/>
  <c r="O743" i="37"/>
  <c r="P743" i="37" s="1"/>
  <c r="O141" i="37"/>
  <c r="P141" i="37" s="1"/>
  <c r="O905" i="37"/>
  <c r="P905" i="37" s="1"/>
  <c r="O876" i="37"/>
  <c r="P876" i="37" s="1"/>
  <c r="O531" i="37"/>
  <c r="P531" i="37" s="1"/>
  <c r="O268" i="37"/>
  <c r="P268" i="37" s="1"/>
  <c r="O199" i="37"/>
  <c r="P199" i="37" s="1"/>
  <c r="O623" i="37"/>
  <c r="P623" i="37" s="1"/>
  <c r="O880" i="37"/>
  <c r="P880" i="37" s="1"/>
  <c r="O668" i="37"/>
  <c r="P668" i="37" s="1"/>
  <c r="O415" i="37"/>
  <c r="P415" i="37" s="1"/>
  <c r="O72" i="37"/>
  <c r="P72" i="37" s="1"/>
  <c r="O727" i="37"/>
  <c r="P727" i="37" s="1"/>
  <c r="O515" i="37"/>
  <c r="P515" i="37" s="1"/>
  <c r="O210" i="37"/>
  <c r="P210" i="37" s="1"/>
  <c r="O533" i="37"/>
  <c r="P533" i="37" s="1"/>
  <c r="O317" i="37"/>
  <c r="P317" i="37" s="1"/>
  <c r="O105" i="37"/>
  <c r="P105" i="37" s="1"/>
  <c r="O194" i="37"/>
  <c r="P194" i="37" s="1"/>
  <c r="O149" i="37"/>
  <c r="P149" i="37" s="1"/>
  <c r="O232" i="37"/>
  <c r="P232" i="37" s="1"/>
  <c r="O662" i="37"/>
  <c r="P662" i="37" s="1"/>
  <c r="O692" i="37"/>
  <c r="P692" i="37" s="1"/>
  <c r="O976" i="37"/>
  <c r="P976" i="37" s="1"/>
  <c r="O688" i="37"/>
  <c r="P688" i="37" s="1"/>
  <c r="O315" i="37"/>
  <c r="P315" i="37" s="1"/>
  <c r="O80" i="37"/>
  <c r="P80" i="37" s="1"/>
  <c r="O581" i="37"/>
  <c r="P581" i="37" s="1"/>
  <c r="O476" i="37"/>
  <c r="P476" i="37" s="1"/>
  <c r="O214" i="37"/>
  <c r="P214" i="37" s="1"/>
  <c r="O374" i="37"/>
  <c r="P374" i="37" s="1"/>
  <c r="O568" i="37"/>
  <c r="P568" i="37" s="1"/>
  <c r="O91" i="37"/>
  <c r="P91" i="37" s="1"/>
  <c r="O114" i="37"/>
  <c r="P114" i="37" s="1"/>
  <c r="O197" i="37"/>
  <c r="P197" i="37" s="1"/>
  <c r="O280" i="37"/>
  <c r="P280" i="37" s="1"/>
  <c r="O17" i="37"/>
  <c r="P17" i="37" s="1"/>
  <c r="O804" i="37"/>
  <c r="P804" i="37" s="1"/>
  <c r="O484" i="37"/>
  <c r="P484" i="37" s="1"/>
  <c r="O725" i="37"/>
  <c r="P725" i="37" s="1"/>
  <c r="O809" i="37"/>
  <c r="P809" i="37" s="1"/>
  <c r="O433" i="37"/>
  <c r="P433" i="37" s="1"/>
  <c r="O97" i="37"/>
  <c r="P97" i="37" s="1"/>
  <c r="O555" i="37"/>
  <c r="P555" i="37" s="1"/>
  <c r="O24" i="37"/>
  <c r="P24" i="37" s="1"/>
  <c r="O46" i="37"/>
  <c r="P46" i="37" s="1"/>
  <c r="O916" i="37"/>
  <c r="P916" i="37" s="1"/>
  <c r="O562" i="37"/>
  <c r="P562" i="37" s="1"/>
  <c r="O969" i="37"/>
  <c r="P969" i="37" s="1"/>
  <c r="O756" i="37"/>
  <c r="P756" i="37" s="1"/>
  <c r="O206" i="37"/>
  <c r="P206" i="37" s="1"/>
  <c r="O798" i="37"/>
  <c r="P798" i="37" s="1"/>
  <c r="O678" i="37"/>
  <c r="P678" i="37" s="1"/>
  <c r="O577" i="37"/>
  <c r="P577" i="37" s="1"/>
  <c r="O925" i="37"/>
  <c r="P925" i="37" s="1"/>
  <c r="O761" i="37"/>
  <c r="P761" i="37" s="1"/>
  <c r="O884" i="37"/>
  <c r="P884" i="37" s="1"/>
  <c r="O507" i="37"/>
  <c r="P507" i="37" s="1"/>
  <c r="O1001" i="37"/>
  <c r="P1001" i="37" s="1"/>
  <c r="O33" i="37"/>
  <c r="P33" i="37" s="1"/>
  <c r="O681" i="37"/>
  <c r="P681" i="37" s="1"/>
  <c r="O846" i="37"/>
  <c r="P846" i="37" s="1"/>
  <c r="O29" i="37"/>
  <c r="P29" i="37" s="1"/>
  <c r="O491" i="37"/>
  <c r="P491" i="37" s="1"/>
  <c r="O227" i="37"/>
  <c r="P227" i="37" s="1"/>
  <c r="O238" i="37"/>
  <c r="P238" i="37" s="1"/>
  <c r="O850" i="37"/>
  <c r="P850" i="37" s="1"/>
  <c r="O946" i="37"/>
  <c r="P946" i="37" s="1"/>
  <c r="O505" i="37"/>
  <c r="P505" i="37" s="1"/>
  <c r="O49" i="37"/>
  <c r="P49" i="37" s="1"/>
  <c r="O196" i="37"/>
  <c r="P196" i="37" s="1"/>
  <c r="O889" i="37"/>
  <c r="P889" i="37" s="1"/>
  <c r="O75" i="37"/>
  <c r="P75" i="37" s="1"/>
  <c r="O437" i="37"/>
  <c r="P437" i="37" s="1"/>
  <c r="O405" i="37"/>
  <c r="P405" i="37" s="1"/>
  <c r="O478" i="37"/>
  <c r="P478" i="37" s="1"/>
  <c r="O820" i="37"/>
  <c r="P820" i="37" s="1"/>
  <c r="O203" i="37"/>
  <c r="P203" i="37" s="1"/>
  <c r="O926" i="37"/>
  <c r="P926" i="37" s="1"/>
  <c r="O726" i="37"/>
  <c r="P726" i="37" s="1"/>
  <c r="O15" i="37"/>
  <c r="P15" i="37" s="1"/>
  <c r="O945" i="37"/>
  <c r="P945" i="37" s="1"/>
  <c r="O289" i="37"/>
  <c r="P289" i="37" s="1"/>
  <c r="O683" i="37"/>
  <c r="P683" i="37" s="1"/>
  <c r="O343" i="37"/>
  <c r="P343" i="37" s="1"/>
  <c r="O113" i="37"/>
  <c r="P113" i="37" s="1"/>
  <c r="O518" i="37"/>
  <c r="P518" i="37" s="1"/>
  <c r="O110" i="37"/>
  <c r="P110" i="37" s="1"/>
  <c r="O295" i="37"/>
  <c r="P295" i="37" s="1"/>
  <c r="O690" i="37"/>
  <c r="P690" i="37" s="1"/>
  <c r="O12" i="37"/>
  <c r="P12" i="37" s="1"/>
  <c r="O564" i="37"/>
  <c r="P564" i="37" s="1"/>
  <c r="O582" i="37"/>
  <c r="P582" i="37" s="1"/>
  <c r="O414" i="37"/>
  <c r="P414" i="37" s="1"/>
  <c r="O797" i="37"/>
  <c r="P797" i="37" s="1"/>
  <c r="O402" i="37"/>
  <c r="P402" i="37" s="1"/>
  <c r="O827" i="37"/>
  <c r="P827" i="37" s="1"/>
  <c r="O513" i="37"/>
  <c r="P513" i="37" s="1"/>
  <c r="O164" i="37"/>
  <c r="P164" i="37" s="1"/>
  <c r="O760" i="37"/>
  <c r="P760" i="37" s="1"/>
  <c r="O336" i="37"/>
  <c r="P336" i="37" s="1"/>
  <c r="O387" i="37"/>
  <c r="P387" i="37" s="1"/>
  <c r="O178" i="37"/>
  <c r="P178" i="37" s="1"/>
  <c r="O758" i="37"/>
  <c r="P758" i="37" s="1"/>
  <c r="O710" i="37"/>
  <c r="P710" i="37" s="1"/>
  <c r="O900" i="37"/>
  <c r="P900" i="37" s="1"/>
  <c r="O163" i="37"/>
  <c r="P163" i="37" s="1"/>
  <c r="O948" i="37"/>
  <c r="P948" i="37" s="1"/>
  <c r="O254" i="37"/>
  <c r="P254" i="37" s="1"/>
  <c r="O633" i="37"/>
  <c r="P633" i="37" s="1"/>
  <c r="O180" i="37"/>
  <c r="P180" i="37" s="1"/>
  <c r="O129" i="37"/>
  <c r="P129" i="37" s="1"/>
  <c r="O68" i="37"/>
  <c r="P68" i="37" s="1"/>
  <c r="O87" i="37"/>
  <c r="P87" i="37" s="1"/>
  <c r="O982" i="37"/>
  <c r="P982" i="37" s="1"/>
  <c r="O32" i="37"/>
  <c r="P32" i="37" s="1"/>
  <c r="O617" i="37"/>
  <c r="P617" i="37" s="1"/>
  <c r="O318" i="37"/>
  <c r="P318" i="37" s="1"/>
  <c r="O788" i="37"/>
  <c r="P788" i="37" s="1"/>
  <c r="O882" i="37"/>
  <c r="P882" i="37" s="1"/>
  <c r="O561" i="37"/>
  <c r="P561" i="37" s="1"/>
  <c r="O757" i="37"/>
  <c r="P757" i="37" s="1"/>
  <c r="O62" i="37"/>
  <c r="P62" i="37" s="1"/>
  <c r="O308" i="37"/>
  <c r="P308" i="37" s="1"/>
  <c r="O37" i="37"/>
  <c r="P37" i="37" s="1"/>
  <c r="O845" i="37"/>
  <c r="P845" i="37" s="1"/>
  <c r="O608" i="37"/>
  <c r="P608" i="37" s="1"/>
  <c r="O346" i="37"/>
  <c r="P346" i="37" s="1"/>
  <c r="O949" i="37"/>
  <c r="P949" i="37" s="1"/>
  <c r="O421" i="37"/>
  <c r="P421" i="37" s="1"/>
  <c r="O396" i="37"/>
  <c r="P396" i="37" s="1"/>
  <c r="O134" i="37"/>
  <c r="P134" i="37" s="1"/>
  <c r="O605" i="37"/>
  <c r="P605" i="37" s="1"/>
  <c r="O488" i="37"/>
  <c r="P488" i="37" s="1"/>
  <c r="O167" i="37"/>
  <c r="P167" i="37" s="1"/>
  <c r="O970" i="37"/>
  <c r="P970" i="37" s="1"/>
  <c r="O959" i="37"/>
  <c r="P959" i="37" s="1"/>
  <c r="O26" i="37"/>
  <c r="P26" i="37" s="1"/>
  <c r="O349" i="37"/>
  <c r="P349" i="37" s="1"/>
  <c r="O942" i="37"/>
  <c r="P942" i="37" s="1"/>
  <c r="O546" i="37"/>
  <c r="P546" i="37" s="1"/>
  <c r="O739" i="37"/>
  <c r="P739" i="37" s="1"/>
  <c r="O137" i="37"/>
  <c r="P137" i="37" s="1"/>
  <c r="O730" i="37"/>
  <c r="P730" i="37" s="1"/>
  <c r="O831" i="37"/>
  <c r="P831" i="37" s="1"/>
  <c r="O722" i="37"/>
  <c r="P722" i="37" s="1"/>
  <c r="O729" i="37"/>
  <c r="P729" i="37" s="1"/>
  <c r="O832" i="37"/>
  <c r="P832" i="37" s="1"/>
  <c r="O487" i="37"/>
  <c r="P487" i="37" s="1"/>
  <c r="O224" i="37"/>
  <c r="P224" i="37" s="1"/>
  <c r="O869" i="37"/>
  <c r="P869" i="37" s="1"/>
  <c r="O620" i="37"/>
  <c r="P620" i="37" s="1"/>
  <c r="O42" i="37"/>
  <c r="P42" i="37" s="1"/>
  <c r="O8" i="37"/>
  <c r="P8" i="37" s="1"/>
  <c r="O712" i="37"/>
  <c r="P712" i="37" s="1"/>
  <c r="O367" i="37"/>
  <c r="P367" i="37" s="1"/>
  <c r="O535" i="37"/>
  <c r="P535" i="37" s="1"/>
  <c r="O235" i="37"/>
  <c r="P235" i="37" s="1"/>
  <c r="O162" i="37"/>
  <c r="P162" i="37" s="1"/>
  <c r="O443" i="37"/>
  <c r="P443" i="37" s="1"/>
  <c r="O125" i="37"/>
  <c r="P125" i="37" s="1"/>
  <c r="O252" i="37"/>
  <c r="P252" i="37" s="1"/>
  <c r="O293" i="37"/>
  <c r="P293" i="37" s="1"/>
  <c r="O865" i="37"/>
  <c r="P865" i="37" s="1"/>
  <c r="O814" i="37"/>
  <c r="P814" i="37" s="1"/>
  <c r="O666" i="37"/>
  <c r="P666" i="37" s="1"/>
  <c r="O341" i="37"/>
  <c r="P341" i="37" s="1"/>
  <c r="O85" i="37"/>
  <c r="P85" i="37" s="1"/>
  <c r="O168" i="37"/>
  <c r="P168" i="37" s="1"/>
  <c r="O614" i="37"/>
  <c r="P614" i="37" s="1"/>
  <c r="O705" i="37"/>
  <c r="P705" i="37" s="1"/>
  <c r="O493" i="37"/>
  <c r="P493" i="37" s="1"/>
  <c r="O432" i="37"/>
  <c r="P432" i="37" s="1"/>
  <c r="O170" i="37"/>
  <c r="P170" i="37" s="1"/>
  <c r="O785" i="37"/>
  <c r="P785" i="37" s="1"/>
  <c r="O866" i="37"/>
  <c r="P866" i="37" s="1"/>
  <c r="O899" i="37"/>
  <c r="P899" i="37" s="1"/>
  <c r="O297" i="37"/>
  <c r="P297" i="37" s="1"/>
  <c r="O999" i="37"/>
  <c r="P999" i="37" s="1"/>
  <c r="O191" i="37"/>
  <c r="P191" i="37" s="1"/>
  <c r="O306" i="37"/>
  <c r="P306" i="37" s="1"/>
  <c r="O50" i="37"/>
  <c r="P50" i="37" s="1"/>
  <c r="O133" i="37"/>
  <c r="P133" i="37" s="1"/>
  <c r="O216" i="37"/>
  <c r="P216" i="37" s="1"/>
  <c r="O918" i="37"/>
  <c r="P918" i="37" s="1"/>
  <c r="O862" i="37"/>
  <c r="P862" i="37" s="1"/>
  <c r="O597" i="37"/>
  <c r="P597" i="37" s="1"/>
  <c r="O626" i="37"/>
  <c r="P626" i="37" s="1"/>
  <c r="O658" i="37"/>
  <c r="P658" i="37" s="1"/>
  <c r="O468" i="37"/>
  <c r="P468" i="37" s="1"/>
  <c r="O769" i="37"/>
  <c r="P769" i="37" s="1"/>
  <c r="O292" i="37"/>
  <c r="P292" i="37" s="1"/>
  <c r="O398" i="37"/>
  <c r="P398" i="37" s="1"/>
  <c r="O902" i="37"/>
  <c r="P902" i="37" s="1"/>
  <c r="O5" i="37"/>
  <c r="P5" i="37" s="1"/>
  <c r="O747" i="37"/>
  <c r="P747" i="37" s="1"/>
  <c r="O861" i="37"/>
  <c r="P861" i="37" s="1"/>
  <c r="O411" i="37"/>
  <c r="P411" i="37" s="1"/>
  <c r="O853" i="37"/>
  <c r="P853" i="37" s="1"/>
  <c r="O661" i="37"/>
  <c r="P661" i="37" s="1"/>
  <c r="O734" i="37"/>
  <c r="P734" i="37" s="1"/>
  <c r="O132" i="37"/>
  <c r="P132" i="37" s="1"/>
  <c r="O954" i="37"/>
  <c r="P954" i="37" s="1"/>
  <c r="O754" i="37"/>
  <c r="P754" i="37" s="1"/>
  <c r="O539" i="37"/>
  <c r="P539" i="37" s="1"/>
  <c r="O361" i="37"/>
  <c r="P361" i="37" s="1"/>
  <c r="O829" i="37"/>
  <c r="P829" i="37" s="1"/>
  <c r="O307" i="37"/>
  <c r="P307" i="37" s="1"/>
  <c r="O530" i="37"/>
  <c r="P530" i="37" s="1"/>
  <c r="O47" i="37"/>
  <c r="P47" i="37" s="1"/>
  <c r="O641" i="37"/>
  <c r="P641" i="37" s="1"/>
  <c r="O228" i="37"/>
  <c r="P228" i="37" s="1"/>
  <c r="O782" i="37"/>
  <c r="P782" i="37" s="1"/>
  <c r="O934" i="37"/>
  <c r="P934" i="37" s="1"/>
  <c r="O270" i="37"/>
  <c r="P270" i="37" s="1"/>
  <c r="O939" i="37"/>
  <c r="P939" i="37" s="1"/>
  <c r="O459" i="37"/>
  <c r="P459" i="37" s="1"/>
  <c r="O651" i="37"/>
  <c r="P651" i="37" s="1"/>
  <c r="O548" i="37"/>
  <c r="P548" i="37" s="1"/>
  <c r="O993" i="37"/>
  <c r="P993" i="37" s="1"/>
  <c r="O11" i="37"/>
  <c r="P11" i="37" s="1"/>
  <c r="O379" i="37"/>
  <c r="P379" i="37" s="1"/>
  <c r="O388" i="37"/>
  <c r="P388" i="37" s="1"/>
  <c r="O469" i="37"/>
  <c r="P469" i="37" s="1"/>
  <c r="O475" i="37"/>
  <c r="P475" i="37" s="1"/>
  <c r="O964" i="37"/>
  <c r="P964" i="37" s="1"/>
  <c r="O765" i="37"/>
  <c r="P765" i="37" s="1"/>
  <c r="O612" i="37"/>
  <c r="P612" i="37" s="1"/>
  <c r="O914" i="37"/>
  <c r="P914" i="37" s="1"/>
  <c r="O724" i="37"/>
  <c r="P724" i="37" s="1"/>
  <c r="O978" i="37"/>
  <c r="P978" i="37" s="1"/>
  <c r="O81" i="37"/>
  <c r="P81" i="37" s="1"/>
  <c r="O28" i="37"/>
  <c r="P28" i="37" s="1"/>
  <c r="O498" i="37"/>
  <c r="P498" i="37" s="1"/>
  <c r="O526" i="37"/>
  <c r="P526" i="37" s="1"/>
  <c r="O247" i="37"/>
  <c r="P247" i="37" s="1"/>
  <c r="O78" i="37"/>
  <c r="P78" i="37" s="1"/>
  <c r="O811" i="37"/>
  <c r="P811" i="37" s="1"/>
  <c r="O606" i="37"/>
  <c r="P606" i="37" s="1"/>
  <c r="O302" i="37"/>
  <c r="P302" i="37" s="1"/>
  <c r="O179" i="37"/>
  <c r="P179" i="37" s="1"/>
  <c r="O51" i="37"/>
  <c r="P51" i="37" s="1"/>
  <c r="O676" i="37"/>
  <c r="P676" i="37" s="1"/>
  <c r="O667" i="37"/>
  <c r="P667" i="37" s="1"/>
  <c r="O745" i="37"/>
  <c r="P745" i="37" s="1"/>
  <c r="O952" i="37"/>
  <c r="P952" i="37" s="1"/>
  <c r="O328" i="37"/>
  <c r="P328" i="37" s="1"/>
  <c r="O732" i="37"/>
  <c r="P732" i="37" s="1"/>
  <c r="O479" i="37"/>
  <c r="P479" i="37" s="1"/>
  <c r="O344" i="37"/>
  <c r="P344" i="37" s="1"/>
  <c r="O222" i="37"/>
  <c r="P222" i="37" s="1"/>
  <c r="O532" i="37"/>
  <c r="P532" i="37" s="1"/>
  <c r="O175" i="37"/>
  <c r="P175" i="37" s="1"/>
  <c r="O694" i="37"/>
  <c r="P694" i="37" s="1"/>
  <c r="O52" i="37"/>
  <c r="P52" i="37" s="1"/>
  <c r="O740" i="37"/>
  <c r="P740" i="37" s="1"/>
  <c r="O873" i="37"/>
  <c r="P873" i="37" s="1"/>
  <c r="O989" i="37"/>
  <c r="P989" i="37" s="1"/>
  <c r="O836" i="37"/>
  <c r="P836" i="37" s="1"/>
  <c r="O986" i="37"/>
  <c r="P986" i="37" s="1"/>
  <c r="O994" i="37"/>
  <c r="P994" i="37" s="1"/>
  <c r="O628" i="37"/>
  <c r="P628" i="37" s="1"/>
  <c r="O980" i="37"/>
  <c r="P980" i="37" s="1"/>
  <c r="O40" i="37"/>
  <c r="P40" i="37" s="1"/>
  <c r="O434" i="37"/>
  <c r="P434" i="37" s="1"/>
  <c r="O241" i="37"/>
  <c r="P241" i="37" s="1"/>
  <c r="O825" i="37"/>
  <c r="P825" i="37" s="1"/>
  <c r="O565" i="37"/>
  <c r="P565" i="37" s="1"/>
  <c r="O553" i="37"/>
  <c r="P553" i="37" s="1"/>
  <c r="O427" i="37"/>
  <c r="P427" i="37" s="1"/>
  <c r="O100" i="37"/>
  <c r="P100" i="37" s="1"/>
  <c r="O1000" i="37"/>
  <c r="P1000" i="37" s="1"/>
  <c r="O275" i="37"/>
  <c r="P275" i="37" s="1"/>
  <c r="O351" i="37"/>
  <c r="P351" i="37" s="1"/>
  <c r="O90" i="37"/>
  <c r="P90" i="37" s="1"/>
  <c r="O465" i="37"/>
  <c r="P465" i="37" s="1"/>
  <c r="O706" i="37"/>
  <c r="P706" i="37" s="1"/>
  <c r="O819" i="37"/>
  <c r="P819" i="37" s="1"/>
  <c r="O217" i="37"/>
  <c r="P217" i="37" s="1"/>
  <c r="O890" i="37"/>
  <c r="P890" i="37" s="1"/>
  <c r="O911" i="37"/>
  <c r="P911" i="37" s="1"/>
  <c r="O660" i="37"/>
  <c r="P660" i="37" s="1"/>
  <c r="O766" i="37"/>
  <c r="P766" i="37" s="1"/>
  <c r="O458" i="37"/>
  <c r="P458" i="37" s="1"/>
  <c r="O695" i="37"/>
  <c r="P695" i="37" s="1"/>
  <c r="O93" i="37"/>
  <c r="P93" i="37" s="1"/>
  <c r="O713" i="37"/>
  <c r="P713" i="37" s="1"/>
  <c r="O828" i="37"/>
  <c r="P828" i="37" s="1"/>
  <c r="O483" i="37"/>
  <c r="P483" i="37" s="1"/>
  <c r="O220" i="37"/>
  <c r="P220" i="37" s="1"/>
  <c r="O920" i="37"/>
  <c r="P920" i="37" s="1"/>
  <c r="O575" i="37"/>
  <c r="P575" i="37" s="1"/>
  <c r="O501" i="37"/>
  <c r="P501" i="37" s="1"/>
  <c r="O781" i="37"/>
  <c r="P781" i="37" s="1"/>
  <c r="O576" i="37"/>
  <c r="P576" i="37" s="1"/>
  <c r="O314" i="37"/>
  <c r="P314" i="37" s="1"/>
  <c r="O790" i="37"/>
  <c r="P790" i="37" s="1"/>
  <c r="O357" i="37"/>
  <c r="P357" i="37" s="1"/>
  <c r="O364" i="37"/>
  <c r="P364" i="37" s="1"/>
  <c r="O102" i="37"/>
  <c r="P102" i="37" s="1"/>
  <c r="O541" i="37"/>
  <c r="P541" i="37" s="1"/>
  <c r="O456" i="37"/>
  <c r="P456" i="37" s="1"/>
  <c r="O917" i="37"/>
  <c r="P917" i="37" s="1"/>
  <c r="O272" i="37"/>
  <c r="P272" i="37" s="1"/>
  <c r="O60" i="37"/>
  <c r="P60" i="37" s="1"/>
  <c r="O245" i="37"/>
  <c r="P245" i="37" s="1"/>
  <c r="O894" i="37"/>
  <c r="P894" i="37" s="1"/>
  <c r="O841" i="37"/>
  <c r="P841" i="37" s="1"/>
  <c r="O71" i="37"/>
  <c r="P71" i="37" s="1"/>
  <c r="O34" i="37"/>
  <c r="P34" i="37" s="1"/>
  <c r="O906" i="37"/>
  <c r="P906" i="37" s="1"/>
  <c r="O482" i="37"/>
  <c r="P482" i="37" s="1"/>
  <c r="O799" i="37"/>
  <c r="P799" i="37" s="1"/>
  <c r="O277" i="37"/>
  <c r="P277" i="37" s="1"/>
  <c r="O13" i="37"/>
  <c r="P13" i="37" s="1"/>
  <c r="O104" i="37"/>
  <c r="P104" i="37" s="1"/>
  <c r="O670" i="37"/>
  <c r="P670" i="37" s="1"/>
  <c r="O609" i="37"/>
  <c r="P609" i="37" s="1"/>
  <c r="O778" i="37"/>
  <c r="P778" i="37" s="1"/>
  <c r="O855" i="37"/>
  <c r="P855" i="37" s="1"/>
  <c r="O253" i="37"/>
  <c r="P253" i="37" s="1"/>
  <c r="O558" i="37"/>
  <c r="P558" i="37" s="1"/>
  <c r="O354" i="37"/>
  <c r="P354" i="37" s="1"/>
  <c r="O643" i="37"/>
  <c r="P643" i="37" s="1"/>
  <c r="O39" i="37"/>
  <c r="P39" i="37" s="1"/>
  <c r="O538" i="37"/>
  <c r="P538" i="37" s="1"/>
  <c r="O735" i="37"/>
  <c r="P735" i="37" s="1"/>
  <c r="O242" i="37"/>
  <c r="P242" i="37" s="1"/>
  <c r="O325" i="37"/>
  <c r="P325" i="37" s="1"/>
  <c r="O69" i="37"/>
  <c r="P69" i="37" s="1"/>
  <c r="O152" i="37"/>
  <c r="P152" i="37" s="1"/>
  <c r="O870" i="37"/>
  <c r="P870" i="37" s="1"/>
  <c r="O822" i="37"/>
  <c r="P822" i="37" s="1"/>
  <c r="O449" i="37"/>
  <c r="P449" i="37" s="1"/>
  <c r="O843" i="37"/>
  <c r="P843" i="37" s="1"/>
  <c r="O795" i="37"/>
  <c r="P795" i="37" s="1"/>
  <c r="O462" i="37"/>
  <c r="P462" i="37" s="1"/>
  <c r="O195" i="37"/>
  <c r="P195" i="37" s="1"/>
  <c r="O356" i="37"/>
  <c r="P356" i="37" s="1"/>
  <c r="O995" i="37"/>
  <c r="P995" i="37" s="1"/>
  <c r="O852" i="37"/>
  <c r="P852" i="37" s="1"/>
  <c r="O957" i="37"/>
  <c r="P957" i="37" s="1"/>
  <c r="O145" i="37"/>
  <c r="P145" i="37" s="1"/>
  <c r="O497" i="37"/>
  <c r="P497" i="37" s="1"/>
  <c r="O148" i="37"/>
  <c r="P148" i="37" s="1"/>
  <c r="O571" i="37"/>
  <c r="P571" i="37" s="1"/>
  <c r="O516" i="37"/>
  <c r="P516" i="37" s="1"/>
  <c r="O25" i="37"/>
  <c r="P25" i="37" s="1"/>
  <c r="O395" i="37"/>
  <c r="P395" i="37" s="1"/>
  <c r="O715" i="37"/>
  <c r="P715" i="37" s="1"/>
  <c r="O753" i="37"/>
  <c r="P753" i="37" s="1"/>
  <c r="O276" i="37"/>
  <c r="P276" i="37" s="1"/>
  <c r="O763" i="37"/>
  <c r="P763" i="37" s="1"/>
  <c r="O644" i="37"/>
  <c r="P644" i="37" s="1"/>
  <c r="O420" i="37"/>
  <c r="P420" i="37" s="1"/>
  <c r="O731" i="37"/>
  <c r="P731" i="37" s="1"/>
  <c r="O974" i="37"/>
  <c r="P974" i="37" s="1"/>
  <c r="O984" i="37"/>
  <c r="P984" i="37" s="1"/>
  <c r="O350" i="37"/>
  <c r="P350" i="37" s="1"/>
  <c r="O629" i="37"/>
  <c r="P629" i="37" s="1"/>
  <c r="O963" i="37"/>
  <c r="P963" i="37" s="1"/>
  <c r="O36" i="37"/>
  <c r="P36" i="37" s="1"/>
  <c r="O337" i="37"/>
  <c r="P337" i="37" s="1"/>
  <c r="O968" i="37"/>
  <c r="P968" i="37" s="1"/>
  <c r="O370" i="37"/>
  <c r="P370" i="37" s="1"/>
  <c r="O177" i="37"/>
  <c r="P177" i="37" s="1"/>
  <c r="O821" i="37"/>
  <c r="P821" i="37" s="1"/>
  <c r="O789" i="37"/>
  <c r="P789" i="37" s="1"/>
  <c r="O422" i="37"/>
  <c r="P422" i="37" s="1"/>
  <c r="O126" i="37"/>
  <c r="P126" i="37" s="1"/>
  <c r="O625" i="37"/>
  <c r="P625" i="37" s="1"/>
  <c r="O212" i="37"/>
  <c r="P212" i="37" s="1"/>
  <c r="O699" i="37"/>
  <c r="P699" i="37" s="1"/>
  <c r="O580" i="37"/>
  <c r="P580" i="37" s="1"/>
  <c r="O267" i="37"/>
  <c r="P267" i="37" s="1"/>
  <c r="O923" i="37"/>
  <c r="P923" i="37" s="1"/>
  <c r="O961" i="37"/>
  <c r="P961" i="37" s="1"/>
  <c r="O569" i="37"/>
  <c r="P569" i="37" s="1"/>
  <c r="O44" i="37"/>
  <c r="P44" i="37" s="1"/>
  <c r="O305" i="37"/>
  <c r="P305" i="37" s="1"/>
  <c r="O779" i="37"/>
  <c r="P779" i="37" s="1"/>
  <c r="O373" i="37"/>
  <c r="P373" i="37" s="1"/>
  <c r="O466" i="37"/>
  <c r="P466" i="37" s="1"/>
  <c r="O646" i="37"/>
  <c r="P646" i="37" s="1"/>
  <c r="O209" i="37"/>
  <c r="P209" i="37" s="1"/>
  <c r="O910" i="37"/>
  <c r="P910" i="37" s="1"/>
  <c r="O965" i="37"/>
  <c r="P965" i="37" s="1"/>
  <c r="O334" i="37"/>
  <c r="P334" i="37" s="1"/>
  <c r="O239" i="37"/>
  <c r="P239" i="37" s="1"/>
  <c r="O962" i="37"/>
  <c r="P962" i="37" s="1"/>
  <c r="O65" i="37"/>
  <c r="P65" i="37" s="1"/>
  <c r="O303" i="37"/>
  <c r="P303" i="37" s="1"/>
  <c r="O772" i="37"/>
  <c r="P772" i="37" s="1"/>
  <c r="O385" i="37"/>
  <c r="P385" i="37" s="1"/>
  <c r="O99" i="37"/>
  <c r="P99" i="37" s="1"/>
  <c r="O618" i="37"/>
  <c r="P618" i="37" s="1"/>
  <c r="O775" i="37"/>
  <c r="P775" i="37" s="1"/>
  <c r="O173" i="37"/>
  <c r="P173" i="37" s="1"/>
  <c r="O990" i="37"/>
  <c r="P990" i="37" s="1"/>
  <c r="O908" i="37"/>
  <c r="P908" i="37" s="1"/>
  <c r="O563" i="37"/>
  <c r="P563" i="37" s="1"/>
  <c r="O300" i="37"/>
  <c r="P300" i="37" s="1"/>
  <c r="O378" i="37"/>
  <c r="P378" i="37" s="1"/>
  <c r="O655" i="37"/>
  <c r="P655" i="37" s="1"/>
  <c r="O257" i="37"/>
  <c r="P257" i="37" s="1"/>
  <c r="O537" i="37"/>
  <c r="P537" i="37" s="1"/>
  <c r="O784" i="37"/>
  <c r="P784" i="37" s="1"/>
  <c r="O439" i="37"/>
  <c r="P439" i="37" s="1"/>
  <c r="O176" i="37"/>
  <c r="P176" i="37" s="1"/>
  <c r="O773" i="37"/>
  <c r="P773" i="37" s="1"/>
  <c r="O572" i="37"/>
  <c r="P572" i="37" s="1"/>
  <c r="O310" i="37"/>
  <c r="P310" i="37" s="1"/>
  <c r="O854" i="37"/>
  <c r="P854" i="37" s="1"/>
  <c r="O664" i="37"/>
  <c r="P664" i="37" s="1"/>
  <c r="O273" i="37"/>
  <c r="P273" i="37" s="1"/>
  <c r="O523" i="37"/>
  <c r="P523" i="37" s="1"/>
  <c r="O10" i="37"/>
  <c r="P10" i="37" s="1"/>
  <c r="O223" i="37"/>
  <c r="P223" i="37" s="1"/>
  <c r="O58" i="37"/>
  <c r="P58" i="37" s="1"/>
  <c r="O291" i="37"/>
  <c r="P291" i="37" s="1"/>
  <c r="O642" i="37"/>
  <c r="P642" i="37" s="1"/>
  <c r="O787" i="37"/>
  <c r="P787" i="37" s="1"/>
  <c r="O185" i="37"/>
  <c r="P185" i="37" s="1"/>
  <c r="O826" i="37"/>
  <c r="P826" i="37" s="1"/>
  <c r="O879" i="37"/>
  <c r="P879" i="37" s="1"/>
  <c r="O921" i="37"/>
  <c r="P921" i="37" s="1"/>
  <c r="O956" i="37"/>
  <c r="P956" i="37" s="1"/>
  <c r="O522" i="37"/>
  <c r="P522" i="37" s="1"/>
  <c r="O860" i="37"/>
  <c r="P860" i="37" s="1"/>
  <c r="O607" i="37"/>
  <c r="P607" i="37" s="1"/>
  <c r="O120" i="37"/>
  <c r="P120" i="37" s="1"/>
  <c r="O919" i="37"/>
  <c r="P919" i="37" s="1"/>
  <c r="O707" i="37"/>
  <c r="P707" i="37" s="1"/>
  <c r="O258" i="37"/>
  <c r="P258" i="37" s="1"/>
  <c r="O213" i="37"/>
  <c r="P213" i="37" s="1"/>
  <c r="O296" i="37"/>
  <c r="P296" i="37" s="1"/>
  <c r="O38" i="37"/>
  <c r="P38" i="37" s="1"/>
  <c r="O161" i="37"/>
  <c r="P161" i="37" s="1"/>
  <c r="O382" i="37"/>
  <c r="P382" i="37" s="1"/>
  <c r="O944" i="37"/>
  <c r="P944" i="37" s="1"/>
  <c r="O599" i="37"/>
  <c r="P599" i="37" s="1"/>
  <c r="O259" i="37"/>
  <c r="P259" i="37" s="1"/>
  <c r="O124" i="37"/>
  <c r="P124" i="37" s="1"/>
  <c r="O824" i="37"/>
  <c r="P824" i="37" s="1"/>
  <c r="O261" i="37"/>
  <c r="P261" i="37" s="1"/>
  <c r="O88" i="37"/>
  <c r="P88" i="37" s="1"/>
  <c r="O286" i="37"/>
  <c r="P286" i="37" s="1"/>
  <c r="O193" i="37"/>
  <c r="P193" i="37" s="1"/>
  <c r="O158" i="37"/>
  <c r="P158" i="37" s="1"/>
  <c r="O697" i="37"/>
  <c r="P697" i="37" s="1"/>
  <c r="O996" i="37"/>
  <c r="P996" i="37" s="1"/>
  <c r="O979" i="37"/>
  <c r="P979" i="37" s="1"/>
  <c r="O131" i="37"/>
  <c r="P131" i="37" s="1"/>
  <c r="O139" i="37"/>
  <c r="P139" i="37" s="1"/>
  <c r="O404" i="37"/>
  <c r="P404" i="37" s="1"/>
  <c r="O500" i="37"/>
  <c r="P500" i="37" s="1"/>
  <c r="O907" i="37"/>
  <c r="P907" i="37" s="1"/>
  <c r="O774" i="37"/>
  <c r="P774" i="37" s="1"/>
  <c r="O542" i="37"/>
  <c r="P542" i="37" s="1"/>
  <c r="O55" i="37"/>
  <c r="P55" i="37" s="1"/>
  <c r="O116" i="37"/>
  <c r="P116" i="37" s="1"/>
  <c r="O321" i="37"/>
  <c r="P321" i="37" s="1"/>
  <c r="O111" i="37"/>
  <c r="P111" i="37" s="1"/>
  <c r="O372" i="37"/>
  <c r="P372" i="37" s="1"/>
  <c r="O94" i="37"/>
  <c r="P94" i="37" s="1"/>
  <c r="O20" i="37"/>
  <c r="P20" i="37" s="1"/>
  <c r="O590" i="37"/>
  <c r="P590" i="37" s="1"/>
  <c r="J7" i="35"/>
  <c r="M8" i="35"/>
  <c r="M4" i="35"/>
  <c r="M5" i="35"/>
  <c r="G7" i="9"/>
  <c r="G8" i="9" s="1"/>
  <c r="G6" i="9"/>
  <c r="G9" i="9"/>
  <c r="G10" i="9" s="1"/>
  <c r="G6" i="40" l="1"/>
  <c r="E4" i="1"/>
  <c r="G10" i="40"/>
  <c r="G4" i="1"/>
  <c r="G9" i="1" s="1"/>
  <c r="G8" i="40"/>
  <c r="F4" i="1"/>
  <c r="F9" i="1" s="1"/>
  <c r="O8" i="35"/>
  <c r="N8" i="35"/>
  <c r="N5" i="35"/>
  <c r="O5" i="35"/>
  <c r="F8" i="37"/>
  <c r="H8" i="8" s="1"/>
  <c r="F9" i="37"/>
  <c r="H9" i="8" s="1"/>
  <c r="F5" i="37"/>
  <c r="H5" i="8" s="1"/>
  <c r="F6" i="37"/>
  <c r="H6" i="8" s="1"/>
  <c r="F7" i="37"/>
  <c r="H7" i="8" s="1"/>
  <c r="N4" i="35"/>
  <c r="O4" i="35"/>
  <c r="M7" i="35"/>
  <c r="N6" i="35"/>
  <c r="E9" i="1" l="1"/>
  <c r="E16" i="1" s="1"/>
  <c r="E11" i="1"/>
  <c r="O7" i="35"/>
  <c r="N7" i="35"/>
</calcChain>
</file>

<file path=xl/sharedStrings.xml><?xml version="1.0" encoding="utf-8"?>
<sst xmlns="http://schemas.openxmlformats.org/spreadsheetml/2006/main" count="1139" uniqueCount="1103">
  <si>
    <t>Banco de Dados</t>
  </si>
  <si>
    <t>Obrigado pela confiança em nosso produto e pela preferência em nosso trabalho! É um prazer tê-lo(a) como cliente.</t>
  </si>
  <si>
    <t>Qualquer dúvida na usabilidade da planilha, não deixe conferir o material sobre a mesma:</t>
  </si>
  <si>
    <t>Manual de Instruções:</t>
  </si>
  <si>
    <t>Email para suporte:</t>
  </si>
  <si>
    <t>onsidecorporation@gmail.com</t>
  </si>
  <si>
    <t>Nossas planilhas: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</si>
  <si>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</si>
  <si>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</si>
  <si>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</si>
  <si>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</si>
  <si>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</si>
  <si>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Em vídeo anexado ao produto.</t>
  </si>
  <si>
    <t>www.onsidecorporation.com.br</t>
  </si>
  <si>
    <t>Relatório de Resultados</t>
  </si>
  <si>
    <t>#01B8AA</t>
  </si>
  <si>
    <t>#F2C80F</t>
  </si>
  <si>
    <t>#2B353E</t>
  </si>
  <si>
    <t>#FB5A56</t>
  </si>
  <si>
    <t>#333F4F</t>
  </si>
  <si>
    <t>#850c35</t>
  </si>
  <si>
    <t>#4F031C</t>
  </si>
  <si>
    <t>n°</t>
  </si>
  <si>
    <t>Observações</t>
  </si>
  <si>
    <r>
      <t xml:space="preserve">                      Missão:             </t>
    </r>
    <r>
      <rPr>
        <sz val="10"/>
        <color theme="8" tint="0.79998168889431442"/>
        <rFont val="Calibri"/>
        <family val="2"/>
        <scheme val="minor"/>
      </rPr>
      <t>Garantir a excelência em planilhas únicas e personalizadas, que facilitem e maximizem os resultados de nossos clientes.</t>
    </r>
  </si>
  <si>
    <r>
      <t xml:space="preserve">                      Visão:                </t>
    </r>
    <r>
      <rPr>
        <sz val="10"/>
        <color theme="8" tint="0.79998168889431442"/>
        <rFont val="Calibri"/>
        <family val="2"/>
        <scheme val="minor"/>
      </rPr>
      <t>Ser a maior produtora de planilhas profissionais do Brasil, gerando cada vez mais valor e comodidade a nossos clientes.</t>
    </r>
  </si>
  <si>
    <r>
      <t xml:space="preserve">                      Valores:             </t>
    </r>
    <r>
      <rPr>
        <sz val="10"/>
        <color theme="8" tint="0.79998168889431442"/>
        <rFont val="Calibri"/>
        <family val="2"/>
        <scheme val="minor"/>
      </rPr>
      <t>Nossa conduta é direcionada a altos padrões éticos, de responsabilidade, confiança, comprometimento com o crescimento e resultados.</t>
    </r>
  </si>
  <si>
    <t>Valor</t>
  </si>
  <si>
    <t>Mensalidade Água</t>
  </si>
  <si>
    <t>Mensalidade Energia</t>
  </si>
  <si>
    <t>Mensalidade Telefone</t>
  </si>
  <si>
    <t>Mensalidade Internet</t>
  </si>
  <si>
    <t>Mensalidade Servidor</t>
  </si>
  <si>
    <t>Para geração de Indicadores</t>
  </si>
  <si>
    <t>Produto A</t>
  </si>
  <si>
    <t>Produto B</t>
  </si>
  <si>
    <t>Produto C</t>
  </si>
  <si>
    <t>Produto D</t>
  </si>
  <si>
    <t>Produto E</t>
  </si>
  <si>
    <t>Produtos</t>
  </si>
  <si>
    <t>Preço de Venda</t>
  </si>
  <si>
    <t>Top 1</t>
  </si>
  <si>
    <t>Top 2</t>
  </si>
  <si>
    <t>Top 3</t>
  </si>
  <si>
    <t>Top 4</t>
  </si>
  <si>
    <t>Top 5</t>
  </si>
  <si>
    <t>Top 6</t>
  </si>
  <si>
    <t>Top 7</t>
  </si>
  <si>
    <t>Top 8</t>
  </si>
  <si>
    <t>Top 9</t>
  </si>
  <si>
    <t>Top 10</t>
  </si>
  <si>
    <t>Top 11</t>
  </si>
  <si>
    <t>Top 12</t>
  </si>
  <si>
    <t>Top 13</t>
  </si>
  <si>
    <t>Top 14</t>
  </si>
  <si>
    <t>Top 15</t>
  </si>
  <si>
    <t>Top 16</t>
  </si>
  <si>
    <t>Top 17</t>
  </si>
  <si>
    <t>Top 18</t>
  </si>
  <si>
    <t>Top 19</t>
  </si>
  <si>
    <t>Top 20</t>
  </si>
  <si>
    <t>Top 21</t>
  </si>
  <si>
    <t>Top 22</t>
  </si>
  <si>
    <t>Top 23</t>
  </si>
  <si>
    <t>Top 24</t>
  </si>
  <si>
    <t>Top 25</t>
  </si>
  <si>
    <t>Top 26</t>
  </si>
  <si>
    <t>Top 27</t>
  </si>
  <si>
    <t>Top 28</t>
  </si>
  <si>
    <t>Top 29</t>
  </si>
  <si>
    <t>Top 30</t>
  </si>
  <si>
    <t>Top 31</t>
  </si>
  <si>
    <t>Top 32</t>
  </si>
  <si>
    <t>Top 33</t>
  </si>
  <si>
    <t>Top 34</t>
  </si>
  <si>
    <t>Top 35</t>
  </si>
  <si>
    <t>Top 36</t>
  </si>
  <si>
    <t>Top 37</t>
  </si>
  <si>
    <t>Top 38</t>
  </si>
  <si>
    <t>Top 39</t>
  </si>
  <si>
    <t>Top 40</t>
  </si>
  <si>
    <t>Top 41</t>
  </si>
  <si>
    <t>Top 42</t>
  </si>
  <si>
    <t>Top 43</t>
  </si>
  <si>
    <t>Top 44</t>
  </si>
  <si>
    <t>Top 45</t>
  </si>
  <si>
    <t>Top 46</t>
  </si>
  <si>
    <t>Top 47</t>
  </si>
  <si>
    <t>Top 48</t>
  </si>
  <si>
    <t>Top 49</t>
  </si>
  <si>
    <t>Top 50</t>
  </si>
  <si>
    <t>Top 51</t>
  </si>
  <si>
    <t>Top 52</t>
  </si>
  <si>
    <t>Top 53</t>
  </si>
  <si>
    <t>Top 54</t>
  </si>
  <si>
    <t>Top 55</t>
  </si>
  <si>
    <t>Top 56</t>
  </si>
  <si>
    <t>Top 57</t>
  </si>
  <si>
    <t>Top 58</t>
  </si>
  <si>
    <t>Top 59</t>
  </si>
  <si>
    <t>Top 60</t>
  </si>
  <si>
    <t>Top 61</t>
  </si>
  <si>
    <t>Top 62</t>
  </si>
  <si>
    <t>Top 63</t>
  </si>
  <si>
    <t>Top 64</t>
  </si>
  <si>
    <t>Top 65</t>
  </si>
  <si>
    <t>Top 66</t>
  </si>
  <si>
    <t>Top 67</t>
  </si>
  <si>
    <t>Top 68</t>
  </si>
  <si>
    <t>Top 69</t>
  </si>
  <si>
    <t>Top 70</t>
  </si>
  <si>
    <t>Top 71</t>
  </si>
  <si>
    <t>Top 72</t>
  </si>
  <si>
    <t>Top 73</t>
  </si>
  <si>
    <t>Top 74</t>
  </si>
  <si>
    <t>Top 75</t>
  </si>
  <si>
    <t>Top 76</t>
  </si>
  <si>
    <t>Top 77</t>
  </si>
  <si>
    <t>Top 78</t>
  </si>
  <si>
    <t>Top 79</t>
  </si>
  <si>
    <t>Top 80</t>
  </si>
  <si>
    <t>Top 81</t>
  </si>
  <si>
    <t>Top 82</t>
  </si>
  <si>
    <t>Top 83</t>
  </si>
  <si>
    <t>Top 84</t>
  </si>
  <si>
    <t>Top 85</t>
  </si>
  <si>
    <t>Top 86</t>
  </si>
  <si>
    <t>Top 87</t>
  </si>
  <si>
    <t>Top 88</t>
  </si>
  <si>
    <t>Top 89</t>
  </si>
  <si>
    <t>Top 90</t>
  </si>
  <si>
    <t>Top 91</t>
  </si>
  <si>
    <t>Top 92</t>
  </si>
  <si>
    <t>Top 93</t>
  </si>
  <si>
    <t>Top 94</t>
  </si>
  <si>
    <t>Top 95</t>
  </si>
  <si>
    <t>Top 96</t>
  </si>
  <si>
    <t>Top 97</t>
  </si>
  <si>
    <t>Top 98</t>
  </si>
  <si>
    <t>Top 99</t>
  </si>
  <si>
    <t>Top 100</t>
  </si>
  <si>
    <t>Top 101</t>
  </si>
  <si>
    <t>Top 102</t>
  </si>
  <si>
    <t>Top 103</t>
  </si>
  <si>
    <t>Top 104</t>
  </si>
  <si>
    <t>Top 105</t>
  </si>
  <si>
    <t>Top 106</t>
  </si>
  <si>
    <t>Top 107</t>
  </si>
  <si>
    <t>Top 108</t>
  </si>
  <si>
    <t>Top 109</t>
  </si>
  <si>
    <t>Top 110</t>
  </si>
  <si>
    <t>Top 111</t>
  </si>
  <si>
    <t>Top 112</t>
  </si>
  <si>
    <t>Top 113</t>
  </si>
  <si>
    <t>Top 114</t>
  </si>
  <si>
    <t>Top 115</t>
  </si>
  <si>
    <t>Top 116</t>
  </si>
  <si>
    <t>Top 117</t>
  </si>
  <si>
    <t>Top 118</t>
  </si>
  <si>
    <t>Top 119</t>
  </si>
  <si>
    <t>Top 120</t>
  </si>
  <si>
    <t>Top 121</t>
  </si>
  <si>
    <t>Top 122</t>
  </si>
  <si>
    <t>Top 123</t>
  </si>
  <si>
    <t>Top 124</t>
  </si>
  <si>
    <t>Top 125</t>
  </si>
  <si>
    <t>Top 126</t>
  </si>
  <si>
    <t>Top 127</t>
  </si>
  <si>
    <t>Top 128</t>
  </si>
  <si>
    <t>Top 129</t>
  </si>
  <si>
    <t>Top 130</t>
  </si>
  <si>
    <t>Top 131</t>
  </si>
  <si>
    <t>Top 132</t>
  </si>
  <si>
    <t>Top 133</t>
  </si>
  <si>
    <t>Top 134</t>
  </si>
  <si>
    <t>Top 135</t>
  </si>
  <si>
    <t>Top 136</t>
  </si>
  <si>
    <t>Top 137</t>
  </si>
  <si>
    <t>Top 138</t>
  </si>
  <si>
    <t>Top 139</t>
  </si>
  <si>
    <t>Top 140</t>
  </si>
  <si>
    <t>Top 141</t>
  </si>
  <si>
    <t>Top 142</t>
  </si>
  <si>
    <t>Top 143</t>
  </si>
  <si>
    <t>Top 144</t>
  </si>
  <si>
    <t>Top 145</t>
  </si>
  <si>
    <t>Top 146</t>
  </si>
  <si>
    <t>Top 147</t>
  </si>
  <si>
    <t>Top 148</t>
  </si>
  <si>
    <t>Top 149</t>
  </si>
  <si>
    <t>Top 150</t>
  </si>
  <si>
    <t>Top 151</t>
  </si>
  <si>
    <t>Top 152</t>
  </si>
  <si>
    <t>Top 153</t>
  </si>
  <si>
    <t>Top 154</t>
  </si>
  <si>
    <t>Top 155</t>
  </si>
  <si>
    <t>Top 156</t>
  </si>
  <si>
    <t>Top 157</t>
  </si>
  <si>
    <t>Top 158</t>
  </si>
  <si>
    <t>Top 159</t>
  </si>
  <si>
    <t>Top 160</t>
  </si>
  <si>
    <t>Top 161</t>
  </si>
  <si>
    <t>Top 162</t>
  </si>
  <si>
    <t>Top 163</t>
  </si>
  <si>
    <t>Top 164</t>
  </si>
  <si>
    <t>Top 165</t>
  </si>
  <si>
    <t>Top 166</t>
  </si>
  <si>
    <t>Top 167</t>
  </si>
  <si>
    <t>Top 168</t>
  </si>
  <si>
    <t>Top 169</t>
  </si>
  <si>
    <t>Top 170</t>
  </si>
  <si>
    <t>Top 171</t>
  </si>
  <si>
    <t>Top 172</t>
  </si>
  <si>
    <t>Top 173</t>
  </si>
  <si>
    <t>Top 174</t>
  </si>
  <si>
    <t>Top 175</t>
  </si>
  <si>
    <t>Top 176</t>
  </si>
  <si>
    <t>Top 177</t>
  </si>
  <si>
    <t>Top 178</t>
  </si>
  <si>
    <t>Top 179</t>
  </si>
  <si>
    <t>Top 180</t>
  </si>
  <si>
    <t>Top 181</t>
  </si>
  <si>
    <t>Top 182</t>
  </si>
  <si>
    <t>Top 183</t>
  </si>
  <si>
    <t>Top 184</t>
  </si>
  <si>
    <t>Top 185</t>
  </si>
  <si>
    <t>Top 186</t>
  </si>
  <si>
    <t>Top 187</t>
  </si>
  <si>
    <t>Top 188</t>
  </si>
  <si>
    <t>Top 189</t>
  </si>
  <si>
    <t>Top 190</t>
  </si>
  <si>
    <t>Top 191</t>
  </si>
  <si>
    <t>Top 192</t>
  </si>
  <si>
    <t>Top 193</t>
  </si>
  <si>
    <t>Top 194</t>
  </si>
  <si>
    <t>Top 195</t>
  </si>
  <si>
    <t>Top 196</t>
  </si>
  <si>
    <t>Top 197</t>
  </si>
  <si>
    <t>Top 198</t>
  </si>
  <si>
    <t>Top 199</t>
  </si>
  <si>
    <t>Top 200</t>
  </si>
  <si>
    <t>Top 201</t>
  </si>
  <si>
    <t>Top 202</t>
  </si>
  <si>
    <t>Top 203</t>
  </si>
  <si>
    <t>Top 204</t>
  </si>
  <si>
    <t>Top 205</t>
  </si>
  <si>
    <t>Top 206</t>
  </si>
  <si>
    <t>Top 207</t>
  </si>
  <si>
    <t>Top 208</t>
  </si>
  <si>
    <t>Top 209</t>
  </si>
  <si>
    <t>Top 210</t>
  </si>
  <si>
    <t>Top 211</t>
  </si>
  <si>
    <t>Top 212</t>
  </si>
  <si>
    <t>Top 213</t>
  </si>
  <si>
    <t>Top 214</t>
  </si>
  <si>
    <t>Top 215</t>
  </si>
  <si>
    <t>Top 216</t>
  </si>
  <si>
    <t>Top 217</t>
  </si>
  <si>
    <t>Top 218</t>
  </si>
  <si>
    <t>Top 219</t>
  </si>
  <si>
    <t>Top 220</t>
  </si>
  <si>
    <t>Top 221</t>
  </si>
  <si>
    <t>Top 222</t>
  </si>
  <si>
    <t>Top 223</t>
  </si>
  <si>
    <t>Top 224</t>
  </si>
  <si>
    <t>Top 225</t>
  </si>
  <si>
    <t>Top 226</t>
  </si>
  <si>
    <t>Top 227</t>
  </si>
  <si>
    <t>Top 228</t>
  </si>
  <si>
    <t>Top 229</t>
  </si>
  <si>
    <t>Top 230</t>
  </si>
  <si>
    <t>Top 231</t>
  </si>
  <si>
    <t>Top 232</t>
  </si>
  <si>
    <t>Top 233</t>
  </si>
  <si>
    <t>Top 234</t>
  </si>
  <si>
    <t>Top 235</t>
  </si>
  <si>
    <t>Top 236</t>
  </si>
  <si>
    <t>Top 237</t>
  </si>
  <si>
    <t>Top 238</t>
  </si>
  <si>
    <t>Top 239</t>
  </si>
  <si>
    <t>Top 240</t>
  </si>
  <si>
    <t>Top 241</t>
  </si>
  <si>
    <t>Top 242</t>
  </si>
  <si>
    <t>Top 243</t>
  </si>
  <si>
    <t>Top 244</t>
  </si>
  <si>
    <t>Top 245</t>
  </si>
  <si>
    <t>Top 246</t>
  </si>
  <si>
    <t>Top 247</t>
  </si>
  <si>
    <t>Top 248</t>
  </si>
  <si>
    <t>Top 249</t>
  </si>
  <si>
    <t>Top 250</t>
  </si>
  <si>
    <t>Top 251</t>
  </si>
  <si>
    <t>Top 252</t>
  </si>
  <si>
    <t>Top 253</t>
  </si>
  <si>
    <t>Top 254</t>
  </si>
  <si>
    <t>Top 255</t>
  </si>
  <si>
    <t>Top 256</t>
  </si>
  <si>
    <t>Top 257</t>
  </si>
  <si>
    <t>Top 258</t>
  </si>
  <si>
    <t>Top 259</t>
  </si>
  <si>
    <t>Top 260</t>
  </si>
  <si>
    <t>Top 261</t>
  </si>
  <si>
    <t>Top 262</t>
  </si>
  <si>
    <t>Top 263</t>
  </si>
  <si>
    <t>Top 264</t>
  </si>
  <si>
    <t>Top 265</t>
  </si>
  <si>
    <t>Top 266</t>
  </si>
  <si>
    <t>Top 267</t>
  </si>
  <si>
    <t>Top 268</t>
  </si>
  <si>
    <t>Top 269</t>
  </si>
  <si>
    <t>Top 270</t>
  </si>
  <si>
    <t>Top 271</t>
  </si>
  <si>
    <t>Top 272</t>
  </si>
  <si>
    <t>Top 273</t>
  </si>
  <si>
    <t>Top 274</t>
  </si>
  <si>
    <t>Top 275</t>
  </si>
  <si>
    <t>Top 276</t>
  </si>
  <si>
    <t>Top 277</t>
  </si>
  <si>
    <t>Top 278</t>
  </si>
  <si>
    <t>Top 279</t>
  </si>
  <si>
    <t>Top 280</t>
  </si>
  <si>
    <t>Top 281</t>
  </si>
  <si>
    <t>Top 282</t>
  </si>
  <si>
    <t>Top 283</t>
  </si>
  <si>
    <t>Top 284</t>
  </si>
  <si>
    <t>Top 285</t>
  </si>
  <si>
    <t>Top 286</t>
  </si>
  <si>
    <t>Top 287</t>
  </si>
  <si>
    <t>Top 288</t>
  </si>
  <si>
    <t>Top 289</t>
  </si>
  <si>
    <t>Top 290</t>
  </si>
  <si>
    <t>Top 291</t>
  </si>
  <si>
    <t>Top 292</t>
  </si>
  <si>
    <t>Top 293</t>
  </si>
  <si>
    <t>Top 294</t>
  </si>
  <si>
    <t>Top 295</t>
  </si>
  <si>
    <t>Top 296</t>
  </si>
  <si>
    <t>Top 297</t>
  </si>
  <si>
    <t>Top 298</t>
  </si>
  <si>
    <t>Top 299</t>
  </si>
  <si>
    <t>Top 300</t>
  </si>
  <si>
    <t>Top 301</t>
  </si>
  <si>
    <t>Top 302</t>
  </si>
  <si>
    <t>Top 303</t>
  </si>
  <si>
    <t>Top 304</t>
  </si>
  <si>
    <t>Top 305</t>
  </si>
  <si>
    <t>Top 306</t>
  </si>
  <si>
    <t>Top 307</t>
  </si>
  <si>
    <t>Top 308</t>
  </si>
  <si>
    <t>Top 309</t>
  </si>
  <si>
    <t>Top 310</t>
  </si>
  <si>
    <t>Top 311</t>
  </si>
  <si>
    <t>Top 312</t>
  </si>
  <si>
    <t>Top 313</t>
  </si>
  <si>
    <t>Top 314</t>
  </si>
  <si>
    <t>Top 315</t>
  </si>
  <si>
    <t>Top 316</t>
  </si>
  <si>
    <t>Top 317</t>
  </si>
  <si>
    <t>Top 318</t>
  </si>
  <si>
    <t>Top 319</t>
  </si>
  <si>
    <t>Top 320</t>
  </si>
  <si>
    <t>Top 321</t>
  </si>
  <si>
    <t>Top 322</t>
  </si>
  <si>
    <t>Top 323</t>
  </si>
  <si>
    <t>Top 324</t>
  </si>
  <si>
    <t>Top 325</t>
  </si>
  <si>
    <t>Top 326</t>
  </si>
  <si>
    <t>Top 327</t>
  </si>
  <si>
    <t>Top 328</t>
  </si>
  <si>
    <t>Top 329</t>
  </si>
  <si>
    <t>Top 330</t>
  </si>
  <si>
    <t>Top 331</t>
  </si>
  <si>
    <t>Top 332</t>
  </si>
  <si>
    <t>Top 333</t>
  </si>
  <si>
    <t>Top 334</t>
  </si>
  <si>
    <t>Top 335</t>
  </si>
  <si>
    <t>Top 336</t>
  </si>
  <si>
    <t>Top 337</t>
  </si>
  <si>
    <t>Top 338</t>
  </si>
  <si>
    <t>Top 339</t>
  </si>
  <si>
    <t>Top 340</t>
  </si>
  <si>
    <t>Top 341</t>
  </si>
  <si>
    <t>Top 342</t>
  </si>
  <si>
    <t>Top 343</t>
  </si>
  <si>
    <t>Top 344</t>
  </si>
  <si>
    <t>Top 345</t>
  </si>
  <si>
    <t>Top 346</t>
  </si>
  <si>
    <t>Top 347</t>
  </si>
  <si>
    <t>Top 348</t>
  </si>
  <si>
    <t>Top 349</t>
  </si>
  <si>
    <t>Top 350</t>
  </si>
  <si>
    <t>Top 351</t>
  </si>
  <si>
    <t>Top 352</t>
  </si>
  <si>
    <t>Top 353</t>
  </si>
  <si>
    <t>Top 354</t>
  </si>
  <si>
    <t>Top 355</t>
  </si>
  <si>
    <t>Top 356</t>
  </si>
  <si>
    <t>Top 357</t>
  </si>
  <si>
    <t>Top 358</t>
  </si>
  <si>
    <t>Top 359</t>
  </si>
  <si>
    <t>Top 360</t>
  </si>
  <si>
    <t>Top 361</t>
  </si>
  <si>
    <t>Top 362</t>
  </si>
  <si>
    <t>Top 363</t>
  </si>
  <si>
    <t>Top 364</t>
  </si>
  <si>
    <t>Top 365</t>
  </si>
  <si>
    <t>Top 366</t>
  </si>
  <si>
    <t>Top 367</t>
  </si>
  <si>
    <t>Top 368</t>
  </si>
  <si>
    <t>Top 369</t>
  </si>
  <si>
    <t>Top 370</t>
  </si>
  <si>
    <t>Top 371</t>
  </si>
  <si>
    <t>Top 372</t>
  </si>
  <si>
    <t>Top 373</t>
  </si>
  <si>
    <t>Top 374</t>
  </si>
  <si>
    <t>Top 375</t>
  </si>
  <si>
    <t>Top 376</t>
  </si>
  <si>
    <t>Top 377</t>
  </si>
  <si>
    <t>Top 378</t>
  </si>
  <si>
    <t>Top 379</t>
  </si>
  <si>
    <t>Top 380</t>
  </si>
  <si>
    <t>Top 381</t>
  </si>
  <si>
    <t>Top 382</t>
  </si>
  <si>
    <t>Top 383</t>
  </si>
  <si>
    <t>Top 384</t>
  </si>
  <si>
    <t>Top 385</t>
  </si>
  <si>
    <t>Top 386</t>
  </si>
  <si>
    <t>Top 387</t>
  </si>
  <si>
    <t>Top 388</t>
  </si>
  <si>
    <t>Top 389</t>
  </si>
  <si>
    <t>Top 390</t>
  </si>
  <si>
    <t>Top 391</t>
  </si>
  <si>
    <t>Top 392</t>
  </si>
  <si>
    <t>Top 393</t>
  </si>
  <si>
    <t>Top 394</t>
  </si>
  <si>
    <t>Top 395</t>
  </si>
  <si>
    <t>Top 396</t>
  </si>
  <si>
    <t>Top 397</t>
  </si>
  <si>
    <t>Top 398</t>
  </si>
  <si>
    <t>Top 399</t>
  </si>
  <si>
    <t>Top 400</t>
  </si>
  <si>
    <t>Top 401</t>
  </si>
  <si>
    <t>Top 402</t>
  </si>
  <si>
    <t>Top 403</t>
  </si>
  <si>
    <t>Top 404</t>
  </si>
  <si>
    <t>Top 405</t>
  </si>
  <si>
    <t>Top 406</t>
  </si>
  <si>
    <t>Top 407</t>
  </si>
  <si>
    <t>Top 408</t>
  </si>
  <si>
    <t>Top 409</t>
  </si>
  <si>
    <t>Top 410</t>
  </si>
  <si>
    <t>Top 411</t>
  </si>
  <si>
    <t>Top 412</t>
  </si>
  <si>
    <t>Top 413</t>
  </si>
  <si>
    <t>Top 414</t>
  </si>
  <si>
    <t>Top 415</t>
  </si>
  <si>
    <t>Top 416</t>
  </si>
  <si>
    <t>Top 417</t>
  </si>
  <si>
    <t>Top 418</t>
  </si>
  <si>
    <t>Top 419</t>
  </si>
  <si>
    <t>Top 420</t>
  </si>
  <si>
    <t>Top 421</t>
  </si>
  <si>
    <t>Top 422</t>
  </si>
  <si>
    <t>Top 423</t>
  </si>
  <si>
    <t>Top 424</t>
  </si>
  <si>
    <t>Top 425</t>
  </si>
  <si>
    <t>Top 426</t>
  </si>
  <si>
    <t>Top 427</t>
  </si>
  <si>
    <t>Top 428</t>
  </si>
  <si>
    <t>Top 429</t>
  </si>
  <si>
    <t>Top 430</t>
  </si>
  <si>
    <t>Top 431</t>
  </si>
  <si>
    <t>Top 432</t>
  </si>
  <si>
    <t>Top 433</t>
  </si>
  <si>
    <t>Top 434</t>
  </si>
  <si>
    <t>Top 435</t>
  </si>
  <si>
    <t>Top 436</t>
  </si>
  <si>
    <t>Top 437</t>
  </si>
  <si>
    <t>Top 438</t>
  </si>
  <si>
    <t>Top 439</t>
  </si>
  <si>
    <t>Top 440</t>
  </si>
  <si>
    <t>Top 441</t>
  </si>
  <si>
    <t>Top 442</t>
  </si>
  <si>
    <t>Top 443</t>
  </si>
  <si>
    <t>Top 444</t>
  </si>
  <si>
    <t>Top 445</t>
  </si>
  <si>
    <t>Top 446</t>
  </si>
  <si>
    <t>Top 447</t>
  </si>
  <si>
    <t>Top 448</t>
  </si>
  <si>
    <t>Top 449</t>
  </si>
  <si>
    <t>Top 450</t>
  </si>
  <si>
    <t>Top 451</t>
  </si>
  <si>
    <t>Top 452</t>
  </si>
  <si>
    <t>Top 453</t>
  </si>
  <si>
    <t>Top 454</t>
  </si>
  <si>
    <t>Top 455</t>
  </si>
  <si>
    <t>Top 456</t>
  </si>
  <si>
    <t>Top 457</t>
  </si>
  <si>
    <t>Top 458</t>
  </si>
  <si>
    <t>Top 459</t>
  </si>
  <si>
    <t>Top 460</t>
  </si>
  <si>
    <t>Top 461</t>
  </si>
  <si>
    <t>Top 462</t>
  </si>
  <si>
    <t>Top 463</t>
  </si>
  <si>
    <t>Top 464</t>
  </si>
  <si>
    <t>Top 465</t>
  </si>
  <si>
    <t>Top 466</t>
  </si>
  <si>
    <t>Top 467</t>
  </si>
  <si>
    <t>Top 468</t>
  </si>
  <si>
    <t>Top 469</t>
  </si>
  <si>
    <t>Top 470</t>
  </si>
  <si>
    <t>Top 471</t>
  </si>
  <si>
    <t>Top 472</t>
  </si>
  <si>
    <t>Top 473</t>
  </si>
  <si>
    <t>Top 474</t>
  </si>
  <si>
    <t>Top 475</t>
  </si>
  <si>
    <t>Top 476</t>
  </si>
  <si>
    <t>Top 477</t>
  </si>
  <si>
    <t>Top 478</t>
  </si>
  <si>
    <t>Top 479</t>
  </si>
  <si>
    <t>Top 480</t>
  </si>
  <si>
    <t>Top 481</t>
  </si>
  <si>
    <t>Top 482</t>
  </si>
  <si>
    <t>Top 483</t>
  </si>
  <si>
    <t>Top 484</t>
  </si>
  <si>
    <t>Top 485</t>
  </si>
  <si>
    <t>Top 486</t>
  </si>
  <si>
    <t>Top 487</t>
  </si>
  <si>
    <t>Top 488</t>
  </si>
  <si>
    <t>Top 489</t>
  </si>
  <si>
    <t>Top 490</t>
  </si>
  <si>
    <t>Top 491</t>
  </si>
  <si>
    <t>Top 492</t>
  </si>
  <si>
    <t>Top 493</t>
  </si>
  <si>
    <t>Top 494</t>
  </si>
  <si>
    <t>Top 495</t>
  </si>
  <si>
    <t>Top 496</t>
  </si>
  <si>
    <t>Top 497</t>
  </si>
  <si>
    <t>Top 498</t>
  </si>
  <si>
    <t>Top 499</t>
  </si>
  <si>
    <t>Top 500</t>
  </si>
  <si>
    <t>Top 501</t>
  </si>
  <si>
    <t>Top 502</t>
  </si>
  <si>
    <t>Top 503</t>
  </si>
  <si>
    <t>Top 504</t>
  </si>
  <si>
    <t>Top 505</t>
  </si>
  <si>
    <t>Top 506</t>
  </si>
  <si>
    <t>Top 507</t>
  </si>
  <si>
    <t>Top 508</t>
  </si>
  <si>
    <t>Top 509</t>
  </si>
  <si>
    <t>Top 510</t>
  </si>
  <si>
    <t>Top 511</t>
  </si>
  <si>
    <t>Top 512</t>
  </si>
  <si>
    <t>Top 513</t>
  </si>
  <si>
    <t>Top 514</t>
  </si>
  <si>
    <t>Top 515</t>
  </si>
  <si>
    <t>Top 516</t>
  </si>
  <si>
    <t>Top 517</t>
  </si>
  <si>
    <t>Top 518</t>
  </si>
  <si>
    <t>Top 519</t>
  </si>
  <si>
    <t>Top 520</t>
  </si>
  <si>
    <t>Top 521</t>
  </si>
  <si>
    <t>Top 522</t>
  </si>
  <si>
    <t>Top 523</t>
  </si>
  <si>
    <t>Top 524</t>
  </si>
  <si>
    <t>Top 525</t>
  </si>
  <si>
    <t>Top 526</t>
  </si>
  <si>
    <t>Top 527</t>
  </si>
  <si>
    <t>Top 528</t>
  </si>
  <si>
    <t>Top 529</t>
  </si>
  <si>
    <t>Top 530</t>
  </si>
  <si>
    <t>Top 531</t>
  </si>
  <si>
    <t>Top 532</t>
  </si>
  <si>
    <t>Top 533</t>
  </si>
  <si>
    <t>Top 534</t>
  </si>
  <si>
    <t>Top 535</t>
  </si>
  <si>
    <t>Top 536</t>
  </si>
  <si>
    <t>Top 537</t>
  </si>
  <si>
    <t>Top 538</t>
  </si>
  <si>
    <t>Top 539</t>
  </si>
  <si>
    <t>Top 540</t>
  </si>
  <si>
    <t>Top 541</t>
  </si>
  <si>
    <t>Top 542</t>
  </si>
  <si>
    <t>Top 543</t>
  </si>
  <si>
    <t>Top 544</t>
  </si>
  <si>
    <t>Top 545</t>
  </si>
  <si>
    <t>Top 546</t>
  </si>
  <si>
    <t>Top 547</t>
  </si>
  <si>
    <t>Top 548</t>
  </si>
  <si>
    <t>Top 549</t>
  </si>
  <si>
    <t>Top 550</t>
  </si>
  <si>
    <t>Top 551</t>
  </si>
  <si>
    <t>Top 552</t>
  </si>
  <si>
    <t>Top 553</t>
  </si>
  <si>
    <t>Top 554</t>
  </si>
  <si>
    <t>Top 555</t>
  </si>
  <si>
    <t>Top 556</t>
  </si>
  <si>
    <t>Top 557</t>
  </si>
  <si>
    <t>Top 558</t>
  </si>
  <si>
    <t>Top 559</t>
  </si>
  <si>
    <t>Top 560</t>
  </si>
  <si>
    <t>Top 561</t>
  </si>
  <si>
    <t>Top 562</t>
  </si>
  <si>
    <t>Top 563</t>
  </si>
  <si>
    <t>Top 564</t>
  </si>
  <si>
    <t>Top 565</t>
  </si>
  <si>
    <t>Top 566</t>
  </si>
  <si>
    <t>Top 567</t>
  </si>
  <si>
    <t>Top 568</t>
  </si>
  <si>
    <t>Top 569</t>
  </si>
  <si>
    <t>Top 570</t>
  </si>
  <si>
    <t>Top 571</t>
  </si>
  <si>
    <t>Top 572</t>
  </si>
  <si>
    <t>Top 573</t>
  </si>
  <si>
    <t>Top 574</t>
  </si>
  <si>
    <t>Top 575</t>
  </si>
  <si>
    <t>Top 576</t>
  </si>
  <si>
    <t>Top 577</t>
  </si>
  <si>
    <t>Top 578</t>
  </si>
  <si>
    <t>Top 579</t>
  </si>
  <si>
    <t>Top 580</t>
  </si>
  <si>
    <t>Top 581</t>
  </si>
  <si>
    <t>Top 582</t>
  </si>
  <si>
    <t>Top 583</t>
  </si>
  <si>
    <t>Top 584</t>
  </si>
  <si>
    <t>Top 585</t>
  </si>
  <si>
    <t>Top 586</t>
  </si>
  <si>
    <t>Top 587</t>
  </si>
  <si>
    <t>Top 588</t>
  </si>
  <si>
    <t>Top 589</t>
  </si>
  <si>
    <t>Top 590</t>
  </si>
  <si>
    <t>Top 591</t>
  </si>
  <si>
    <t>Top 592</t>
  </si>
  <si>
    <t>Top 593</t>
  </si>
  <si>
    <t>Top 594</t>
  </si>
  <si>
    <t>Top 595</t>
  </si>
  <si>
    <t>Top 596</t>
  </si>
  <si>
    <t>Top 597</t>
  </si>
  <si>
    <t>Top 598</t>
  </si>
  <si>
    <t>Top 599</t>
  </si>
  <si>
    <t>Top 600</t>
  </si>
  <si>
    <t>Top 601</t>
  </si>
  <si>
    <t>Top 602</t>
  </si>
  <si>
    <t>Top 603</t>
  </si>
  <si>
    <t>Top 604</t>
  </si>
  <si>
    <t>Top 605</t>
  </si>
  <si>
    <t>Top 606</t>
  </si>
  <si>
    <t>Top 607</t>
  </si>
  <si>
    <t>Top 608</t>
  </si>
  <si>
    <t>Top 609</t>
  </si>
  <si>
    <t>Top 610</t>
  </si>
  <si>
    <t>Top 611</t>
  </si>
  <si>
    <t>Top 612</t>
  </si>
  <si>
    <t>Top 613</t>
  </si>
  <si>
    <t>Top 614</t>
  </si>
  <si>
    <t>Top 615</t>
  </si>
  <si>
    <t>Top 616</t>
  </si>
  <si>
    <t>Top 617</t>
  </si>
  <si>
    <t>Top 618</t>
  </si>
  <si>
    <t>Top 619</t>
  </si>
  <si>
    <t>Top 620</t>
  </si>
  <si>
    <t>Top 621</t>
  </si>
  <si>
    <t>Top 622</t>
  </si>
  <si>
    <t>Top 623</t>
  </si>
  <si>
    <t>Top 624</t>
  </si>
  <si>
    <t>Top 625</t>
  </si>
  <si>
    <t>Top 626</t>
  </si>
  <si>
    <t>Top 627</t>
  </si>
  <si>
    <t>Top 628</t>
  </si>
  <si>
    <t>Top 629</t>
  </si>
  <si>
    <t>Top 630</t>
  </si>
  <si>
    <t>Top 631</t>
  </si>
  <si>
    <t>Top 632</t>
  </si>
  <si>
    <t>Top 633</t>
  </si>
  <si>
    <t>Top 634</t>
  </si>
  <si>
    <t>Top 635</t>
  </si>
  <si>
    <t>Top 636</t>
  </si>
  <si>
    <t>Top 637</t>
  </si>
  <si>
    <t>Top 638</t>
  </si>
  <si>
    <t>Top 639</t>
  </si>
  <si>
    <t>Top 640</t>
  </si>
  <si>
    <t>Top 641</t>
  </si>
  <si>
    <t>Top 642</t>
  </si>
  <si>
    <t>Top 643</t>
  </si>
  <si>
    <t>Top 644</t>
  </si>
  <si>
    <t>Top 645</t>
  </si>
  <si>
    <t>Top 646</t>
  </si>
  <si>
    <t>Top 647</t>
  </si>
  <si>
    <t>Top 648</t>
  </si>
  <si>
    <t>Top 649</t>
  </si>
  <si>
    <t>Top 650</t>
  </si>
  <si>
    <t>Top 651</t>
  </si>
  <si>
    <t>Top 652</t>
  </si>
  <si>
    <t>Top 653</t>
  </si>
  <si>
    <t>Top 654</t>
  </si>
  <si>
    <t>Top 655</t>
  </si>
  <si>
    <t>Top 656</t>
  </si>
  <si>
    <t>Top 657</t>
  </si>
  <si>
    <t>Top 658</t>
  </si>
  <si>
    <t>Top 659</t>
  </si>
  <si>
    <t>Top 660</t>
  </si>
  <si>
    <t>Top 661</t>
  </si>
  <si>
    <t>Top 662</t>
  </si>
  <si>
    <t>Top 663</t>
  </si>
  <si>
    <t>Top 664</t>
  </si>
  <si>
    <t>Top 665</t>
  </si>
  <si>
    <t>Top 666</t>
  </si>
  <si>
    <t>Top 667</t>
  </si>
  <si>
    <t>Top 668</t>
  </si>
  <si>
    <t>Top 669</t>
  </si>
  <si>
    <t>Top 670</t>
  </si>
  <si>
    <t>Top 671</t>
  </si>
  <si>
    <t>Top 672</t>
  </si>
  <si>
    <t>Top 673</t>
  </si>
  <si>
    <t>Top 674</t>
  </si>
  <si>
    <t>Top 675</t>
  </si>
  <si>
    <t>Top 676</t>
  </si>
  <si>
    <t>Top 677</t>
  </si>
  <si>
    <t>Top 678</t>
  </si>
  <si>
    <t>Top 679</t>
  </si>
  <si>
    <t>Top 680</t>
  </si>
  <si>
    <t>Top 681</t>
  </si>
  <si>
    <t>Top 682</t>
  </si>
  <si>
    <t>Top 683</t>
  </si>
  <si>
    <t>Top 684</t>
  </si>
  <si>
    <t>Top 685</t>
  </si>
  <si>
    <t>Top 686</t>
  </si>
  <si>
    <t>Top 687</t>
  </si>
  <si>
    <t>Top 688</t>
  </si>
  <si>
    <t>Top 689</t>
  </si>
  <si>
    <t>Top 690</t>
  </si>
  <si>
    <t>Top 691</t>
  </si>
  <si>
    <t>Top 692</t>
  </si>
  <si>
    <t>Top 693</t>
  </si>
  <si>
    <t>Top 694</t>
  </si>
  <si>
    <t>Top 695</t>
  </si>
  <si>
    <t>Top 696</t>
  </si>
  <si>
    <t>Top 697</t>
  </si>
  <si>
    <t>Top 698</t>
  </si>
  <si>
    <t>Top 699</t>
  </si>
  <si>
    <t>Top 700</t>
  </si>
  <si>
    <t>Top 701</t>
  </si>
  <si>
    <t>Top 702</t>
  </si>
  <si>
    <t>Top 703</t>
  </si>
  <si>
    <t>Top 704</t>
  </si>
  <si>
    <t>Top 705</t>
  </si>
  <si>
    <t>Top 706</t>
  </si>
  <si>
    <t>Top 707</t>
  </si>
  <si>
    <t>Top 708</t>
  </si>
  <si>
    <t>Top 709</t>
  </si>
  <si>
    <t>Top 710</t>
  </si>
  <si>
    <t>Top 711</t>
  </si>
  <si>
    <t>Top 712</t>
  </si>
  <si>
    <t>Top 713</t>
  </si>
  <si>
    <t>Top 714</t>
  </si>
  <si>
    <t>Top 715</t>
  </si>
  <si>
    <t>Top 716</t>
  </si>
  <si>
    <t>Top 717</t>
  </si>
  <si>
    <t>Top 718</t>
  </si>
  <si>
    <t>Top 719</t>
  </si>
  <si>
    <t>Top 720</t>
  </si>
  <si>
    <t>Top 721</t>
  </si>
  <si>
    <t>Top 722</t>
  </si>
  <si>
    <t>Top 723</t>
  </si>
  <si>
    <t>Top 724</t>
  </si>
  <si>
    <t>Top 725</t>
  </si>
  <si>
    <t>Top 726</t>
  </si>
  <si>
    <t>Top 727</t>
  </si>
  <si>
    <t>Top 728</t>
  </si>
  <si>
    <t>Top 729</t>
  </si>
  <si>
    <t>Top 730</t>
  </si>
  <si>
    <t>Top 731</t>
  </si>
  <si>
    <t>Top 732</t>
  </si>
  <si>
    <t>Top 733</t>
  </si>
  <si>
    <t>Top 734</t>
  </si>
  <si>
    <t>Top 735</t>
  </si>
  <si>
    <t>Top 736</t>
  </si>
  <si>
    <t>Top 737</t>
  </si>
  <si>
    <t>Top 738</t>
  </si>
  <si>
    <t>Top 739</t>
  </si>
  <si>
    <t>Top 740</t>
  </si>
  <si>
    <t>Top 741</t>
  </si>
  <si>
    <t>Top 742</t>
  </si>
  <si>
    <t>Top 743</t>
  </si>
  <si>
    <t>Top 744</t>
  </si>
  <si>
    <t>Top 745</t>
  </si>
  <si>
    <t>Top 746</t>
  </si>
  <si>
    <t>Top 747</t>
  </si>
  <si>
    <t>Top 748</t>
  </si>
  <si>
    <t>Top 749</t>
  </si>
  <si>
    <t>Top 750</t>
  </si>
  <si>
    <t>Top 751</t>
  </si>
  <si>
    <t>Top 752</t>
  </si>
  <si>
    <t>Top 753</t>
  </si>
  <si>
    <t>Top 754</t>
  </si>
  <si>
    <t>Top 755</t>
  </si>
  <si>
    <t>Top 756</t>
  </si>
  <si>
    <t>Top 757</t>
  </si>
  <si>
    <t>Top 758</t>
  </si>
  <si>
    <t>Top 759</t>
  </si>
  <si>
    <t>Top 760</t>
  </si>
  <si>
    <t>Top 761</t>
  </si>
  <si>
    <t>Top 762</t>
  </si>
  <si>
    <t>Top 763</t>
  </si>
  <si>
    <t>Top 764</t>
  </si>
  <si>
    <t>Top 765</t>
  </si>
  <si>
    <t>Top 766</t>
  </si>
  <si>
    <t>Top 767</t>
  </si>
  <si>
    <t>Top 768</t>
  </si>
  <si>
    <t>Top 769</t>
  </si>
  <si>
    <t>Top 770</t>
  </si>
  <si>
    <t>Top 771</t>
  </si>
  <si>
    <t>Top 772</t>
  </si>
  <si>
    <t>Top 773</t>
  </si>
  <si>
    <t>Top 774</t>
  </si>
  <si>
    <t>Top 775</t>
  </si>
  <si>
    <t>Top 776</t>
  </si>
  <si>
    <t>Top 777</t>
  </si>
  <si>
    <t>Top 778</t>
  </si>
  <si>
    <t>Top 779</t>
  </si>
  <si>
    <t>Top 780</t>
  </si>
  <si>
    <t>Top 781</t>
  </si>
  <si>
    <t>Top 782</t>
  </si>
  <si>
    <t>Top 783</t>
  </si>
  <si>
    <t>Top 784</t>
  </si>
  <si>
    <t>Top 785</t>
  </si>
  <si>
    <t>Top 786</t>
  </si>
  <si>
    <t>Top 787</t>
  </si>
  <si>
    <t>Top 788</t>
  </si>
  <si>
    <t>Top 789</t>
  </si>
  <si>
    <t>Top 790</t>
  </si>
  <si>
    <t>Top 791</t>
  </si>
  <si>
    <t>Top 792</t>
  </si>
  <si>
    <t>Top 793</t>
  </si>
  <si>
    <t>Top 794</t>
  </si>
  <si>
    <t>Top 795</t>
  </si>
  <si>
    <t>Top 796</t>
  </si>
  <si>
    <t>Top 797</t>
  </si>
  <si>
    <t>Top 798</t>
  </si>
  <si>
    <t>Top 799</t>
  </si>
  <si>
    <t>Top 800</t>
  </si>
  <si>
    <t>Top 801</t>
  </si>
  <si>
    <t>Top 802</t>
  </si>
  <si>
    <t>Top 803</t>
  </si>
  <si>
    <t>Top 804</t>
  </si>
  <si>
    <t>Top 805</t>
  </si>
  <si>
    <t>Top 806</t>
  </si>
  <si>
    <t>Top 807</t>
  </si>
  <si>
    <t>Top 808</t>
  </si>
  <si>
    <t>Top 809</t>
  </si>
  <si>
    <t>Top 810</t>
  </si>
  <si>
    <t>Top 811</t>
  </si>
  <si>
    <t>Top 812</t>
  </si>
  <si>
    <t>Top 813</t>
  </si>
  <si>
    <t>Top 814</t>
  </si>
  <si>
    <t>Top 815</t>
  </si>
  <si>
    <t>Top 816</t>
  </si>
  <si>
    <t>Top 817</t>
  </si>
  <si>
    <t>Top 818</t>
  </si>
  <si>
    <t>Top 819</t>
  </si>
  <si>
    <t>Top 820</t>
  </si>
  <si>
    <t>Top 821</t>
  </si>
  <si>
    <t>Top 822</t>
  </si>
  <si>
    <t>Top 823</t>
  </si>
  <si>
    <t>Top 824</t>
  </si>
  <si>
    <t>Top 825</t>
  </si>
  <si>
    <t>Top 826</t>
  </si>
  <si>
    <t>Top 827</t>
  </si>
  <si>
    <t>Top 828</t>
  </si>
  <si>
    <t>Top 829</t>
  </si>
  <si>
    <t>Top 830</t>
  </si>
  <si>
    <t>Top 831</t>
  </si>
  <si>
    <t>Top 832</t>
  </si>
  <si>
    <t>Top 833</t>
  </si>
  <si>
    <t>Top 834</t>
  </si>
  <si>
    <t>Top 835</t>
  </si>
  <si>
    <t>Top 836</t>
  </si>
  <si>
    <t>Top 837</t>
  </si>
  <si>
    <t>Top 838</t>
  </si>
  <si>
    <t>Top 839</t>
  </si>
  <si>
    <t>Top 840</t>
  </si>
  <si>
    <t>Top 841</t>
  </si>
  <si>
    <t>Top 842</t>
  </si>
  <si>
    <t>Top 843</t>
  </si>
  <si>
    <t>Top 844</t>
  </si>
  <si>
    <t>Top 845</t>
  </si>
  <si>
    <t>Top 846</t>
  </si>
  <si>
    <t>Top 847</t>
  </si>
  <si>
    <t>Top 848</t>
  </si>
  <si>
    <t>Top 849</t>
  </si>
  <si>
    <t>Top 850</t>
  </si>
  <si>
    <t>Top 851</t>
  </si>
  <si>
    <t>Top 852</t>
  </si>
  <si>
    <t>Top 853</t>
  </si>
  <si>
    <t>Top 854</t>
  </si>
  <si>
    <t>Top 855</t>
  </si>
  <si>
    <t>Top 856</t>
  </si>
  <si>
    <t>Top 857</t>
  </si>
  <si>
    <t>Top 858</t>
  </si>
  <si>
    <t>Top 859</t>
  </si>
  <si>
    <t>Top 860</t>
  </si>
  <si>
    <t>Top 861</t>
  </si>
  <si>
    <t>Top 862</t>
  </si>
  <si>
    <t>Top 863</t>
  </si>
  <si>
    <t>Top 864</t>
  </si>
  <si>
    <t>Top 865</t>
  </si>
  <si>
    <t>Top 866</t>
  </si>
  <si>
    <t>Top 867</t>
  </si>
  <si>
    <t>Top 868</t>
  </si>
  <si>
    <t>Top 869</t>
  </si>
  <si>
    <t>Top 870</t>
  </si>
  <si>
    <t>Top 871</t>
  </si>
  <si>
    <t>Top 872</t>
  </si>
  <si>
    <t>Top 873</t>
  </si>
  <si>
    <t>Top 874</t>
  </si>
  <si>
    <t>Top 875</t>
  </si>
  <si>
    <t>Top 876</t>
  </si>
  <si>
    <t>Top 877</t>
  </si>
  <si>
    <t>Top 878</t>
  </si>
  <si>
    <t>Top 879</t>
  </si>
  <si>
    <t>Top 880</t>
  </si>
  <si>
    <t>Top 881</t>
  </si>
  <si>
    <t>Top 882</t>
  </si>
  <si>
    <t>Top 883</t>
  </si>
  <si>
    <t>Top 884</t>
  </si>
  <si>
    <t>Top 885</t>
  </si>
  <si>
    <t>Top 886</t>
  </si>
  <si>
    <t>Top 887</t>
  </si>
  <si>
    <t>Top 888</t>
  </si>
  <si>
    <t>Top 889</t>
  </si>
  <si>
    <t>Top 890</t>
  </si>
  <si>
    <t>Top 891</t>
  </si>
  <si>
    <t>Top 892</t>
  </si>
  <si>
    <t>Top 893</t>
  </si>
  <si>
    <t>Top 894</t>
  </si>
  <si>
    <t>Top 895</t>
  </si>
  <si>
    <t>Top 896</t>
  </si>
  <si>
    <t>Top 897</t>
  </si>
  <si>
    <t>Top 898</t>
  </si>
  <si>
    <t>Top 899</t>
  </si>
  <si>
    <t>Top 900</t>
  </si>
  <si>
    <t>Top 901</t>
  </si>
  <si>
    <t>Top 902</t>
  </si>
  <si>
    <t>Top 903</t>
  </si>
  <si>
    <t>Top 904</t>
  </si>
  <si>
    <t>Top 905</t>
  </si>
  <si>
    <t>Top 906</t>
  </si>
  <si>
    <t>Top 907</t>
  </si>
  <si>
    <t>Top 908</t>
  </si>
  <si>
    <t>Top 909</t>
  </si>
  <si>
    <t>Top 910</t>
  </si>
  <si>
    <t>Top 911</t>
  </si>
  <si>
    <t>Top 912</t>
  </si>
  <si>
    <t>Top 913</t>
  </si>
  <si>
    <t>Top 914</t>
  </si>
  <si>
    <t>Top 915</t>
  </si>
  <si>
    <t>Top 916</t>
  </si>
  <si>
    <t>Top 917</t>
  </si>
  <si>
    <t>Top 918</t>
  </si>
  <si>
    <t>Top 919</t>
  </si>
  <si>
    <t>Top 920</t>
  </si>
  <si>
    <t>Top 921</t>
  </si>
  <si>
    <t>Top 922</t>
  </si>
  <si>
    <t>Top 923</t>
  </si>
  <si>
    <t>Top 924</t>
  </si>
  <si>
    <t>Top 925</t>
  </si>
  <si>
    <t>Top 926</t>
  </si>
  <si>
    <t>Top 927</t>
  </si>
  <si>
    <t>Top 928</t>
  </si>
  <si>
    <t>Top 929</t>
  </si>
  <si>
    <t>Top 930</t>
  </si>
  <si>
    <t>Top 931</t>
  </si>
  <si>
    <t>Top 932</t>
  </si>
  <si>
    <t>Top 933</t>
  </si>
  <si>
    <t>Top 934</t>
  </si>
  <si>
    <t>Top 935</t>
  </si>
  <si>
    <t>Top 936</t>
  </si>
  <si>
    <t>Top 937</t>
  </si>
  <si>
    <t>Top 938</t>
  </si>
  <si>
    <t>Top 939</t>
  </si>
  <si>
    <t>Top 940</t>
  </si>
  <si>
    <t>Top 941</t>
  </si>
  <si>
    <t>Top 942</t>
  </si>
  <si>
    <t>Top 943</t>
  </si>
  <si>
    <t>Top 944</t>
  </si>
  <si>
    <t>Top 945</t>
  </si>
  <si>
    <t>Top 946</t>
  </si>
  <si>
    <t>Top 947</t>
  </si>
  <si>
    <t>Top 948</t>
  </si>
  <si>
    <t>Top 949</t>
  </si>
  <si>
    <t>Top 950</t>
  </si>
  <si>
    <t>Top 951</t>
  </si>
  <si>
    <t>Top 952</t>
  </si>
  <si>
    <t>Top 953</t>
  </si>
  <si>
    <t>Top 954</t>
  </si>
  <si>
    <t>Top 955</t>
  </si>
  <si>
    <t>Top 956</t>
  </si>
  <si>
    <t>Top 957</t>
  </si>
  <si>
    <t>Top 958</t>
  </si>
  <si>
    <t>Top 959</t>
  </si>
  <si>
    <t>Top 960</t>
  </si>
  <si>
    <t>Top 961</t>
  </si>
  <si>
    <t>Top 962</t>
  </si>
  <si>
    <t>Top 963</t>
  </si>
  <si>
    <t>Top 964</t>
  </si>
  <si>
    <t>Top 965</t>
  </si>
  <si>
    <t>Top 966</t>
  </si>
  <si>
    <t>Top 967</t>
  </si>
  <si>
    <t>Top 968</t>
  </si>
  <si>
    <t>Top 969</t>
  </si>
  <si>
    <t>Top 970</t>
  </si>
  <si>
    <t>Top 971</t>
  </si>
  <si>
    <t>Top 972</t>
  </si>
  <si>
    <t>Top 973</t>
  </si>
  <si>
    <t>Top 974</t>
  </si>
  <si>
    <t>Top 975</t>
  </si>
  <si>
    <t>Top 976</t>
  </si>
  <si>
    <t>Top 977</t>
  </si>
  <si>
    <t>Top 978</t>
  </si>
  <si>
    <t>Top 979</t>
  </si>
  <si>
    <t>Top 980</t>
  </si>
  <si>
    <t>Top 981</t>
  </si>
  <si>
    <t>Top 982</t>
  </si>
  <si>
    <t>Top 983</t>
  </si>
  <si>
    <t>Top 984</t>
  </si>
  <si>
    <t>Top 985</t>
  </si>
  <si>
    <t>Top 986</t>
  </si>
  <si>
    <t>Top 987</t>
  </si>
  <si>
    <t>Top 988</t>
  </si>
  <si>
    <t>Top 989</t>
  </si>
  <si>
    <t>Top 990</t>
  </si>
  <si>
    <t>Top 991</t>
  </si>
  <si>
    <t>Top 992</t>
  </si>
  <si>
    <t>Top 993</t>
  </si>
  <si>
    <t>Top 994</t>
  </si>
  <si>
    <t>Top 995</t>
  </si>
  <si>
    <t>Top 996</t>
  </si>
  <si>
    <t>Top 997</t>
  </si>
  <si>
    <t>Top 998</t>
  </si>
  <si>
    <t>Top 999</t>
  </si>
  <si>
    <t>Top 1000</t>
  </si>
  <si>
    <t>% Mix de Produtos</t>
  </si>
  <si>
    <t>% Impostos</t>
  </si>
  <si>
    <t>% Comissões</t>
  </si>
  <si>
    <t>Custo MP</t>
  </si>
  <si>
    <t>Outros Custos</t>
  </si>
  <si>
    <t>Custo do Produto</t>
  </si>
  <si>
    <t>Tipo</t>
  </si>
  <si>
    <t>Revenda</t>
  </si>
  <si>
    <t>Serviço</t>
  </si>
  <si>
    <t>Produção</t>
  </si>
  <si>
    <t>Custo de Revenda ou Serviço Prestado</t>
  </si>
  <si>
    <t>% Total</t>
  </si>
  <si>
    <t>Preço Venda</t>
  </si>
  <si>
    <t>Impostos</t>
  </si>
  <si>
    <t>Comissões</t>
  </si>
  <si>
    <t>Total</t>
  </si>
  <si>
    <t>Custos Diretos</t>
  </si>
  <si>
    <t>Margem de    Contribuição</t>
  </si>
  <si>
    <t>Informar o valor de Depreciação Mensal</t>
  </si>
  <si>
    <t>Informar o valor de Amortização Mensal</t>
  </si>
  <si>
    <t>Informar o valor de Exaustão Mensal</t>
  </si>
  <si>
    <t>Depreciação + Amortização + Exaustão:</t>
  </si>
  <si>
    <t>Projeção de Vendas       por Mês</t>
  </si>
  <si>
    <t>Projeção de Faturamento por Mês</t>
  </si>
  <si>
    <t>Ranking maior Margem de Contribuição</t>
  </si>
  <si>
    <t>Descrição</t>
  </si>
  <si>
    <t>Resultado</t>
  </si>
  <si>
    <t>Custos e Despesas Fixas no Mês:</t>
  </si>
  <si>
    <t>Projeção de    Faturamento por Mês</t>
  </si>
  <si>
    <r>
      <t xml:space="preserve">Qual valor de </t>
    </r>
    <r>
      <rPr>
        <b/>
        <sz val="10"/>
        <color theme="1" tint="0.249977111117893"/>
        <rFont val="Calibri"/>
        <family val="2"/>
        <scheme val="minor"/>
      </rPr>
      <t xml:space="preserve">Lucro Mínimo </t>
    </r>
    <r>
      <rPr>
        <sz val="10"/>
        <color theme="1" tint="0.249977111117893"/>
        <rFont val="Calibri"/>
        <family val="2"/>
        <scheme val="minor"/>
      </rPr>
      <t>você deseja obter após atingir o ponto de equílibro (após o famoso ficar no 0 a 0).</t>
    </r>
  </si>
  <si>
    <r>
      <rPr>
        <b/>
        <sz val="10"/>
        <color theme="1" tint="0.249977111117893"/>
        <rFont val="Calibri"/>
        <family val="2"/>
        <scheme val="minor"/>
      </rPr>
      <t>Margem de Contribuição Média</t>
    </r>
    <r>
      <rPr>
        <sz val="10"/>
        <color theme="1" tint="0.249977111117893"/>
        <rFont val="Calibri"/>
        <family val="2"/>
        <scheme val="minor"/>
      </rPr>
      <t xml:space="preserve"> dos seus Produtos:</t>
    </r>
  </si>
  <si>
    <r>
      <rPr>
        <b/>
        <sz val="10"/>
        <color theme="1" tint="0.249977111117893"/>
        <rFont val="Calibri"/>
        <family val="2"/>
        <scheme val="minor"/>
      </rPr>
      <t>Preço Médio</t>
    </r>
    <r>
      <rPr>
        <sz val="10"/>
        <color theme="1" tint="0.249977111117893"/>
        <rFont val="Calibri"/>
        <family val="2"/>
        <scheme val="minor"/>
      </rPr>
      <t xml:space="preserve"> de Vendas dos seus Produtos:</t>
    </r>
  </si>
  <si>
    <r>
      <rPr>
        <b/>
        <sz val="10"/>
        <color theme="1" tint="0.249977111117893"/>
        <rFont val="Calibri"/>
        <family val="2"/>
        <scheme val="minor"/>
      </rPr>
      <t>Custos e Despesas Fixas</t>
    </r>
    <r>
      <rPr>
        <sz val="10"/>
        <color theme="1" tint="0.249977111117893"/>
        <rFont val="Calibri"/>
        <family val="2"/>
        <scheme val="minor"/>
      </rPr>
      <t xml:space="preserve"> no Mês:</t>
    </r>
  </si>
  <si>
    <r>
      <rPr>
        <b/>
        <sz val="10"/>
        <color theme="1" tint="0.249977111117893"/>
        <rFont val="Calibri"/>
        <family val="2"/>
        <scheme val="minor"/>
      </rPr>
      <t xml:space="preserve">Depreciação + Amortização + Exaustão </t>
    </r>
    <r>
      <rPr>
        <sz val="10"/>
        <color theme="1" tint="0.249977111117893"/>
        <rFont val="Calibri"/>
        <family val="2"/>
        <scheme val="minor"/>
      </rPr>
      <t>no Mês</t>
    </r>
    <r>
      <rPr>
        <b/>
        <sz val="10"/>
        <color theme="1" tint="0.249977111117893"/>
        <rFont val="Calibri"/>
        <family val="2"/>
        <scheme val="minor"/>
      </rPr>
      <t>:</t>
    </r>
  </si>
  <si>
    <t>Custos e Despesas Fixas</t>
  </si>
  <si>
    <t>Aluguél</t>
  </si>
  <si>
    <t>Ponto de Equilíbrio Contábil</t>
  </si>
  <si>
    <r>
      <rPr>
        <b/>
        <sz val="10"/>
        <color theme="1" tint="0.249977111117893"/>
        <rFont val="Calibri"/>
        <family val="2"/>
        <scheme val="minor"/>
      </rPr>
      <t>Ponto de Equilíbrio Contábil</t>
    </r>
    <r>
      <rPr>
        <sz val="10"/>
        <color theme="1" tint="0.249977111117893"/>
        <rFont val="Calibri"/>
        <family val="2"/>
        <scheme val="minor"/>
      </rPr>
      <t xml:space="preserve">
Ponto de equilíbrio contábil = Custos e despesas fixas ÷ Margem de contribuição</t>
    </r>
  </si>
  <si>
    <r>
      <rPr>
        <b/>
        <sz val="10"/>
        <color theme="1" tint="0.249977111117893"/>
        <rFont val="Calibri"/>
        <family val="2"/>
        <scheme val="minor"/>
      </rPr>
      <t xml:space="preserve">Ponto de Equilíbrio Financeiro        </t>
    </r>
    <r>
      <rPr>
        <sz val="10"/>
        <color theme="1" tint="0.249977111117893"/>
        <rFont val="Calibri"/>
        <family val="2"/>
        <scheme val="minor"/>
      </rPr>
      <t xml:space="preserve">                                                     Ponto de equilíbrio financeiro = Custos e despesas não desembolsáveis ÷ Margem de contribuição</t>
    </r>
  </si>
  <si>
    <r>
      <rPr>
        <b/>
        <sz val="10"/>
        <color theme="1" tint="0.249977111117893"/>
        <rFont val="Calibri"/>
        <family val="2"/>
        <scheme val="minor"/>
      </rPr>
      <t xml:space="preserve">Ponto de Equilíbrio Econômico    </t>
    </r>
    <r>
      <rPr>
        <sz val="10"/>
        <color theme="1" tint="0.249977111117893"/>
        <rFont val="Calibri"/>
        <family val="2"/>
        <scheme val="minor"/>
      </rPr>
      <t xml:space="preserve">                                                       Ponto de equilíbrio econômico = Custos e despesas fixas + Lucro mínimo ÷ Margem de contribuição</t>
    </r>
  </si>
  <si>
    <r>
      <t xml:space="preserve">Margem de Contribuição </t>
    </r>
    <r>
      <rPr>
        <sz val="10"/>
        <color theme="1" tint="0.249977111117893"/>
        <rFont val="Calibri"/>
        <family val="2"/>
        <scheme val="minor"/>
      </rPr>
      <t>do Produto Selecionado:</t>
    </r>
  </si>
  <si>
    <r>
      <t xml:space="preserve">Preço de Venda </t>
    </r>
    <r>
      <rPr>
        <sz val="10"/>
        <color theme="1" tint="0.249977111117893"/>
        <rFont val="Calibri"/>
        <family val="2"/>
        <scheme val="minor"/>
      </rPr>
      <t>do Produto Selecionado:</t>
    </r>
  </si>
  <si>
    <r>
      <t xml:space="preserve">Faturamento no Ponto de Equilíbrio Contábil </t>
    </r>
    <r>
      <rPr>
        <sz val="10"/>
        <color theme="1" tint="0.249977111117893"/>
        <rFont val="Calibri"/>
        <family val="2"/>
        <scheme val="minor"/>
      </rPr>
      <t>em relação ao preço de venda do produto selecionado:</t>
    </r>
  </si>
  <si>
    <r>
      <t xml:space="preserve">Faturamento no Ponto de Equilíbrio Financeiro </t>
    </r>
    <r>
      <rPr>
        <sz val="10"/>
        <color theme="1" tint="0.249977111117893"/>
        <rFont val="Calibri"/>
        <family val="2"/>
        <scheme val="minor"/>
      </rPr>
      <t>em relação ao preço de venda do produto selecionado:</t>
    </r>
  </si>
  <si>
    <r>
      <rPr>
        <b/>
        <sz val="10"/>
        <color theme="1" tint="0.249977111117893"/>
        <rFont val="Calibri"/>
        <family val="2"/>
        <scheme val="minor"/>
      </rPr>
      <t>Faturamento no Ponto de Equilíbrio Econômico</t>
    </r>
    <r>
      <rPr>
        <sz val="10"/>
        <color theme="1" tint="0.249977111117893"/>
        <rFont val="Calibri"/>
        <family val="2"/>
        <scheme val="minor"/>
      </rPr>
      <t xml:space="preserve"> em relação ao preço de venda do produto selecionado:</t>
    </r>
  </si>
  <si>
    <r>
      <t xml:space="preserve">Faturamento no Ponto de Equilíbrio Contábil </t>
    </r>
    <r>
      <rPr>
        <sz val="10"/>
        <color theme="1" tint="0.249977111117893"/>
        <rFont val="Calibri"/>
        <family val="2"/>
        <scheme val="minor"/>
      </rPr>
      <t>em relação ao preço médio de venda dos seus produtos</t>
    </r>
    <r>
      <rPr>
        <b/>
        <sz val="10"/>
        <color theme="1" tint="0.249977111117893"/>
        <rFont val="Calibri"/>
        <family val="2"/>
        <scheme val="minor"/>
      </rPr>
      <t>:</t>
    </r>
  </si>
  <si>
    <r>
      <t xml:space="preserve">Faturamento no Ponto de Equilíbrio Financeiro </t>
    </r>
    <r>
      <rPr>
        <sz val="10"/>
        <color theme="1" tint="0.249977111117893"/>
        <rFont val="Calibri"/>
        <family val="2"/>
        <scheme val="minor"/>
      </rPr>
      <t>em relação ao preço médio de venda dos seus produtos</t>
    </r>
    <r>
      <rPr>
        <b/>
        <sz val="10"/>
        <color theme="1" tint="0.249977111117893"/>
        <rFont val="Calibri"/>
        <family val="2"/>
        <scheme val="minor"/>
      </rPr>
      <t>:</t>
    </r>
  </si>
  <si>
    <r>
      <rPr>
        <b/>
        <sz val="10"/>
        <color theme="1" tint="0.249977111117893"/>
        <rFont val="Calibri"/>
        <family val="2"/>
        <scheme val="minor"/>
      </rPr>
      <t>Faturamento no Ponto de Equilíbrio Econômico</t>
    </r>
    <r>
      <rPr>
        <sz val="10"/>
        <color theme="1" tint="0.249977111117893"/>
        <rFont val="Calibri"/>
        <family val="2"/>
        <scheme val="minor"/>
      </rPr>
      <t xml:space="preserve"> em relação ao preço médio de venda dos seus produtos:</t>
    </r>
  </si>
  <si>
    <t>PV</t>
  </si>
  <si>
    <t>MC</t>
  </si>
  <si>
    <t>CD</t>
  </si>
  <si>
    <t>CDF</t>
  </si>
  <si>
    <t>P.E</t>
  </si>
  <si>
    <t>Ponto de Equilíbrio Financeiro</t>
  </si>
  <si>
    <t>Ponto Equilíbrio Econômico</t>
  </si>
  <si>
    <t>PE</t>
  </si>
  <si>
    <t>%</t>
  </si>
  <si>
    <t>Lucro</t>
  </si>
  <si>
    <t>%CF</t>
  </si>
  <si>
    <t>Custo Direto</t>
  </si>
  <si>
    <t>Margem de Contribuição</t>
  </si>
  <si>
    <t>Copyright © 2026 Onside Corporation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</si>
</sst>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R$&quot;\ #,##0.00"/>
  </numFmts>
  <fonts count="30"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10"/>
      <color theme="8" tint="0.79998168889431442"/>
      <name val="Calibri"/>
      <family val="2"/>
      <scheme val="minor"/>
    </font>
    <font>
      <b/>
      <sz val="10"/>
      <color theme="8" tint="0.79998168889431442"/>
      <name val="Calibri"/>
      <family val="2"/>
      <scheme val="minor"/>
    </font>
    <font>
      <sz val="10"/>
      <color rgb="FFFB5A56"/>
      <name val="Calibri"/>
      <family val="2"/>
      <scheme val="minor"/>
    </font>
    <font>
      <sz val="11"/>
      <color theme="1"/>
      <name val="Calibri"/>
      <family val="2"/>
      <scheme val="minor"/>
    </font>
    <font>
      <sz val="8"/>
      <name val="Calibri"/>
      <family val="2"/>
      <scheme val="minor"/>
    </font>
    <font>
      <sz val="10"/>
      <color theme="0"/>
      <name val="Calibri"/>
      <family val="2"/>
      <scheme val="minor"/>
    </font>
    <font>
      <sz val="10"/>
      <color theme="7" tint="-0.249977111117893"/>
      <name val="Calibri"/>
      <family val="2"/>
      <scheme val="minor"/>
    </font>
    <font>
      <b/>
      <sz val="10"/>
      <color theme="1" tint="0.249977111117893"/>
      <name val="Calibri"/>
      <family val="2"/>
      <scheme val="minor"/>
    </font>
    <font>
      <sz val="18"/>
      <color theme="1"/>
      <name val="Calibri"/>
      <family val="2"/>
      <scheme val="minor"/>
    </font>
    <font>
      <sz val="18"/>
      <color rgb="FF339966"/>
      <name val="Calibri"/>
      <family val="2"/>
      <scheme val="minor"/>
    </font>
    <font>
      <b/>
      <sz val="18"/>
      <color theme="1" tint="0.499984740745262"/>
      <name val="Calibri"/>
      <family val="2"/>
      <scheme val="minor"/>
    </font>
    <font>
      <sz val="18"/>
      <color theme="1" tint="0.249977111117893"/>
      <name val="Calibri"/>
      <family val="2"/>
      <scheme val="minor"/>
    </font>
  </fonts>
  <fills count="17">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0"/>
        <bgColor indexed="64"/>
      </patternFill>
    </fill>
    <fill>
      <patternFill patternType="solid">
        <fgColor rgb="FF01B8AA"/>
        <bgColor indexed="64"/>
      </patternFill>
    </fill>
    <fill>
      <patternFill patternType="solid">
        <fgColor rgb="FFF2C80F"/>
        <bgColor indexed="64"/>
      </patternFill>
    </fill>
    <fill>
      <patternFill patternType="solid">
        <fgColor rgb="FF2B353E"/>
        <bgColor indexed="64"/>
      </patternFill>
    </fill>
    <fill>
      <patternFill patternType="solid">
        <fgColor rgb="FFFB5A56"/>
        <bgColor indexed="64"/>
      </patternFill>
    </fill>
    <fill>
      <patternFill patternType="solid">
        <fgColor theme="3" tint="-0.249977111117893"/>
        <bgColor indexed="64"/>
      </patternFill>
    </fill>
    <fill>
      <patternFill patternType="solid">
        <fgColor rgb="FF850C35"/>
        <bgColor indexed="64"/>
      </patternFill>
    </fill>
    <fill>
      <patternFill patternType="solid">
        <fgColor rgb="FF4F031C"/>
        <bgColor indexed="64"/>
      </patternFill>
    </fill>
    <fill>
      <patternFill patternType="solid">
        <fgColor rgb="FF333F4F"/>
        <bgColor indexed="64"/>
      </patternFill>
    </fill>
    <fill>
      <patternFill patternType="solid">
        <fgColor theme="0" tint="-0.14999847407452621"/>
        <bgColor indexed="64"/>
      </patternFill>
    </fill>
    <fill>
      <patternFill patternType="solid">
        <fgColor theme="2"/>
        <bgColor indexed="64"/>
      </patternFill>
    </fill>
    <fill>
      <patternFill patternType="solid">
        <fgColor theme="1"/>
        <bgColor indexed="64"/>
      </patternFill>
    </fill>
  </fills>
  <borders count="37">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right/>
      <top style="thin">
        <color theme="3"/>
      </top>
      <bottom style="medium">
        <color theme="0" tint="-0.499984740745262"/>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right/>
      <top/>
      <bottom style="thin">
        <color indexed="64"/>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style="thin">
        <color theme="0" tint="-0.14999847407452621"/>
      </right>
      <top style="medium">
        <color theme="0" tint="-0.499984740745262"/>
      </top>
      <bottom style="thin">
        <color theme="0" tint="-0.14999847407452621"/>
      </bottom>
      <diagonal/>
    </border>
    <border>
      <left style="medium">
        <color theme="0" tint="-0.499984740745262"/>
      </left>
      <right style="thin">
        <color theme="0" tint="-0.499984740745262"/>
      </right>
      <top/>
      <bottom style="thin">
        <color theme="0" tint="-0.14999847407452621"/>
      </bottom>
      <diagonal/>
    </border>
    <border>
      <left style="medium">
        <color theme="0" tint="-0.499984740745262"/>
      </left>
      <right style="thin">
        <color theme="0" tint="-0.499984740745262"/>
      </right>
      <top style="medium">
        <color theme="0" tint="-0.499984740745262"/>
      </top>
      <bottom style="thin">
        <color theme="0" tint="-0.14999847407452621"/>
      </bottom>
      <diagonal/>
    </border>
    <border>
      <left style="thin">
        <color theme="0" tint="-0.499984740745262"/>
      </left>
      <right style="thin">
        <color theme="0" tint="-0.499984740745262"/>
      </right>
      <top style="medium">
        <color theme="0" tint="-0.499984740745262"/>
      </top>
      <bottom style="thin">
        <color theme="0" tint="-0.14999847407452621"/>
      </bottom>
      <diagonal/>
    </border>
    <border>
      <left/>
      <right/>
      <top style="thin">
        <color theme="3"/>
      </top>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thin">
        <color theme="0" tint="-0.499984740745262"/>
      </left>
      <right/>
      <top style="medium">
        <color theme="0" tint="-0.499984740745262"/>
      </top>
      <bottom style="thin">
        <color theme="0" tint="-0.14999847407452621"/>
      </bottom>
      <diagonal/>
    </border>
    <border>
      <left style="thin">
        <color theme="0" tint="-0.499984740745262"/>
      </left>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499984740745262"/>
      </right>
      <top style="thin">
        <color theme="0" tint="-0.14999847407452621"/>
      </top>
      <bottom style="thin">
        <color theme="0"/>
      </bottom>
      <diagonal/>
    </border>
    <border>
      <left style="thin">
        <color theme="0" tint="-0.499984740745262"/>
      </left>
      <right style="thin">
        <color theme="0" tint="-0.499984740745262"/>
      </right>
      <top style="thin">
        <color theme="0"/>
      </top>
      <bottom style="thin">
        <color theme="0"/>
      </bottom>
      <diagonal/>
    </border>
    <border>
      <left style="thin">
        <color theme="0" tint="-0.499984740745262"/>
      </left>
      <right style="thin">
        <color theme="0" tint="-0.499984740745262"/>
      </right>
      <top style="thin">
        <color theme="0"/>
      </top>
      <bottom style="thin">
        <color theme="0" tint="-0.14999847407452621"/>
      </bottom>
      <diagonal/>
    </border>
    <border>
      <left/>
      <right style="medium">
        <color theme="0"/>
      </right>
      <top/>
      <bottom/>
      <diagonal/>
    </border>
    <border>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right style="medium">
        <color rgb="FFFB5A56"/>
      </right>
      <top/>
      <bottom/>
      <diagonal/>
    </border>
    <border>
      <left/>
      <right/>
      <top style="thin">
        <color theme="3"/>
      </top>
      <bottom style="medium">
        <color rgb="FFFB5A56"/>
      </bottom>
      <diagonal/>
    </border>
    <border>
      <left/>
      <right/>
      <top/>
      <bottom style="medium">
        <color rgb="FFFB5A56"/>
      </bottom>
      <diagonal/>
    </border>
    <border>
      <left/>
      <right style="medium">
        <color rgb="FFFB5A56"/>
      </right>
      <top style="medium">
        <color rgb="FFFB5A56"/>
      </top>
      <bottom style="medium">
        <color rgb="FFFB5A56"/>
      </bottom>
      <diagonal/>
    </border>
    <border>
      <left/>
      <right style="medium">
        <color rgb="FFF2C80F"/>
      </right>
      <top/>
      <bottom/>
      <diagonal/>
    </border>
    <border>
      <left/>
      <right/>
      <top style="thin">
        <color theme="3"/>
      </top>
      <bottom style="medium">
        <color rgb="FFF2C80F"/>
      </bottom>
      <diagonal/>
    </border>
    <border>
      <left style="medium">
        <color rgb="FFF2C80F"/>
      </left>
      <right/>
      <top style="medium">
        <color rgb="FFF2C80F"/>
      </top>
      <bottom style="medium">
        <color rgb="FFF2C80F"/>
      </bottom>
      <diagonal/>
    </border>
    <border>
      <left/>
      <right style="medium">
        <color rgb="FFF2C80F"/>
      </right>
      <top style="medium">
        <color rgb="FFF2C80F"/>
      </top>
      <bottom style="medium">
        <color rgb="FFF2C80F"/>
      </bottom>
      <diagonal/>
    </border>
    <border>
      <left/>
      <right/>
      <top style="medium">
        <color theme="0"/>
      </top>
      <bottom style="medium">
        <color theme="0"/>
      </bottom>
      <diagonal/>
    </border>
    <border>
      <left style="medium">
        <color theme="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3">
    <xf numFmtId="0" fontId="0" fillId="0" borderId="0"/>
    <xf numFmtId="0" fontId="5" fillId="0" borderId="0" applyNumberFormat="0" applyFill="0" applyBorder="0" applyAlignment="0" applyProtection="0"/>
    <xf numFmtId="9" fontId="21" fillId="0" borderId="0" applyFont="0" applyFill="0" applyBorder="0" applyAlignment="0" applyProtection="0"/>
  </cellStyleXfs>
  <cellXfs count="135">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1" fillId="0" borderId="0" xfId="0" applyFont="1" applyAlignment="1">
      <alignment horizontal="center" vertical="center"/>
    </xf>
    <xf numFmtId="0" fontId="6" fillId="0" borderId="0" xfId="0" applyFont="1" applyAlignment="1">
      <alignment horizontal="left" vertical="center"/>
    </xf>
    <xf numFmtId="0" fontId="7"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right" vertical="center"/>
    </xf>
    <xf numFmtId="0" fontId="1" fillId="0" borderId="0" xfId="0" applyFont="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Alignment="1">
      <alignment horizontal="center" vertical="center"/>
    </xf>
    <xf numFmtId="0" fontId="11" fillId="0" borderId="0" xfId="0" applyFont="1" applyAlignment="1">
      <alignment horizontal="right" vertical="center"/>
    </xf>
    <xf numFmtId="0" fontId="0" fillId="2" borderId="0" xfId="0" applyFill="1"/>
    <xf numFmtId="0" fontId="0" fillId="3" borderId="0" xfId="0" applyFill="1"/>
    <xf numFmtId="0" fontId="12" fillId="0" borderId="0" xfId="0" applyFont="1" applyAlignment="1">
      <alignment horizontal="left" vertical="center"/>
    </xf>
    <xf numFmtId="0" fontId="9" fillId="0" borderId="0" xfId="1" applyFont="1"/>
    <xf numFmtId="0" fontId="1" fillId="5" borderId="0" xfId="0" applyFont="1" applyFill="1" applyAlignment="1">
      <alignment horizontal="center" vertical="center"/>
    </xf>
    <xf numFmtId="0" fontId="2" fillId="5" borderId="4" xfId="0" applyFont="1" applyFill="1" applyBorder="1" applyAlignment="1" applyProtection="1">
      <alignment horizontal="left" vertical="center" wrapText="1"/>
      <protection locked="0"/>
    </xf>
    <xf numFmtId="0" fontId="1" fillId="0" borderId="0" xfId="0" applyFont="1" applyAlignment="1">
      <alignment horizontal="left" vertical="center" wrapText="1"/>
    </xf>
    <xf numFmtId="0" fontId="16" fillId="4" borderId="0" xfId="0" applyFont="1" applyFill="1" applyAlignment="1">
      <alignment horizontal="left" vertical="center" wrapText="1"/>
    </xf>
    <xf numFmtId="0" fontId="17" fillId="4" borderId="7" xfId="0" applyFont="1" applyFill="1" applyBorder="1" applyAlignment="1">
      <alignment horizontal="left" vertical="center" wrapText="1"/>
    </xf>
    <xf numFmtId="0" fontId="16" fillId="4" borderId="7" xfId="0" applyFont="1" applyFill="1" applyBorder="1" applyAlignment="1">
      <alignment horizontal="left" vertical="center" wrapText="1"/>
    </xf>
    <xf numFmtId="0" fontId="0" fillId="5" borderId="0" xfId="0" applyFill="1"/>
    <xf numFmtId="0" fontId="1" fillId="6" borderId="0" xfId="0" applyFont="1" applyFill="1" applyAlignment="1">
      <alignment horizontal="center" vertical="center"/>
    </xf>
    <xf numFmtId="0" fontId="1" fillId="7" borderId="0" xfId="0" applyFont="1" applyFill="1" applyAlignment="1">
      <alignment horizontal="center" vertical="center"/>
    </xf>
    <xf numFmtId="0" fontId="1" fillId="8" borderId="0" xfId="0" applyFont="1" applyFill="1" applyAlignment="1">
      <alignment horizontal="center" vertical="center"/>
    </xf>
    <xf numFmtId="0" fontId="1" fillId="9" borderId="0" xfId="0" applyFont="1" applyFill="1" applyAlignment="1">
      <alignment horizontal="center" vertical="center"/>
    </xf>
    <xf numFmtId="0" fontId="1" fillId="10" borderId="0" xfId="0" applyFont="1" applyFill="1" applyAlignment="1">
      <alignment horizontal="center" vertical="center"/>
    </xf>
    <xf numFmtId="0" fontId="1" fillId="11" borderId="0" xfId="0" applyFont="1" applyFill="1" applyAlignment="1">
      <alignment horizontal="center" vertical="center"/>
    </xf>
    <xf numFmtId="0" fontId="1" fillId="12" borderId="0" xfId="0" applyFont="1" applyFill="1" applyAlignment="1">
      <alignment horizontal="center" vertical="center"/>
    </xf>
    <xf numFmtId="0" fontId="0" fillId="6" borderId="0" xfId="0" applyFill="1"/>
    <xf numFmtId="0" fontId="0" fillId="12" borderId="0" xfId="0" applyFill="1"/>
    <xf numFmtId="0" fontId="0" fillId="11" borderId="0" xfId="0" applyFill="1"/>
    <xf numFmtId="0" fontId="0" fillId="13" borderId="0" xfId="0" applyFill="1"/>
    <xf numFmtId="0" fontId="0" fillId="9" borderId="0" xfId="0" applyFill="1"/>
    <xf numFmtId="0" fontId="0" fillId="8" borderId="0" xfId="0" applyFill="1"/>
    <xf numFmtId="0" fontId="0" fillId="7" borderId="0" xfId="0" applyFill="1"/>
    <xf numFmtId="0" fontId="1" fillId="5" borderId="5" xfId="0" applyFont="1" applyFill="1" applyBorder="1" applyAlignment="1">
      <alignment horizontal="center" vertical="center"/>
    </xf>
    <xf numFmtId="0" fontId="2" fillId="5" borderId="8" xfId="0" applyFont="1" applyFill="1" applyBorder="1" applyAlignment="1" applyProtection="1">
      <alignment horizontal="left" vertical="center" wrapText="1"/>
      <protection locked="0"/>
    </xf>
    <xf numFmtId="0" fontId="14" fillId="4" borderId="6" xfId="0" applyFont="1" applyFill="1" applyBorder="1" applyAlignment="1">
      <alignment horizontal="center" vertical="center" wrapText="1"/>
    </xf>
    <xf numFmtId="0" fontId="3" fillId="4" borderId="9" xfId="0" applyFont="1" applyFill="1" applyBorder="1" applyAlignment="1">
      <alignment horizontal="left" vertical="center" wrapText="1"/>
    </xf>
    <xf numFmtId="0" fontId="14" fillId="4" borderId="10" xfId="0" applyFont="1" applyFill="1" applyBorder="1" applyAlignment="1">
      <alignment horizontal="center" vertical="center" wrapText="1"/>
    </xf>
    <xf numFmtId="0" fontId="3" fillId="4" borderId="11" xfId="0" applyFont="1" applyFill="1" applyBorder="1" applyAlignment="1">
      <alignment horizontal="left" vertical="center" wrapText="1"/>
    </xf>
    <xf numFmtId="0" fontId="3" fillId="4" borderId="12" xfId="0" applyFont="1" applyFill="1" applyBorder="1" applyAlignment="1">
      <alignment horizontal="left" vertical="center" wrapText="1"/>
    </xf>
    <xf numFmtId="0" fontId="18" fillId="2" borderId="0" xfId="0" applyFont="1" applyFill="1" applyAlignment="1">
      <alignment horizontal="center" vertical="center"/>
    </xf>
    <xf numFmtId="0" fontId="18" fillId="2" borderId="0" xfId="0" applyFont="1" applyFill="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20" fillId="5" borderId="0" xfId="0" applyFont="1" applyFill="1" applyAlignment="1">
      <alignment horizontal="left"/>
    </xf>
    <xf numFmtId="0" fontId="20" fillId="5" borderId="13" xfId="0" applyFont="1" applyFill="1" applyBorder="1" applyAlignment="1">
      <alignment horizontal="left"/>
    </xf>
    <xf numFmtId="164" fontId="2" fillId="5" borderId="14" xfId="0" applyNumberFormat="1" applyFont="1" applyFill="1" applyBorder="1" applyAlignment="1" applyProtection="1">
      <alignment horizontal="center" vertical="center" wrapText="1"/>
      <protection locked="0"/>
    </xf>
    <xf numFmtId="0" fontId="2" fillId="4" borderId="8" xfId="0" applyFont="1" applyFill="1" applyBorder="1" applyAlignment="1">
      <alignment horizontal="left" vertical="center" wrapText="1"/>
    </xf>
    <xf numFmtId="0" fontId="2" fillId="4" borderId="4" xfId="0" applyFont="1" applyFill="1" applyBorder="1" applyAlignment="1">
      <alignment horizontal="left" vertical="center" wrapText="1"/>
    </xf>
    <xf numFmtId="0" fontId="3" fillId="4" borderId="15" xfId="0" applyFont="1" applyFill="1" applyBorder="1" applyAlignment="1">
      <alignment horizontal="left" vertical="center" wrapText="1"/>
    </xf>
    <xf numFmtId="0" fontId="2" fillId="5" borderId="14" xfId="0" applyFont="1" applyFill="1" applyBorder="1" applyAlignment="1" applyProtection="1">
      <alignment horizontal="left" vertical="center" wrapText="1"/>
      <protection locked="0"/>
    </xf>
    <xf numFmtId="164" fontId="2" fillId="5" borderId="4" xfId="0" applyNumberFormat="1" applyFont="1" applyFill="1" applyBorder="1" applyAlignment="1" applyProtection="1">
      <alignment horizontal="center" vertical="center" wrapText="1"/>
      <protection locked="0"/>
    </xf>
    <xf numFmtId="164" fontId="1" fillId="5" borderId="0" xfId="0" applyNumberFormat="1" applyFont="1" applyFill="1" applyAlignment="1">
      <alignment horizontal="center" vertical="center"/>
    </xf>
    <xf numFmtId="0" fontId="23" fillId="2" borderId="0" xfId="0" applyFont="1" applyFill="1" applyAlignment="1">
      <alignment horizontal="center" vertical="center"/>
    </xf>
    <xf numFmtId="0" fontId="23" fillId="3" borderId="1" xfId="0" applyFont="1" applyFill="1" applyBorder="1" applyAlignment="1">
      <alignment horizontal="center" vertical="center"/>
    </xf>
    <xf numFmtId="0" fontId="23" fillId="5" borderId="0" xfId="0" applyFont="1" applyFill="1" applyAlignment="1">
      <alignment horizontal="center" vertical="center"/>
    </xf>
    <xf numFmtId="0" fontId="1" fillId="4" borderId="16" xfId="0" applyFont="1" applyFill="1" applyBorder="1" applyAlignment="1">
      <alignment horizontal="center" vertical="center" wrapText="1"/>
    </xf>
    <xf numFmtId="0" fontId="2" fillId="5" borderId="4" xfId="0" applyFont="1" applyFill="1" applyBorder="1" applyAlignment="1" applyProtection="1">
      <alignment horizontal="center" vertical="center" wrapText="1"/>
      <protection locked="0"/>
    </xf>
    <xf numFmtId="10" fontId="2" fillId="5" borderId="4" xfId="2" applyNumberFormat="1" applyFont="1" applyFill="1" applyBorder="1" applyAlignment="1" applyProtection="1">
      <alignment horizontal="center" vertical="center" wrapText="1"/>
      <protection locked="0"/>
    </xf>
    <xf numFmtId="10" fontId="24" fillId="4" borderId="4" xfId="2" applyNumberFormat="1" applyFont="1" applyFill="1" applyBorder="1" applyAlignment="1" applyProtection="1">
      <alignment horizontal="center" vertical="center" wrapText="1"/>
    </xf>
    <xf numFmtId="0" fontId="1" fillId="4" borderId="8" xfId="0" applyFont="1" applyFill="1" applyBorder="1" applyAlignment="1">
      <alignment horizontal="left" vertical="center" wrapText="1"/>
    </xf>
    <xf numFmtId="10" fontId="1" fillId="5" borderId="0" xfId="2" applyNumberFormat="1" applyFont="1" applyFill="1" applyAlignment="1">
      <alignment horizontal="center" vertical="center"/>
    </xf>
    <xf numFmtId="0" fontId="2" fillId="5" borderId="8" xfId="0" applyFont="1" applyFill="1" applyBorder="1" applyAlignment="1" applyProtection="1">
      <alignment horizontal="center" vertical="center" wrapText="1"/>
      <protection locked="0"/>
    </xf>
    <xf numFmtId="164" fontId="1" fillId="4" borderId="8" xfId="0" applyNumberFormat="1" applyFont="1" applyFill="1" applyBorder="1" applyAlignment="1">
      <alignment horizontal="center" vertical="center" wrapText="1"/>
    </xf>
    <xf numFmtId="10" fontId="2" fillId="14" borderId="18" xfId="2" applyNumberFormat="1" applyFont="1" applyFill="1" applyBorder="1" applyAlignment="1">
      <alignment horizontal="center" vertical="center" wrapText="1"/>
    </xf>
    <xf numFmtId="0" fontId="1" fillId="0" borderId="0" xfId="0" applyFont="1" applyAlignment="1" applyProtection="1">
      <alignment horizontal="center" vertical="center"/>
      <protection locked="0"/>
    </xf>
    <xf numFmtId="164" fontId="1" fillId="4" borderId="4" xfId="0" applyNumberFormat="1" applyFont="1" applyFill="1" applyBorder="1" applyAlignment="1">
      <alignment horizontal="center" vertical="center" wrapText="1"/>
    </xf>
    <xf numFmtId="164" fontId="1" fillId="4" borderId="17" xfId="0" applyNumberFormat="1" applyFont="1" applyFill="1" applyBorder="1" applyAlignment="1">
      <alignment horizontal="center" vertical="center" wrapText="1"/>
    </xf>
    <xf numFmtId="164" fontId="1" fillId="4" borderId="14" xfId="0" applyNumberFormat="1" applyFont="1" applyFill="1" applyBorder="1" applyAlignment="1">
      <alignment horizontal="center" vertical="center" wrapText="1"/>
    </xf>
    <xf numFmtId="164" fontId="1" fillId="14" borderId="19" xfId="0" applyNumberFormat="1" applyFont="1" applyFill="1" applyBorder="1" applyAlignment="1">
      <alignment horizontal="center" vertical="center" wrapText="1"/>
    </xf>
    <xf numFmtId="164" fontId="1" fillId="14" borderId="20" xfId="0" applyNumberFormat="1" applyFont="1" applyFill="1" applyBorder="1" applyAlignment="1">
      <alignment horizontal="center" vertical="center" wrapText="1"/>
    </xf>
    <xf numFmtId="164" fontId="1" fillId="14" borderId="21" xfId="0" applyNumberFormat="1" applyFont="1" applyFill="1" applyBorder="1" applyAlignment="1">
      <alignment horizontal="center" vertical="center" wrapText="1"/>
    </xf>
    <xf numFmtId="0" fontId="3" fillId="4" borderId="23" xfId="0" applyFont="1" applyFill="1" applyBorder="1" applyAlignment="1">
      <alignment horizontal="left" vertical="center"/>
    </xf>
    <xf numFmtId="0" fontId="3" fillId="4" borderId="24" xfId="0" applyFont="1" applyFill="1" applyBorder="1" applyAlignment="1">
      <alignment horizontal="left" vertical="center"/>
    </xf>
    <xf numFmtId="0" fontId="20" fillId="5" borderId="26" xfId="0" applyFont="1" applyFill="1" applyBorder="1" applyAlignment="1">
      <alignment horizontal="left"/>
    </xf>
    <xf numFmtId="0" fontId="2" fillId="4" borderId="28" xfId="0" applyFont="1" applyFill="1" applyBorder="1" applyAlignment="1">
      <alignment horizontal="left" vertical="center"/>
    </xf>
    <xf numFmtId="0" fontId="1" fillId="5" borderId="27" xfId="0" applyFont="1" applyFill="1" applyBorder="1" applyAlignment="1">
      <alignment horizontal="center" vertical="center"/>
    </xf>
    <xf numFmtId="164" fontId="2" fillId="14" borderId="29" xfId="0" applyNumberFormat="1" applyFont="1" applyFill="1" applyBorder="1" applyAlignment="1">
      <alignment horizontal="center" vertical="center"/>
    </xf>
    <xf numFmtId="0" fontId="1" fillId="5" borderId="30" xfId="0" applyFont="1" applyFill="1" applyBorder="1" applyAlignment="1">
      <alignment horizontal="center" vertical="center"/>
    </xf>
    <xf numFmtId="0" fontId="1" fillId="5" borderId="31" xfId="0" applyFont="1" applyFill="1" applyBorder="1" applyAlignment="1">
      <alignment horizontal="center" vertical="center"/>
    </xf>
    <xf numFmtId="0" fontId="2" fillId="4" borderId="32" xfId="0" applyFont="1" applyFill="1" applyBorder="1" applyAlignment="1">
      <alignment horizontal="left" vertical="center" wrapText="1"/>
    </xf>
    <xf numFmtId="164" fontId="2" fillId="14" borderId="33" xfId="0" applyNumberFormat="1" applyFont="1" applyFill="1" applyBorder="1" applyAlignment="1">
      <alignment horizontal="center" vertical="center"/>
    </xf>
    <xf numFmtId="164" fontId="2" fillId="4" borderId="4" xfId="0" applyNumberFormat="1" applyFont="1" applyFill="1" applyBorder="1" applyAlignment="1">
      <alignment horizontal="center" vertical="center" wrapText="1"/>
    </xf>
    <xf numFmtId="164" fontId="1" fillId="4" borderId="0" xfId="0" applyNumberFormat="1" applyFont="1" applyFill="1" applyAlignment="1">
      <alignment horizontal="center" vertical="center"/>
    </xf>
    <xf numFmtId="0" fontId="1" fillId="5" borderId="0" xfId="0" applyFont="1" applyFill="1" applyAlignment="1">
      <alignment horizontal="left" vertical="center" wrapText="1"/>
    </xf>
    <xf numFmtId="0" fontId="1" fillId="4" borderId="0" xfId="0" applyFont="1" applyFill="1" applyAlignment="1">
      <alignment horizontal="left" vertical="center" wrapText="1"/>
    </xf>
    <xf numFmtId="0" fontId="1" fillId="15" borderId="23" xfId="0" applyFont="1" applyFill="1" applyBorder="1" applyAlignment="1">
      <alignment horizontal="left" vertical="center"/>
    </xf>
    <xf numFmtId="0" fontId="1" fillId="15" borderId="25" xfId="0" applyFont="1" applyFill="1" applyBorder="1" applyAlignment="1">
      <alignment horizontal="left" vertical="center"/>
    </xf>
    <xf numFmtId="0" fontId="1" fillId="15" borderId="34" xfId="0" applyFont="1" applyFill="1" applyBorder="1" applyAlignment="1">
      <alignment horizontal="left" vertical="center" wrapText="1"/>
    </xf>
    <xf numFmtId="0" fontId="1" fillId="15" borderId="22" xfId="0" applyFont="1" applyFill="1" applyBorder="1" applyAlignment="1">
      <alignment horizontal="left" vertical="center"/>
    </xf>
    <xf numFmtId="0" fontId="1" fillId="15" borderId="23" xfId="0" applyFont="1" applyFill="1" applyBorder="1" applyAlignment="1">
      <alignment horizontal="left" vertical="center" wrapText="1"/>
    </xf>
    <xf numFmtId="0" fontId="25" fillId="15" borderId="23" xfId="0" applyFont="1" applyFill="1" applyBorder="1" applyAlignment="1">
      <alignment horizontal="left" vertical="center" wrapText="1"/>
    </xf>
    <xf numFmtId="164" fontId="27" fillId="15" borderId="24" xfId="0" applyNumberFormat="1" applyFont="1" applyFill="1" applyBorder="1" applyAlignment="1">
      <alignment horizontal="center" vertical="center"/>
    </xf>
    <xf numFmtId="164" fontId="26" fillId="5" borderId="36" xfId="0" applyNumberFormat="1" applyFont="1" applyFill="1" applyBorder="1" applyAlignment="1" applyProtection="1">
      <alignment horizontal="center" vertical="center"/>
      <protection locked="0"/>
    </xf>
    <xf numFmtId="0" fontId="25" fillId="5" borderId="0" xfId="0" applyFont="1" applyFill="1" applyAlignment="1">
      <alignment horizontal="center" vertical="center"/>
    </xf>
    <xf numFmtId="1" fontId="28" fillId="15" borderId="24" xfId="0" applyNumberFormat="1" applyFont="1" applyFill="1" applyBorder="1" applyAlignment="1">
      <alignment horizontal="center" vertical="center"/>
    </xf>
    <xf numFmtId="0" fontId="1" fillId="7" borderId="0" xfId="0" applyFont="1" applyFill="1" applyAlignment="1">
      <alignment horizontal="center" vertical="center" wrapText="1"/>
    </xf>
    <xf numFmtId="0" fontId="25" fillId="15" borderId="25" xfId="0" applyFont="1" applyFill="1" applyBorder="1" applyAlignment="1">
      <alignment horizontal="left" vertical="center"/>
    </xf>
    <xf numFmtId="0" fontId="25" fillId="15" borderId="22" xfId="0" applyFont="1" applyFill="1" applyBorder="1" applyAlignment="1">
      <alignment horizontal="left" vertical="center"/>
    </xf>
    <xf numFmtId="0" fontId="1" fillId="0" borderId="0" xfId="0" applyFont="1" applyAlignment="1">
      <alignment horizontal="center" vertical="center" wrapText="1"/>
    </xf>
    <xf numFmtId="0" fontId="1" fillId="4" borderId="0" xfId="0" applyFont="1" applyFill="1" applyAlignment="1">
      <alignment horizontal="center" vertical="center" wrapText="1"/>
    </xf>
    <xf numFmtId="164" fontId="1" fillId="14" borderId="0" xfId="0" applyNumberFormat="1" applyFont="1" applyFill="1" applyAlignment="1">
      <alignment horizontal="center" vertical="center" wrapText="1"/>
    </xf>
    <xf numFmtId="164" fontId="23" fillId="5" borderId="0" xfId="0" applyNumberFormat="1" applyFont="1" applyFill="1" applyAlignment="1">
      <alignment horizontal="center"/>
    </xf>
    <xf numFmtId="0" fontId="23" fillId="5" borderId="5" xfId="0" applyFont="1" applyFill="1" applyBorder="1" applyAlignment="1">
      <alignment horizontal="center" vertical="center"/>
    </xf>
    <xf numFmtId="164" fontId="23" fillId="5" borderId="5" xfId="0" applyNumberFormat="1" applyFont="1" applyFill="1" applyBorder="1" applyAlignment="1">
      <alignment horizontal="center"/>
    </xf>
    <xf numFmtId="164" fontId="29" fillId="15" borderId="24" xfId="0" applyNumberFormat="1" applyFont="1" applyFill="1" applyBorder="1" applyAlignment="1">
      <alignment horizontal="center" vertical="center"/>
    </xf>
    <xf numFmtId="164" fontId="29" fillId="15" borderId="0" xfId="0" applyNumberFormat="1" applyFont="1" applyFill="1" applyAlignment="1">
      <alignment horizontal="center" vertical="center"/>
    </xf>
    <xf numFmtId="164" fontId="29" fillId="15" borderId="35" xfId="0" applyNumberFormat="1" applyFont="1" applyFill="1" applyBorder="1" applyAlignment="1">
      <alignment horizontal="center" vertical="center"/>
    </xf>
    <xf numFmtId="0" fontId="1" fillId="4" borderId="7" xfId="0" applyFont="1" applyFill="1" applyBorder="1" applyAlignment="1">
      <alignment horizontal="left" vertical="center" wrapText="1"/>
    </xf>
    <xf numFmtId="0" fontId="25" fillId="4" borderId="7" xfId="0" applyFont="1" applyFill="1" applyBorder="1" applyAlignment="1">
      <alignment horizontal="center" vertical="center" wrapText="1"/>
    </xf>
    <xf numFmtId="0" fontId="1" fillId="4" borderId="7" xfId="0" applyFont="1" applyFill="1" applyBorder="1" applyAlignment="1">
      <alignment horizontal="center" vertical="center" wrapText="1"/>
    </xf>
    <xf numFmtId="164" fontId="1" fillId="0" borderId="0" xfId="0" applyNumberFormat="1" applyFont="1" applyAlignment="1">
      <alignment horizontal="center" vertical="center" wrapText="1"/>
    </xf>
    <xf numFmtId="164" fontId="1" fillId="4" borderId="0" xfId="0" applyNumberFormat="1" applyFont="1" applyFill="1" applyAlignment="1">
      <alignment horizontal="center" vertical="center" wrapText="1"/>
    </xf>
    <xf numFmtId="0" fontId="23" fillId="16" borderId="0" xfId="0" applyFont="1" applyFill="1" applyAlignment="1">
      <alignment horizontal="center" vertical="center" wrapText="1"/>
    </xf>
    <xf numFmtId="1" fontId="1" fillId="14" borderId="0" xfId="0" applyNumberFormat="1" applyFont="1" applyFill="1" applyAlignment="1">
      <alignment horizontal="center" vertical="center" wrapText="1"/>
    </xf>
    <xf numFmtId="10" fontId="1" fillId="0" borderId="0" xfId="2" applyNumberFormat="1" applyFont="1" applyAlignment="1">
      <alignment horizontal="center" vertical="center" wrapText="1"/>
    </xf>
    <xf numFmtId="164" fontId="23" fillId="16" borderId="0" xfId="0" applyNumberFormat="1" applyFont="1" applyFill="1" applyAlignment="1">
      <alignment horizontal="center" vertical="center" wrapText="1"/>
    </xf>
    <xf numFmtId="0" fontId="23" fillId="16" borderId="0" xfId="0" applyFont="1" applyFill="1" applyAlignment="1">
      <alignment horizontal="left" vertical="center" wrapText="1"/>
    </xf>
    <xf numFmtId="0" fontId="16" fillId="4" borderId="0" xfId="0" applyFont="1" applyFill="1" applyAlignment="1">
      <alignment horizontal="right" vertical="center" wrapText="1"/>
    </xf>
    <xf numFmtId="0" fontId="16" fillId="4" borderId="7" xfId="0" applyFont="1" applyFill="1" applyBorder="1" applyAlignment="1">
      <alignment horizontal="right" vertical="center" wrapText="1"/>
    </xf>
    <xf numFmtId="0" fontId="1" fillId="0" borderId="0" xfId="0" applyFont="1" applyAlignment="1">
      <alignment horizontal="right" vertical="center" wrapText="1"/>
    </xf>
    <xf numFmtId="0" fontId="16" fillId="4" borderId="0" xfId="0" applyFont="1" applyFill="1" applyAlignment="1">
      <alignment horizontal="center" vertical="center" wrapText="1"/>
    </xf>
    <xf numFmtId="0" fontId="16" fillId="4" borderId="7" xfId="0" applyFont="1" applyFill="1" applyBorder="1" applyAlignment="1">
      <alignment horizontal="center" vertical="center" wrapText="1"/>
    </xf>
    <xf numFmtId="1" fontId="1" fillId="0" borderId="0" xfId="0" applyNumberFormat="1" applyFont="1" applyAlignment="1">
      <alignment horizontal="center" vertical="center" wrapText="1"/>
    </xf>
    <xf numFmtId="164" fontId="2" fillId="14" borderId="17" xfId="0" applyNumberFormat="1" applyFont="1" applyFill="1" applyBorder="1" applyAlignment="1">
      <alignment horizontal="center" vertical="center" wrapText="1"/>
    </xf>
    <xf numFmtId="164" fontId="2" fillId="14" borderId="18" xfId="0" applyNumberFormat="1" applyFont="1" applyFill="1" applyBorder="1" applyAlignment="1">
      <alignment horizontal="center" vertical="center" wrapText="1"/>
    </xf>
    <xf numFmtId="0" fontId="19" fillId="2" borderId="0" xfId="0" applyFont="1" applyFill="1" applyAlignment="1">
      <alignment horizontal="left" vertical="center"/>
    </xf>
    <xf numFmtId="0" fontId="13" fillId="4" borderId="0" xfId="0" applyFont="1" applyFill="1" applyAlignment="1">
      <alignment horizontal="center" vertical="center"/>
    </xf>
  </cellXfs>
  <cellStyles count="3">
    <cellStyle name="Hiperlink" xfId="1" builtinId="8"/>
    <cellStyle name="Normal" xfId="0" builtinId="0"/>
    <cellStyle name="Porcentagem" xfId="2" builtinId="5"/>
  </cellStyles>
  <dxfs count="9">
    <dxf>
      <font>
        <color theme="2"/>
      </font>
      <fill>
        <patternFill>
          <bgColor theme="2"/>
        </patternFill>
      </fill>
    </dxf>
    <dxf>
      <font>
        <color theme="2"/>
      </font>
      <fill>
        <patternFill>
          <bgColor theme="2"/>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00000000-0011-0000-FFFF-FFFF00000000}">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s>
  <colors>
    <mruColors>
      <color rgb="FF01B8AA"/>
      <color rgb="FF2B353E"/>
      <color rgb="FFF2C80F"/>
      <color rgb="FFFC8380"/>
      <color rgb="FF339966"/>
      <color rgb="FFFB5A56"/>
      <color rgb="FF850C35"/>
      <color rgb="FF333F4F"/>
      <color rgb="FF4F031C"/>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Custos e Despesas</a:t>
            </a:r>
            <a:r>
              <a:rPr lang="pt-BR" sz="1000" baseline="0">
                <a:solidFill>
                  <a:schemeClr val="tx1">
                    <a:lumMod val="75000"/>
                    <a:lumOff val="25000"/>
                  </a:schemeClr>
                </a:solidFill>
              </a:rPr>
              <a:t> Fixas</a:t>
            </a:r>
            <a:endParaRPr lang="pt-BR"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39274185215037"/>
          <c:y val="0.17279543094496363"/>
          <c:w val="0.70229755926178516"/>
          <c:h val="0.75467082035306332"/>
        </c:manualLayout>
      </c:layout>
      <c:barChart>
        <c:barDir val="bar"/>
        <c:grouping val="clustered"/>
        <c:varyColors val="0"/>
        <c:ser>
          <c:idx val="0"/>
          <c:order val="0"/>
          <c:spPr>
            <a:solidFill>
              <a:srgbClr val="FC8380"/>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(2)'!$G$4:$G$9</c:f>
              <c:strCache>
                <c:ptCount val="6"/>
                <c:pt idx="0">
                  <c:v>Aluguél</c:v>
                </c:pt>
                <c:pt idx="1">
                  <c:v>Mensalidade Energia</c:v>
                </c:pt>
                <c:pt idx="2">
                  <c:v>Mensalidade Servidor</c:v>
                </c:pt>
                <c:pt idx="3">
                  <c:v>Mensalidade Água</c:v>
                </c:pt>
                <c:pt idx="4">
                  <c:v>Mensalidade Telefone</c:v>
                </c:pt>
                <c:pt idx="5">
                  <c:v>Mensalidade Internet</c:v>
                </c:pt>
              </c:strCache>
            </c:strRef>
          </c:cat>
          <c:val>
            <c:numRef>
              <c:f>'BH (2)'!$H$4:$H$9</c:f>
              <c:numCache>
                <c:formatCode>"$"\ #.##000</c:formatCode>
                <c:ptCount val="6"/>
                <c:pt idx="0">
                  <c:v>2000.00000006</c:v>
                </c:pt>
                <c:pt idx="1">
                  <c:v>1000.00000002</c:v>
                </c:pt>
                <c:pt idx="2">
                  <c:v>800.00000005000004</c:v>
                </c:pt>
                <c:pt idx="3">
                  <c:v>800.00000001000001</c:v>
                </c:pt>
                <c:pt idx="4">
                  <c:v>700.00000003000002</c:v>
                </c:pt>
                <c:pt idx="5">
                  <c:v>300.00000003999997</c:v>
                </c:pt>
              </c:numCache>
            </c:numRef>
          </c:val>
          <c:extLst>
            <c:ext xmlns:c16="http://schemas.microsoft.com/office/drawing/2014/chart" uri="{C3380CC4-5D6E-409C-BE32-E72D297353CC}">
              <c16:uniqueId val="{00000000-FF2A-4C8D-8628-791A507F0ED6}"/>
            </c:ext>
          </c:extLst>
        </c:ser>
        <c:dLbls>
          <c:dLblPos val="outEnd"/>
          <c:showLegendKey val="0"/>
          <c:showVal val="1"/>
          <c:showCatName val="0"/>
          <c:showSerName val="0"/>
          <c:showPercent val="0"/>
          <c:showBubbleSize val="0"/>
        </c:dLbls>
        <c:gapWidth val="30"/>
        <c:axId val="503612208"/>
        <c:axId val="503619824"/>
      </c:barChart>
      <c:catAx>
        <c:axId val="5036122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3619824"/>
        <c:crosses val="autoZero"/>
        <c:auto val="1"/>
        <c:lblAlgn val="ctr"/>
        <c:lblOffset val="100"/>
        <c:noMultiLvlLbl val="0"/>
      </c:catAx>
      <c:valAx>
        <c:axId val="503619824"/>
        <c:scaling>
          <c:orientation val="minMax"/>
        </c:scaling>
        <c:delete val="1"/>
        <c:axPos val="t"/>
        <c:numFmt formatCode="&quot;$&quot;\ #.##000" sourceLinked="1"/>
        <c:majorTickMark val="none"/>
        <c:minorTickMark val="none"/>
        <c:tickLblPos val="nextTo"/>
        <c:crossAx val="503612208"/>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Margem de Contribuição</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261838624338624"/>
          <c:y val="0.16620145379023882"/>
          <c:w val="0.70364715608465611"/>
          <c:h val="0.76126479750778819"/>
        </c:manualLayout>
      </c:layout>
      <c:barChart>
        <c:barDir val="bar"/>
        <c:grouping val="clustered"/>
        <c:varyColors val="0"/>
        <c:ser>
          <c:idx val="0"/>
          <c:order val="0"/>
          <c:spPr>
            <a:solidFill>
              <a:srgbClr val="F2C80F"/>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(2)'!$N$4:$N$8</c:f>
              <c:strCache>
                <c:ptCount val="5"/>
                <c:pt idx="0">
                  <c:v>Produto C</c:v>
                </c:pt>
                <c:pt idx="1">
                  <c:v>Produto D</c:v>
                </c:pt>
                <c:pt idx="2">
                  <c:v>Produto B</c:v>
                </c:pt>
                <c:pt idx="3">
                  <c:v>Produto A</c:v>
                </c:pt>
                <c:pt idx="4">
                  <c:v>Produto E</c:v>
                </c:pt>
              </c:strCache>
            </c:strRef>
          </c:cat>
          <c:val>
            <c:numRef>
              <c:f>'BH (2)'!$O$4:$O$8</c:f>
              <c:numCache>
                <c:formatCode>"$"\ #.##000</c:formatCode>
                <c:ptCount val="5"/>
                <c:pt idx="0">
                  <c:v>230.00000003299999</c:v>
                </c:pt>
                <c:pt idx="1">
                  <c:v>188.00000004399999</c:v>
                </c:pt>
                <c:pt idx="2">
                  <c:v>134.50000002199999</c:v>
                </c:pt>
                <c:pt idx="3">
                  <c:v>114.46000001100001</c:v>
                </c:pt>
                <c:pt idx="4">
                  <c:v>100.000000055</c:v>
                </c:pt>
              </c:numCache>
            </c:numRef>
          </c:val>
          <c:extLst>
            <c:ext xmlns:c16="http://schemas.microsoft.com/office/drawing/2014/chart" uri="{C3380CC4-5D6E-409C-BE32-E72D297353CC}">
              <c16:uniqueId val="{00000000-4D60-4F49-8C71-09D3A1FEDF13}"/>
            </c:ext>
          </c:extLst>
        </c:ser>
        <c:dLbls>
          <c:dLblPos val="outEnd"/>
          <c:showLegendKey val="0"/>
          <c:showVal val="1"/>
          <c:showCatName val="0"/>
          <c:showSerName val="0"/>
          <c:showPercent val="0"/>
          <c:showBubbleSize val="0"/>
        </c:dLbls>
        <c:gapWidth val="50"/>
        <c:axId val="503609488"/>
        <c:axId val="503605680"/>
      </c:barChart>
      <c:catAx>
        <c:axId val="5036094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3605680"/>
        <c:crosses val="autoZero"/>
        <c:auto val="1"/>
        <c:lblAlgn val="ctr"/>
        <c:lblOffset val="100"/>
        <c:noMultiLvlLbl val="0"/>
      </c:catAx>
      <c:valAx>
        <c:axId val="503605680"/>
        <c:scaling>
          <c:orientation val="minMax"/>
        </c:scaling>
        <c:delete val="1"/>
        <c:axPos val="t"/>
        <c:numFmt formatCode="&quot;$&quot;\ #.##000" sourceLinked="1"/>
        <c:majorTickMark val="none"/>
        <c:minorTickMark val="none"/>
        <c:tickLblPos val="nextTo"/>
        <c:crossAx val="503609488"/>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Preço de Venda</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39274185215037"/>
          <c:y val="0.17279543094496363"/>
          <c:w val="0.70439729679459362"/>
          <c:h val="0.75467082035306332"/>
        </c:manualLayout>
      </c:layout>
      <c:barChart>
        <c:barDir val="bar"/>
        <c:grouping val="clustered"/>
        <c:varyColors val="0"/>
        <c:ser>
          <c:idx val="0"/>
          <c:order val="0"/>
          <c:spPr>
            <a:solidFill>
              <a:srgbClr val="01B8AA"/>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(2)'!$U$4:$U$8</c:f>
              <c:strCache>
                <c:ptCount val="5"/>
                <c:pt idx="0">
                  <c:v>Produto D</c:v>
                </c:pt>
                <c:pt idx="1">
                  <c:v>Produto E</c:v>
                </c:pt>
                <c:pt idx="2">
                  <c:v>Produto C</c:v>
                </c:pt>
                <c:pt idx="3">
                  <c:v>Produto B</c:v>
                </c:pt>
                <c:pt idx="4">
                  <c:v>Produto A</c:v>
                </c:pt>
              </c:strCache>
            </c:strRef>
          </c:cat>
          <c:val>
            <c:numRef>
              <c:f>'BH (2)'!$V$4:$V$8</c:f>
              <c:numCache>
                <c:formatCode>"$"\ #.##000</c:formatCode>
                <c:ptCount val="5"/>
                <c:pt idx="0">
                  <c:v>480.00000003999997</c:v>
                </c:pt>
                <c:pt idx="1">
                  <c:v>450.00000004999998</c:v>
                </c:pt>
                <c:pt idx="2">
                  <c:v>350.00000003000002</c:v>
                </c:pt>
                <c:pt idx="3">
                  <c:v>250.00000001999999</c:v>
                </c:pt>
                <c:pt idx="4">
                  <c:v>170.00000001000001</c:v>
                </c:pt>
              </c:numCache>
            </c:numRef>
          </c:val>
          <c:extLst>
            <c:ext xmlns:c16="http://schemas.microsoft.com/office/drawing/2014/chart" uri="{C3380CC4-5D6E-409C-BE32-E72D297353CC}">
              <c16:uniqueId val="{00000000-D422-4B99-8C9E-EE17179FA2DB}"/>
            </c:ext>
          </c:extLst>
        </c:ser>
        <c:dLbls>
          <c:dLblPos val="outEnd"/>
          <c:showLegendKey val="0"/>
          <c:showVal val="1"/>
          <c:showCatName val="0"/>
          <c:showSerName val="0"/>
          <c:showPercent val="0"/>
          <c:showBubbleSize val="0"/>
        </c:dLbls>
        <c:gapWidth val="50"/>
        <c:axId val="503606224"/>
        <c:axId val="503610576"/>
      </c:barChart>
      <c:catAx>
        <c:axId val="5036062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3610576"/>
        <c:crosses val="autoZero"/>
        <c:auto val="1"/>
        <c:lblAlgn val="ctr"/>
        <c:lblOffset val="100"/>
        <c:noMultiLvlLbl val="0"/>
      </c:catAx>
      <c:valAx>
        <c:axId val="503610576"/>
        <c:scaling>
          <c:orientation val="minMax"/>
        </c:scaling>
        <c:delete val="1"/>
        <c:axPos val="t"/>
        <c:numFmt formatCode="&quot;$&quot;\ #.##000" sourceLinked="1"/>
        <c:majorTickMark val="none"/>
        <c:minorTickMark val="none"/>
        <c:tickLblPos val="nextTo"/>
        <c:crossAx val="50360622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Ponto</a:t>
            </a:r>
            <a:r>
              <a:rPr lang="en-US" sz="1000" baseline="0">
                <a:solidFill>
                  <a:schemeClr val="tx1">
                    <a:lumMod val="75000"/>
                    <a:lumOff val="25000"/>
                  </a:schemeClr>
                </a:solidFill>
              </a:rPr>
              <a:t> de Equilíbrio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'BH (1)'!$D$4</c:f>
              <c:strCache>
                <c:ptCount val="1"/>
                <c:pt idx="0">
                  <c:v>PE</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(1)'!$E$3:$G$3</c:f>
              <c:strCache>
                <c:ptCount val="3"/>
                <c:pt idx="0">
                  <c:v>Ponto de Equilíbrio Contábil</c:v>
                </c:pt>
                <c:pt idx="1">
                  <c:v>Ponto de Equilíbrio Financeiro</c:v>
                </c:pt>
                <c:pt idx="2">
                  <c:v>Ponto Equilíbrio Econômico</c:v>
                </c:pt>
              </c:strCache>
            </c:strRef>
          </c:cat>
          <c:val>
            <c:numRef>
              <c:f>'BH (1)'!$E$4:$G$4</c:f>
              <c:numCache>
                <c:formatCode>0</c:formatCode>
                <c:ptCount val="3"/>
                <c:pt idx="0">
                  <c:v>48.925388781679835</c:v>
                </c:pt>
                <c:pt idx="1">
                  <c:v>96.977109906543959</c:v>
                </c:pt>
                <c:pt idx="2">
                  <c:v>179.97553730403655</c:v>
                </c:pt>
              </c:numCache>
            </c:numRef>
          </c:val>
          <c:extLst>
            <c:ext xmlns:c16="http://schemas.microsoft.com/office/drawing/2014/chart" uri="{C3380CC4-5D6E-409C-BE32-E72D297353CC}">
              <c16:uniqueId val="{00000000-4B6B-40E9-8383-E4FFB63868FA}"/>
            </c:ext>
          </c:extLst>
        </c:ser>
        <c:dLbls>
          <c:dLblPos val="outEnd"/>
          <c:showLegendKey val="0"/>
          <c:showVal val="1"/>
          <c:showCatName val="0"/>
          <c:showSerName val="0"/>
          <c:showPercent val="0"/>
          <c:showBubbleSize val="0"/>
        </c:dLbls>
        <c:gapWidth val="219"/>
        <c:overlap val="-27"/>
        <c:axId val="503615472"/>
        <c:axId val="503613296"/>
      </c:barChart>
      <c:catAx>
        <c:axId val="50361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3613296"/>
        <c:crosses val="autoZero"/>
        <c:auto val="1"/>
        <c:lblAlgn val="ctr"/>
        <c:lblOffset val="100"/>
        <c:noMultiLvlLbl val="0"/>
      </c:catAx>
      <c:valAx>
        <c:axId val="503613296"/>
        <c:scaling>
          <c:orientation val="minMax"/>
        </c:scaling>
        <c:delete val="0"/>
        <c:axPos val="l"/>
        <c:numFmt formatCode="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50361547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Ponto</a:t>
            </a:r>
            <a:r>
              <a:rPr lang="en-US" sz="1000" baseline="0">
                <a:solidFill>
                  <a:schemeClr val="tx1">
                    <a:lumMod val="75000"/>
                    <a:lumOff val="25000"/>
                  </a:schemeClr>
                </a:solidFill>
              </a:rPr>
              <a:t> de Equilíbrio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5"/>
          <c:order val="0"/>
          <c:tx>
            <c:strRef>
              <c:f>'BH (1)'!$D$9</c:f>
              <c:strCache>
                <c:ptCount val="1"/>
                <c:pt idx="0">
                  <c:v>Lucro</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(1)'!$E$3:$G$3</c:f>
              <c:strCache>
                <c:ptCount val="3"/>
                <c:pt idx="0">
                  <c:v>Ponto de Equilíbrio Contábil</c:v>
                </c:pt>
                <c:pt idx="1">
                  <c:v>Ponto de Equilíbrio Financeiro</c:v>
                </c:pt>
                <c:pt idx="2">
                  <c:v>Ponto Equilíbrio Econômico</c:v>
                </c:pt>
              </c:strCache>
            </c:strRef>
          </c:cat>
          <c:val>
            <c:numRef>
              <c:f>'BH (1)'!$E$9:$G$9</c:f>
              <c:numCache>
                <c:formatCode>"$"\ #.##000</c:formatCode>
                <c:ptCount val="3"/>
                <c:pt idx="0">
                  <c:v>5216.7471819156481</c:v>
                </c:pt>
                <c:pt idx="1">
                  <c:v>10716.747181867595</c:v>
                </c:pt>
                <c:pt idx="2">
                  <c:v>20216.747181784594</c:v>
                </c:pt>
              </c:numCache>
            </c:numRef>
          </c:val>
          <c:extLst>
            <c:ext xmlns:c16="http://schemas.microsoft.com/office/drawing/2014/chart" uri="{C3380CC4-5D6E-409C-BE32-E72D297353CC}">
              <c16:uniqueId val="{00000000-47B0-4E0D-A76F-C72FB42E3498}"/>
            </c:ext>
          </c:extLst>
        </c:ser>
        <c:dLbls>
          <c:dLblPos val="outEnd"/>
          <c:showLegendKey val="0"/>
          <c:showVal val="1"/>
          <c:showCatName val="0"/>
          <c:showSerName val="0"/>
          <c:showPercent val="0"/>
          <c:showBubbleSize val="0"/>
        </c:dLbls>
        <c:gapWidth val="219"/>
        <c:overlap val="-27"/>
        <c:axId val="324206112"/>
        <c:axId val="527810432"/>
      </c:barChart>
      <c:catAx>
        <c:axId val="3242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10432"/>
        <c:crosses val="autoZero"/>
        <c:auto val="1"/>
        <c:lblAlgn val="ctr"/>
        <c:lblOffset val="100"/>
        <c:noMultiLvlLbl val="0"/>
      </c:catAx>
      <c:valAx>
        <c:axId val="527810432"/>
        <c:scaling>
          <c:orientation val="minMax"/>
        </c:scaling>
        <c:delete val="0"/>
        <c:axPos val="l"/>
        <c:numFmt formatCode="&quot;$&quot;\ #.##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32420611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Indicadores</a:t>
            </a:r>
            <a:r>
              <a:rPr lang="en-US" sz="1000" baseline="0">
                <a:solidFill>
                  <a:schemeClr val="tx1">
                    <a:lumMod val="75000"/>
                    <a:lumOff val="25000"/>
                  </a:schemeClr>
                </a:solidFill>
              </a:rPr>
              <a:t> do Produto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5"/>
          <c:order val="0"/>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(1)'!$D$5:$D$7</c:f>
              <c:strCache>
                <c:ptCount val="3"/>
                <c:pt idx="0">
                  <c:v>Preço de Venda</c:v>
                </c:pt>
                <c:pt idx="1">
                  <c:v>Custo Direto</c:v>
                </c:pt>
                <c:pt idx="2">
                  <c:v>Margem de Contribuição</c:v>
                </c:pt>
              </c:strCache>
            </c:strRef>
          </c:cat>
          <c:val>
            <c:numRef>
              <c:f>'BH (1)'!$E$5:$E$7</c:f>
              <c:numCache>
                <c:formatCode>"$"\ #.##000</c:formatCode>
                <c:ptCount val="3"/>
                <c:pt idx="0">
                  <c:v>170</c:v>
                </c:pt>
                <c:pt idx="1">
                  <c:v>55.54</c:v>
                </c:pt>
                <c:pt idx="2">
                  <c:v>114.46000000100001</c:v>
                </c:pt>
              </c:numCache>
            </c:numRef>
          </c:val>
          <c:extLst>
            <c:ext xmlns:c16="http://schemas.microsoft.com/office/drawing/2014/chart" uri="{C3380CC4-5D6E-409C-BE32-E72D297353CC}">
              <c16:uniqueId val="{00000000-3E0A-4C75-9BDA-E7EB3914D103}"/>
            </c:ext>
          </c:extLst>
        </c:ser>
        <c:dLbls>
          <c:dLblPos val="outEnd"/>
          <c:showLegendKey val="0"/>
          <c:showVal val="1"/>
          <c:showCatName val="0"/>
          <c:showSerName val="0"/>
          <c:showPercent val="0"/>
          <c:showBubbleSize val="0"/>
        </c:dLbls>
        <c:gapWidth val="219"/>
        <c:overlap val="-27"/>
        <c:axId val="527808800"/>
        <c:axId val="527809888"/>
      </c:barChart>
      <c:catAx>
        <c:axId val="52780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09888"/>
        <c:crosses val="autoZero"/>
        <c:auto val="1"/>
        <c:lblAlgn val="ctr"/>
        <c:lblOffset val="100"/>
        <c:noMultiLvlLbl val="0"/>
      </c:catAx>
      <c:valAx>
        <c:axId val="527809888"/>
        <c:scaling>
          <c:orientation val="minMax"/>
        </c:scaling>
        <c:delete val="0"/>
        <c:axPos val="l"/>
        <c:numFmt formatCode="&quot;$&quot;\ #.##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52780880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Custos e Despesas</a:t>
            </a:r>
            <a:r>
              <a:rPr lang="pt-BR" sz="1000" baseline="0">
                <a:solidFill>
                  <a:schemeClr val="tx1">
                    <a:lumMod val="75000"/>
                    <a:lumOff val="25000"/>
                  </a:schemeClr>
                </a:solidFill>
              </a:rPr>
              <a:t> Fixas</a:t>
            </a:r>
            <a:endParaRPr lang="pt-BR"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39274185215037"/>
          <c:y val="0.17279543094496363"/>
          <c:w val="0.70229755926178516"/>
          <c:h val="0.75467082035306332"/>
        </c:manualLayout>
      </c:layout>
      <c:barChart>
        <c:barDir val="bar"/>
        <c:grouping val="clustered"/>
        <c:varyColors val="0"/>
        <c:ser>
          <c:idx val="0"/>
          <c:order val="0"/>
          <c:spPr>
            <a:solidFill>
              <a:srgbClr val="FC8380"/>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(2)'!$G$4:$G$9</c:f>
              <c:strCache>
                <c:ptCount val="6"/>
                <c:pt idx="0">
                  <c:v>Aluguél</c:v>
                </c:pt>
                <c:pt idx="1">
                  <c:v>Mensalidade Energia</c:v>
                </c:pt>
                <c:pt idx="2">
                  <c:v>Mensalidade Servidor</c:v>
                </c:pt>
                <c:pt idx="3">
                  <c:v>Mensalidade Água</c:v>
                </c:pt>
                <c:pt idx="4">
                  <c:v>Mensalidade Telefone</c:v>
                </c:pt>
                <c:pt idx="5">
                  <c:v>Mensalidade Internet</c:v>
                </c:pt>
              </c:strCache>
            </c:strRef>
          </c:cat>
          <c:val>
            <c:numRef>
              <c:f>'BH (2)'!$H$4:$H$9</c:f>
              <c:numCache>
                <c:formatCode>"$"\ #.##000</c:formatCode>
                <c:ptCount val="6"/>
                <c:pt idx="0">
                  <c:v>2000.00000006</c:v>
                </c:pt>
                <c:pt idx="1">
                  <c:v>1000.00000002</c:v>
                </c:pt>
                <c:pt idx="2">
                  <c:v>800.00000005000004</c:v>
                </c:pt>
                <c:pt idx="3">
                  <c:v>800.00000001000001</c:v>
                </c:pt>
                <c:pt idx="4">
                  <c:v>700.00000003000002</c:v>
                </c:pt>
                <c:pt idx="5">
                  <c:v>300.00000003999997</c:v>
                </c:pt>
              </c:numCache>
            </c:numRef>
          </c:val>
          <c:extLst>
            <c:ext xmlns:c16="http://schemas.microsoft.com/office/drawing/2014/chart" uri="{C3380CC4-5D6E-409C-BE32-E72D297353CC}">
              <c16:uniqueId val="{00000000-C05E-4505-9A9B-50B214A9C43E}"/>
            </c:ext>
          </c:extLst>
        </c:ser>
        <c:dLbls>
          <c:dLblPos val="outEnd"/>
          <c:showLegendKey val="0"/>
          <c:showVal val="1"/>
          <c:showCatName val="0"/>
          <c:showSerName val="0"/>
          <c:showPercent val="0"/>
          <c:showBubbleSize val="0"/>
        </c:dLbls>
        <c:gapWidth val="30"/>
        <c:axId val="527812064"/>
        <c:axId val="527807168"/>
      </c:barChart>
      <c:catAx>
        <c:axId val="527812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07168"/>
        <c:crosses val="autoZero"/>
        <c:auto val="1"/>
        <c:lblAlgn val="ctr"/>
        <c:lblOffset val="100"/>
        <c:noMultiLvlLbl val="0"/>
      </c:catAx>
      <c:valAx>
        <c:axId val="527807168"/>
        <c:scaling>
          <c:orientation val="minMax"/>
        </c:scaling>
        <c:delete val="1"/>
        <c:axPos val="t"/>
        <c:numFmt formatCode="&quot;$&quot;\ #.##000" sourceLinked="1"/>
        <c:majorTickMark val="none"/>
        <c:minorTickMark val="none"/>
        <c:tickLblPos val="nextTo"/>
        <c:crossAx val="52781206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Margem de Contribuição</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261838624338624"/>
          <c:y val="0.16620145379023882"/>
          <c:w val="0.70364715608465611"/>
          <c:h val="0.76126479750778819"/>
        </c:manualLayout>
      </c:layout>
      <c:barChart>
        <c:barDir val="bar"/>
        <c:grouping val="clustered"/>
        <c:varyColors val="0"/>
        <c:ser>
          <c:idx val="0"/>
          <c:order val="0"/>
          <c:spPr>
            <a:solidFill>
              <a:srgbClr val="F2C80F"/>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(2)'!$N$4:$N$8</c:f>
              <c:strCache>
                <c:ptCount val="5"/>
                <c:pt idx="0">
                  <c:v>Produto C</c:v>
                </c:pt>
                <c:pt idx="1">
                  <c:v>Produto D</c:v>
                </c:pt>
                <c:pt idx="2">
                  <c:v>Produto B</c:v>
                </c:pt>
                <c:pt idx="3">
                  <c:v>Produto A</c:v>
                </c:pt>
                <c:pt idx="4">
                  <c:v>Produto E</c:v>
                </c:pt>
              </c:strCache>
            </c:strRef>
          </c:cat>
          <c:val>
            <c:numRef>
              <c:f>'BH (2)'!$O$4:$O$8</c:f>
              <c:numCache>
                <c:formatCode>"$"\ #.##000</c:formatCode>
                <c:ptCount val="5"/>
                <c:pt idx="0">
                  <c:v>230.00000003299999</c:v>
                </c:pt>
                <c:pt idx="1">
                  <c:v>188.00000004399999</c:v>
                </c:pt>
                <c:pt idx="2">
                  <c:v>134.50000002199999</c:v>
                </c:pt>
                <c:pt idx="3">
                  <c:v>114.46000001100001</c:v>
                </c:pt>
                <c:pt idx="4">
                  <c:v>100.000000055</c:v>
                </c:pt>
              </c:numCache>
            </c:numRef>
          </c:val>
          <c:extLst>
            <c:ext xmlns:c16="http://schemas.microsoft.com/office/drawing/2014/chart" uri="{C3380CC4-5D6E-409C-BE32-E72D297353CC}">
              <c16:uniqueId val="{00000000-BFD6-46E9-B4A3-8C0947BA865A}"/>
            </c:ext>
          </c:extLst>
        </c:ser>
        <c:dLbls>
          <c:dLblPos val="outEnd"/>
          <c:showLegendKey val="0"/>
          <c:showVal val="1"/>
          <c:showCatName val="0"/>
          <c:showSerName val="0"/>
          <c:showPercent val="0"/>
          <c:showBubbleSize val="0"/>
        </c:dLbls>
        <c:gapWidth val="50"/>
        <c:axId val="527813152"/>
        <c:axId val="527816960"/>
      </c:barChart>
      <c:catAx>
        <c:axId val="5278131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16960"/>
        <c:crosses val="autoZero"/>
        <c:auto val="1"/>
        <c:lblAlgn val="ctr"/>
        <c:lblOffset val="100"/>
        <c:noMultiLvlLbl val="0"/>
      </c:catAx>
      <c:valAx>
        <c:axId val="527816960"/>
        <c:scaling>
          <c:orientation val="minMax"/>
        </c:scaling>
        <c:delete val="1"/>
        <c:axPos val="t"/>
        <c:numFmt formatCode="&quot;$&quot;\ #.##000" sourceLinked="1"/>
        <c:majorTickMark val="none"/>
        <c:minorTickMark val="none"/>
        <c:tickLblPos val="nextTo"/>
        <c:crossAx val="52781315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pt-BR" sz="1000">
                <a:solidFill>
                  <a:schemeClr val="tx1">
                    <a:lumMod val="75000"/>
                    <a:lumOff val="25000"/>
                  </a:schemeClr>
                </a:solidFill>
              </a:rPr>
              <a:t>Top 5 - Preço de Venda</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2639274185215037"/>
          <c:y val="0.17279543094496363"/>
          <c:w val="0.70439729679459362"/>
          <c:h val="0.75467082035306332"/>
        </c:manualLayout>
      </c:layout>
      <c:barChart>
        <c:barDir val="bar"/>
        <c:grouping val="clustered"/>
        <c:varyColors val="0"/>
        <c:ser>
          <c:idx val="0"/>
          <c:order val="0"/>
          <c:spPr>
            <a:solidFill>
              <a:srgbClr val="01B8AA"/>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(2)'!$U$4:$U$8</c:f>
              <c:strCache>
                <c:ptCount val="5"/>
                <c:pt idx="0">
                  <c:v>Produto D</c:v>
                </c:pt>
                <c:pt idx="1">
                  <c:v>Produto E</c:v>
                </c:pt>
                <c:pt idx="2">
                  <c:v>Produto C</c:v>
                </c:pt>
                <c:pt idx="3">
                  <c:v>Produto B</c:v>
                </c:pt>
                <c:pt idx="4">
                  <c:v>Produto A</c:v>
                </c:pt>
              </c:strCache>
            </c:strRef>
          </c:cat>
          <c:val>
            <c:numRef>
              <c:f>'BH (2)'!$V$4:$V$8</c:f>
              <c:numCache>
                <c:formatCode>"$"\ #.##000</c:formatCode>
                <c:ptCount val="5"/>
                <c:pt idx="0">
                  <c:v>480.00000003999997</c:v>
                </c:pt>
                <c:pt idx="1">
                  <c:v>450.00000004999998</c:v>
                </c:pt>
                <c:pt idx="2">
                  <c:v>350.00000003000002</c:v>
                </c:pt>
                <c:pt idx="3">
                  <c:v>250.00000001999999</c:v>
                </c:pt>
                <c:pt idx="4">
                  <c:v>170.00000001000001</c:v>
                </c:pt>
              </c:numCache>
            </c:numRef>
          </c:val>
          <c:extLst>
            <c:ext xmlns:c16="http://schemas.microsoft.com/office/drawing/2014/chart" uri="{C3380CC4-5D6E-409C-BE32-E72D297353CC}">
              <c16:uniqueId val="{00000000-8A5B-4054-9078-4BDFDE070868}"/>
            </c:ext>
          </c:extLst>
        </c:ser>
        <c:dLbls>
          <c:dLblPos val="outEnd"/>
          <c:showLegendKey val="0"/>
          <c:showVal val="1"/>
          <c:showCatName val="0"/>
          <c:showSerName val="0"/>
          <c:showPercent val="0"/>
          <c:showBubbleSize val="0"/>
        </c:dLbls>
        <c:gapWidth val="50"/>
        <c:axId val="527813696"/>
        <c:axId val="527807712"/>
      </c:barChart>
      <c:catAx>
        <c:axId val="527813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07712"/>
        <c:crosses val="autoZero"/>
        <c:auto val="1"/>
        <c:lblAlgn val="ctr"/>
        <c:lblOffset val="100"/>
        <c:noMultiLvlLbl val="0"/>
      </c:catAx>
      <c:valAx>
        <c:axId val="527807712"/>
        <c:scaling>
          <c:orientation val="minMax"/>
        </c:scaling>
        <c:delete val="1"/>
        <c:axPos val="t"/>
        <c:numFmt formatCode="&quot;$&quot;\ #.##000" sourceLinked="1"/>
        <c:majorTickMark val="none"/>
        <c:minorTickMark val="none"/>
        <c:tickLblPos val="nextTo"/>
        <c:crossAx val="527813696"/>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Ponto</a:t>
            </a:r>
            <a:r>
              <a:rPr lang="en-US" sz="1000" baseline="0">
                <a:solidFill>
                  <a:schemeClr val="tx1">
                    <a:lumMod val="75000"/>
                    <a:lumOff val="25000"/>
                  </a:schemeClr>
                </a:solidFill>
              </a:rPr>
              <a:t> de Equilíbrio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'BH (1)'!$D$4</c:f>
              <c:strCache>
                <c:ptCount val="1"/>
                <c:pt idx="0">
                  <c:v>PE</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(1)'!$E$3:$G$3</c:f>
              <c:strCache>
                <c:ptCount val="3"/>
                <c:pt idx="0">
                  <c:v>Ponto de Equilíbrio Contábil</c:v>
                </c:pt>
                <c:pt idx="1">
                  <c:v>Ponto de Equilíbrio Financeiro</c:v>
                </c:pt>
                <c:pt idx="2">
                  <c:v>Ponto Equilíbrio Econômico</c:v>
                </c:pt>
              </c:strCache>
            </c:strRef>
          </c:cat>
          <c:val>
            <c:numRef>
              <c:f>'BH (1)'!$E$4:$G$4</c:f>
              <c:numCache>
                <c:formatCode>0</c:formatCode>
                <c:ptCount val="3"/>
                <c:pt idx="0">
                  <c:v>48.925388781679835</c:v>
                </c:pt>
                <c:pt idx="1">
                  <c:v>96.977109906543959</c:v>
                </c:pt>
                <c:pt idx="2">
                  <c:v>179.97553730403655</c:v>
                </c:pt>
              </c:numCache>
            </c:numRef>
          </c:val>
          <c:extLst>
            <c:ext xmlns:c16="http://schemas.microsoft.com/office/drawing/2014/chart" uri="{C3380CC4-5D6E-409C-BE32-E72D297353CC}">
              <c16:uniqueId val="{00000000-1237-4A52-BFA8-3E6F7B8D10B7}"/>
            </c:ext>
          </c:extLst>
        </c:ser>
        <c:dLbls>
          <c:dLblPos val="outEnd"/>
          <c:showLegendKey val="0"/>
          <c:showVal val="1"/>
          <c:showCatName val="0"/>
          <c:showSerName val="0"/>
          <c:showPercent val="0"/>
          <c:showBubbleSize val="0"/>
        </c:dLbls>
        <c:gapWidth val="219"/>
        <c:overlap val="-27"/>
        <c:axId val="527821312"/>
        <c:axId val="527808256"/>
      </c:barChart>
      <c:catAx>
        <c:axId val="52782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08256"/>
        <c:crosses val="autoZero"/>
        <c:auto val="1"/>
        <c:lblAlgn val="ctr"/>
        <c:lblOffset val="100"/>
        <c:noMultiLvlLbl val="0"/>
      </c:catAx>
      <c:valAx>
        <c:axId val="527808256"/>
        <c:scaling>
          <c:orientation val="minMax"/>
        </c:scaling>
        <c:delete val="0"/>
        <c:axPos val="l"/>
        <c:numFmt formatCode="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52782131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Ponto</a:t>
            </a:r>
            <a:r>
              <a:rPr lang="en-US" sz="1000" baseline="0">
                <a:solidFill>
                  <a:schemeClr val="tx1">
                    <a:lumMod val="75000"/>
                    <a:lumOff val="25000"/>
                  </a:schemeClr>
                </a:solidFill>
              </a:rPr>
              <a:t> de Equilíbrio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5"/>
          <c:order val="0"/>
          <c:tx>
            <c:strRef>
              <c:f>'BH (1)'!$D$9</c:f>
              <c:strCache>
                <c:ptCount val="1"/>
                <c:pt idx="0">
                  <c:v>Lucro</c:v>
                </c:pt>
              </c:strCache>
            </c:strRef>
          </c:tx>
          <c:spPr>
            <a:solidFill>
              <a:srgbClr val="01B8AA"/>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(1)'!$E$3:$G$3</c:f>
              <c:strCache>
                <c:ptCount val="3"/>
                <c:pt idx="0">
                  <c:v>Ponto de Equilíbrio Contábil</c:v>
                </c:pt>
                <c:pt idx="1">
                  <c:v>Ponto de Equilíbrio Financeiro</c:v>
                </c:pt>
                <c:pt idx="2">
                  <c:v>Ponto Equilíbrio Econômico</c:v>
                </c:pt>
              </c:strCache>
            </c:strRef>
          </c:cat>
          <c:val>
            <c:numRef>
              <c:f>'BH (1)'!$E$9:$G$9</c:f>
              <c:numCache>
                <c:formatCode>"$"\ #.##000</c:formatCode>
                <c:ptCount val="3"/>
                <c:pt idx="0">
                  <c:v>5216.7471819156481</c:v>
                </c:pt>
                <c:pt idx="1">
                  <c:v>10716.747181867595</c:v>
                </c:pt>
                <c:pt idx="2">
                  <c:v>20216.747181784594</c:v>
                </c:pt>
              </c:numCache>
            </c:numRef>
          </c:val>
          <c:extLst>
            <c:ext xmlns:c16="http://schemas.microsoft.com/office/drawing/2014/chart" uri="{C3380CC4-5D6E-409C-BE32-E72D297353CC}">
              <c16:uniqueId val="{00000006-34BA-4740-8EBC-1B933CBCF17C}"/>
            </c:ext>
          </c:extLst>
        </c:ser>
        <c:dLbls>
          <c:dLblPos val="outEnd"/>
          <c:showLegendKey val="0"/>
          <c:showVal val="1"/>
          <c:showCatName val="0"/>
          <c:showSerName val="0"/>
          <c:showPercent val="0"/>
          <c:showBubbleSize val="0"/>
        </c:dLbls>
        <c:gapWidth val="219"/>
        <c:overlap val="-27"/>
        <c:axId val="527818048"/>
        <c:axId val="527818592"/>
      </c:barChart>
      <c:catAx>
        <c:axId val="52781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18592"/>
        <c:crosses val="autoZero"/>
        <c:auto val="1"/>
        <c:lblAlgn val="ctr"/>
        <c:lblOffset val="100"/>
        <c:noMultiLvlLbl val="0"/>
      </c:catAx>
      <c:valAx>
        <c:axId val="527818592"/>
        <c:scaling>
          <c:orientation val="minMax"/>
        </c:scaling>
        <c:delete val="0"/>
        <c:axPos val="l"/>
        <c:numFmt formatCode="&quot;R$&quot;\ #,##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527818048"/>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r>
              <a:rPr lang="en-US" sz="1000">
                <a:solidFill>
                  <a:schemeClr val="tx1">
                    <a:lumMod val="75000"/>
                    <a:lumOff val="25000"/>
                  </a:schemeClr>
                </a:solidFill>
              </a:rPr>
              <a:t>Indicadores</a:t>
            </a:r>
            <a:r>
              <a:rPr lang="en-US" sz="1000" baseline="0">
                <a:solidFill>
                  <a:schemeClr val="tx1">
                    <a:lumMod val="75000"/>
                    <a:lumOff val="25000"/>
                  </a:schemeClr>
                </a:solidFill>
              </a:rPr>
              <a:t> do Produto</a:t>
            </a:r>
            <a:endParaRPr lang="en-US" sz="10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5"/>
          <c:order val="0"/>
          <c:spPr>
            <a:solidFill>
              <a:schemeClr val="bg1">
                <a:lumMod val="75000"/>
              </a:schemeClr>
            </a:solidFill>
            <a:ln>
              <a:noFill/>
            </a:ln>
            <a:effectLst/>
          </c:spPr>
          <c:invertIfNegative val="0"/>
          <c:dLbls>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(1)'!$D$5:$D$7</c:f>
              <c:strCache>
                <c:ptCount val="3"/>
                <c:pt idx="0">
                  <c:v>Preço de Venda</c:v>
                </c:pt>
                <c:pt idx="1">
                  <c:v>Custo Direto</c:v>
                </c:pt>
                <c:pt idx="2">
                  <c:v>Margem de Contribuição</c:v>
                </c:pt>
              </c:strCache>
            </c:strRef>
          </c:cat>
          <c:val>
            <c:numRef>
              <c:f>'BH (1)'!$E$5:$E$7</c:f>
              <c:numCache>
                <c:formatCode>"$"\ #.##000</c:formatCode>
                <c:ptCount val="3"/>
                <c:pt idx="0">
                  <c:v>170</c:v>
                </c:pt>
                <c:pt idx="1">
                  <c:v>55.54</c:v>
                </c:pt>
                <c:pt idx="2">
                  <c:v>114.46000000100001</c:v>
                </c:pt>
              </c:numCache>
            </c:numRef>
          </c:val>
          <c:extLst>
            <c:ext xmlns:c16="http://schemas.microsoft.com/office/drawing/2014/chart" uri="{C3380CC4-5D6E-409C-BE32-E72D297353CC}">
              <c16:uniqueId val="{00000000-3172-4C6A-B259-43DBB4F8EDFD}"/>
            </c:ext>
          </c:extLst>
        </c:ser>
        <c:dLbls>
          <c:dLblPos val="outEnd"/>
          <c:showLegendKey val="0"/>
          <c:showVal val="1"/>
          <c:showCatName val="0"/>
          <c:showSerName val="0"/>
          <c:showPercent val="0"/>
          <c:showBubbleSize val="0"/>
        </c:dLbls>
        <c:gapWidth val="219"/>
        <c:overlap val="-27"/>
        <c:axId val="527820224"/>
        <c:axId val="527820768"/>
      </c:barChart>
      <c:catAx>
        <c:axId val="5278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27820768"/>
        <c:crosses val="autoZero"/>
        <c:auto val="1"/>
        <c:lblAlgn val="ctr"/>
        <c:lblOffset val="100"/>
        <c:noMultiLvlLbl val="0"/>
      </c:catAx>
      <c:valAx>
        <c:axId val="527820768"/>
        <c:scaling>
          <c:orientation val="minMax"/>
        </c:scaling>
        <c:delete val="0"/>
        <c:axPos val="l"/>
        <c:numFmt formatCode="&quot;R$&quot;\ #,##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52782022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0" dropStyle="combo" dx="22" fmlaLink="'BH (1)'!$C$5" fmlaRange="Produtos"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10" dropStyle="combo" dx="22" fmlaLink="'BH (1)'!$C$5" fmlaRange="Produtos" sel="1" val="0"/>
</file>

<file path=xl/ctrlProps/ctrlProp7.xml><?xml version="1.0" encoding="utf-8"?>
<formControlPr xmlns="http://schemas.microsoft.com/office/spreadsheetml/2009/9/main" objectType="Drop" dropLines="3" dropStyle="combo" dx="22" fmlaLink="'BH (1)'!$C$23" fmlaRange="'BH (1)'!$C$19:$C$21" sel="1" val="0"/>
</file>

<file path=xl/ctrlProps/ctrlProp8.xml><?xml version="1.0" encoding="utf-8"?>
<formControlPr xmlns="http://schemas.microsoft.com/office/spreadsheetml/2009/9/main" objectType="Drop" dropLines="10" dropStyle="combo" dx="22" fmlaLink="'BH (1)'!$C$5" fmlaRange="Produtos" sel="1" val="0"/>
</file>

<file path=xl/ctrlProps/ctrlProp9.xml><?xml version="1.0" encoding="utf-8"?>
<formControlPr xmlns="http://schemas.microsoft.com/office/spreadsheetml/2009/9/main" objectType="Drop" dropLines="3" dropStyle="combo" dx="22" fmlaLink="'BH (1)'!$C$23" fmlaRange="'BH (1)'!$C$19:$C$21" sel="1" val="0"/>
</file>

<file path=xl/drawings/_rels/drawing1.xml.rels><?xml version="1.0" encoding="UTF-8" standalone="yes"?>
<Relationships xmlns="http://schemas.openxmlformats.org/package/2006/relationships"><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image" Target="../media/image5.png"/><Relationship Id="rId5" Type="http://schemas.openxmlformats.org/officeDocument/2006/relationships/image" Target="../media/image4.sv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svg"/><Relationship Id="rId3" Type="http://schemas.openxmlformats.org/officeDocument/2006/relationships/hyperlink" Target="#'Prod 1'!A1"/><Relationship Id="rId7" Type="http://schemas.openxmlformats.org/officeDocument/2006/relationships/hyperlink" Target="#Controles!A1"/><Relationship Id="rId12" Type="http://schemas.openxmlformats.org/officeDocument/2006/relationships/image" Target="../media/image11.png"/><Relationship Id="rId2" Type="http://schemas.openxmlformats.org/officeDocument/2006/relationships/hyperlink" Target="#Cadastros!A1"/><Relationship Id="rId16" Type="http://schemas.openxmlformats.org/officeDocument/2006/relationships/image" Target="../media/image14.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10.svg"/><Relationship Id="rId5" Type="http://schemas.openxmlformats.org/officeDocument/2006/relationships/hyperlink" Target="#Dashboard!A1"/><Relationship Id="rId15" Type="http://schemas.openxmlformats.org/officeDocument/2006/relationships/image" Target="../media/image13.png"/><Relationship Id="rId10" Type="http://schemas.openxmlformats.org/officeDocument/2006/relationships/image" Target="../media/image9.png"/><Relationship Id="rId4" Type="http://schemas.openxmlformats.org/officeDocument/2006/relationships/hyperlink" Target="#Relat&#243;rios!A1"/><Relationship Id="rId9" Type="http://schemas.openxmlformats.org/officeDocument/2006/relationships/image" Target="../media/image8.svg"/><Relationship Id="rId14" Type="http://schemas.openxmlformats.org/officeDocument/2006/relationships/hyperlink" Target="#GO!A1"/></Relationships>
</file>

<file path=xl/drawings/_rels/drawing6.xml.rels><?xml version="1.0" encoding="UTF-8" standalone="yes"?>
<Relationships xmlns="http://schemas.openxmlformats.org/package/2006/relationships"><Relationship Id="rId13" Type="http://schemas.openxmlformats.org/officeDocument/2006/relationships/image" Target="../media/image17.jpg"/><Relationship Id="rId18" Type="http://schemas.openxmlformats.org/officeDocument/2006/relationships/hyperlink" Target="https://go.hotmart.com/E53336286M" TargetMode="External"/><Relationship Id="rId26" Type="http://schemas.openxmlformats.org/officeDocument/2006/relationships/image" Target="../media/image29.svg"/><Relationship Id="rId39" Type="http://schemas.openxmlformats.org/officeDocument/2006/relationships/image" Target="../media/image39.svg"/><Relationship Id="rId21" Type="http://schemas.openxmlformats.org/officeDocument/2006/relationships/image" Target="../media/image24.png"/><Relationship Id="rId34" Type="http://schemas.openxmlformats.org/officeDocument/2006/relationships/image" Target="../media/image35.svg"/><Relationship Id="rId42" Type="http://schemas.openxmlformats.org/officeDocument/2006/relationships/hyperlink" Target="https://go.hotmart.com/K19413188T" TargetMode="External"/><Relationship Id="rId47" Type="http://schemas.openxmlformats.org/officeDocument/2006/relationships/image" Target="../media/image46.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20.png"/><Relationship Id="rId29" Type="http://schemas.openxmlformats.org/officeDocument/2006/relationships/image" Target="../media/image31.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27.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40.png"/><Relationship Id="rId45" Type="http://schemas.openxmlformats.org/officeDocument/2006/relationships/image" Target="../media/image44.png"/><Relationship Id="rId5" Type="http://schemas.openxmlformats.org/officeDocument/2006/relationships/hyperlink" Target="#Dashboard!A1"/><Relationship Id="rId15" Type="http://schemas.openxmlformats.org/officeDocument/2006/relationships/image" Target="../media/image19.svg"/><Relationship Id="rId23" Type="http://schemas.openxmlformats.org/officeDocument/2006/relationships/image" Target="../media/image26.png"/><Relationship Id="rId28" Type="http://schemas.openxmlformats.org/officeDocument/2006/relationships/image" Target="../media/image30.png"/><Relationship Id="rId36" Type="http://schemas.openxmlformats.org/officeDocument/2006/relationships/image" Target="../media/image37.svg"/><Relationship Id="rId10" Type="http://schemas.openxmlformats.org/officeDocument/2006/relationships/image" Target="../media/image16.svg"/><Relationship Id="rId19" Type="http://schemas.openxmlformats.org/officeDocument/2006/relationships/image" Target="../media/image22.png"/><Relationship Id="rId31" Type="http://schemas.openxmlformats.org/officeDocument/2006/relationships/image" Target="../media/image33.svg"/><Relationship Id="rId44" Type="http://schemas.openxmlformats.org/officeDocument/2006/relationships/image" Target="../media/image43.svg"/><Relationship Id="rId4" Type="http://schemas.openxmlformats.org/officeDocument/2006/relationships/hyperlink" Target="#Relat&#243;rios!A1"/><Relationship Id="rId9" Type="http://schemas.openxmlformats.org/officeDocument/2006/relationships/image" Target="../media/image15.png"/><Relationship Id="rId14" Type="http://schemas.openxmlformats.org/officeDocument/2006/relationships/image" Target="../media/image18.png"/><Relationship Id="rId22" Type="http://schemas.openxmlformats.org/officeDocument/2006/relationships/image" Target="../media/image25.svg"/><Relationship Id="rId27" Type="http://schemas.openxmlformats.org/officeDocument/2006/relationships/hyperlink" Target="https://go.hotmart.com/I19749361D" TargetMode="External"/><Relationship Id="rId30" Type="http://schemas.openxmlformats.org/officeDocument/2006/relationships/image" Target="../media/image32.png"/><Relationship Id="rId35" Type="http://schemas.openxmlformats.org/officeDocument/2006/relationships/image" Target="../media/image36.png"/><Relationship Id="rId43" Type="http://schemas.openxmlformats.org/officeDocument/2006/relationships/image" Target="../media/image42.png"/><Relationship Id="rId48" Type="http://schemas.openxmlformats.org/officeDocument/2006/relationships/image" Target="../media/image47.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21.svg"/><Relationship Id="rId25" Type="http://schemas.openxmlformats.org/officeDocument/2006/relationships/image" Target="../media/image28.png"/><Relationship Id="rId33" Type="http://schemas.openxmlformats.org/officeDocument/2006/relationships/image" Target="../media/image34.png"/><Relationship Id="rId38" Type="http://schemas.openxmlformats.org/officeDocument/2006/relationships/image" Target="../media/image38.png"/><Relationship Id="rId46" Type="http://schemas.openxmlformats.org/officeDocument/2006/relationships/image" Target="../media/image45.svg"/><Relationship Id="rId20" Type="http://schemas.openxmlformats.org/officeDocument/2006/relationships/image" Target="../media/image23.svg"/><Relationship Id="rId41" Type="http://schemas.openxmlformats.org/officeDocument/2006/relationships/image" Target="../media/image41.svg"/></Relationships>
</file>

<file path=xl/drawings/_rels/drawing7.xml.rels><?xml version="1.0" encoding="UTF-8" standalone="yes"?>
<Relationships xmlns="http://schemas.openxmlformats.org/package/2006/relationships"><Relationship Id="rId8" Type="http://schemas.openxmlformats.org/officeDocument/2006/relationships/hyperlink" Target="#DespF!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8.xml.rels><?xml version="1.0" encoding="UTF-8" standalone="yes"?>
<Relationships xmlns="http://schemas.openxmlformats.org/package/2006/relationships"><Relationship Id="rId8" Type="http://schemas.openxmlformats.org/officeDocument/2006/relationships/hyperlink" Target="#DespF!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9.xml.rels><?xml version="1.0" encoding="UTF-8" standalone="yes"?>
<Relationships xmlns="http://schemas.openxmlformats.org/package/2006/relationships"><Relationship Id="rId8" Type="http://schemas.openxmlformats.org/officeDocument/2006/relationships/hyperlink" Target="#'Prod 2'!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Prod 3'!A1"/></Relationships>
</file>

<file path=xl/drawings/_rels/drawing10.xml.rels><?xml version="1.0" encoding="UTF-8" standalone="yes"?>
<Relationships xmlns="http://schemas.openxmlformats.org/package/2006/relationships"><Relationship Id="rId8" Type="http://schemas.openxmlformats.org/officeDocument/2006/relationships/hyperlink" Target="#'Prod 2'!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Prod 3'!A1"/></Relationships>
</file>

<file path=xl/drawings/_rels/drawing11.xml.rels><?xml version="1.0" encoding="UTF-8" standalone="yes"?>
<Relationships xmlns="http://schemas.openxmlformats.org/package/2006/relationships"><Relationship Id="rId8" Type="http://schemas.openxmlformats.org/officeDocument/2006/relationships/hyperlink" Target="#'Prod 2'!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Prod 3'!A1"/></Relationships>
</file>

<file path=xl/drawings/_rels/drawing12.xml.rels><?xml version="1.0" encoding="UTF-8" standalone="yes"?>
<Relationships xmlns="http://schemas.openxmlformats.org/package/2006/relationships"><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3.xml.rels><?xml version="1.0" encoding="UTF-8" standalone="yes"?>
<Relationships xmlns="http://schemas.openxmlformats.org/package/2006/relationships"><Relationship Id="rId8" Type="http://schemas.openxmlformats.org/officeDocument/2006/relationships/hyperlink" Target="#PProduto!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Impress&#227;o!A1"/></Relationships>
</file>

<file path=xl/drawings/_rels/drawing14.xml.rels><?xml version="1.0" encoding="UTF-8" standalone="yes"?>
<Relationships xmlns="http://schemas.openxmlformats.org/package/2006/relationships"><Relationship Id="rId8" Type="http://schemas.openxmlformats.org/officeDocument/2006/relationships/hyperlink" Target="#PProduto!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Impress&#227;o!A1"/></Relationships>
</file>

<file path=xl/drawings/_rels/drawing15.xml.rels><?xml version="1.0" encoding="UTF-8" standalone="yes"?>
<Relationships xmlns="http://schemas.openxmlformats.org/package/2006/relationships"><Relationship Id="rId8" Type="http://schemas.openxmlformats.org/officeDocument/2006/relationships/hyperlink" Target="#PProduto!A1"/><Relationship Id="rId13" Type="http://schemas.openxmlformats.org/officeDocument/2006/relationships/chart" Target="../charts/chart4.xml"/><Relationship Id="rId3" Type="http://schemas.openxmlformats.org/officeDocument/2006/relationships/hyperlink" Target="#'Prod 1'!A1"/><Relationship Id="rId7" Type="http://schemas.openxmlformats.org/officeDocument/2006/relationships/hyperlink" Target="#Controles!A1"/><Relationship Id="rId12" Type="http://schemas.openxmlformats.org/officeDocument/2006/relationships/chart" Target="../charts/chart3.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2.xml"/><Relationship Id="rId5" Type="http://schemas.openxmlformats.org/officeDocument/2006/relationships/hyperlink" Target="#Dashboard!A1"/><Relationship Id="rId15" Type="http://schemas.openxmlformats.org/officeDocument/2006/relationships/chart" Target="../charts/chart6.xml"/><Relationship Id="rId10" Type="http://schemas.openxmlformats.org/officeDocument/2006/relationships/chart" Target="../charts/chart1.xml"/><Relationship Id="rId4" Type="http://schemas.openxmlformats.org/officeDocument/2006/relationships/hyperlink" Target="#Relat&#243;rios!A1"/><Relationship Id="rId9" Type="http://schemas.openxmlformats.org/officeDocument/2006/relationships/hyperlink" Target="#Impress&#227;o!A1"/><Relationship Id="rId14"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8" Type="http://schemas.openxmlformats.org/officeDocument/2006/relationships/hyperlink" Target="#Anal&#237;tico!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9.xml"/><Relationship Id="rId5" Type="http://schemas.openxmlformats.org/officeDocument/2006/relationships/hyperlink" Target="#Dashboard!A1"/><Relationship Id="rId10" Type="http://schemas.openxmlformats.org/officeDocument/2006/relationships/chart" Target="../charts/chart8.xml"/><Relationship Id="rId4" Type="http://schemas.openxmlformats.org/officeDocument/2006/relationships/hyperlink" Target="#Relat&#243;rios!A1"/><Relationship Id="rId9" Type="http://schemas.openxmlformats.org/officeDocument/2006/relationships/chart" Target="../charts/chart7.xml"/></Relationships>
</file>

<file path=xl/drawings/_rels/drawing17.xml.rels><?xml version="1.0" encoding="UTF-8" standalone="yes"?>
<Relationships xmlns="http://schemas.openxmlformats.org/package/2006/relationships"><Relationship Id="rId8" Type="http://schemas.openxmlformats.org/officeDocument/2006/relationships/hyperlink" Target="#Anal&#237;tico!A1"/><Relationship Id="rId3" Type="http://schemas.openxmlformats.org/officeDocument/2006/relationships/hyperlink" Target="#'Prod 1'!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2.xml"/><Relationship Id="rId5" Type="http://schemas.openxmlformats.org/officeDocument/2006/relationships/hyperlink" Target="#Dashboard!A1"/><Relationship Id="rId10" Type="http://schemas.openxmlformats.org/officeDocument/2006/relationships/chart" Target="../charts/chart11.xml"/><Relationship Id="rId4" Type="http://schemas.openxmlformats.org/officeDocument/2006/relationships/hyperlink" Target="#Relat&#243;rios!A1"/><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2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2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2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2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2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2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2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2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2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352425</xdr:colOff>
      <xdr:row>0</xdr:row>
      <xdr:rowOff>95250</xdr:rowOff>
    </xdr:from>
    <xdr:to>
      <xdr:col>6</xdr:col>
      <xdr:colOff>0</xdr:colOff>
      <xdr:row>10</xdr:row>
      <xdr:rowOff>19050</xdr:rowOff>
    </xdr:to>
    <xdr:sp macro="" textlink="">
      <xdr:nvSpPr>
        <xdr:cNvPr id="2" name="Retângulo 1">
          <a:extLst>
            <a:ext uri="{FF2B5EF4-FFF2-40B4-BE49-F238E27FC236}">
              <a16:creationId xmlns:a16="http://schemas.microsoft.com/office/drawing/2014/main" id="{00000000-0008-0000-0300-000002000000}"/>
            </a:ext>
          </a:extLst>
        </xdr:cNvPr>
        <xdr:cNvSpPr/>
      </xdr:nvSpPr>
      <xdr:spPr>
        <a:xfrm>
          <a:off x="352425" y="95250"/>
          <a:ext cx="3305175" cy="1828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4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bg1"/>
              </a:solidFill>
            </a:rPr>
            <a:t>1° Passo: Habilitar</a:t>
          </a:r>
          <a:r>
            <a:rPr lang="pt-BR" sz="4000" b="1" baseline="0">
              <a:solidFill>
                <a:schemeClr val="bg1"/>
              </a:solidFill>
            </a:rPr>
            <a:t> Conteúdo para Iniciar na Planilha</a:t>
          </a:r>
          <a:endParaRPr lang="pt-BR" sz="4000" b="1">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4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17</xdr:row>
      <xdr:rowOff>0</xdr:rowOff>
    </xdr:from>
    <xdr:to>
      <xdr:col>5</xdr:col>
      <xdr:colOff>606907</xdr:colOff>
      <xdr:row>24</xdr:row>
      <xdr:rowOff>19051</xdr:rowOff>
    </xdr:to>
    <xdr:grpSp>
      <xdr:nvGrpSpPr>
        <xdr:cNvPr id="8" name="Agrupar 7">
          <a:extLst>
            <a:ext uri="{FF2B5EF4-FFF2-40B4-BE49-F238E27FC236}">
              <a16:creationId xmlns:a16="http://schemas.microsoft.com/office/drawing/2014/main" id="{00000000-0008-0000-0400-000008000000}"/>
            </a:ext>
          </a:extLst>
        </xdr:cNvPr>
        <xdr:cNvGrpSpPr/>
      </xdr:nvGrpSpPr>
      <xdr:grpSpPr>
        <a:xfrm>
          <a:off x="609600" y="3238500"/>
          <a:ext cx="3045307" cy="1352551"/>
          <a:chOff x="1355243" y="438149"/>
          <a:chExt cx="3045307" cy="1352551"/>
        </a:xfrm>
      </xdr:grpSpPr>
      <xdr:sp macro="" textlink="">
        <xdr:nvSpPr>
          <xdr:cNvPr id="9" name="CaixaDeTexto 8">
            <a:extLst>
              <a:ext uri="{FF2B5EF4-FFF2-40B4-BE49-F238E27FC236}">
                <a16:creationId xmlns:a16="http://schemas.microsoft.com/office/drawing/2014/main" id="{00000000-0008-0000-0400-000009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0" name="Meio-quadro 9">
            <a:extLst>
              <a:ext uri="{FF2B5EF4-FFF2-40B4-BE49-F238E27FC236}">
                <a16:creationId xmlns:a16="http://schemas.microsoft.com/office/drawing/2014/main" id="{00000000-0008-0000-0400-00000A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1" name="Meio-quadro 10">
            <a:extLst>
              <a:ext uri="{FF2B5EF4-FFF2-40B4-BE49-F238E27FC236}">
                <a16:creationId xmlns:a16="http://schemas.microsoft.com/office/drawing/2014/main" id="{00000000-0008-0000-0400-00000B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5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5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5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5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5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5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accent5">
                  <a:lumMod val="20000"/>
                  <a:lumOff val="80000"/>
                </a:schemeClr>
              </a:solidFill>
            </a:rPr>
            <a:t>Caro</a:t>
          </a:r>
          <a:r>
            <a:rPr lang="pt-BR" sz="1100" baseline="0">
              <a:solidFill>
                <a:schemeClr val="accent5">
                  <a:lumMod val="20000"/>
                  <a:lumOff val="80000"/>
                </a:schemeClr>
              </a:solidFill>
            </a:rPr>
            <a:t>(a) Cliente,</a:t>
          </a:r>
          <a:endParaRPr lang="pt-BR" sz="1100">
            <a:solidFill>
              <a:schemeClr val="accent5">
                <a:lumMod val="20000"/>
                <a:lumOff val="80000"/>
              </a:schemeClr>
            </a:solidFill>
          </a:endParaRPr>
        </a:p>
        <a:p>
          <a:endParaRPr lang="pt-BR" sz="1100">
            <a:solidFill>
              <a:schemeClr val="accent5">
                <a:lumMod val="20000"/>
                <a:lumOff val="80000"/>
              </a:schemeClr>
            </a:solidFill>
          </a:endParaRPr>
        </a:p>
        <a:p>
          <a:r>
            <a:rPr lang="pt-BR" sz="1100">
              <a:solidFill>
                <a:schemeClr val="accent5">
                  <a:lumMod val="20000"/>
                  <a:lumOff val="80000"/>
                </a:schemeClr>
              </a:solidFill>
            </a:rPr>
            <a:t>Seja</a:t>
          </a:r>
          <a:r>
            <a:rPr lang="pt-BR" sz="1100" baseline="0">
              <a:solidFill>
                <a:schemeClr val="accent5">
                  <a:lumMod val="20000"/>
                  <a:lumOff val="80000"/>
                </a:schemeClr>
              </a:solidFill>
            </a:rPr>
            <a:t> muito bem vindo a </a:t>
          </a:r>
          <a:r>
            <a:rPr lang="pt-BR" sz="1100" b="1" baseline="0">
              <a:solidFill>
                <a:schemeClr val="accent5">
                  <a:lumMod val="20000"/>
                  <a:lumOff val="80000"/>
                </a:schemeClr>
              </a:solidFill>
            </a:rPr>
            <a:t>Onside Corporation ®</a:t>
          </a:r>
          <a:r>
            <a:rPr lang="pt-BR" sz="1100" baseline="0">
              <a:solidFill>
                <a:schemeClr val="accent5">
                  <a:lumMod val="20000"/>
                  <a:lumOff val="80000"/>
                </a:schemeClr>
              </a:solidFill>
            </a:rPr>
            <a:t> - Soluções em Planilhas Inteligentes</a:t>
          </a:r>
        </a:p>
        <a:p>
          <a:r>
            <a:rPr lang="pt-BR" sz="1100" baseline="0">
              <a:solidFill>
                <a:schemeClr val="accent5">
                  <a:lumMod val="20000"/>
                  <a:lumOff val="80000"/>
                </a:schemeClr>
              </a:solidFill>
            </a:rPr>
            <a:t>Ficamos muito felizes pela confiança em nosso produto e pela preferência em nosso trabalho.</a:t>
          </a:r>
        </a:p>
        <a:p>
          <a:endParaRPr lang="pt-BR" sz="1100">
            <a:solidFill>
              <a:schemeClr val="accent5">
                <a:lumMod val="20000"/>
                <a:lumOff val="80000"/>
              </a:schemeClr>
            </a:solidFill>
          </a:endParaRPr>
        </a:p>
        <a:p>
          <a:endParaRPr lang="pt-BR" sz="1100">
            <a:solidFill>
              <a:schemeClr val="accent5">
                <a:lumMod val="20000"/>
                <a:lumOff val="80000"/>
              </a:schemeClr>
            </a:solidFill>
          </a:endParaRPr>
        </a:p>
        <a:p>
          <a:endParaRPr lang="pt-BR" sz="1100">
            <a:solidFill>
              <a:schemeClr val="accent5">
                <a:lumMod val="20000"/>
                <a:lumOff val="80000"/>
              </a:schemeClr>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682197" cy="609013"/>
    <xdr:sp macro="" textlink="">
      <xdr:nvSpPr>
        <xdr:cNvPr id="26" name="CaixaDeTexto 25">
          <a:extLst>
            <a:ext uri="{FF2B5EF4-FFF2-40B4-BE49-F238E27FC236}">
              <a16:creationId xmlns:a16="http://schemas.microsoft.com/office/drawing/2014/main" id="{00000000-0008-0000-0500-00001A000000}"/>
            </a:ext>
          </a:extLst>
        </xdr:cNvPr>
        <xdr:cNvSpPr txBox="1"/>
      </xdr:nvSpPr>
      <xdr:spPr>
        <a:xfrm>
          <a:off x="647700" y="3552825"/>
          <a:ext cx="5682197"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chemeClr val="accent5">
                  <a:lumMod val="20000"/>
                  <a:lumOff val="80000"/>
                </a:schemeClr>
              </a:solidFill>
            </a:rPr>
            <a:t>Parabéns!</a:t>
          </a:r>
          <a:r>
            <a:rPr lang="pt-BR" sz="1100">
              <a:solidFill>
                <a:schemeClr val="accent5">
                  <a:lumMod val="20000"/>
                  <a:lumOff val="80000"/>
                </a:schemeClr>
              </a:solidFill>
            </a:rPr>
            <a:t> Você acaba de adquirir</a:t>
          </a:r>
          <a:r>
            <a:rPr lang="pt-BR" sz="1100" baseline="0">
              <a:solidFill>
                <a:schemeClr val="accent5">
                  <a:lumMod val="20000"/>
                  <a:lumOff val="80000"/>
                </a:schemeClr>
              </a:solidFill>
            </a:rPr>
            <a:t> uma cópia da planilha </a:t>
          </a:r>
          <a:r>
            <a:rPr lang="pt-BR" sz="1100" b="1" baseline="0">
              <a:solidFill>
                <a:schemeClr val="accent5">
                  <a:lumMod val="20000"/>
                  <a:lumOff val="80000"/>
                </a:schemeClr>
              </a:solidFill>
            </a:rPr>
            <a:t>Cálculo Ponto de Equilíbrio versão 6.0 </a:t>
          </a:r>
        </a:p>
        <a:p>
          <a:r>
            <a:rPr lang="pt-BR" sz="1100" b="0" baseline="0">
              <a:solidFill>
                <a:schemeClr val="accent5">
                  <a:lumMod val="20000"/>
                  <a:lumOff val="80000"/>
                </a:schemeClr>
              </a:solidFill>
            </a:rPr>
            <a:t>O serial (Licença) dessa planilha é gerada automaticamente após a compra, conforme</a:t>
          </a:r>
        </a:p>
        <a:p>
          <a:r>
            <a:rPr lang="pt-BR" sz="1100" b="0" baseline="0">
              <a:solidFill>
                <a:schemeClr val="accent5">
                  <a:lumMod val="20000"/>
                  <a:lumOff val="80000"/>
                </a:schemeClr>
              </a:solidFill>
            </a:rPr>
            <a:t>controle da Onside Corporation ®</a:t>
          </a:r>
          <a:endParaRPr lang="pt-BR" sz="1100" b="0">
            <a:solidFill>
              <a:schemeClr val="accent5">
                <a:lumMod val="20000"/>
                <a:lumOff val="80000"/>
              </a:schemeClr>
            </a:solidFill>
          </a:endParaRPr>
        </a:p>
      </xdr:txBody>
    </xdr:sp>
    <xdr:clientData/>
  </xdr:oneCellAnchor>
  <xdr:oneCellAnchor>
    <xdr:from>
      <xdr:col>1</xdr:col>
      <xdr:colOff>38099</xdr:colOff>
      <xdr:row>21</xdr:row>
      <xdr:rowOff>171450</xdr:rowOff>
    </xdr:from>
    <xdr:ext cx="5895975" cy="1419225"/>
    <xdr:sp macro="" textlink="">
      <xdr:nvSpPr>
        <xdr:cNvPr id="27" name="CaixaDeTexto 26">
          <a:extLst>
            <a:ext uri="{FF2B5EF4-FFF2-40B4-BE49-F238E27FC236}">
              <a16:creationId xmlns:a16="http://schemas.microsoft.com/office/drawing/2014/main" id="{00000000-0008-0000-0500-00001B000000}"/>
            </a:ext>
          </a:extLst>
        </xdr:cNvPr>
        <xdr:cNvSpPr txBox="1"/>
      </xdr:nvSpPr>
      <xdr:spPr>
        <a:xfrm>
          <a:off x="647699" y="4171950"/>
          <a:ext cx="5895975" cy="1419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chemeClr val="accent5">
                  <a:lumMod val="20000"/>
                  <a:lumOff val="80000"/>
                </a:schemeClr>
              </a:solidFill>
            </a:rPr>
            <a:t>Essa licença é</a:t>
          </a:r>
          <a:r>
            <a:rPr lang="pt-BR" sz="1100" b="0" baseline="0">
              <a:solidFill>
                <a:schemeClr val="accent5">
                  <a:lumMod val="20000"/>
                  <a:lumOff val="80000"/>
                </a:schemeClr>
              </a:solidFill>
            </a:rPr>
            <a:t> única e exclusiva de sua propriedade, onde você poderá multiplicar a </a:t>
          </a:r>
        </a:p>
        <a:p>
          <a:r>
            <a:rPr lang="pt-BR" sz="1100" b="0" baseline="0">
              <a:solidFill>
                <a:schemeClr val="accent5">
                  <a:lumMod val="20000"/>
                  <a:lumOff val="80000"/>
                </a:schemeClr>
              </a:solidFill>
            </a:rPr>
            <a:t>planilha em SEU computador de acordo com sua necessidade. </a:t>
          </a:r>
        </a:p>
        <a:p>
          <a:endParaRPr lang="pt-BR" sz="1100" b="0" baseline="0">
            <a:solidFill>
              <a:schemeClr val="accent5">
                <a:lumMod val="20000"/>
                <a:lumOff val="80000"/>
              </a:schemeClr>
            </a:solidFill>
          </a:endParaRPr>
        </a:p>
        <a:p>
          <a:r>
            <a:rPr lang="pt-BR" sz="1100" b="1" baseline="0">
              <a:solidFill>
                <a:schemeClr val="accent5">
                  <a:lumMod val="20000"/>
                  <a:lumOff val="80000"/>
                </a:schemeClr>
              </a:solidFill>
            </a:rPr>
            <a:t>AVISO IMPORTANTE: </a:t>
          </a:r>
          <a:r>
            <a:rPr lang="pt-BR" sz="1100" b="0" baseline="0">
              <a:solidFill>
                <a:schemeClr val="accent5">
                  <a:lumMod val="20000"/>
                  <a:lumOff val="80000"/>
                </a:schemeClr>
              </a:solidFill>
            </a:rPr>
            <a:t>A planilha possui um ID vinculado ao serial, onde qualquer tentativa</a:t>
          </a:r>
        </a:p>
        <a:p>
          <a:r>
            <a:rPr lang="pt-BR" sz="1100" b="0" baseline="0">
              <a:solidFill>
                <a:schemeClr val="accent5">
                  <a:lumMod val="20000"/>
                  <a:lumOff val="80000"/>
                </a:schemeClr>
              </a:solidFill>
            </a:rPr>
            <a:t>de repassar a planilha a terceiros, resulta em </a:t>
          </a:r>
          <a:r>
            <a:rPr lang="pt-BR" sz="1100" b="1" baseline="0">
              <a:solidFill>
                <a:schemeClr val="accent5">
                  <a:lumMod val="20000"/>
                  <a:lumOff val="80000"/>
                </a:schemeClr>
              </a:solidFill>
            </a:rPr>
            <a:t>BLOQUEIO</a:t>
          </a:r>
          <a:r>
            <a:rPr lang="pt-BR" sz="1100" b="0" baseline="0">
              <a:solidFill>
                <a:schemeClr val="accent5">
                  <a:lumMod val="20000"/>
                  <a:lumOff val="80000"/>
                </a:schemeClr>
              </a:solidFill>
            </a:rPr>
            <a:t> IMEDIATO e AUTOMÁTICO da planilha.</a:t>
          </a:r>
        </a:p>
        <a:p>
          <a:pPr marL="0" marR="0" lvl="0" indent="0" defTabSz="914400" eaLnBrk="1" fontAlgn="auto" latinLnBrk="0" hangingPunct="1">
            <a:lnSpc>
              <a:spcPct val="100000"/>
            </a:lnSpc>
            <a:spcBef>
              <a:spcPts val="0"/>
            </a:spcBef>
            <a:spcAft>
              <a:spcPts val="0"/>
            </a:spcAft>
            <a:buClrTx/>
            <a:buSzTx/>
            <a:buFontTx/>
            <a:buNone/>
            <a:tabLst/>
            <a:defRPr/>
          </a:pPr>
          <a:r>
            <a:rPr lang="pt-BR" sz="1100" b="0">
              <a:solidFill>
                <a:srgbClr val="01B8AA"/>
              </a:solidFill>
              <a:effectLst/>
              <a:latin typeface="+mn-lt"/>
              <a:ea typeface="+mn-ea"/>
              <a:cs typeface="+mn-cs"/>
            </a:rPr>
            <a:t>LEI Nº 9.609 DE 19 DE FEVEREIRO DE 1998.</a:t>
          </a:r>
          <a:endParaRPr lang="pt-BR">
            <a:solidFill>
              <a:srgbClr val="01B8AA"/>
            </a:solidFill>
            <a:effectLst/>
          </a:endParaRPr>
        </a:p>
        <a:p>
          <a:endParaRPr lang="pt-BR" sz="1100" b="0">
            <a:solidFill>
              <a:schemeClr val="accent5">
                <a:lumMod val="20000"/>
                <a:lumOff val="80000"/>
              </a:schemeClr>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0" y="4210050"/>
          <a:ext cx="288000" cy="288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6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6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accent5">
                  <a:lumMod val="20000"/>
                  <a:lumOff val="80000"/>
                </a:schemeClr>
              </a:solidFill>
            </a:rPr>
            <a:t>Copyright © 2026 Onside Corporation ®</a:t>
          </a:r>
        </a:p>
        <a:p>
          <a:r>
            <a:rPr lang="pt-BR" sz="800">
              <a:solidFill>
                <a:schemeClr val="accent5">
                  <a:lumMod val="20000"/>
                  <a:lumOff val="80000"/>
                </a:schemeClr>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oneCellAnchor>
    <xdr:from>
      <xdr:col>2</xdr:col>
      <xdr:colOff>0</xdr:colOff>
      <xdr:row>14</xdr:row>
      <xdr:rowOff>0</xdr:rowOff>
    </xdr:from>
    <xdr:ext cx="914400" cy="914400"/>
    <xdr:pic>
      <xdr:nvPicPr>
        <xdr:cNvPr id="28" name="Gráfico 27" descr="Professor">
          <a:hlinkClick xmlns:r="http://schemas.openxmlformats.org/officeDocument/2006/relationships" r:id="rId14"/>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18" name="Retângulo 17">
          <a:hlinkClick xmlns:r="http://schemas.openxmlformats.org/officeDocument/2006/relationships" r:id="rId1"/>
          <a:extLst>
            <a:ext uri="{FF2B5EF4-FFF2-40B4-BE49-F238E27FC236}">
              <a16:creationId xmlns:a16="http://schemas.microsoft.com/office/drawing/2014/main" id="{00000000-0008-0000-0700-00001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19" name="Retângulo 18">
          <a:hlinkClick xmlns:r="http://schemas.openxmlformats.org/officeDocument/2006/relationships" r:id="rId2"/>
          <a:extLst>
            <a:ext uri="{FF2B5EF4-FFF2-40B4-BE49-F238E27FC236}">
              <a16:creationId xmlns:a16="http://schemas.microsoft.com/office/drawing/2014/main" id="{00000000-0008-0000-0700-00001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20" name="Retângulo 19">
          <a:hlinkClick xmlns:r="http://schemas.openxmlformats.org/officeDocument/2006/relationships" r:id="rId3"/>
          <a:extLst>
            <a:ext uri="{FF2B5EF4-FFF2-40B4-BE49-F238E27FC236}">
              <a16:creationId xmlns:a16="http://schemas.microsoft.com/office/drawing/2014/main" id="{00000000-0008-0000-0700-00001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0700-00001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22" name="Retângulo 21">
          <a:hlinkClick xmlns:r="http://schemas.openxmlformats.org/officeDocument/2006/relationships" r:id="rId5"/>
          <a:extLst>
            <a:ext uri="{FF2B5EF4-FFF2-40B4-BE49-F238E27FC236}">
              <a16:creationId xmlns:a16="http://schemas.microsoft.com/office/drawing/2014/main" id="{00000000-0008-0000-0700-00001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23" name="Retângulo 22">
          <a:hlinkClick xmlns:r="http://schemas.openxmlformats.org/officeDocument/2006/relationships" r:id="rId6"/>
          <a:extLst>
            <a:ext uri="{FF2B5EF4-FFF2-40B4-BE49-F238E27FC236}">
              <a16:creationId xmlns:a16="http://schemas.microsoft.com/office/drawing/2014/main" id="{00000000-0008-0000-0700-00001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24" name="Retângulo 23">
          <a:hlinkClick xmlns:r="http://schemas.openxmlformats.org/officeDocument/2006/relationships" r:id="rId7"/>
          <a:extLst>
            <a:ext uri="{FF2B5EF4-FFF2-40B4-BE49-F238E27FC236}">
              <a16:creationId xmlns:a16="http://schemas.microsoft.com/office/drawing/2014/main" id="{00000000-0008-0000-0700-00001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25" name="Retângulo 24">
          <a:hlinkClick xmlns:r="http://schemas.openxmlformats.org/officeDocument/2006/relationships" r:id="rId8"/>
          <a:extLst>
            <a:ext uri="{FF2B5EF4-FFF2-40B4-BE49-F238E27FC236}">
              <a16:creationId xmlns:a16="http://schemas.microsoft.com/office/drawing/2014/main" id="{00000000-0008-0000-0700-00001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26" name="Agrupar 25">
          <a:extLst>
            <a:ext uri="{FF2B5EF4-FFF2-40B4-BE49-F238E27FC236}">
              <a16:creationId xmlns:a16="http://schemas.microsoft.com/office/drawing/2014/main" id="{00000000-0008-0000-0700-00001A000000}"/>
            </a:ext>
          </a:extLst>
        </xdr:cNvPr>
        <xdr:cNvGrpSpPr/>
      </xdr:nvGrpSpPr>
      <xdr:grpSpPr>
        <a:xfrm>
          <a:off x="113929" y="0"/>
          <a:ext cx="903030" cy="428625"/>
          <a:chOff x="142504" y="66675"/>
          <a:chExt cx="903030" cy="534208"/>
        </a:xfrm>
      </xdr:grpSpPr>
      <xdr:sp macro="" textlink="">
        <xdr:nvSpPr>
          <xdr:cNvPr id="27" name="CaixaDeTexto 26">
            <a:extLst>
              <a:ext uri="{FF2B5EF4-FFF2-40B4-BE49-F238E27FC236}">
                <a16:creationId xmlns:a16="http://schemas.microsoft.com/office/drawing/2014/main" id="{00000000-0008-0000-0700-00001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8" name="Meio-quadro 27">
            <a:extLst>
              <a:ext uri="{FF2B5EF4-FFF2-40B4-BE49-F238E27FC236}">
                <a16:creationId xmlns:a16="http://schemas.microsoft.com/office/drawing/2014/main" id="{00000000-0008-0000-0700-00001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9" name="Meio-quadro 28">
            <a:extLst>
              <a:ext uri="{FF2B5EF4-FFF2-40B4-BE49-F238E27FC236}">
                <a16:creationId xmlns:a16="http://schemas.microsoft.com/office/drawing/2014/main" id="{00000000-0008-0000-0700-00001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31" name="Retângulo 30">
          <a:extLst>
            <a:ext uri="{FF2B5EF4-FFF2-40B4-BE49-F238E27FC236}">
              <a16:creationId xmlns:a16="http://schemas.microsoft.com/office/drawing/2014/main" id="{00000000-0008-0000-0700-00001F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30" name="Retângulo 29">
          <a:extLst>
            <a:ext uri="{FF2B5EF4-FFF2-40B4-BE49-F238E27FC236}">
              <a16:creationId xmlns:a16="http://schemas.microsoft.com/office/drawing/2014/main" id="{00000000-0008-0000-0700-00001E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32" name="CaixaDeTexto 31">
          <a:extLst>
            <a:ext uri="{FF2B5EF4-FFF2-40B4-BE49-F238E27FC236}">
              <a16:creationId xmlns:a16="http://schemas.microsoft.com/office/drawing/2014/main" id="{00000000-0008-0000-0700-00002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6" name="CaixaDeTexto 5">
          <a:extLst>
            <a:ext uri="{FF2B5EF4-FFF2-40B4-BE49-F238E27FC236}">
              <a16:creationId xmlns:a16="http://schemas.microsoft.com/office/drawing/2014/main" id="{00000000-0008-0000-0700-000006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8" name="Gráfico 7" descr="Fita">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9" name="CaixaDeTexto 8">
          <a:extLst>
            <a:ext uri="{FF2B5EF4-FFF2-40B4-BE49-F238E27FC236}">
              <a16:creationId xmlns:a16="http://schemas.microsoft.com/office/drawing/2014/main" id="{00000000-0008-0000-0700-000009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10" name="Retângulo: Cantos Arredondados 9">
          <a:hlinkClick xmlns:r="http://schemas.openxmlformats.org/officeDocument/2006/relationships" r:id="rId11"/>
          <a:extLst>
            <a:ext uri="{FF2B5EF4-FFF2-40B4-BE49-F238E27FC236}">
              <a16:creationId xmlns:a16="http://schemas.microsoft.com/office/drawing/2014/main" id="{00000000-0008-0000-0700-00000A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33" name="Retângulo 32">
          <a:extLst>
            <a:ext uri="{FF2B5EF4-FFF2-40B4-BE49-F238E27FC236}">
              <a16:creationId xmlns:a16="http://schemas.microsoft.com/office/drawing/2014/main" id="{00000000-0008-0000-0700-000021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12" name="Imagem 11">
          <a:hlinkClick xmlns:r="http://schemas.openxmlformats.org/officeDocument/2006/relationships" r:id="rId12"/>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35" name="Gráfico 34" descr="Garfo e faca">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36" name="CaixaDeTexto 35">
          <a:extLst>
            <a:ext uri="{FF2B5EF4-FFF2-40B4-BE49-F238E27FC236}">
              <a16:creationId xmlns:a16="http://schemas.microsoft.com/office/drawing/2014/main" id="{00000000-0008-0000-0700-000024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00000000-0008-0000-0700-000025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38" name="Retângulo 37">
          <a:extLst>
            <a:ext uri="{FF2B5EF4-FFF2-40B4-BE49-F238E27FC236}">
              <a16:creationId xmlns:a16="http://schemas.microsoft.com/office/drawing/2014/main" id="{00000000-0008-0000-0700-000026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47" name="CaixaDeTexto 46">
          <a:extLst>
            <a:ext uri="{FF2B5EF4-FFF2-40B4-BE49-F238E27FC236}">
              <a16:creationId xmlns:a16="http://schemas.microsoft.com/office/drawing/2014/main" id="{00000000-0008-0000-0700-00002F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48" name="Gráfico 47" descr="Grupo de homens">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49" name="CaixaDeTexto 48">
          <a:extLst>
            <a:ext uri="{FF2B5EF4-FFF2-40B4-BE49-F238E27FC236}">
              <a16:creationId xmlns:a16="http://schemas.microsoft.com/office/drawing/2014/main" id="{00000000-0008-0000-0700-000031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50" name="Retângulo: Cantos Arredondados 49">
          <a:hlinkClick xmlns:r="http://schemas.openxmlformats.org/officeDocument/2006/relationships" r:id="rId18"/>
          <a:extLst>
            <a:ext uri="{FF2B5EF4-FFF2-40B4-BE49-F238E27FC236}">
              <a16:creationId xmlns:a16="http://schemas.microsoft.com/office/drawing/2014/main" id="{00000000-0008-0000-0700-000032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16" name="Agrupar 15">
          <a:hlinkClick xmlns:r="http://schemas.openxmlformats.org/officeDocument/2006/relationships" r:id="rId11"/>
          <a:extLst>
            <a:ext uri="{FF2B5EF4-FFF2-40B4-BE49-F238E27FC236}">
              <a16:creationId xmlns:a16="http://schemas.microsoft.com/office/drawing/2014/main" id="{00000000-0008-0000-0700-000010000000}"/>
            </a:ext>
          </a:extLst>
        </xdr:cNvPr>
        <xdr:cNvGrpSpPr/>
      </xdr:nvGrpSpPr>
      <xdr:grpSpPr>
        <a:xfrm>
          <a:off x="419100" y="2190750"/>
          <a:ext cx="4057200" cy="2401200"/>
          <a:chOff x="11229975" y="2505075"/>
          <a:chExt cx="4057200" cy="2401200"/>
        </a:xfrm>
      </xdr:grpSpPr>
      <xdr:sp macro="" textlink="">
        <xdr:nvSpPr>
          <xdr:cNvPr id="2" name="Retângulo 1">
            <a:extLst>
              <a:ext uri="{FF2B5EF4-FFF2-40B4-BE49-F238E27FC236}">
                <a16:creationId xmlns:a16="http://schemas.microsoft.com/office/drawing/2014/main" id="{00000000-0008-0000-0700-000002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 name="CaixaDeTexto 3">
            <a:extLst>
              <a:ext uri="{FF2B5EF4-FFF2-40B4-BE49-F238E27FC236}">
                <a16:creationId xmlns:a16="http://schemas.microsoft.com/office/drawing/2014/main" id="{00000000-0008-0000-0700-000004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5" name="Retângulo 4">
            <a:extLst>
              <a:ext uri="{FF2B5EF4-FFF2-40B4-BE49-F238E27FC236}">
                <a16:creationId xmlns:a16="http://schemas.microsoft.com/office/drawing/2014/main" id="{00000000-0008-0000-0700-000005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9" name="Gráfico 38" descr="Calculadora">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11" name="Gráfico 10" descr="Calculadora">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43" name="Agrupar 42">
          <a:hlinkClick xmlns:r="http://schemas.openxmlformats.org/officeDocument/2006/relationships" r:id="rId18"/>
          <a:extLst>
            <a:ext uri="{FF2B5EF4-FFF2-40B4-BE49-F238E27FC236}">
              <a16:creationId xmlns:a16="http://schemas.microsoft.com/office/drawing/2014/main" id="{00000000-0008-0000-0700-00002B000000}"/>
            </a:ext>
          </a:extLst>
        </xdr:cNvPr>
        <xdr:cNvGrpSpPr/>
      </xdr:nvGrpSpPr>
      <xdr:grpSpPr>
        <a:xfrm>
          <a:off x="419100" y="8429625"/>
          <a:ext cx="4057200" cy="2401200"/>
          <a:chOff x="419100" y="8429625"/>
          <a:chExt cx="4057200" cy="2401200"/>
        </a:xfrm>
      </xdr:grpSpPr>
      <xdr:sp macro="" textlink="">
        <xdr:nvSpPr>
          <xdr:cNvPr id="17" name="Retângulo 16">
            <a:extLst>
              <a:ext uri="{FF2B5EF4-FFF2-40B4-BE49-F238E27FC236}">
                <a16:creationId xmlns:a16="http://schemas.microsoft.com/office/drawing/2014/main" id="{00000000-0008-0000-0700-000011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1" name="Gráfico 40" descr="Debate de ideias do grupo">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6" name="CaixaDeTexto 45">
            <a:extLst>
              <a:ext uri="{FF2B5EF4-FFF2-40B4-BE49-F238E27FC236}">
                <a16:creationId xmlns:a16="http://schemas.microsoft.com/office/drawing/2014/main" id="{00000000-0008-0000-0700-00002E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1" name="Retângulo 50">
            <a:extLst>
              <a:ext uri="{FF2B5EF4-FFF2-40B4-BE49-F238E27FC236}">
                <a16:creationId xmlns:a16="http://schemas.microsoft.com/office/drawing/2014/main" id="{00000000-0008-0000-0700-000033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52" name="Retângulo 51">
          <a:extLst>
            <a:ext uri="{FF2B5EF4-FFF2-40B4-BE49-F238E27FC236}">
              <a16:creationId xmlns:a16="http://schemas.microsoft.com/office/drawing/2014/main" id="{00000000-0008-0000-0700-000034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53" name="CaixaDeTexto 52">
          <a:extLst>
            <a:ext uri="{FF2B5EF4-FFF2-40B4-BE49-F238E27FC236}">
              <a16:creationId xmlns:a16="http://schemas.microsoft.com/office/drawing/2014/main" id="{00000000-0008-0000-0700-000035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54" name="Gráfico 53" descr="África e Europa no globo terrestre">
          <a:extLst>
            <a:ext uri="{FF2B5EF4-FFF2-40B4-BE49-F238E27FC236}">
              <a16:creationId xmlns:a16="http://schemas.microsoft.com/office/drawing/2014/main" id="{00000000-0008-0000-0700-000036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55" name="CaixaDeTexto 54">
          <a:extLst>
            <a:ext uri="{FF2B5EF4-FFF2-40B4-BE49-F238E27FC236}">
              <a16:creationId xmlns:a16="http://schemas.microsoft.com/office/drawing/2014/main" id="{00000000-0008-0000-0700-000037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56" name="Retângulo: Cantos Arredondados 55">
          <a:hlinkClick xmlns:r="http://schemas.openxmlformats.org/officeDocument/2006/relationships" r:id="rId27"/>
          <a:extLst>
            <a:ext uri="{FF2B5EF4-FFF2-40B4-BE49-F238E27FC236}">
              <a16:creationId xmlns:a16="http://schemas.microsoft.com/office/drawing/2014/main" id="{00000000-0008-0000-0700-000038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4" name="Agrupar 43">
          <a:hlinkClick xmlns:r="http://schemas.openxmlformats.org/officeDocument/2006/relationships" r:id="rId27"/>
          <a:extLst>
            <a:ext uri="{FF2B5EF4-FFF2-40B4-BE49-F238E27FC236}">
              <a16:creationId xmlns:a16="http://schemas.microsoft.com/office/drawing/2014/main" id="{00000000-0008-0000-0700-00002C000000}"/>
            </a:ext>
          </a:extLst>
        </xdr:cNvPr>
        <xdr:cNvGrpSpPr/>
      </xdr:nvGrpSpPr>
      <xdr:grpSpPr>
        <a:xfrm>
          <a:off x="419100" y="11553825"/>
          <a:ext cx="4057200" cy="2401200"/>
          <a:chOff x="419100" y="11553825"/>
          <a:chExt cx="4057200" cy="2401200"/>
        </a:xfrm>
      </xdr:grpSpPr>
      <xdr:sp macro="" textlink="">
        <xdr:nvSpPr>
          <xdr:cNvPr id="61" name="Retângulo 60">
            <a:extLst>
              <a:ext uri="{FF2B5EF4-FFF2-40B4-BE49-F238E27FC236}">
                <a16:creationId xmlns:a16="http://schemas.microsoft.com/office/drawing/2014/main" id="{00000000-0008-0000-0700-00003D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2" name="Gráfico 61" descr="Bússola de mapa">
            <a:extLst>
              <a:ext uri="{FF2B5EF4-FFF2-40B4-BE49-F238E27FC236}">
                <a16:creationId xmlns:a16="http://schemas.microsoft.com/office/drawing/2014/main" id="{00000000-0008-0000-0700-00003E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63" name="CaixaDeTexto 62">
            <a:extLst>
              <a:ext uri="{FF2B5EF4-FFF2-40B4-BE49-F238E27FC236}">
                <a16:creationId xmlns:a16="http://schemas.microsoft.com/office/drawing/2014/main" id="{00000000-0008-0000-0700-00003F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4" name="Retângulo 63">
            <a:extLst>
              <a:ext uri="{FF2B5EF4-FFF2-40B4-BE49-F238E27FC236}">
                <a16:creationId xmlns:a16="http://schemas.microsoft.com/office/drawing/2014/main" id="{00000000-0008-0000-0700-000040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65" name="Retângulo 64">
          <a:extLst>
            <a:ext uri="{FF2B5EF4-FFF2-40B4-BE49-F238E27FC236}">
              <a16:creationId xmlns:a16="http://schemas.microsoft.com/office/drawing/2014/main" id="{00000000-0008-0000-0700-000041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66" name="CaixaDeTexto 65">
          <a:extLst>
            <a:ext uri="{FF2B5EF4-FFF2-40B4-BE49-F238E27FC236}">
              <a16:creationId xmlns:a16="http://schemas.microsoft.com/office/drawing/2014/main" id="{00000000-0008-0000-0700-000042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67" name="Gráfico 66" descr="Lâmpada e engrenagem">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68" name="CaixaDeTexto 67">
          <a:extLst>
            <a:ext uri="{FF2B5EF4-FFF2-40B4-BE49-F238E27FC236}">
              <a16:creationId xmlns:a16="http://schemas.microsoft.com/office/drawing/2014/main" id="{00000000-0008-0000-0700-000044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69" name="Retângulo: Cantos Arredondados 68">
          <a:hlinkClick xmlns:r="http://schemas.openxmlformats.org/officeDocument/2006/relationships" r:id="rId32"/>
          <a:extLst>
            <a:ext uri="{FF2B5EF4-FFF2-40B4-BE49-F238E27FC236}">
              <a16:creationId xmlns:a16="http://schemas.microsoft.com/office/drawing/2014/main" id="{00000000-0008-0000-0700-000045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87" name="Agrupar 86">
          <a:hlinkClick xmlns:r="http://schemas.openxmlformats.org/officeDocument/2006/relationships" r:id="rId32"/>
          <a:extLst>
            <a:ext uri="{FF2B5EF4-FFF2-40B4-BE49-F238E27FC236}">
              <a16:creationId xmlns:a16="http://schemas.microsoft.com/office/drawing/2014/main" id="{00000000-0008-0000-0700-000057000000}"/>
            </a:ext>
          </a:extLst>
        </xdr:cNvPr>
        <xdr:cNvGrpSpPr/>
      </xdr:nvGrpSpPr>
      <xdr:grpSpPr>
        <a:xfrm>
          <a:off x="419100" y="14678025"/>
          <a:ext cx="4057200" cy="2401200"/>
          <a:chOff x="419100" y="14678025"/>
          <a:chExt cx="4057200" cy="2401200"/>
        </a:xfrm>
      </xdr:grpSpPr>
      <xdr:sp macro="" textlink="">
        <xdr:nvSpPr>
          <xdr:cNvPr id="71" name="Retângulo 70">
            <a:extLst>
              <a:ext uri="{FF2B5EF4-FFF2-40B4-BE49-F238E27FC236}">
                <a16:creationId xmlns:a16="http://schemas.microsoft.com/office/drawing/2014/main" id="{00000000-0008-0000-0700-000047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2" name="Gráfico 71" descr="Alvo">
            <a:extLst>
              <a:ext uri="{FF2B5EF4-FFF2-40B4-BE49-F238E27FC236}">
                <a16:creationId xmlns:a16="http://schemas.microsoft.com/office/drawing/2014/main" id="{00000000-0008-0000-0700-000048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73" name="CaixaDeTexto 72">
            <a:extLst>
              <a:ext uri="{FF2B5EF4-FFF2-40B4-BE49-F238E27FC236}">
                <a16:creationId xmlns:a16="http://schemas.microsoft.com/office/drawing/2014/main" id="{00000000-0008-0000-0700-000049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4" name="Retângulo 73">
            <a:extLst>
              <a:ext uri="{FF2B5EF4-FFF2-40B4-BE49-F238E27FC236}">
                <a16:creationId xmlns:a16="http://schemas.microsoft.com/office/drawing/2014/main" id="{00000000-0008-0000-0700-00004A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75" name="Retângulo 74">
          <a:extLst>
            <a:ext uri="{FF2B5EF4-FFF2-40B4-BE49-F238E27FC236}">
              <a16:creationId xmlns:a16="http://schemas.microsoft.com/office/drawing/2014/main" id="{00000000-0008-0000-0700-00004B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76" name="CaixaDeTexto 75">
          <a:extLst>
            <a:ext uri="{FF2B5EF4-FFF2-40B4-BE49-F238E27FC236}">
              <a16:creationId xmlns:a16="http://schemas.microsoft.com/office/drawing/2014/main" id="{00000000-0008-0000-0700-00004C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77" name="Gráfico 76" descr="Cabeça com engrenagens">
          <a:extLst>
            <a:ext uri="{FF2B5EF4-FFF2-40B4-BE49-F238E27FC236}">
              <a16:creationId xmlns:a16="http://schemas.microsoft.com/office/drawing/2014/main" id="{00000000-0008-0000-0700-00004D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78" name="CaixaDeTexto 77">
          <a:extLst>
            <a:ext uri="{FF2B5EF4-FFF2-40B4-BE49-F238E27FC236}">
              <a16:creationId xmlns:a16="http://schemas.microsoft.com/office/drawing/2014/main" id="{00000000-0008-0000-0700-00004E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79" name="Retângulo: Cantos Arredondados 78">
          <a:hlinkClick xmlns:r="http://schemas.openxmlformats.org/officeDocument/2006/relationships" r:id="rId37"/>
          <a:extLst>
            <a:ext uri="{FF2B5EF4-FFF2-40B4-BE49-F238E27FC236}">
              <a16:creationId xmlns:a16="http://schemas.microsoft.com/office/drawing/2014/main" id="{00000000-0008-0000-0700-00004F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3" name="Agrupar 2">
          <a:hlinkClick xmlns:r="http://schemas.openxmlformats.org/officeDocument/2006/relationships" r:id="rId37"/>
          <a:extLst>
            <a:ext uri="{FF2B5EF4-FFF2-40B4-BE49-F238E27FC236}">
              <a16:creationId xmlns:a16="http://schemas.microsoft.com/office/drawing/2014/main" id="{00000000-0008-0000-0700-000003000000}"/>
            </a:ext>
          </a:extLst>
        </xdr:cNvPr>
        <xdr:cNvGrpSpPr/>
      </xdr:nvGrpSpPr>
      <xdr:grpSpPr>
        <a:xfrm>
          <a:off x="419100" y="17802225"/>
          <a:ext cx="4057200" cy="2401200"/>
          <a:chOff x="419100" y="17802225"/>
          <a:chExt cx="4057200" cy="2401200"/>
        </a:xfrm>
      </xdr:grpSpPr>
      <xdr:sp macro="" textlink="">
        <xdr:nvSpPr>
          <xdr:cNvPr id="81" name="Retângulo 80">
            <a:extLst>
              <a:ext uri="{FF2B5EF4-FFF2-40B4-BE49-F238E27FC236}">
                <a16:creationId xmlns:a16="http://schemas.microsoft.com/office/drawing/2014/main" id="{00000000-0008-0000-0700-000051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2" name="Gráfico 81" descr="Livros">
            <a:extLst>
              <a:ext uri="{FF2B5EF4-FFF2-40B4-BE49-F238E27FC236}">
                <a16:creationId xmlns:a16="http://schemas.microsoft.com/office/drawing/2014/main" id="{00000000-0008-0000-0700-000052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83" name="CaixaDeTexto 82">
            <a:extLst>
              <a:ext uri="{FF2B5EF4-FFF2-40B4-BE49-F238E27FC236}">
                <a16:creationId xmlns:a16="http://schemas.microsoft.com/office/drawing/2014/main" id="{00000000-0008-0000-0700-000053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4" name="Retângulo 83">
            <a:extLst>
              <a:ext uri="{FF2B5EF4-FFF2-40B4-BE49-F238E27FC236}">
                <a16:creationId xmlns:a16="http://schemas.microsoft.com/office/drawing/2014/main" id="{00000000-0008-0000-0700-000054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88" name="Retângulo 87">
          <a:extLst>
            <a:ext uri="{FF2B5EF4-FFF2-40B4-BE49-F238E27FC236}">
              <a16:creationId xmlns:a16="http://schemas.microsoft.com/office/drawing/2014/main" id="{00000000-0008-0000-0700-000058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89" name="CaixaDeTexto 88">
          <a:extLst>
            <a:ext uri="{FF2B5EF4-FFF2-40B4-BE49-F238E27FC236}">
              <a16:creationId xmlns:a16="http://schemas.microsoft.com/office/drawing/2014/main" id="{00000000-0008-0000-0700-000059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90" name="Gráfico 89" descr="Manual">
          <a:extLst>
            <a:ext uri="{FF2B5EF4-FFF2-40B4-BE49-F238E27FC236}">
              <a16:creationId xmlns:a16="http://schemas.microsoft.com/office/drawing/2014/main" id="{00000000-0008-0000-0700-00005A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91" name="CaixaDeTexto 90">
          <a:extLst>
            <a:ext uri="{FF2B5EF4-FFF2-40B4-BE49-F238E27FC236}">
              <a16:creationId xmlns:a16="http://schemas.microsoft.com/office/drawing/2014/main" id="{00000000-0008-0000-0700-00005B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92" name="Retângulo: Cantos Arredondados 91">
          <a:hlinkClick xmlns:r="http://schemas.openxmlformats.org/officeDocument/2006/relationships" r:id="rId42"/>
          <a:extLst>
            <a:ext uri="{FF2B5EF4-FFF2-40B4-BE49-F238E27FC236}">
              <a16:creationId xmlns:a16="http://schemas.microsoft.com/office/drawing/2014/main" id="{00000000-0008-0000-0700-00005C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 name="Agrupar 6">
          <a:hlinkClick xmlns:r="http://schemas.openxmlformats.org/officeDocument/2006/relationships" r:id="rId42"/>
          <a:extLst>
            <a:ext uri="{FF2B5EF4-FFF2-40B4-BE49-F238E27FC236}">
              <a16:creationId xmlns:a16="http://schemas.microsoft.com/office/drawing/2014/main" id="{00000000-0008-0000-0700-000007000000}"/>
            </a:ext>
          </a:extLst>
        </xdr:cNvPr>
        <xdr:cNvGrpSpPr/>
      </xdr:nvGrpSpPr>
      <xdr:grpSpPr>
        <a:xfrm>
          <a:off x="419100" y="20907375"/>
          <a:ext cx="4057200" cy="2401200"/>
          <a:chOff x="419100" y="20907375"/>
          <a:chExt cx="4057200" cy="2401200"/>
        </a:xfrm>
      </xdr:grpSpPr>
      <xdr:sp macro="" textlink="">
        <xdr:nvSpPr>
          <xdr:cNvPr id="94" name="Retângulo 93">
            <a:extLst>
              <a:ext uri="{FF2B5EF4-FFF2-40B4-BE49-F238E27FC236}">
                <a16:creationId xmlns:a16="http://schemas.microsoft.com/office/drawing/2014/main" id="{00000000-0008-0000-0700-00005E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5" name="Gráfico 94" descr="Matemática">
            <a:extLst>
              <a:ext uri="{FF2B5EF4-FFF2-40B4-BE49-F238E27FC236}">
                <a16:creationId xmlns:a16="http://schemas.microsoft.com/office/drawing/2014/main" id="{00000000-0008-0000-0700-00005F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96" name="CaixaDeTexto 95">
            <a:extLst>
              <a:ext uri="{FF2B5EF4-FFF2-40B4-BE49-F238E27FC236}">
                <a16:creationId xmlns:a16="http://schemas.microsoft.com/office/drawing/2014/main" id="{00000000-0008-0000-0700-000060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7" name="Retângulo 96">
            <a:extLst>
              <a:ext uri="{FF2B5EF4-FFF2-40B4-BE49-F238E27FC236}">
                <a16:creationId xmlns:a16="http://schemas.microsoft.com/office/drawing/2014/main" id="{00000000-0008-0000-0700-000061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98" name="Retângulo 97">
          <a:extLst>
            <a:ext uri="{FF2B5EF4-FFF2-40B4-BE49-F238E27FC236}">
              <a16:creationId xmlns:a16="http://schemas.microsoft.com/office/drawing/2014/main" id="{00000000-0008-0000-0700-000062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99" name="CaixaDeTexto 98">
          <a:extLst>
            <a:ext uri="{FF2B5EF4-FFF2-40B4-BE49-F238E27FC236}">
              <a16:creationId xmlns:a16="http://schemas.microsoft.com/office/drawing/2014/main" id="{00000000-0008-0000-0700-000063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100" name="Gráfico 99" descr="Dinheiro">
          <a:extLst>
            <a:ext uri="{FF2B5EF4-FFF2-40B4-BE49-F238E27FC236}">
              <a16:creationId xmlns:a16="http://schemas.microsoft.com/office/drawing/2014/main" id="{00000000-0008-0000-0700-000064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101" name="CaixaDeTexto 100">
          <a:extLst>
            <a:ext uri="{FF2B5EF4-FFF2-40B4-BE49-F238E27FC236}">
              <a16:creationId xmlns:a16="http://schemas.microsoft.com/office/drawing/2014/main" id="{00000000-0008-0000-0700-000065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102" name="Retângulo: Cantos Arredondados 101">
          <a:hlinkClick xmlns:r="http://schemas.openxmlformats.org/officeDocument/2006/relationships" r:id="rId11"/>
          <a:extLst>
            <a:ext uri="{FF2B5EF4-FFF2-40B4-BE49-F238E27FC236}">
              <a16:creationId xmlns:a16="http://schemas.microsoft.com/office/drawing/2014/main" id="{00000000-0008-0000-0700-000066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13" name="Agrupar 12">
          <a:hlinkClick xmlns:r="http://schemas.openxmlformats.org/officeDocument/2006/relationships" r:id="rId11"/>
          <a:extLst>
            <a:ext uri="{FF2B5EF4-FFF2-40B4-BE49-F238E27FC236}">
              <a16:creationId xmlns:a16="http://schemas.microsoft.com/office/drawing/2014/main" id="{00000000-0008-0000-0700-00000D000000}"/>
            </a:ext>
          </a:extLst>
        </xdr:cNvPr>
        <xdr:cNvGrpSpPr/>
      </xdr:nvGrpSpPr>
      <xdr:grpSpPr>
        <a:xfrm>
          <a:off x="419100" y="24031575"/>
          <a:ext cx="4057200" cy="2401200"/>
          <a:chOff x="419100" y="24031575"/>
          <a:chExt cx="4057200" cy="2401200"/>
        </a:xfrm>
      </xdr:grpSpPr>
      <xdr:sp macro="" textlink="">
        <xdr:nvSpPr>
          <xdr:cNvPr id="104" name="Retângulo 103">
            <a:extLst>
              <a:ext uri="{FF2B5EF4-FFF2-40B4-BE49-F238E27FC236}">
                <a16:creationId xmlns:a16="http://schemas.microsoft.com/office/drawing/2014/main" id="{00000000-0008-0000-0700-000068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05" name="Gráfico 104" descr="Apresentação com gráfico de pizza">
            <a:extLst>
              <a:ext uri="{FF2B5EF4-FFF2-40B4-BE49-F238E27FC236}">
                <a16:creationId xmlns:a16="http://schemas.microsoft.com/office/drawing/2014/main" id="{00000000-0008-0000-0700-000069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106" name="CaixaDeTexto 105">
            <a:extLst>
              <a:ext uri="{FF2B5EF4-FFF2-40B4-BE49-F238E27FC236}">
                <a16:creationId xmlns:a16="http://schemas.microsoft.com/office/drawing/2014/main" id="{00000000-0008-0000-0700-00006A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107" name="Retângulo 106">
            <a:extLst>
              <a:ext uri="{FF2B5EF4-FFF2-40B4-BE49-F238E27FC236}">
                <a16:creationId xmlns:a16="http://schemas.microsoft.com/office/drawing/2014/main" id="{00000000-0008-0000-0700-00006B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8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8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8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oneCellAnchor>
    <xdr:from>
      <xdr:col>2</xdr:col>
      <xdr:colOff>0</xdr:colOff>
      <xdr:row>4</xdr:row>
      <xdr:rowOff>0</xdr:rowOff>
    </xdr:from>
    <xdr:ext cx="12220575" cy="3535712"/>
    <xdr:sp macro="" textlink="">
      <xdr:nvSpPr>
        <xdr:cNvPr id="18" name="CaixaDeTexto 17">
          <a:extLst>
            <a:ext uri="{FF2B5EF4-FFF2-40B4-BE49-F238E27FC236}">
              <a16:creationId xmlns:a16="http://schemas.microsoft.com/office/drawing/2014/main" id="{00000000-0008-0000-0800-000012000000}"/>
            </a:ext>
          </a:extLst>
        </xdr:cNvPr>
        <xdr:cNvSpPr txBox="1"/>
      </xdr:nvSpPr>
      <xdr:spPr>
        <a:xfrm>
          <a:off x="228600" y="1476375"/>
          <a:ext cx="12220575" cy="35357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1" i="0">
              <a:solidFill>
                <a:schemeClr val="tx1">
                  <a:lumMod val="75000"/>
                  <a:lumOff val="25000"/>
                </a:schemeClr>
              </a:solidFill>
              <a:effectLst/>
              <a:latin typeface="+mn-lt"/>
              <a:ea typeface="+mn-ea"/>
              <a:cs typeface="+mn-cs"/>
            </a:rPr>
            <a:t>O que é ponto de equilíbrio?</a:t>
          </a:r>
        </a:p>
        <a:p>
          <a:endParaRPr lang="pt-BR" sz="1000" b="1" i="0">
            <a:solidFill>
              <a:schemeClr val="tx1">
                <a:lumMod val="75000"/>
                <a:lumOff val="25000"/>
              </a:schemeClr>
            </a:solidFill>
            <a:effectLst/>
            <a:latin typeface="+mn-lt"/>
            <a:ea typeface="+mn-ea"/>
            <a:cs typeface="+mn-cs"/>
          </a:endParaRPr>
        </a:p>
        <a:p>
          <a:r>
            <a:rPr lang="pt-BR" sz="1000" b="0" i="0">
              <a:solidFill>
                <a:schemeClr val="tx1">
                  <a:lumMod val="75000"/>
                  <a:lumOff val="25000"/>
                </a:schemeClr>
              </a:solidFill>
              <a:effectLst/>
              <a:latin typeface="+mn-lt"/>
              <a:ea typeface="+mn-ea"/>
              <a:cs typeface="+mn-cs"/>
            </a:rPr>
            <a:t>O ponto de equilíbrio é o momento em que o lucro da empresa é zero. Ou seja, todas as entradas de capital são suficientes para cobrir as saídas, sejam impostos, custos ou despesas. É o famoso “zero a zero”.</a:t>
          </a:r>
        </a:p>
        <a:p>
          <a:r>
            <a:rPr lang="pt-BR" sz="1000" b="0" i="0">
              <a:solidFill>
                <a:schemeClr val="tx1">
                  <a:lumMod val="75000"/>
                  <a:lumOff val="25000"/>
                </a:schemeClr>
              </a:solidFill>
              <a:effectLst/>
              <a:latin typeface="+mn-lt"/>
              <a:ea typeface="+mn-ea"/>
              <a:cs typeface="+mn-cs"/>
            </a:rPr>
            <a:t>Descobrir o</a:t>
          </a:r>
          <a:r>
            <a:rPr lang="pt-BR" sz="1000" b="0" i="0" baseline="0">
              <a:solidFill>
                <a:schemeClr val="tx1">
                  <a:lumMod val="75000"/>
                  <a:lumOff val="25000"/>
                </a:schemeClr>
              </a:solidFill>
              <a:effectLst/>
              <a:latin typeface="+mn-lt"/>
              <a:ea typeface="+mn-ea"/>
              <a:cs typeface="+mn-cs"/>
            </a:rPr>
            <a:t> ponto de equilíbrio é muito importante </a:t>
          </a:r>
          <a:r>
            <a:rPr lang="pt-BR" sz="1000" b="0" i="0">
              <a:solidFill>
                <a:schemeClr val="tx1">
                  <a:lumMod val="75000"/>
                  <a:lumOff val="25000"/>
                </a:schemeClr>
              </a:solidFill>
              <a:effectLst/>
              <a:latin typeface="+mn-lt"/>
              <a:ea typeface="+mn-ea"/>
              <a:cs typeface="+mn-cs"/>
            </a:rPr>
            <a:t>e vai te ajudar de diferentes maneiras, mas principalmente, a correr menos riscos nas decisões que tomar estrategicamente. Sem falar, que esse cálculo garante que você faça uma gestão financeira de qualidade, visando objetivos alcançáveis e possíveis para a realidade do seu negócio. </a:t>
          </a:r>
        </a:p>
        <a:p>
          <a:endParaRPr lang="pt-BR" sz="1000" b="0" i="0">
            <a:solidFill>
              <a:schemeClr val="tx1">
                <a:lumMod val="75000"/>
                <a:lumOff val="25000"/>
              </a:schemeClr>
            </a:solidFill>
            <a:effectLst/>
            <a:latin typeface="+mn-lt"/>
            <a:ea typeface="+mn-ea"/>
            <a:cs typeface="+mn-cs"/>
          </a:endParaRPr>
        </a:p>
        <a:p>
          <a:r>
            <a:rPr lang="pt-BR" sz="1000" b="1" i="0">
              <a:solidFill>
                <a:schemeClr val="tx1">
                  <a:lumMod val="75000"/>
                  <a:lumOff val="25000"/>
                </a:schemeClr>
              </a:solidFill>
              <a:effectLst/>
              <a:latin typeface="+mn-lt"/>
              <a:ea typeface="+mn-ea"/>
              <a:cs typeface="+mn-cs"/>
            </a:rPr>
            <a:t>Melhor projeção de vendas</a:t>
          </a:r>
        </a:p>
        <a:p>
          <a:r>
            <a:rPr lang="pt-BR" sz="1000" b="0" i="0">
              <a:solidFill>
                <a:schemeClr val="tx1">
                  <a:lumMod val="75000"/>
                  <a:lumOff val="25000"/>
                </a:schemeClr>
              </a:solidFill>
              <a:effectLst/>
              <a:latin typeface="+mn-lt"/>
              <a:ea typeface="+mn-ea"/>
              <a:cs typeface="+mn-cs"/>
            </a:rPr>
            <a:t>O ponto de equilíbrio vai permitir que a empresa saiba, por exemplo, quanto você deve vender no mês para não ter prejuízos. Assim, é possível mudar de estratégia, criar promoções ou focar em novos métodos de vendas para alcançar o objetivo desejado. </a:t>
          </a:r>
        </a:p>
        <a:p>
          <a:endParaRPr lang="pt-BR" sz="1000" b="0" i="0">
            <a:solidFill>
              <a:schemeClr val="tx1">
                <a:lumMod val="75000"/>
                <a:lumOff val="25000"/>
              </a:schemeClr>
            </a:solidFill>
            <a:effectLst/>
            <a:latin typeface="+mn-lt"/>
            <a:ea typeface="+mn-ea"/>
            <a:cs typeface="+mn-cs"/>
          </a:endParaRPr>
        </a:p>
        <a:p>
          <a:r>
            <a:rPr lang="pt-BR" sz="1000" b="1" i="0">
              <a:solidFill>
                <a:schemeClr val="tx1">
                  <a:lumMod val="75000"/>
                  <a:lumOff val="25000"/>
                </a:schemeClr>
              </a:solidFill>
              <a:effectLst/>
              <a:latin typeface="+mn-lt"/>
              <a:ea typeface="+mn-ea"/>
              <a:cs typeface="+mn-cs"/>
            </a:rPr>
            <a:t>Entender o ticket médio</a:t>
          </a:r>
        </a:p>
        <a:p>
          <a:r>
            <a:rPr lang="pt-BR" sz="1000" b="0" i="0">
              <a:solidFill>
                <a:schemeClr val="tx1">
                  <a:lumMod val="75000"/>
                  <a:lumOff val="25000"/>
                </a:schemeClr>
              </a:solidFill>
              <a:effectLst/>
              <a:latin typeface="+mn-lt"/>
              <a:ea typeface="+mn-ea"/>
              <a:cs typeface="+mn-cs"/>
            </a:rPr>
            <a:t>O ticket médio representa o valor médio gasto pela empresa nos pedidos. Nesse caso, o ponto de equilíbrio consegue apontar se a empresa está gastando mais que deveria para prestar um serviço ou oferecer um produto ao público, podendo buscar alternativas para gastar menos com isso e lucrar mais. </a:t>
          </a:r>
        </a:p>
        <a:p>
          <a:endParaRPr lang="pt-BR" sz="1000" b="0">
            <a:solidFill>
              <a:schemeClr val="tx1">
                <a:lumMod val="75000"/>
                <a:lumOff val="25000"/>
              </a:schemeClr>
            </a:solidFill>
          </a:endParaRPr>
        </a:p>
        <a:p>
          <a:r>
            <a:rPr lang="pt-BR" sz="1000" b="0">
              <a:solidFill>
                <a:schemeClr val="tx1">
                  <a:lumMod val="75000"/>
                  <a:lumOff val="25000"/>
                </a:schemeClr>
              </a:solidFill>
            </a:rPr>
            <a:t>Como calcular</a:t>
          </a:r>
          <a:r>
            <a:rPr lang="pt-BR" sz="1000" b="0" baseline="0">
              <a:solidFill>
                <a:schemeClr val="tx1">
                  <a:lumMod val="75000"/>
                  <a:lumOff val="25000"/>
                </a:schemeClr>
              </a:solidFill>
            </a:rPr>
            <a:t> o ponto de equilíbrio:</a:t>
          </a:r>
        </a:p>
        <a:p>
          <a:endParaRPr lang="pt-BR" sz="1000" b="0">
            <a:solidFill>
              <a:schemeClr val="tx1">
                <a:lumMod val="75000"/>
                <a:lumOff val="25000"/>
              </a:schemeClr>
            </a:solidFill>
          </a:endParaRPr>
        </a:p>
        <a:p>
          <a:r>
            <a:rPr lang="pt-BR" sz="1000" b="0" i="0">
              <a:solidFill>
                <a:schemeClr val="tx1">
                  <a:lumMod val="75000"/>
                  <a:lumOff val="25000"/>
                </a:schemeClr>
              </a:solidFill>
              <a:effectLst/>
              <a:latin typeface="+mn-lt"/>
              <a:ea typeface="+mn-ea"/>
              <a:cs typeface="+mn-cs"/>
            </a:rPr>
            <a:t>- Ponto de equilíbrio contábil: (Custos e despesas fixas) / margem de contribuição unitária.</a:t>
          </a:r>
          <a:br>
            <a:rPr lang="pt-BR" sz="1000" b="0" i="0">
              <a:solidFill>
                <a:schemeClr val="tx1">
                  <a:lumMod val="75000"/>
                  <a:lumOff val="25000"/>
                </a:schemeClr>
              </a:solidFill>
              <a:effectLst/>
              <a:latin typeface="+mn-lt"/>
              <a:ea typeface="+mn-ea"/>
              <a:cs typeface="+mn-cs"/>
            </a:rPr>
          </a:br>
          <a:endParaRPr lang="pt-BR" sz="1000" b="0" i="0">
            <a:solidFill>
              <a:schemeClr val="tx1">
                <a:lumMod val="75000"/>
                <a:lumOff val="25000"/>
              </a:schemeClr>
            </a:solidFill>
            <a:effectLst/>
            <a:latin typeface="+mn-lt"/>
            <a:ea typeface="+mn-ea"/>
            <a:cs typeface="+mn-cs"/>
          </a:endParaRPr>
        </a:p>
        <a:p>
          <a:r>
            <a:rPr lang="pt-BR" sz="1000" b="0" i="0">
              <a:solidFill>
                <a:schemeClr val="tx1">
                  <a:lumMod val="75000"/>
                  <a:lumOff val="25000"/>
                </a:schemeClr>
              </a:solidFill>
              <a:effectLst/>
              <a:latin typeface="+mn-lt"/>
              <a:ea typeface="+mn-ea"/>
              <a:cs typeface="+mn-cs"/>
            </a:rPr>
            <a:t>- Ponto de equilíbrio financeiro: (Custos e</a:t>
          </a:r>
          <a:r>
            <a:rPr lang="pt-BR" sz="1000" b="0" i="0" baseline="0">
              <a:solidFill>
                <a:schemeClr val="tx1">
                  <a:lumMod val="75000"/>
                  <a:lumOff val="25000"/>
                </a:schemeClr>
              </a:solidFill>
              <a:effectLst/>
              <a:latin typeface="+mn-lt"/>
              <a:ea typeface="+mn-ea"/>
              <a:cs typeface="+mn-cs"/>
            </a:rPr>
            <a:t> </a:t>
          </a:r>
          <a:r>
            <a:rPr lang="pt-BR" sz="1000" b="0" i="0">
              <a:solidFill>
                <a:schemeClr val="tx1">
                  <a:lumMod val="75000"/>
                  <a:lumOff val="25000"/>
                </a:schemeClr>
              </a:solidFill>
              <a:effectLst/>
              <a:latin typeface="+mn-lt"/>
              <a:ea typeface="+mn-ea"/>
              <a:cs typeface="+mn-cs"/>
            </a:rPr>
            <a:t>despesas fixas) – (depreciação, amortização e exaustão) / margem de contribuição unitária.</a:t>
          </a:r>
          <a:br>
            <a:rPr lang="pt-BR" sz="1000" b="0" i="0">
              <a:solidFill>
                <a:schemeClr val="tx1">
                  <a:lumMod val="75000"/>
                  <a:lumOff val="25000"/>
                </a:schemeClr>
              </a:solidFill>
              <a:effectLst/>
              <a:latin typeface="+mn-lt"/>
              <a:ea typeface="+mn-ea"/>
              <a:cs typeface="+mn-cs"/>
            </a:rPr>
          </a:br>
          <a:endParaRPr lang="pt-BR" sz="1000" b="0" i="0">
            <a:solidFill>
              <a:schemeClr val="tx1">
                <a:lumMod val="75000"/>
                <a:lumOff val="25000"/>
              </a:schemeClr>
            </a:solidFill>
            <a:effectLst/>
            <a:latin typeface="+mn-lt"/>
            <a:ea typeface="+mn-ea"/>
            <a:cs typeface="+mn-cs"/>
          </a:endParaRPr>
        </a:p>
        <a:p>
          <a:r>
            <a:rPr lang="pt-BR" sz="1000" b="0" i="0">
              <a:solidFill>
                <a:schemeClr val="tx1">
                  <a:lumMod val="75000"/>
                  <a:lumOff val="25000"/>
                </a:schemeClr>
              </a:solidFill>
              <a:effectLst/>
              <a:latin typeface="+mn-lt"/>
              <a:ea typeface="+mn-ea"/>
              <a:cs typeface="+mn-cs"/>
            </a:rPr>
            <a:t>- Ponto de equilíbrio econômico: (Custos e despesas fixas + custo de oportunidade)</a:t>
          </a:r>
          <a:r>
            <a:rPr lang="pt-BR" sz="1000" b="0" i="0" baseline="0">
              <a:solidFill>
                <a:schemeClr val="tx1">
                  <a:lumMod val="75000"/>
                  <a:lumOff val="25000"/>
                </a:schemeClr>
              </a:solidFill>
              <a:effectLst/>
              <a:latin typeface="+mn-lt"/>
              <a:ea typeface="+mn-ea"/>
              <a:cs typeface="+mn-cs"/>
            </a:rPr>
            <a:t> </a:t>
          </a:r>
          <a:r>
            <a:rPr lang="pt-BR" sz="1000" b="0" i="0">
              <a:solidFill>
                <a:schemeClr val="tx1">
                  <a:lumMod val="75000"/>
                  <a:lumOff val="25000"/>
                </a:schemeClr>
              </a:solidFill>
              <a:effectLst/>
              <a:latin typeface="+mn-lt"/>
              <a:ea typeface="+mn-ea"/>
              <a:cs typeface="+mn-cs"/>
            </a:rPr>
            <a:t>/ margem de contribuição unitária.</a:t>
          </a:r>
        </a:p>
        <a:p>
          <a:endParaRPr lang="pt-BR" sz="1000" b="0">
            <a:solidFill>
              <a:schemeClr val="tx1">
                <a:lumMod val="75000"/>
                <a:lumOff val="25000"/>
              </a:schemeClr>
            </a:solidFill>
          </a:endParaRPr>
        </a:p>
      </xdr:txBody>
    </xdr:sp>
    <xdr:clientData/>
  </xdr:oneCellAnchor>
  <xdr:twoCellAnchor>
    <xdr:from>
      <xdr:col>2</xdr:col>
      <xdr:colOff>161925</xdr:colOff>
      <xdr:row>11</xdr:row>
      <xdr:rowOff>390525</xdr:rowOff>
    </xdr:from>
    <xdr:to>
      <xdr:col>2</xdr:col>
      <xdr:colOff>161925</xdr:colOff>
      <xdr:row>14</xdr:row>
      <xdr:rowOff>336075</xdr:rowOff>
    </xdr:to>
    <xdr:cxnSp macro="">
      <xdr:nvCxnSpPr>
        <xdr:cNvPr id="20" name="Conector reto 19">
          <a:extLst>
            <a:ext uri="{FF2B5EF4-FFF2-40B4-BE49-F238E27FC236}">
              <a16:creationId xmlns:a16="http://schemas.microsoft.com/office/drawing/2014/main" id="{00000000-0008-0000-0800-000014000000}"/>
            </a:ext>
          </a:extLst>
        </xdr:cNvPr>
        <xdr:cNvCxnSpPr/>
      </xdr:nvCxnSpPr>
      <xdr:spPr>
        <a:xfrm>
          <a:off x="390525" y="4933950"/>
          <a:ext cx="0" cy="126000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14</xdr:row>
      <xdr:rowOff>333375</xdr:rowOff>
    </xdr:from>
    <xdr:to>
      <xdr:col>3</xdr:col>
      <xdr:colOff>1104675</xdr:colOff>
      <xdr:row>14</xdr:row>
      <xdr:rowOff>333375</xdr:rowOff>
    </xdr:to>
    <xdr:cxnSp macro="">
      <xdr:nvCxnSpPr>
        <xdr:cNvPr id="21" name="Conector reto 20">
          <a:extLst>
            <a:ext uri="{FF2B5EF4-FFF2-40B4-BE49-F238E27FC236}">
              <a16:creationId xmlns:a16="http://schemas.microsoft.com/office/drawing/2014/main" id="{00000000-0008-0000-0800-000015000000}"/>
            </a:ext>
          </a:extLst>
        </xdr:cNvPr>
        <xdr:cNvCxnSpPr/>
      </xdr:nvCxnSpPr>
      <xdr:spPr>
        <a:xfrm>
          <a:off x="381000" y="6191250"/>
          <a:ext cx="1800000"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12</xdr:row>
      <xdr:rowOff>152400</xdr:rowOff>
    </xdr:from>
    <xdr:to>
      <xdr:col>3</xdr:col>
      <xdr:colOff>838200</xdr:colOff>
      <xdr:row>14</xdr:row>
      <xdr:rowOff>323850</xdr:rowOff>
    </xdr:to>
    <xdr:cxnSp macro="">
      <xdr:nvCxnSpPr>
        <xdr:cNvPr id="22" name="Conector reto 21">
          <a:extLst>
            <a:ext uri="{FF2B5EF4-FFF2-40B4-BE49-F238E27FC236}">
              <a16:creationId xmlns:a16="http://schemas.microsoft.com/office/drawing/2014/main" id="{00000000-0008-0000-0800-000016000000}"/>
            </a:ext>
          </a:extLst>
        </xdr:cNvPr>
        <xdr:cNvCxnSpPr/>
      </xdr:nvCxnSpPr>
      <xdr:spPr>
        <a:xfrm flipV="1">
          <a:off x="381000" y="5133975"/>
          <a:ext cx="1533525" cy="10477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13</xdr:row>
      <xdr:rowOff>95250</xdr:rowOff>
    </xdr:from>
    <xdr:to>
      <xdr:col>3</xdr:col>
      <xdr:colOff>286200</xdr:colOff>
      <xdr:row>13</xdr:row>
      <xdr:rowOff>95250</xdr:rowOff>
    </xdr:to>
    <xdr:cxnSp macro="">
      <xdr:nvCxnSpPr>
        <xdr:cNvPr id="28" name="Conector reto 27">
          <a:extLst>
            <a:ext uri="{FF2B5EF4-FFF2-40B4-BE49-F238E27FC236}">
              <a16:creationId xmlns:a16="http://schemas.microsoft.com/office/drawing/2014/main" id="{00000000-0008-0000-0800-00001C000000}"/>
            </a:ext>
          </a:extLst>
        </xdr:cNvPr>
        <xdr:cNvCxnSpPr/>
      </xdr:nvCxnSpPr>
      <xdr:spPr>
        <a:xfrm flipV="1">
          <a:off x="390525" y="5514975"/>
          <a:ext cx="972000" cy="0"/>
        </a:xfrm>
        <a:prstGeom prst="line">
          <a:avLst/>
        </a:prstGeom>
        <a:ln w="9525" cap="flat" cmpd="sng" algn="ctr">
          <a:solidFill>
            <a:schemeClr val="bg1">
              <a:lumMod val="65000"/>
            </a:schemeClr>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257175</xdr:colOff>
      <xdr:row>13</xdr:row>
      <xdr:rowOff>57150</xdr:rowOff>
    </xdr:from>
    <xdr:to>
      <xdr:col>3</xdr:col>
      <xdr:colOff>329175</xdr:colOff>
      <xdr:row>13</xdr:row>
      <xdr:rowOff>129150</xdr:rowOff>
    </xdr:to>
    <xdr:sp macro="" textlink="">
      <xdr:nvSpPr>
        <xdr:cNvPr id="26" name="Elipse 25">
          <a:extLst>
            <a:ext uri="{FF2B5EF4-FFF2-40B4-BE49-F238E27FC236}">
              <a16:creationId xmlns:a16="http://schemas.microsoft.com/office/drawing/2014/main" id="{00000000-0008-0000-0800-00001A000000}"/>
            </a:ext>
          </a:extLst>
        </xdr:cNvPr>
        <xdr:cNvSpPr/>
      </xdr:nvSpPr>
      <xdr:spPr>
        <a:xfrm>
          <a:off x="1333500" y="5476875"/>
          <a:ext cx="72000" cy="72000"/>
        </a:xfrm>
        <a:prstGeom prst="ellipse">
          <a:avLst/>
        </a:prstGeom>
        <a:solidFill>
          <a:srgbClr val="FB5A5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285750</xdr:colOff>
      <xdr:row>13</xdr:row>
      <xdr:rowOff>95250</xdr:rowOff>
    </xdr:from>
    <xdr:to>
      <xdr:col>3</xdr:col>
      <xdr:colOff>285750</xdr:colOff>
      <xdr:row>14</xdr:row>
      <xdr:rowOff>341100</xdr:rowOff>
    </xdr:to>
    <xdr:cxnSp macro="">
      <xdr:nvCxnSpPr>
        <xdr:cNvPr id="29" name="Conector reto 28">
          <a:extLst>
            <a:ext uri="{FF2B5EF4-FFF2-40B4-BE49-F238E27FC236}">
              <a16:creationId xmlns:a16="http://schemas.microsoft.com/office/drawing/2014/main" id="{00000000-0008-0000-0800-00001D000000}"/>
            </a:ext>
          </a:extLst>
        </xdr:cNvPr>
        <xdr:cNvCxnSpPr/>
      </xdr:nvCxnSpPr>
      <xdr:spPr>
        <a:xfrm flipV="1">
          <a:off x="1362075" y="5514975"/>
          <a:ext cx="0" cy="684000"/>
        </a:xfrm>
        <a:prstGeom prst="line">
          <a:avLst/>
        </a:prstGeom>
        <a:ln w="9525" cap="flat" cmpd="sng" algn="ctr">
          <a:solidFill>
            <a:schemeClr val="bg1">
              <a:lumMod val="65000"/>
            </a:schemeClr>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3</xdr:col>
      <xdr:colOff>352425</xdr:colOff>
      <xdr:row>12</xdr:row>
      <xdr:rowOff>400050</xdr:rowOff>
    </xdr:from>
    <xdr:ext cx="1064779" cy="248851"/>
    <xdr:sp macro="" textlink="">
      <xdr:nvSpPr>
        <xdr:cNvPr id="30" name="CaixaDeTexto 29">
          <a:extLst>
            <a:ext uri="{FF2B5EF4-FFF2-40B4-BE49-F238E27FC236}">
              <a16:creationId xmlns:a16="http://schemas.microsoft.com/office/drawing/2014/main" id="{00000000-0008-0000-0800-00001E000000}"/>
            </a:ext>
          </a:extLst>
        </xdr:cNvPr>
        <xdr:cNvSpPr txBox="1"/>
      </xdr:nvSpPr>
      <xdr:spPr>
        <a:xfrm>
          <a:off x="1428750" y="5381625"/>
          <a:ext cx="106477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breakeven Point</a:t>
          </a:r>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337050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171450</xdr:colOff>
      <xdr:row>0</xdr:row>
      <xdr:rowOff>85725</xdr:rowOff>
    </xdr:from>
    <xdr:to>
      <xdr:col>7</xdr:col>
      <xdr:colOff>1251450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1276350</xdr:colOff>
      <xdr:row>0</xdr:row>
      <xdr:rowOff>85725</xdr:rowOff>
    </xdr:from>
    <xdr:to>
      <xdr:col>7</xdr:col>
      <xdr:colOff>2356350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0</xdr:colOff>
      <xdr:row>0</xdr:row>
      <xdr:rowOff>85725</xdr:rowOff>
    </xdr:from>
    <xdr:to>
      <xdr:col>8</xdr:col>
      <xdr:colOff>1080000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361950</xdr:colOff>
      <xdr:row>0</xdr:row>
      <xdr:rowOff>85725</xdr:rowOff>
    </xdr:from>
    <xdr:to>
      <xdr:col>7</xdr:col>
      <xdr:colOff>146550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Despesas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337050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85725</xdr:colOff>
      <xdr:row>0</xdr:row>
      <xdr:rowOff>85725</xdr:rowOff>
    </xdr:from>
    <xdr:to>
      <xdr:col>6</xdr:col>
      <xdr:colOff>1165725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1190625</xdr:colOff>
      <xdr:row>0</xdr:row>
      <xdr:rowOff>85725</xdr:rowOff>
    </xdr:from>
    <xdr:to>
      <xdr:col>7</xdr:col>
      <xdr:colOff>889500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914400</xdr:colOff>
      <xdr:row>0</xdr:row>
      <xdr:rowOff>85725</xdr:rowOff>
    </xdr:from>
    <xdr:to>
      <xdr:col>8</xdr:col>
      <xdr:colOff>609600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828675</xdr:colOff>
      <xdr:row>0</xdr:row>
      <xdr:rowOff>371475</xdr:rowOff>
    </xdr:from>
    <xdr:to>
      <xdr:col>5</xdr:col>
      <xdr:colOff>167550</xdr:colOff>
      <xdr:row>0</xdr:row>
      <xdr:rowOff>388425</xdr:rowOff>
    </xdr:to>
    <xdr:sp macro="" textlink="">
      <xdr:nvSpPr>
        <xdr:cNvPr id="8" name="Retângulo 7">
          <a:extLst>
            <a:ext uri="{FF2B5EF4-FFF2-40B4-BE49-F238E27FC236}">
              <a16:creationId xmlns:a16="http://schemas.microsoft.com/office/drawing/2014/main" id="{00000000-0008-0000-0A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361950</xdr:colOff>
      <xdr:row>0</xdr:row>
      <xdr:rowOff>85725</xdr:rowOff>
    </xdr:from>
    <xdr:to>
      <xdr:col>6</xdr:col>
      <xdr:colOff>60825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A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Produtos</a:t>
          </a:r>
        </a:p>
      </xdr:txBody>
    </xdr:sp>
    <xdr:clientData/>
  </xdr:twoCellAnchor>
  <xdr:twoCellAnchor editAs="absolute">
    <xdr:from>
      <xdr:col>1</xdr:col>
      <xdr:colOff>2804</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A00-00000B000000}"/>
            </a:ext>
          </a:extLst>
        </xdr:cNvPr>
        <xdr:cNvGrpSpPr/>
      </xdr:nvGrpSpPr>
      <xdr:grpSpPr>
        <a:xfrm>
          <a:off x="117104" y="0"/>
          <a:ext cx="899855" cy="428625"/>
          <a:chOff x="142504" y="66675"/>
          <a:chExt cx="903030" cy="534208"/>
        </a:xfrm>
      </xdr:grpSpPr>
      <xdr:sp macro="" textlink="">
        <xdr:nvSpPr>
          <xdr:cNvPr id="12" name="CaixaDeTexto 11">
            <a:extLst>
              <a:ext uri="{FF2B5EF4-FFF2-40B4-BE49-F238E27FC236}">
                <a16:creationId xmlns:a16="http://schemas.microsoft.com/office/drawing/2014/main" id="{00000000-0008-0000-0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1</xdr:col>
      <xdr:colOff>104775</xdr:colOff>
      <xdr:row>2</xdr:row>
      <xdr:rowOff>304800</xdr:rowOff>
    </xdr:from>
    <xdr:to>
      <xdr:col>3</xdr:col>
      <xdr:colOff>1342800</xdr:colOff>
      <xdr:row>2</xdr:row>
      <xdr:rowOff>592800</xdr:rowOff>
    </xdr:to>
    <xdr:sp macro="" textlink="">
      <xdr:nvSpPr>
        <xdr:cNvPr id="18" name="Retângulo 17">
          <a:hlinkClick xmlns:r="http://schemas.openxmlformats.org/officeDocument/2006/relationships" r:id="rId3"/>
          <a:extLst>
            <a:ext uri="{FF2B5EF4-FFF2-40B4-BE49-F238E27FC236}">
              <a16:creationId xmlns:a16="http://schemas.microsoft.com/office/drawing/2014/main" id="{00000000-0008-0000-0A00-000012000000}"/>
            </a:ext>
          </a:extLst>
        </xdr:cNvPr>
        <xdr:cNvSpPr/>
      </xdr:nvSpPr>
      <xdr:spPr>
        <a:xfrm>
          <a:off x="219075" y="1123950"/>
          <a:ext cx="1800000" cy="2880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Cadastro de Produtos</a:t>
          </a:r>
        </a:p>
      </xdr:txBody>
    </xdr:sp>
    <xdr:clientData/>
  </xdr:twoCellAnchor>
  <xdr:twoCellAnchor editAs="absolute">
    <xdr:from>
      <xdr:col>3</xdr:col>
      <xdr:colOff>1359679</xdr:colOff>
      <xdr:row>2</xdr:row>
      <xdr:rowOff>304800</xdr:rowOff>
    </xdr:from>
    <xdr:to>
      <xdr:col>4</xdr:col>
      <xdr:colOff>778429</xdr:colOff>
      <xdr:row>2</xdr:row>
      <xdr:rowOff>592800</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0A00-000013000000}"/>
            </a:ext>
          </a:extLst>
        </xdr:cNvPr>
        <xdr:cNvSpPr/>
      </xdr:nvSpPr>
      <xdr:spPr>
        <a:xfrm>
          <a:off x="2035954"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Detalhamento do Produto</a:t>
          </a:r>
        </a:p>
      </xdr:txBody>
    </xdr:sp>
    <xdr:clientData/>
  </xdr:twoCellAnchor>
  <xdr:twoCellAnchor editAs="absolute">
    <xdr:from>
      <xdr:col>4</xdr:col>
      <xdr:colOff>797704</xdr:colOff>
      <xdr:row>2</xdr:row>
      <xdr:rowOff>304800</xdr:rowOff>
    </xdr:from>
    <xdr:to>
      <xdr:col>5</xdr:col>
      <xdr:colOff>1216579</xdr:colOff>
      <xdr:row>2</xdr:row>
      <xdr:rowOff>592800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A00-000014000000}"/>
            </a:ext>
          </a:extLst>
        </xdr:cNvPr>
        <xdr:cNvSpPr/>
      </xdr:nvSpPr>
      <xdr:spPr>
        <a:xfrm>
          <a:off x="3855229"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Projeção</a:t>
          </a:r>
          <a:r>
            <a:rPr lang="pt-BR" sz="1000" baseline="0">
              <a:solidFill>
                <a:schemeClr val="tx1"/>
              </a:solidFill>
            </a:rPr>
            <a:t> de Vendas</a:t>
          </a:r>
          <a:endParaRPr lang="pt-BR" sz="1000">
            <a:solidFill>
              <a:schemeClr val="tx1"/>
            </a:solidFill>
          </a:endParaRPr>
        </a:p>
      </xdr:txBody>
    </xdr:sp>
    <xdr:clientData/>
  </xdr:twoCellAnchor>
  <xdr:twoCellAnchor editAs="absolute">
    <xdr:from>
      <xdr:col>1</xdr:col>
      <xdr:colOff>104775</xdr:colOff>
      <xdr:row>2</xdr:row>
      <xdr:rowOff>628650</xdr:rowOff>
    </xdr:from>
    <xdr:to>
      <xdr:col>5</xdr:col>
      <xdr:colOff>1216425</xdr:colOff>
      <xdr:row>2</xdr:row>
      <xdr:rowOff>628650</xdr:rowOff>
    </xdr:to>
    <xdr:cxnSp macro="">
      <xdr:nvCxnSpPr>
        <xdr:cNvPr id="22" name="Conector reto 21">
          <a:extLst>
            <a:ext uri="{FF2B5EF4-FFF2-40B4-BE49-F238E27FC236}">
              <a16:creationId xmlns:a16="http://schemas.microsoft.com/office/drawing/2014/main" id="{00000000-0008-0000-0A00-000016000000}"/>
            </a:ext>
          </a:extLst>
        </xdr:cNvPr>
        <xdr:cNvCxnSpPr/>
      </xdr:nvCxnSpPr>
      <xdr:spPr>
        <a:xfrm>
          <a:off x="219075" y="1447800"/>
          <a:ext cx="543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9525</xdr:colOff>
      <xdr:row>2</xdr:row>
      <xdr:rowOff>523875</xdr:rowOff>
    </xdr:from>
    <xdr:to>
      <xdr:col>8</xdr:col>
      <xdr:colOff>189525</xdr:colOff>
      <xdr:row>2</xdr:row>
      <xdr:rowOff>595875</xdr:rowOff>
    </xdr:to>
    <xdr:sp macro="" textlink="">
      <xdr:nvSpPr>
        <xdr:cNvPr id="23" name="Triângulo isósceles 22">
          <a:extLst>
            <a:ext uri="{FF2B5EF4-FFF2-40B4-BE49-F238E27FC236}">
              <a16:creationId xmlns:a16="http://schemas.microsoft.com/office/drawing/2014/main" id="{00000000-0008-0000-0A00-000017000000}"/>
            </a:ext>
          </a:extLst>
        </xdr:cNvPr>
        <xdr:cNvSpPr/>
      </xdr:nvSpPr>
      <xdr:spPr>
        <a:xfrm>
          <a:off x="8591550" y="1343025"/>
          <a:ext cx="180000" cy="72000"/>
        </a:xfrm>
        <a:prstGeom prst="triangle">
          <a:avLst/>
        </a:prstGeom>
        <a:solidFill>
          <a:srgbClr val="3399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tx1"/>
            </a:solidFill>
          </a:endParaRPr>
        </a:p>
      </xdr:txBody>
    </xdr:sp>
    <xdr:clientData/>
  </xdr:twoCellAnchor>
  <xdr:twoCellAnchor editAs="absolute">
    <xdr:from>
      <xdr:col>8</xdr:col>
      <xdr:colOff>190500</xdr:colOff>
      <xdr:row>2</xdr:row>
      <xdr:rowOff>361950</xdr:rowOff>
    </xdr:from>
    <xdr:to>
      <xdr:col>9</xdr:col>
      <xdr:colOff>1714850</xdr:colOff>
      <xdr:row>2</xdr:row>
      <xdr:rowOff>767317</xdr:rowOff>
    </xdr:to>
    <xdr:sp macro="" textlink="">
      <xdr:nvSpPr>
        <xdr:cNvPr id="24" name="CaixaDeTexto 23">
          <a:extLst>
            <a:ext uri="{FF2B5EF4-FFF2-40B4-BE49-F238E27FC236}">
              <a16:creationId xmlns:a16="http://schemas.microsoft.com/office/drawing/2014/main" id="{00000000-0008-0000-0A00-000018000000}"/>
            </a:ext>
          </a:extLst>
        </xdr:cNvPr>
        <xdr:cNvSpPr txBox="1"/>
      </xdr:nvSpPr>
      <xdr:spPr>
        <a:xfrm>
          <a:off x="8772525" y="1181100"/>
          <a:ext cx="290547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339966"/>
              </a:solidFill>
            </a:rPr>
            <a:t>Os produtos com o indicador</a:t>
          </a:r>
          <a:r>
            <a:rPr lang="pt-BR" sz="1000" baseline="0">
              <a:solidFill>
                <a:srgbClr val="339966"/>
              </a:solidFill>
            </a:rPr>
            <a:t> verde, são os que mais</a:t>
          </a:r>
        </a:p>
        <a:p>
          <a:r>
            <a:rPr lang="pt-BR" sz="1000" baseline="0">
              <a:solidFill>
                <a:srgbClr val="339966"/>
              </a:solidFill>
            </a:rPr>
            <a:t>contribuiem com seu lucro.</a:t>
          </a:r>
          <a:endParaRPr lang="pt-BR" sz="1000">
            <a:solidFill>
              <a:srgbClr val="339966"/>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670425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419100</xdr:colOff>
      <xdr:row>0</xdr:row>
      <xdr:rowOff>85725</xdr:rowOff>
    </xdr:from>
    <xdr:to>
      <xdr:col>7</xdr:col>
      <xdr:colOff>117975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142875</xdr:colOff>
      <xdr:row>0</xdr:row>
      <xdr:rowOff>85725</xdr:rowOff>
    </xdr:from>
    <xdr:to>
      <xdr:col>7</xdr:col>
      <xdr:colOff>1222875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1247775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828675</xdr:colOff>
      <xdr:row>0</xdr:row>
      <xdr:rowOff>371475</xdr:rowOff>
    </xdr:from>
    <xdr:to>
      <xdr:col>5</xdr:col>
      <xdr:colOff>500925</xdr:colOff>
      <xdr:row>0</xdr:row>
      <xdr:rowOff>388425</xdr:rowOff>
    </xdr:to>
    <xdr:sp macro="" textlink="">
      <xdr:nvSpPr>
        <xdr:cNvPr id="8" name="Retângulo 7">
          <a:extLst>
            <a:ext uri="{FF2B5EF4-FFF2-40B4-BE49-F238E27FC236}">
              <a16:creationId xmlns:a16="http://schemas.microsoft.com/office/drawing/2014/main" id="{00000000-0008-0000-0B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695325</xdr:colOff>
      <xdr:row>0</xdr:row>
      <xdr:rowOff>85725</xdr:rowOff>
    </xdr:from>
    <xdr:to>
      <xdr:col>6</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B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Produtos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1</xdr:col>
      <xdr:colOff>104775</xdr:colOff>
      <xdr:row>2</xdr:row>
      <xdr:rowOff>304800</xdr:rowOff>
    </xdr:from>
    <xdr:to>
      <xdr:col>3</xdr:col>
      <xdr:colOff>1342800</xdr:colOff>
      <xdr:row>2</xdr:row>
      <xdr:rowOff>592800</xdr:rowOff>
    </xdr:to>
    <xdr:sp macro="" textlink="">
      <xdr:nvSpPr>
        <xdr:cNvPr id="18" name="Retângulo 17">
          <a:hlinkClick xmlns:r="http://schemas.openxmlformats.org/officeDocument/2006/relationships" r:id="rId3"/>
          <a:extLst>
            <a:ext uri="{FF2B5EF4-FFF2-40B4-BE49-F238E27FC236}">
              <a16:creationId xmlns:a16="http://schemas.microsoft.com/office/drawing/2014/main" id="{00000000-0008-0000-0B00-000012000000}"/>
            </a:ext>
          </a:extLst>
        </xdr:cNvPr>
        <xdr:cNvSpPr/>
      </xdr:nvSpPr>
      <xdr:spPr>
        <a:xfrm>
          <a:off x="219075"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Cadastro de Produtos</a:t>
          </a:r>
        </a:p>
      </xdr:txBody>
    </xdr:sp>
    <xdr:clientData/>
  </xdr:twoCellAnchor>
  <xdr:twoCellAnchor editAs="absolute">
    <xdr:from>
      <xdr:col>3</xdr:col>
      <xdr:colOff>1359679</xdr:colOff>
      <xdr:row>2</xdr:row>
      <xdr:rowOff>304800</xdr:rowOff>
    </xdr:from>
    <xdr:to>
      <xdr:col>4</xdr:col>
      <xdr:colOff>778429</xdr:colOff>
      <xdr:row>2</xdr:row>
      <xdr:rowOff>592800</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0B00-000013000000}"/>
            </a:ext>
          </a:extLst>
        </xdr:cNvPr>
        <xdr:cNvSpPr/>
      </xdr:nvSpPr>
      <xdr:spPr>
        <a:xfrm>
          <a:off x="2035954" y="1123950"/>
          <a:ext cx="1800000" cy="2880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Detalhamento do Produto</a:t>
          </a:r>
        </a:p>
      </xdr:txBody>
    </xdr:sp>
    <xdr:clientData/>
  </xdr:twoCellAnchor>
  <xdr:twoCellAnchor editAs="absolute">
    <xdr:from>
      <xdr:col>4</xdr:col>
      <xdr:colOff>797704</xdr:colOff>
      <xdr:row>2</xdr:row>
      <xdr:rowOff>304800</xdr:rowOff>
    </xdr:from>
    <xdr:to>
      <xdr:col>6</xdr:col>
      <xdr:colOff>168829</xdr:colOff>
      <xdr:row>2</xdr:row>
      <xdr:rowOff>592800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B00-000014000000}"/>
            </a:ext>
          </a:extLst>
        </xdr:cNvPr>
        <xdr:cNvSpPr/>
      </xdr:nvSpPr>
      <xdr:spPr>
        <a:xfrm>
          <a:off x="3855229"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Projeção</a:t>
          </a:r>
          <a:r>
            <a:rPr lang="pt-BR" sz="1000" baseline="0">
              <a:solidFill>
                <a:schemeClr val="tx1"/>
              </a:solidFill>
            </a:rPr>
            <a:t> de Vendas</a:t>
          </a:r>
          <a:endParaRPr lang="pt-BR" sz="1000">
            <a:solidFill>
              <a:schemeClr val="tx1"/>
            </a:solidFill>
          </a:endParaRPr>
        </a:p>
      </xdr:txBody>
    </xdr:sp>
    <xdr:clientData/>
  </xdr:twoCellAnchor>
  <xdr:twoCellAnchor editAs="absolute">
    <xdr:from>
      <xdr:col>1</xdr:col>
      <xdr:colOff>104775</xdr:colOff>
      <xdr:row>2</xdr:row>
      <xdr:rowOff>628650</xdr:rowOff>
    </xdr:from>
    <xdr:to>
      <xdr:col>6</xdr:col>
      <xdr:colOff>168675</xdr:colOff>
      <xdr:row>2</xdr:row>
      <xdr:rowOff>628650</xdr:rowOff>
    </xdr:to>
    <xdr:cxnSp macro="">
      <xdr:nvCxnSpPr>
        <xdr:cNvPr id="21" name="Conector reto 20">
          <a:extLst>
            <a:ext uri="{FF2B5EF4-FFF2-40B4-BE49-F238E27FC236}">
              <a16:creationId xmlns:a16="http://schemas.microsoft.com/office/drawing/2014/main" id="{00000000-0008-0000-0B00-000015000000}"/>
            </a:ext>
          </a:extLst>
        </xdr:cNvPr>
        <xdr:cNvCxnSpPr/>
      </xdr:nvCxnSpPr>
      <xdr:spPr>
        <a:xfrm>
          <a:off x="219075" y="1447800"/>
          <a:ext cx="543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1304925</xdr:colOff>
      <xdr:row>0</xdr:row>
      <xdr:rowOff>85725</xdr:rowOff>
    </xdr:from>
    <xdr:to>
      <xdr:col>5</xdr:col>
      <xdr:colOff>1003800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752475</xdr:colOff>
      <xdr:row>0</xdr:row>
      <xdr:rowOff>85725</xdr:rowOff>
    </xdr:from>
    <xdr:to>
      <xdr:col>8</xdr:col>
      <xdr:colOff>451350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8</xdr:col>
      <xdr:colOff>476250</xdr:colOff>
      <xdr:row>0</xdr:row>
      <xdr:rowOff>85725</xdr:rowOff>
    </xdr:from>
    <xdr:to>
      <xdr:col>10</xdr:col>
      <xdr:colOff>127500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152400</xdr:colOff>
      <xdr:row>0</xdr:row>
      <xdr:rowOff>85725</xdr:rowOff>
    </xdr:from>
    <xdr:to>
      <xdr:col>12</xdr:col>
      <xdr:colOff>13200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114300</xdr:colOff>
      <xdr:row>0</xdr:row>
      <xdr:rowOff>371475</xdr:rowOff>
    </xdr:from>
    <xdr:to>
      <xdr:col>5</xdr:col>
      <xdr:colOff>834300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1028700</xdr:colOff>
      <xdr:row>0</xdr:row>
      <xdr:rowOff>85725</xdr:rowOff>
    </xdr:from>
    <xdr:to>
      <xdr:col>6</xdr:col>
      <xdr:colOff>727575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C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Produtos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1</xdr:col>
      <xdr:colOff>104775</xdr:colOff>
      <xdr:row>2</xdr:row>
      <xdr:rowOff>304800</xdr:rowOff>
    </xdr:from>
    <xdr:to>
      <xdr:col>3</xdr:col>
      <xdr:colOff>1342800</xdr:colOff>
      <xdr:row>2</xdr:row>
      <xdr:rowOff>592800</xdr:rowOff>
    </xdr:to>
    <xdr:sp macro="" textlink="">
      <xdr:nvSpPr>
        <xdr:cNvPr id="18" name="Retângulo 17">
          <a:hlinkClick xmlns:r="http://schemas.openxmlformats.org/officeDocument/2006/relationships" r:id="rId3"/>
          <a:extLst>
            <a:ext uri="{FF2B5EF4-FFF2-40B4-BE49-F238E27FC236}">
              <a16:creationId xmlns:a16="http://schemas.microsoft.com/office/drawing/2014/main" id="{00000000-0008-0000-0C00-000012000000}"/>
            </a:ext>
          </a:extLst>
        </xdr:cNvPr>
        <xdr:cNvSpPr/>
      </xdr:nvSpPr>
      <xdr:spPr>
        <a:xfrm>
          <a:off x="219075"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Cadastro de Produtos</a:t>
          </a:r>
        </a:p>
      </xdr:txBody>
    </xdr:sp>
    <xdr:clientData/>
  </xdr:twoCellAnchor>
  <xdr:twoCellAnchor editAs="absolute">
    <xdr:from>
      <xdr:col>3</xdr:col>
      <xdr:colOff>1359679</xdr:colOff>
      <xdr:row>2</xdr:row>
      <xdr:rowOff>304800</xdr:rowOff>
    </xdr:from>
    <xdr:to>
      <xdr:col>5</xdr:col>
      <xdr:colOff>64054</xdr:colOff>
      <xdr:row>2</xdr:row>
      <xdr:rowOff>592800</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0C00-000013000000}"/>
            </a:ext>
          </a:extLst>
        </xdr:cNvPr>
        <xdr:cNvSpPr/>
      </xdr:nvSpPr>
      <xdr:spPr>
        <a:xfrm>
          <a:off x="2035954" y="1123950"/>
          <a:ext cx="1800000" cy="2880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Detalhamento do Produto</a:t>
          </a:r>
        </a:p>
      </xdr:txBody>
    </xdr:sp>
    <xdr:clientData/>
  </xdr:twoCellAnchor>
  <xdr:twoCellAnchor editAs="absolute">
    <xdr:from>
      <xdr:col>5</xdr:col>
      <xdr:colOff>83329</xdr:colOff>
      <xdr:row>2</xdr:row>
      <xdr:rowOff>304800</xdr:rowOff>
    </xdr:from>
    <xdr:to>
      <xdr:col>6</xdr:col>
      <xdr:colOff>502204</xdr:colOff>
      <xdr:row>2</xdr:row>
      <xdr:rowOff>592800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C00-000014000000}"/>
            </a:ext>
          </a:extLst>
        </xdr:cNvPr>
        <xdr:cNvSpPr/>
      </xdr:nvSpPr>
      <xdr:spPr>
        <a:xfrm>
          <a:off x="3855229" y="1123950"/>
          <a:ext cx="1800000" cy="2880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Projeção</a:t>
          </a:r>
          <a:r>
            <a:rPr lang="pt-BR" sz="1000" baseline="0">
              <a:solidFill>
                <a:schemeClr val="bg1"/>
              </a:solidFill>
            </a:rPr>
            <a:t> de Vendas</a:t>
          </a:r>
          <a:endParaRPr lang="pt-BR" sz="1000">
            <a:solidFill>
              <a:schemeClr val="bg1"/>
            </a:solidFill>
          </a:endParaRPr>
        </a:p>
      </xdr:txBody>
    </xdr:sp>
    <xdr:clientData/>
  </xdr:twoCellAnchor>
  <xdr:twoCellAnchor editAs="absolute">
    <xdr:from>
      <xdr:col>1</xdr:col>
      <xdr:colOff>104775</xdr:colOff>
      <xdr:row>2</xdr:row>
      <xdr:rowOff>628650</xdr:rowOff>
    </xdr:from>
    <xdr:to>
      <xdr:col>6</xdr:col>
      <xdr:colOff>502050</xdr:colOff>
      <xdr:row>2</xdr:row>
      <xdr:rowOff>628650</xdr:rowOff>
    </xdr:to>
    <xdr:cxnSp macro="">
      <xdr:nvCxnSpPr>
        <xdr:cNvPr id="21" name="Conector reto 20">
          <a:extLst>
            <a:ext uri="{FF2B5EF4-FFF2-40B4-BE49-F238E27FC236}">
              <a16:creationId xmlns:a16="http://schemas.microsoft.com/office/drawing/2014/main" id="{00000000-0008-0000-0C00-000015000000}"/>
            </a:ext>
          </a:extLst>
        </xdr:cNvPr>
        <xdr:cNvCxnSpPr/>
      </xdr:nvCxnSpPr>
      <xdr:spPr>
        <a:xfrm>
          <a:off x="219075" y="1447800"/>
          <a:ext cx="543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337050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85725</xdr:colOff>
      <xdr:row>0</xdr:row>
      <xdr:rowOff>85725</xdr:rowOff>
    </xdr:from>
    <xdr:to>
      <xdr:col>6</xdr:col>
      <xdr:colOff>1165725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1190625</xdr:colOff>
      <xdr:row>0</xdr:row>
      <xdr:rowOff>85725</xdr:rowOff>
    </xdr:from>
    <xdr:to>
      <xdr:col>7</xdr:col>
      <xdr:colOff>889500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914400</xdr:colOff>
      <xdr:row>0</xdr:row>
      <xdr:rowOff>85725</xdr:rowOff>
    </xdr:from>
    <xdr:to>
      <xdr:col>8</xdr:col>
      <xdr:colOff>613275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552450</xdr:colOff>
      <xdr:row>0</xdr:row>
      <xdr:rowOff>371475</xdr:rowOff>
    </xdr:from>
    <xdr:to>
      <xdr:col>5</xdr:col>
      <xdr:colOff>1272450</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361950</xdr:colOff>
      <xdr:row>0</xdr:row>
      <xdr:rowOff>85725</xdr:rowOff>
    </xdr:from>
    <xdr:to>
      <xdr:col>6</xdr:col>
      <xdr:colOff>60825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7</xdr:col>
      <xdr:colOff>1019175</xdr:colOff>
      <xdr:row>2</xdr:row>
      <xdr:rowOff>66675</xdr:rowOff>
    </xdr:from>
    <xdr:ext cx="1730282" cy="248851"/>
    <xdr:sp macro="" textlink="">
      <xdr:nvSpPr>
        <xdr:cNvPr id="17" name="CaixaDeTexto 16">
          <a:extLst>
            <a:ext uri="{FF2B5EF4-FFF2-40B4-BE49-F238E27FC236}">
              <a16:creationId xmlns:a16="http://schemas.microsoft.com/office/drawing/2014/main" id="{00000000-0008-0000-0D00-000011000000}"/>
            </a:ext>
          </a:extLst>
        </xdr:cNvPr>
        <xdr:cNvSpPr txBox="1"/>
      </xdr:nvSpPr>
      <xdr:spPr>
        <a:xfrm>
          <a:off x="8220075" y="885825"/>
          <a:ext cx="173028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Aperte CTRL+P para</a:t>
          </a:r>
          <a:r>
            <a:rPr lang="pt-BR" sz="1000" baseline="0">
              <a:solidFill>
                <a:srgbClr val="FB5A56"/>
              </a:solidFill>
            </a:rPr>
            <a:t> </a:t>
          </a:r>
          <a:r>
            <a:rPr lang="pt-BR" sz="1000">
              <a:solidFill>
                <a:srgbClr val="FB5A56"/>
              </a:solidFill>
            </a:rPr>
            <a:t>imprimir.</a:t>
          </a: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60825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85725</xdr:colOff>
      <xdr:row>0</xdr:row>
      <xdr:rowOff>85725</xdr:rowOff>
    </xdr:from>
    <xdr:to>
      <xdr:col>3</xdr:col>
      <xdr:colOff>1165725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3</xdr:col>
      <xdr:colOff>2295525</xdr:colOff>
      <xdr:row>0</xdr:row>
      <xdr:rowOff>85725</xdr:rowOff>
    </xdr:from>
    <xdr:to>
      <xdr:col>5</xdr:col>
      <xdr:colOff>613275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638175</xdr:colOff>
      <xdr:row>0</xdr:row>
      <xdr:rowOff>85725</xdr:rowOff>
    </xdr:from>
    <xdr:to>
      <xdr:col>5</xdr:col>
      <xdr:colOff>1718175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1743075</xdr:colOff>
      <xdr:row>0</xdr:row>
      <xdr:rowOff>85725</xdr:rowOff>
    </xdr:from>
    <xdr:to>
      <xdr:col>5</xdr:col>
      <xdr:colOff>2823075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95250</xdr:colOff>
      <xdr:row>0</xdr:row>
      <xdr:rowOff>371475</xdr:rowOff>
    </xdr:from>
    <xdr:to>
      <xdr:col>5</xdr:col>
      <xdr:colOff>434250</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1190625</xdr:colOff>
      <xdr:row>0</xdr:row>
      <xdr:rowOff>85725</xdr:rowOff>
    </xdr:from>
    <xdr:to>
      <xdr:col>3</xdr:col>
      <xdr:colOff>2270625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Geral</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2</xdr:col>
      <xdr:colOff>2918325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0E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Por Produto</a:t>
          </a:r>
        </a:p>
      </xdr:txBody>
    </xdr:sp>
    <xdr:clientData/>
  </xdr:twoCellAnchor>
  <xdr:twoCellAnchor editAs="absolute">
    <xdr:from>
      <xdr:col>2</xdr:col>
      <xdr:colOff>2933700</xdr:colOff>
      <xdr:row>1</xdr:row>
      <xdr:rowOff>142875</xdr:rowOff>
    </xdr:from>
    <xdr:to>
      <xdr:col>3</xdr:col>
      <xdr:colOff>632325</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0E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6</xdr:col>
      <xdr:colOff>1533525</xdr:colOff>
      <xdr:row>4</xdr:row>
      <xdr:rowOff>257175</xdr:rowOff>
    </xdr:from>
    <xdr:ext cx="659027" cy="248851"/>
    <xdr:sp macro="" textlink="">
      <xdr:nvSpPr>
        <xdr:cNvPr id="20" name="CaixaDeTexto 19">
          <a:extLst>
            <a:ext uri="{FF2B5EF4-FFF2-40B4-BE49-F238E27FC236}">
              <a16:creationId xmlns:a16="http://schemas.microsoft.com/office/drawing/2014/main" id="{00000000-0008-0000-0E00-000014000000}"/>
            </a:ext>
          </a:extLst>
        </xdr:cNvPr>
        <xdr:cNvSpPr txBox="1"/>
      </xdr:nvSpPr>
      <xdr:spPr>
        <a:xfrm>
          <a:off x="11287125" y="1733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xdr:oneCellAnchor>
    <xdr:from>
      <xdr:col>6</xdr:col>
      <xdr:colOff>1533525</xdr:colOff>
      <xdr:row>6</xdr:row>
      <xdr:rowOff>257175</xdr:rowOff>
    </xdr:from>
    <xdr:ext cx="659027" cy="248851"/>
    <xdr:sp macro="" textlink="">
      <xdr:nvSpPr>
        <xdr:cNvPr id="21" name="CaixaDeTexto 20">
          <a:extLst>
            <a:ext uri="{FF2B5EF4-FFF2-40B4-BE49-F238E27FC236}">
              <a16:creationId xmlns:a16="http://schemas.microsoft.com/office/drawing/2014/main" id="{00000000-0008-0000-0E00-000015000000}"/>
            </a:ext>
          </a:extLst>
        </xdr:cNvPr>
        <xdr:cNvSpPr txBox="1"/>
      </xdr:nvSpPr>
      <xdr:spPr>
        <a:xfrm>
          <a:off x="11287125" y="1733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xdr:oneCellAnchor>
    <xdr:from>
      <xdr:col>6</xdr:col>
      <xdr:colOff>1533525</xdr:colOff>
      <xdr:row>8</xdr:row>
      <xdr:rowOff>257175</xdr:rowOff>
    </xdr:from>
    <xdr:ext cx="659027" cy="248851"/>
    <xdr:sp macro="" textlink="">
      <xdr:nvSpPr>
        <xdr:cNvPr id="22" name="CaixaDeTexto 21">
          <a:extLst>
            <a:ext uri="{FF2B5EF4-FFF2-40B4-BE49-F238E27FC236}">
              <a16:creationId xmlns:a16="http://schemas.microsoft.com/office/drawing/2014/main" id="{00000000-0008-0000-0E00-000016000000}"/>
            </a:ext>
          </a:extLst>
        </xdr:cNvPr>
        <xdr:cNvSpPr txBox="1"/>
      </xdr:nvSpPr>
      <xdr:spPr>
        <a:xfrm>
          <a:off x="11287125" y="1733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xdr:oneCellAnchor>
    <xdr:from>
      <xdr:col>6</xdr:col>
      <xdr:colOff>628650</xdr:colOff>
      <xdr:row>2</xdr:row>
      <xdr:rowOff>66675</xdr:rowOff>
    </xdr:from>
    <xdr:ext cx="1730282" cy="248851"/>
    <xdr:sp macro="" textlink="">
      <xdr:nvSpPr>
        <xdr:cNvPr id="23" name="CaixaDeTexto 22">
          <a:extLst>
            <a:ext uri="{FF2B5EF4-FFF2-40B4-BE49-F238E27FC236}">
              <a16:creationId xmlns:a16="http://schemas.microsoft.com/office/drawing/2014/main" id="{00000000-0008-0000-0E00-000017000000}"/>
            </a:ext>
          </a:extLst>
        </xdr:cNvPr>
        <xdr:cNvSpPr txBox="1"/>
      </xdr:nvSpPr>
      <xdr:spPr>
        <a:xfrm>
          <a:off x="10382250" y="885825"/>
          <a:ext cx="173028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Aperte CTRL+P para</a:t>
          </a:r>
          <a:r>
            <a:rPr lang="pt-BR" sz="1000" baseline="0">
              <a:solidFill>
                <a:srgbClr val="FB5A56"/>
              </a:solidFill>
            </a:rPr>
            <a:t> </a:t>
          </a:r>
          <a:r>
            <a:rPr lang="pt-BR" sz="1000">
              <a:solidFill>
                <a:srgbClr val="FB5A56"/>
              </a:solidFill>
            </a:rPr>
            <a:t>imprimir.</a:t>
          </a: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60825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85725</xdr:colOff>
      <xdr:row>0</xdr:row>
      <xdr:rowOff>85725</xdr:rowOff>
    </xdr:from>
    <xdr:to>
      <xdr:col>3</xdr:col>
      <xdr:colOff>1165725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3</xdr:col>
      <xdr:colOff>2295525</xdr:colOff>
      <xdr:row>0</xdr:row>
      <xdr:rowOff>85725</xdr:rowOff>
    </xdr:from>
    <xdr:to>
      <xdr:col>5</xdr:col>
      <xdr:colOff>613275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638175</xdr:colOff>
      <xdr:row>0</xdr:row>
      <xdr:rowOff>85725</xdr:rowOff>
    </xdr:from>
    <xdr:to>
      <xdr:col>5</xdr:col>
      <xdr:colOff>1718175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1743075</xdr:colOff>
      <xdr:row>0</xdr:row>
      <xdr:rowOff>85725</xdr:rowOff>
    </xdr:from>
    <xdr:to>
      <xdr:col>5</xdr:col>
      <xdr:colOff>2823075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95250</xdr:colOff>
      <xdr:row>0</xdr:row>
      <xdr:rowOff>371475</xdr:rowOff>
    </xdr:from>
    <xdr:to>
      <xdr:col>5</xdr:col>
      <xdr:colOff>434250</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1190625</xdr:colOff>
      <xdr:row>0</xdr:row>
      <xdr:rowOff>85725</xdr:rowOff>
    </xdr:from>
    <xdr:to>
      <xdr:col>3</xdr:col>
      <xdr:colOff>2270625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8" name="Retângulo 17">
          <a:hlinkClick xmlns:r="http://schemas.openxmlformats.org/officeDocument/2006/relationships" r:id="rId4"/>
          <a:extLst>
            <a:ext uri="{FF2B5EF4-FFF2-40B4-BE49-F238E27FC236}">
              <a16:creationId xmlns:a16="http://schemas.microsoft.com/office/drawing/2014/main" id="{00000000-0008-0000-0F00-000012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Geral</a:t>
          </a:r>
        </a:p>
      </xdr:txBody>
    </xdr:sp>
    <xdr:clientData/>
  </xdr:twoCellAnchor>
  <xdr:twoCellAnchor editAs="absolute">
    <xdr:from>
      <xdr:col>2</xdr:col>
      <xdr:colOff>1838325</xdr:colOff>
      <xdr:row>1</xdr:row>
      <xdr:rowOff>142875</xdr:rowOff>
    </xdr:from>
    <xdr:to>
      <xdr:col>2</xdr:col>
      <xdr:colOff>2918325</xdr:colOff>
      <xdr:row>2</xdr:row>
      <xdr:rowOff>13875</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0F00-000013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Por Produto</a:t>
          </a:r>
        </a:p>
      </xdr:txBody>
    </xdr:sp>
    <xdr:clientData/>
  </xdr:twoCellAnchor>
  <xdr:twoCellAnchor editAs="absolute">
    <xdr:from>
      <xdr:col>2</xdr:col>
      <xdr:colOff>2933700</xdr:colOff>
      <xdr:row>1</xdr:row>
      <xdr:rowOff>142875</xdr:rowOff>
    </xdr:from>
    <xdr:to>
      <xdr:col>3</xdr:col>
      <xdr:colOff>632325</xdr:colOff>
      <xdr:row>2</xdr:row>
      <xdr:rowOff>13875</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F00-000014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6</xdr:col>
      <xdr:colOff>1533525</xdr:colOff>
      <xdr:row>4</xdr:row>
      <xdr:rowOff>257175</xdr:rowOff>
    </xdr:from>
    <xdr:ext cx="659027" cy="248851"/>
    <xdr:sp macro="" textlink="">
      <xdr:nvSpPr>
        <xdr:cNvPr id="10" name="CaixaDeTexto 9">
          <a:extLst>
            <a:ext uri="{FF2B5EF4-FFF2-40B4-BE49-F238E27FC236}">
              <a16:creationId xmlns:a16="http://schemas.microsoft.com/office/drawing/2014/main" id="{00000000-0008-0000-0F00-00000A000000}"/>
            </a:ext>
          </a:extLst>
        </xdr:cNvPr>
        <xdr:cNvSpPr txBox="1"/>
      </xdr:nvSpPr>
      <xdr:spPr>
        <a:xfrm>
          <a:off x="11287125" y="1733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xdr:oneCellAnchor>
    <xdr:from>
      <xdr:col>6</xdr:col>
      <xdr:colOff>1533525</xdr:colOff>
      <xdr:row>6</xdr:row>
      <xdr:rowOff>257175</xdr:rowOff>
    </xdr:from>
    <xdr:ext cx="659027" cy="248851"/>
    <xdr:sp macro="" textlink="">
      <xdr:nvSpPr>
        <xdr:cNvPr id="16" name="CaixaDeTexto 15">
          <a:extLst>
            <a:ext uri="{FF2B5EF4-FFF2-40B4-BE49-F238E27FC236}">
              <a16:creationId xmlns:a16="http://schemas.microsoft.com/office/drawing/2014/main" id="{00000000-0008-0000-0F00-000010000000}"/>
            </a:ext>
          </a:extLst>
        </xdr:cNvPr>
        <xdr:cNvSpPr txBox="1"/>
      </xdr:nvSpPr>
      <xdr:spPr>
        <a:xfrm>
          <a:off x="11287125" y="3257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xdr:oneCellAnchor>
    <xdr:from>
      <xdr:col>6</xdr:col>
      <xdr:colOff>1533525</xdr:colOff>
      <xdr:row>8</xdr:row>
      <xdr:rowOff>257175</xdr:rowOff>
    </xdr:from>
    <xdr:ext cx="659027" cy="248851"/>
    <xdr:sp macro="" textlink="">
      <xdr:nvSpPr>
        <xdr:cNvPr id="17" name="CaixaDeTexto 16">
          <a:extLst>
            <a:ext uri="{FF2B5EF4-FFF2-40B4-BE49-F238E27FC236}">
              <a16:creationId xmlns:a16="http://schemas.microsoft.com/office/drawing/2014/main" id="{00000000-0008-0000-0F00-000011000000}"/>
            </a:ext>
          </a:extLst>
        </xdr:cNvPr>
        <xdr:cNvSpPr txBox="1"/>
      </xdr:nvSpPr>
      <xdr:spPr>
        <a:xfrm>
          <a:off x="11287125" y="4781550"/>
          <a:ext cx="6590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unidades</a:t>
          </a:r>
        </a:p>
      </xdr:txBody>
    </xdr:sp>
    <xdr:clientData/>
  </xdr:oneCellAnchor>
  <mc:AlternateContent xmlns:mc="http://schemas.openxmlformats.org/markup-compatibility/2006">
    <mc:Choice xmlns:a14="http://schemas.microsoft.com/office/drawing/2010/main" Requires="a14">
      <xdr:twoCellAnchor editAs="oneCell">
        <xdr:from>
          <xdr:col>2</xdr:col>
          <xdr:colOff>9525</xdr:colOff>
          <xdr:row>9</xdr:row>
          <xdr:rowOff>152400</xdr:rowOff>
        </xdr:from>
        <xdr:to>
          <xdr:col>2</xdr:col>
          <xdr:colOff>3381375</xdr:colOff>
          <xdr:row>10</xdr:row>
          <xdr:rowOff>0</xdr:rowOff>
        </xdr:to>
        <xdr:sp macro="" textlink="">
          <xdr:nvSpPr>
            <xdr:cNvPr id="14338" name="Drop Dow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104775</xdr:colOff>
      <xdr:row>9</xdr:row>
      <xdr:rowOff>266700</xdr:rowOff>
    </xdr:from>
    <xdr:ext cx="2111284" cy="405367"/>
    <xdr:sp macro="" textlink="">
      <xdr:nvSpPr>
        <xdr:cNvPr id="21" name="CaixaDeTexto 20">
          <a:extLst>
            <a:ext uri="{FF2B5EF4-FFF2-40B4-BE49-F238E27FC236}">
              <a16:creationId xmlns:a16="http://schemas.microsoft.com/office/drawing/2014/main" id="{00000000-0008-0000-0F00-000015000000}"/>
            </a:ext>
          </a:extLst>
        </xdr:cNvPr>
        <xdr:cNvSpPr txBox="1"/>
      </xdr:nvSpPr>
      <xdr:spPr>
        <a:xfrm>
          <a:off x="3714750" y="5553075"/>
          <a:ext cx="211128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solidFill>
            </a:rPr>
            <a:t>Selecione aqui o produto que deseja </a:t>
          </a:r>
        </a:p>
        <a:p>
          <a:r>
            <a:rPr lang="pt-BR" sz="1000">
              <a:solidFill>
                <a:schemeClr val="tx1"/>
              </a:solidFill>
            </a:rPr>
            <a:t>avaliar de forma isolada:</a:t>
          </a:r>
        </a:p>
      </xdr:txBody>
    </xdr:sp>
    <xdr:clientData/>
  </xdr:oneCellAnchor>
  <xdr:oneCellAnchor>
    <xdr:from>
      <xdr:col>6</xdr:col>
      <xdr:colOff>628650</xdr:colOff>
      <xdr:row>2</xdr:row>
      <xdr:rowOff>66675</xdr:rowOff>
    </xdr:from>
    <xdr:ext cx="1730282" cy="248851"/>
    <xdr:sp macro="" textlink="">
      <xdr:nvSpPr>
        <xdr:cNvPr id="22" name="CaixaDeTexto 21">
          <a:extLst>
            <a:ext uri="{FF2B5EF4-FFF2-40B4-BE49-F238E27FC236}">
              <a16:creationId xmlns:a16="http://schemas.microsoft.com/office/drawing/2014/main" id="{00000000-0008-0000-0F00-000016000000}"/>
            </a:ext>
          </a:extLst>
        </xdr:cNvPr>
        <xdr:cNvSpPr txBox="1"/>
      </xdr:nvSpPr>
      <xdr:spPr>
        <a:xfrm>
          <a:off x="10382250" y="885825"/>
          <a:ext cx="173028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Aperte CTRL+P para</a:t>
          </a:r>
          <a:r>
            <a:rPr lang="pt-BR" sz="1000" baseline="0">
              <a:solidFill>
                <a:srgbClr val="FB5A56"/>
              </a:solidFill>
            </a:rPr>
            <a:t> </a:t>
          </a:r>
          <a:r>
            <a:rPr lang="pt-BR" sz="1000">
              <a:solidFill>
                <a:srgbClr val="FB5A56"/>
              </a:solidFill>
            </a:rPr>
            <a:t>imprimir.</a:t>
          </a:r>
        </a:p>
      </xdr:txBody>
    </xdr:sp>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0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oneCellAnchor>
    <xdr:from>
      <xdr:col>3</xdr:col>
      <xdr:colOff>0</xdr:colOff>
      <xdr:row>3</xdr:row>
      <xdr:rowOff>85725</xdr:rowOff>
    </xdr:from>
    <xdr:ext cx="3433248" cy="248851"/>
    <xdr:sp macro="" textlink="">
      <xdr:nvSpPr>
        <xdr:cNvPr id="3" name="CaixaDeTexto 2">
          <a:extLst>
            <a:ext uri="{FF2B5EF4-FFF2-40B4-BE49-F238E27FC236}">
              <a16:creationId xmlns:a16="http://schemas.microsoft.com/office/drawing/2014/main" id="{00000000-0008-0000-1000-000003000000}"/>
            </a:ext>
          </a:extLst>
        </xdr:cNvPr>
        <xdr:cNvSpPr txBox="1"/>
      </xdr:nvSpPr>
      <xdr:spPr>
        <a:xfrm>
          <a:off x="838200" y="1095375"/>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editAs="absolute">
    <xdr:from>
      <xdr:col>4</xdr:col>
      <xdr:colOff>466725</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10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10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10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10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10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9" name="Retângulo 8">
          <a:extLst>
            <a:ext uri="{FF2B5EF4-FFF2-40B4-BE49-F238E27FC236}">
              <a16:creationId xmlns:a16="http://schemas.microsoft.com/office/drawing/2014/main" id="{00000000-0008-0000-1000-000009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0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16" name="Retângulo 15">
          <a:hlinkClick xmlns:r="http://schemas.openxmlformats.org/officeDocument/2006/relationships" r:id="rId4"/>
          <a:extLst>
            <a:ext uri="{FF2B5EF4-FFF2-40B4-BE49-F238E27FC236}">
              <a16:creationId xmlns:a16="http://schemas.microsoft.com/office/drawing/2014/main" id="{00000000-0008-0000-1000-000010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Geral</a:t>
          </a:r>
        </a:p>
      </xdr:txBody>
    </xdr: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1000-000011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Por Produto</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18" name="Retângulo 17">
          <a:hlinkClick xmlns:r="http://schemas.openxmlformats.org/officeDocument/2006/relationships" r:id="rId9"/>
          <a:extLst>
            <a:ext uri="{FF2B5EF4-FFF2-40B4-BE49-F238E27FC236}">
              <a16:creationId xmlns:a16="http://schemas.microsoft.com/office/drawing/2014/main" id="{00000000-0008-0000-1000-000012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xdr:twoCellAnchor>
    <xdr:from>
      <xdr:col>4</xdr:col>
      <xdr:colOff>0</xdr:colOff>
      <xdr:row>14</xdr:row>
      <xdr:rowOff>0</xdr:rowOff>
    </xdr:from>
    <xdr:to>
      <xdr:col>5</xdr:col>
      <xdr:colOff>689775</xdr:colOff>
      <xdr:row>19</xdr:row>
      <xdr:rowOff>127500</xdr:rowOff>
    </xdr:to>
    <xdr:sp macro="" textlink="DespF!E4">
      <xdr:nvSpPr>
        <xdr:cNvPr id="15" name="Retângulo 14">
          <a:extLst>
            <a:ext uri="{FF2B5EF4-FFF2-40B4-BE49-F238E27FC236}">
              <a16:creationId xmlns:a16="http://schemas.microsoft.com/office/drawing/2014/main" id="{00000000-0008-0000-1000-00000F000000}"/>
            </a:ext>
          </a:extLst>
        </xdr:cNvPr>
        <xdr:cNvSpPr/>
      </xdr:nvSpPr>
      <xdr:spPr>
        <a:xfrm>
          <a:off x="1019175"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171C76-5B10-489E-987E-794257C8FBB0}" type="TxLink">
            <a:rPr lang="en-US" sz="2000" b="0" i="0" u="none" strike="noStrike">
              <a:solidFill>
                <a:schemeClr val="tx1">
                  <a:lumMod val="65000"/>
                  <a:lumOff val="35000"/>
                </a:schemeClr>
              </a:solidFill>
              <a:latin typeface="Calibri"/>
              <a:cs typeface="Calibri"/>
            </a:rPr>
            <a:pPr algn="ctr"/>
            <a:t>R$ 5.600,00</a:t>
          </a:fld>
          <a:endParaRPr lang="pt-BR" sz="2000" b="0">
            <a:solidFill>
              <a:schemeClr val="tx1">
                <a:lumMod val="65000"/>
                <a:lumOff val="35000"/>
              </a:schemeClr>
            </a:solidFill>
          </a:endParaRPr>
        </a:p>
      </xdr:txBody>
    </xdr:sp>
    <xdr:clientData/>
  </xdr:twoCellAnchor>
  <xdr:twoCellAnchor>
    <xdr:from>
      <xdr:col>5</xdr:col>
      <xdr:colOff>723900</xdr:colOff>
      <xdr:row>14</xdr:row>
      <xdr:rowOff>0</xdr:rowOff>
    </xdr:from>
    <xdr:to>
      <xdr:col>8</xdr:col>
      <xdr:colOff>194475</xdr:colOff>
      <xdr:row>19</xdr:row>
      <xdr:rowOff>127500</xdr:rowOff>
    </xdr:to>
    <xdr:sp macro="" textlink="DespF!I4">
      <xdr:nvSpPr>
        <xdr:cNvPr id="19" name="Retângulo 18">
          <a:extLst>
            <a:ext uri="{FF2B5EF4-FFF2-40B4-BE49-F238E27FC236}">
              <a16:creationId xmlns:a16="http://schemas.microsoft.com/office/drawing/2014/main" id="{00000000-0008-0000-1000-000013000000}"/>
            </a:ext>
          </a:extLst>
        </xdr:cNvPr>
        <xdr:cNvSpPr/>
      </xdr:nvSpPr>
      <xdr:spPr>
        <a:xfrm>
          <a:off x="2781300"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359B44-726F-4C88-845D-22F01488D457}" type="TxLink">
            <a:rPr lang="en-US" sz="2000" b="0" i="0" u="none" strike="noStrike">
              <a:solidFill>
                <a:schemeClr val="tx1">
                  <a:lumMod val="65000"/>
                  <a:lumOff val="35000"/>
                </a:schemeClr>
              </a:solidFill>
              <a:latin typeface="Calibri"/>
              <a:cs typeface="Calibri"/>
            </a:rPr>
            <a:pPr algn="ctr"/>
            <a:t>R$ 5.500,00</a:t>
          </a:fld>
          <a:endParaRPr lang="pt-BR" sz="2000" b="0">
            <a:solidFill>
              <a:schemeClr val="tx1">
                <a:lumMod val="65000"/>
                <a:lumOff val="35000"/>
              </a:schemeClr>
            </a:solidFill>
          </a:endParaRPr>
        </a:p>
      </xdr:txBody>
    </xdr:sp>
    <xdr:clientData/>
  </xdr:twoCellAnchor>
  <xdr:twoCellAnchor>
    <xdr:from>
      <xdr:col>8</xdr:col>
      <xdr:colOff>228600</xdr:colOff>
      <xdr:row>14</xdr:row>
      <xdr:rowOff>0</xdr:rowOff>
    </xdr:from>
    <xdr:to>
      <xdr:col>10</xdr:col>
      <xdr:colOff>737400</xdr:colOff>
      <xdr:row>19</xdr:row>
      <xdr:rowOff>127500</xdr:rowOff>
    </xdr:to>
    <xdr:sp macro="" textlink="'Prod 3'!F3">
      <xdr:nvSpPr>
        <xdr:cNvPr id="20" name="Retângulo 19">
          <a:extLst>
            <a:ext uri="{FF2B5EF4-FFF2-40B4-BE49-F238E27FC236}">
              <a16:creationId xmlns:a16="http://schemas.microsoft.com/office/drawing/2014/main" id="{00000000-0008-0000-1000-000014000000}"/>
            </a:ext>
          </a:extLst>
        </xdr:cNvPr>
        <xdr:cNvSpPr/>
      </xdr:nvSpPr>
      <xdr:spPr>
        <a:xfrm>
          <a:off x="4543425"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1DB4D4-3AE5-465C-A5BC-197D62238D81}" type="TxLink">
            <a:rPr lang="en-US" sz="2000" b="0" i="0" u="none" strike="noStrike">
              <a:solidFill>
                <a:schemeClr val="tx1">
                  <a:lumMod val="65000"/>
                  <a:lumOff val="35000"/>
                </a:schemeClr>
              </a:solidFill>
              <a:latin typeface="Calibri"/>
              <a:cs typeface="Calibri"/>
            </a:rPr>
            <a:pPr algn="ctr"/>
            <a:t>R$ 62.100,00</a:t>
          </a:fld>
          <a:endParaRPr lang="pt-BR" sz="2000" b="0">
            <a:solidFill>
              <a:schemeClr val="tx1">
                <a:lumMod val="65000"/>
                <a:lumOff val="35000"/>
              </a:schemeClr>
            </a:solidFill>
          </a:endParaRPr>
        </a:p>
      </xdr:txBody>
    </xdr:sp>
    <xdr:clientData/>
  </xdr:twoCellAnchor>
  <xdr:twoCellAnchor>
    <xdr:from>
      <xdr:col>10</xdr:col>
      <xdr:colOff>781050</xdr:colOff>
      <xdr:row>14</xdr:row>
      <xdr:rowOff>0</xdr:rowOff>
    </xdr:from>
    <xdr:to>
      <xdr:col>13</xdr:col>
      <xdr:colOff>251625</xdr:colOff>
      <xdr:row>19</xdr:row>
      <xdr:rowOff>127500</xdr:rowOff>
    </xdr:to>
    <xdr:sp macro="" textlink="'Prod 1'!E3">
      <xdr:nvSpPr>
        <xdr:cNvPr id="21" name="Retângulo 20">
          <a:extLst>
            <a:ext uri="{FF2B5EF4-FFF2-40B4-BE49-F238E27FC236}">
              <a16:creationId xmlns:a16="http://schemas.microsoft.com/office/drawing/2014/main" id="{00000000-0008-0000-1000-000015000000}"/>
            </a:ext>
          </a:extLst>
        </xdr:cNvPr>
        <xdr:cNvSpPr/>
      </xdr:nvSpPr>
      <xdr:spPr>
        <a:xfrm>
          <a:off x="6315075"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4903A9-4847-46D1-A5EA-DEFEE0BB0860}" type="TxLink">
            <a:rPr lang="en-US" sz="2000" b="0" i="0" u="none" strike="noStrike">
              <a:solidFill>
                <a:srgbClr val="01B8AA"/>
              </a:solidFill>
              <a:latin typeface="Calibri"/>
              <a:cs typeface="Calibri"/>
            </a:rPr>
            <a:pPr algn="ctr"/>
            <a:t>R$ 340,00</a:t>
          </a:fld>
          <a:endParaRPr lang="pt-BR" sz="2000" b="0">
            <a:solidFill>
              <a:srgbClr val="01B8AA"/>
            </a:solidFill>
          </a:endParaRPr>
        </a:p>
      </xdr:txBody>
    </xdr:sp>
    <xdr:clientData/>
  </xdr:twoCellAnchor>
  <xdr:twoCellAnchor>
    <xdr:from>
      <xdr:col>13</xdr:col>
      <xdr:colOff>295275</xdr:colOff>
      <xdr:row>14</xdr:row>
      <xdr:rowOff>0</xdr:rowOff>
    </xdr:from>
    <xdr:to>
      <xdr:col>16</xdr:col>
      <xdr:colOff>194475</xdr:colOff>
      <xdr:row>19</xdr:row>
      <xdr:rowOff>127500</xdr:rowOff>
    </xdr:to>
    <xdr:sp macro="" textlink="'Prod 1'!H3">
      <xdr:nvSpPr>
        <xdr:cNvPr id="22" name="Retângulo 21">
          <a:extLst>
            <a:ext uri="{FF2B5EF4-FFF2-40B4-BE49-F238E27FC236}">
              <a16:creationId xmlns:a16="http://schemas.microsoft.com/office/drawing/2014/main" id="{00000000-0008-0000-1000-000016000000}"/>
            </a:ext>
          </a:extLst>
        </xdr:cNvPr>
        <xdr:cNvSpPr/>
      </xdr:nvSpPr>
      <xdr:spPr>
        <a:xfrm>
          <a:off x="8086725"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BE7CA1A-F0F3-496B-98C9-12A480990AB6}" type="TxLink">
            <a:rPr lang="en-US" sz="2000" b="0" i="0" u="none" strike="noStrike">
              <a:solidFill>
                <a:srgbClr val="FC8380"/>
              </a:solidFill>
              <a:latin typeface="Calibri"/>
              <a:cs typeface="Calibri"/>
            </a:rPr>
            <a:pPr algn="ctr"/>
            <a:t>R$ 186,61</a:t>
          </a:fld>
          <a:endParaRPr lang="pt-BR" sz="2000" b="0">
            <a:solidFill>
              <a:srgbClr val="FC8380"/>
            </a:solidFill>
          </a:endParaRPr>
        </a:p>
      </xdr:txBody>
    </xdr:sp>
    <xdr:clientData/>
  </xdr:twoCellAnchor>
  <xdr:twoCellAnchor>
    <xdr:from>
      <xdr:col>16</xdr:col>
      <xdr:colOff>247650</xdr:colOff>
      <xdr:row>14</xdr:row>
      <xdr:rowOff>0</xdr:rowOff>
    </xdr:from>
    <xdr:to>
      <xdr:col>19</xdr:col>
      <xdr:colOff>146850</xdr:colOff>
      <xdr:row>19</xdr:row>
      <xdr:rowOff>127500</xdr:rowOff>
    </xdr:to>
    <xdr:sp macro="" textlink="'Prod 1'!I3">
      <xdr:nvSpPr>
        <xdr:cNvPr id="23" name="Retângulo 22">
          <a:extLst>
            <a:ext uri="{FF2B5EF4-FFF2-40B4-BE49-F238E27FC236}">
              <a16:creationId xmlns:a16="http://schemas.microsoft.com/office/drawing/2014/main" id="{00000000-0008-0000-1000-000017000000}"/>
            </a:ext>
          </a:extLst>
        </xdr:cNvPr>
        <xdr:cNvSpPr/>
      </xdr:nvSpPr>
      <xdr:spPr>
        <a:xfrm>
          <a:off x="9867900" y="3105150"/>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762F4C-F7D9-4037-8743-8BD278E02C1A}" type="TxLink">
            <a:rPr lang="en-US" sz="2000" b="0" i="0" u="none" strike="noStrike">
              <a:solidFill>
                <a:srgbClr val="F2C80F"/>
              </a:solidFill>
              <a:latin typeface="Calibri"/>
              <a:cs typeface="Calibri"/>
            </a:rPr>
            <a:pPr algn="ctr"/>
            <a:t>R$ 153,39</a:t>
          </a:fld>
          <a:endParaRPr lang="pt-BR" sz="2000" b="0">
            <a:solidFill>
              <a:srgbClr val="F2C80F"/>
            </a:solidFill>
          </a:endParaRPr>
        </a:p>
      </xdr:txBody>
    </xdr:sp>
    <xdr:clientData/>
  </xdr:twoCellAnchor>
  <xdr:oneCellAnchor>
    <xdr:from>
      <xdr:col>4</xdr:col>
      <xdr:colOff>19050</xdr:colOff>
      <xdr:row>14</xdr:row>
      <xdr:rowOff>19050</xdr:rowOff>
    </xdr:from>
    <xdr:ext cx="1692000" cy="248851"/>
    <xdr:sp macro="" textlink="">
      <xdr:nvSpPr>
        <xdr:cNvPr id="24" name="CaixaDeTexto 23">
          <a:extLst>
            <a:ext uri="{FF2B5EF4-FFF2-40B4-BE49-F238E27FC236}">
              <a16:creationId xmlns:a16="http://schemas.microsoft.com/office/drawing/2014/main" id="{00000000-0008-0000-1000-000018000000}"/>
            </a:ext>
          </a:extLst>
        </xdr:cNvPr>
        <xdr:cNvSpPr txBox="1"/>
      </xdr:nvSpPr>
      <xdr:spPr>
        <a:xfrm>
          <a:off x="1038225" y="3124200"/>
          <a:ext cx="169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Custos e Despesas</a:t>
          </a:r>
          <a:r>
            <a:rPr lang="pt-BR" sz="1000" baseline="0">
              <a:solidFill>
                <a:schemeClr val="tx1">
                  <a:lumMod val="75000"/>
                  <a:lumOff val="25000"/>
                </a:schemeClr>
              </a:solidFill>
            </a:rPr>
            <a:t> Fixas</a:t>
          </a:r>
          <a:endParaRPr lang="pt-BR" sz="1000">
            <a:solidFill>
              <a:schemeClr val="tx1">
                <a:lumMod val="75000"/>
                <a:lumOff val="25000"/>
              </a:schemeClr>
            </a:solidFill>
          </a:endParaRPr>
        </a:p>
      </xdr:txBody>
    </xdr:sp>
    <xdr:clientData/>
  </xdr:oneCellAnchor>
  <xdr:oneCellAnchor>
    <xdr:from>
      <xdr:col>5</xdr:col>
      <xdr:colOff>742950</xdr:colOff>
      <xdr:row>14</xdr:row>
      <xdr:rowOff>19049</xdr:rowOff>
    </xdr:from>
    <xdr:ext cx="1692000" cy="447675"/>
    <xdr:sp macro="" textlink="">
      <xdr:nvSpPr>
        <xdr:cNvPr id="25" name="CaixaDeTexto 24">
          <a:extLst>
            <a:ext uri="{FF2B5EF4-FFF2-40B4-BE49-F238E27FC236}">
              <a16:creationId xmlns:a16="http://schemas.microsoft.com/office/drawing/2014/main" id="{00000000-0008-0000-1000-000019000000}"/>
            </a:ext>
          </a:extLst>
        </xdr:cNvPr>
        <xdr:cNvSpPr txBox="1"/>
      </xdr:nvSpPr>
      <xdr:spPr>
        <a:xfrm>
          <a:off x="2800350" y="3124199"/>
          <a:ext cx="1692000" cy="447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a:solidFill>
                <a:schemeClr val="tx1">
                  <a:lumMod val="75000"/>
                  <a:lumOff val="25000"/>
                </a:schemeClr>
              </a:solidFill>
            </a:rPr>
            <a:t>Deprec.</a:t>
          </a:r>
          <a:r>
            <a:rPr lang="pt-BR" sz="1000" baseline="0">
              <a:solidFill>
                <a:schemeClr val="tx1">
                  <a:lumMod val="75000"/>
                  <a:lumOff val="25000"/>
                </a:schemeClr>
              </a:solidFill>
            </a:rPr>
            <a:t> Amortização.Exaustão</a:t>
          </a:r>
          <a:endParaRPr lang="pt-BR" sz="1000">
            <a:solidFill>
              <a:schemeClr val="tx1">
                <a:lumMod val="75000"/>
                <a:lumOff val="25000"/>
              </a:schemeClr>
            </a:solidFill>
          </a:endParaRPr>
        </a:p>
      </xdr:txBody>
    </xdr:sp>
    <xdr:clientData/>
  </xdr:oneCellAnchor>
  <xdr:oneCellAnchor>
    <xdr:from>
      <xdr:col>10</xdr:col>
      <xdr:colOff>790575</xdr:colOff>
      <xdr:row>14</xdr:row>
      <xdr:rowOff>19050</xdr:rowOff>
    </xdr:from>
    <xdr:ext cx="1692000" cy="248851"/>
    <xdr:sp macro="" textlink="">
      <xdr:nvSpPr>
        <xdr:cNvPr id="26" name="CaixaDeTexto 25">
          <a:extLst>
            <a:ext uri="{FF2B5EF4-FFF2-40B4-BE49-F238E27FC236}">
              <a16:creationId xmlns:a16="http://schemas.microsoft.com/office/drawing/2014/main" id="{00000000-0008-0000-1000-00001A000000}"/>
            </a:ext>
          </a:extLst>
        </xdr:cNvPr>
        <xdr:cNvSpPr txBox="1"/>
      </xdr:nvSpPr>
      <xdr:spPr>
        <a:xfrm>
          <a:off x="6324600" y="3124200"/>
          <a:ext cx="169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Preço de Venda Médio</a:t>
          </a:r>
        </a:p>
      </xdr:txBody>
    </xdr:sp>
    <xdr:clientData/>
  </xdr:oneCellAnchor>
  <xdr:oneCellAnchor>
    <xdr:from>
      <xdr:col>13</xdr:col>
      <xdr:colOff>304800</xdr:colOff>
      <xdr:row>14</xdr:row>
      <xdr:rowOff>19050</xdr:rowOff>
    </xdr:from>
    <xdr:ext cx="1692000" cy="248851"/>
    <xdr:sp macro="" textlink="">
      <xdr:nvSpPr>
        <xdr:cNvPr id="27" name="CaixaDeTexto 26">
          <a:extLst>
            <a:ext uri="{FF2B5EF4-FFF2-40B4-BE49-F238E27FC236}">
              <a16:creationId xmlns:a16="http://schemas.microsoft.com/office/drawing/2014/main" id="{00000000-0008-0000-1000-00001B000000}"/>
            </a:ext>
          </a:extLst>
        </xdr:cNvPr>
        <xdr:cNvSpPr txBox="1"/>
      </xdr:nvSpPr>
      <xdr:spPr>
        <a:xfrm>
          <a:off x="8096250" y="3124200"/>
          <a:ext cx="169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Custos Diretos Médio</a:t>
          </a:r>
        </a:p>
      </xdr:txBody>
    </xdr:sp>
    <xdr:clientData/>
  </xdr:oneCellAnchor>
  <xdr:oneCellAnchor>
    <xdr:from>
      <xdr:col>16</xdr:col>
      <xdr:colOff>247650</xdr:colOff>
      <xdr:row>14</xdr:row>
      <xdr:rowOff>19050</xdr:rowOff>
    </xdr:from>
    <xdr:ext cx="1692000" cy="248851"/>
    <xdr:sp macro="" textlink="">
      <xdr:nvSpPr>
        <xdr:cNvPr id="28" name="CaixaDeTexto 27">
          <a:extLst>
            <a:ext uri="{FF2B5EF4-FFF2-40B4-BE49-F238E27FC236}">
              <a16:creationId xmlns:a16="http://schemas.microsoft.com/office/drawing/2014/main" id="{00000000-0008-0000-1000-00001C000000}"/>
            </a:ext>
          </a:extLst>
        </xdr:cNvPr>
        <xdr:cNvSpPr txBox="1"/>
      </xdr:nvSpPr>
      <xdr:spPr>
        <a:xfrm>
          <a:off x="9867900" y="3124200"/>
          <a:ext cx="169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a:t>
          </a:r>
          <a:r>
            <a:rPr lang="pt-BR" sz="1000" baseline="0">
              <a:solidFill>
                <a:schemeClr val="tx1">
                  <a:lumMod val="75000"/>
                  <a:lumOff val="25000"/>
                </a:schemeClr>
              </a:solidFill>
            </a:rPr>
            <a:t> de Contribuição Médio</a:t>
          </a:r>
          <a:endParaRPr lang="pt-BR" sz="1000">
            <a:solidFill>
              <a:schemeClr val="tx1">
                <a:lumMod val="75000"/>
                <a:lumOff val="25000"/>
              </a:schemeClr>
            </a:solidFill>
          </a:endParaRPr>
        </a:p>
      </xdr:txBody>
    </xdr:sp>
    <xdr:clientData/>
  </xdr:oneCellAnchor>
  <xdr:oneCellAnchor>
    <xdr:from>
      <xdr:col>8</xdr:col>
      <xdr:colOff>238125</xdr:colOff>
      <xdr:row>14</xdr:row>
      <xdr:rowOff>19050</xdr:rowOff>
    </xdr:from>
    <xdr:ext cx="1692000" cy="248851"/>
    <xdr:sp macro="" textlink="">
      <xdr:nvSpPr>
        <xdr:cNvPr id="29" name="CaixaDeTexto 28">
          <a:extLst>
            <a:ext uri="{FF2B5EF4-FFF2-40B4-BE49-F238E27FC236}">
              <a16:creationId xmlns:a16="http://schemas.microsoft.com/office/drawing/2014/main" id="{00000000-0008-0000-1000-00001D000000}"/>
            </a:ext>
          </a:extLst>
        </xdr:cNvPr>
        <xdr:cNvSpPr txBox="1"/>
      </xdr:nvSpPr>
      <xdr:spPr>
        <a:xfrm>
          <a:off x="4552950" y="3124200"/>
          <a:ext cx="169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Faturamento Projetado</a:t>
          </a:r>
        </a:p>
      </xdr:txBody>
    </xdr:sp>
    <xdr:clientData/>
  </xdr:oneCellAnchor>
  <xdr:twoCellAnchor>
    <xdr:from>
      <xdr:col>10</xdr:col>
      <xdr:colOff>790576</xdr:colOff>
      <xdr:row>19</xdr:row>
      <xdr:rowOff>180973</xdr:rowOff>
    </xdr:from>
    <xdr:to>
      <xdr:col>19</xdr:col>
      <xdr:colOff>133350</xdr:colOff>
      <xdr:row>30</xdr:row>
      <xdr:rowOff>11473</xdr:rowOff>
    </xdr:to>
    <xdr:graphicFrame macro="">
      <xdr:nvGraphicFramePr>
        <xdr:cNvPr id="30" name="Gráfico 29">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790574</xdr:colOff>
      <xdr:row>30</xdr:row>
      <xdr:rowOff>66674</xdr:rowOff>
    </xdr:from>
    <xdr:to>
      <xdr:col>19</xdr:col>
      <xdr:colOff>133350</xdr:colOff>
      <xdr:row>44</xdr:row>
      <xdr:rowOff>190499</xdr:rowOff>
    </xdr:to>
    <xdr:graphicFrame macro="">
      <xdr:nvGraphicFramePr>
        <xdr:cNvPr id="31" name="Gráfico 30">
          <a:extLst>
            <a:ext uri="{FF2B5EF4-FFF2-40B4-BE49-F238E27FC236}">
              <a16:creationId xmlns:a16="http://schemas.microsoft.com/office/drawing/2014/main" id="{00000000-0008-0000-1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9525</xdr:colOff>
      <xdr:row>30</xdr:row>
      <xdr:rowOff>66674</xdr:rowOff>
    </xdr:from>
    <xdr:to>
      <xdr:col>10</xdr:col>
      <xdr:colOff>733425</xdr:colOff>
      <xdr:row>44</xdr:row>
      <xdr:rowOff>190499</xdr:rowOff>
    </xdr:to>
    <xdr:graphicFrame macro="">
      <xdr:nvGraphicFramePr>
        <xdr:cNvPr id="32" name="Gráfico 31">
          <a:extLst>
            <a:ext uri="{FF2B5EF4-FFF2-40B4-BE49-F238E27FC236}">
              <a16:creationId xmlns:a16="http://schemas.microsoft.com/office/drawing/2014/main" id="{00000000-0008-0000-1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19</xdr:row>
      <xdr:rowOff>180974</xdr:rowOff>
    </xdr:from>
    <xdr:to>
      <xdr:col>5</xdr:col>
      <xdr:colOff>689775</xdr:colOff>
      <xdr:row>29</xdr:row>
      <xdr:rowOff>190499</xdr:rowOff>
    </xdr:to>
    <xdr:sp macro="" textlink="Relatórios!G5">
      <xdr:nvSpPr>
        <xdr:cNvPr id="33" name="Retângulo 32">
          <a:extLst>
            <a:ext uri="{FF2B5EF4-FFF2-40B4-BE49-F238E27FC236}">
              <a16:creationId xmlns:a16="http://schemas.microsoft.com/office/drawing/2014/main" id="{00000000-0008-0000-1000-000021000000}"/>
            </a:ext>
          </a:extLst>
        </xdr:cNvPr>
        <xdr:cNvSpPr/>
      </xdr:nvSpPr>
      <xdr:spPr>
        <a:xfrm>
          <a:off x="1019175" y="4238624"/>
          <a:ext cx="1728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79F61D5-10D8-4C0E-8E7B-A13B6731AB96}" type="TxLink">
            <a:rPr lang="en-US" sz="3200" b="1" i="0" u="none" strike="noStrike">
              <a:solidFill>
                <a:srgbClr val="808080"/>
              </a:solidFill>
              <a:latin typeface="Calibri"/>
              <a:cs typeface="Calibri"/>
            </a:rPr>
            <a:pPr algn="ctr"/>
            <a:t>37</a:t>
          </a:fld>
          <a:endParaRPr lang="en-US" sz="4000" b="0" i="0" u="none" strike="noStrike">
            <a:solidFill>
              <a:schemeClr val="tx1"/>
            </a:solidFill>
            <a:latin typeface="Calibri"/>
            <a:cs typeface="Calibri"/>
          </a:endParaRPr>
        </a:p>
      </xdr:txBody>
    </xdr:sp>
    <xdr:clientData/>
  </xdr:twoCellAnchor>
  <xdr:oneCellAnchor>
    <xdr:from>
      <xdr:col>4</xdr:col>
      <xdr:colOff>19050</xdr:colOff>
      <xdr:row>19</xdr:row>
      <xdr:rowOff>176858</xdr:rowOff>
    </xdr:from>
    <xdr:ext cx="1692000" cy="561885"/>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1038225" y="4234508"/>
          <a:ext cx="1692000" cy="561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Contábil</a:t>
          </a:r>
          <a:r>
            <a:rPr lang="en-US" sz="1000">
              <a:solidFill>
                <a:schemeClr val="tx1">
                  <a:lumMod val="65000"/>
                  <a:lumOff val="35000"/>
                </a:schemeClr>
              </a:solidFill>
            </a:rPr>
            <a:t>
Custos e despesas fixas ÷ Margem de contribuição</a:t>
          </a:r>
        </a:p>
      </xdr:txBody>
    </xdr:sp>
    <xdr:clientData/>
  </xdr:oneCellAnchor>
  <xdr:twoCellAnchor>
    <xdr:from>
      <xdr:col>5</xdr:col>
      <xdr:colOff>723900</xdr:colOff>
      <xdr:row>19</xdr:row>
      <xdr:rowOff>180974</xdr:rowOff>
    </xdr:from>
    <xdr:to>
      <xdr:col>8</xdr:col>
      <xdr:colOff>194475</xdr:colOff>
      <xdr:row>29</xdr:row>
      <xdr:rowOff>190499</xdr:rowOff>
    </xdr:to>
    <xdr:sp macro="" textlink="Relatórios!G7">
      <xdr:nvSpPr>
        <xdr:cNvPr id="35" name="Retângulo 34">
          <a:extLst>
            <a:ext uri="{FF2B5EF4-FFF2-40B4-BE49-F238E27FC236}">
              <a16:creationId xmlns:a16="http://schemas.microsoft.com/office/drawing/2014/main" id="{00000000-0008-0000-1000-000023000000}"/>
            </a:ext>
          </a:extLst>
        </xdr:cNvPr>
        <xdr:cNvSpPr/>
      </xdr:nvSpPr>
      <xdr:spPr>
        <a:xfrm>
          <a:off x="2781300" y="4238624"/>
          <a:ext cx="1728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5F3DF7A-C9DB-4A1B-BB07-CE97C8E9CF05}" type="TxLink">
            <a:rPr lang="en-US" sz="3200" b="1" i="0" u="none" strike="noStrike">
              <a:solidFill>
                <a:srgbClr val="808080"/>
              </a:solidFill>
              <a:latin typeface="Calibri"/>
              <a:cs typeface="Calibri"/>
            </a:rPr>
            <a:pPr algn="ctr"/>
            <a:t>72</a:t>
          </a:fld>
          <a:endParaRPr lang="en-US" sz="4000" b="0" i="0" u="none" strike="noStrike">
            <a:solidFill>
              <a:schemeClr val="tx1"/>
            </a:solidFill>
            <a:latin typeface="Calibri"/>
            <a:cs typeface="Calibri"/>
          </a:endParaRPr>
        </a:p>
      </xdr:txBody>
    </xdr:sp>
    <xdr:clientData/>
  </xdr:twoCellAnchor>
  <xdr:oneCellAnchor>
    <xdr:from>
      <xdr:col>5</xdr:col>
      <xdr:colOff>742950</xdr:colOff>
      <xdr:row>19</xdr:row>
      <xdr:rowOff>184325</xdr:rowOff>
    </xdr:from>
    <xdr:ext cx="1692000" cy="718402"/>
    <xdr:sp macro="" textlink="">
      <xdr:nvSpPr>
        <xdr:cNvPr id="36" name="CaixaDeTexto 35">
          <a:extLst>
            <a:ext uri="{FF2B5EF4-FFF2-40B4-BE49-F238E27FC236}">
              <a16:creationId xmlns:a16="http://schemas.microsoft.com/office/drawing/2014/main" id="{00000000-0008-0000-1000-000024000000}"/>
            </a:ext>
          </a:extLst>
        </xdr:cNvPr>
        <xdr:cNvSpPr txBox="1"/>
      </xdr:nvSpPr>
      <xdr:spPr>
        <a:xfrm>
          <a:off x="2800350" y="4241975"/>
          <a:ext cx="1692000" cy="718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Financeiro                                                             </a:t>
          </a:r>
          <a:r>
            <a:rPr lang="en-US" sz="1000">
              <a:solidFill>
                <a:schemeClr val="tx1">
                  <a:lumMod val="65000"/>
                  <a:lumOff val="35000"/>
                </a:schemeClr>
              </a:solidFill>
            </a:rPr>
            <a:t>Custos e despesas não desembolsáveis ÷ Margem de contribuição</a:t>
          </a:r>
        </a:p>
      </xdr:txBody>
    </xdr:sp>
    <xdr:clientData/>
  </xdr:oneCellAnchor>
  <xdr:twoCellAnchor>
    <xdr:from>
      <xdr:col>8</xdr:col>
      <xdr:colOff>238125</xdr:colOff>
      <xdr:row>19</xdr:row>
      <xdr:rowOff>180974</xdr:rowOff>
    </xdr:from>
    <xdr:to>
      <xdr:col>10</xdr:col>
      <xdr:colOff>746925</xdr:colOff>
      <xdr:row>29</xdr:row>
      <xdr:rowOff>190499</xdr:rowOff>
    </xdr:to>
    <xdr:sp macro="" textlink="Relatórios!G9">
      <xdr:nvSpPr>
        <xdr:cNvPr id="37" name="Retângulo 36">
          <a:extLst>
            <a:ext uri="{FF2B5EF4-FFF2-40B4-BE49-F238E27FC236}">
              <a16:creationId xmlns:a16="http://schemas.microsoft.com/office/drawing/2014/main" id="{00000000-0008-0000-1000-000025000000}"/>
            </a:ext>
          </a:extLst>
        </xdr:cNvPr>
        <xdr:cNvSpPr/>
      </xdr:nvSpPr>
      <xdr:spPr>
        <a:xfrm>
          <a:off x="4552950" y="4238624"/>
          <a:ext cx="1728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82DD4A1-A357-4CE6-86C4-D0ED3D14387C}" type="TxLink">
            <a:rPr lang="en-US" sz="3200" b="1" i="0" u="none" strike="noStrike">
              <a:solidFill>
                <a:srgbClr val="808080"/>
              </a:solidFill>
              <a:latin typeface="Calibri"/>
              <a:cs typeface="Calibri"/>
            </a:rPr>
            <a:pPr algn="ctr"/>
            <a:t>199</a:t>
          </a:fld>
          <a:endParaRPr lang="en-US" sz="4000" b="0" i="0" u="none" strike="noStrike">
            <a:solidFill>
              <a:schemeClr val="tx1"/>
            </a:solidFill>
            <a:latin typeface="Calibri"/>
            <a:cs typeface="Calibri"/>
          </a:endParaRPr>
        </a:p>
      </xdr:txBody>
    </xdr:sp>
    <xdr:clientData/>
  </xdr:twoCellAnchor>
  <xdr:oneCellAnchor>
    <xdr:from>
      <xdr:col>8</xdr:col>
      <xdr:colOff>247650</xdr:colOff>
      <xdr:row>19</xdr:row>
      <xdr:rowOff>184325</xdr:rowOff>
    </xdr:from>
    <xdr:ext cx="1692000" cy="718402"/>
    <xdr:sp macro="" textlink="">
      <xdr:nvSpPr>
        <xdr:cNvPr id="38" name="CaixaDeTexto 37">
          <a:extLst>
            <a:ext uri="{FF2B5EF4-FFF2-40B4-BE49-F238E27FC236}">
              <a16:creationId xmlns:a16="http://schemas.microsoft.com/office/drawing/2014/main" id="{00000000-0008-0000-1000-000026000000}"/>
            </a:ext>
          </a:extLst>
        </xdr:cNvPr>
        <xdr:cNvSpPr txBox="1"/>
      </xdr:nvSpPr>
      <xdr:spPr>
        <a:xfrm>
          <a:off x="4562475" y="4241975"/>
          <a:ext cx="1692000" cy="718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Econômico                                                          </a:t>
          </a:r>
          <a:r>
            <a:rPr lang="en-US" sz="1000">
              <a:solidFill>
                <a:schemeClr val="tx1">
                  <a:lumMod val="65000"/>
                  <a:lumOff val="35000"/>
                </a:schemeClr>
              </a:solidFill>
            </a:rPr>
            <a:t>Custos e despesas fixas + Lucro mínimo ÷ Margem de contribuição</a:t>
          </a:r>
        </a:p>
      </xdr:txBody>
    </xdr:sp>
    <xdr:clientData/>
  </xdr:oneCellAnchor>
  <xdr:oneCellAnchor>
    <xdr:from>
      <xdr:col>5</xdr:col>
      <xdr:colOff>219075</xdr:colOff>
      <xdr:row>24</xdr:row>
      <xdr:rowOff>95250</xdr:rowOff>
    </xdr:from>
    <xdr:ext cx="334322" cy="248851"/>
    <xdr:sp macro="" textlink="">
      <xdr:nvSpPr>
        <xdr:cNvPr id="39" name="CaixaDeTexto 38">
          <a:extLst>
            <a:ext uri="{FF2B5EF4-FFF2-40B4-BE49-F238E27FC236}">
              <a16:creationId xmlns:a16="http://schemas.microsoft.com/office/drawing/2014/main" id="{00000000-0008-0000-1000-000027000000}"/>
            </a:ext>
          </a:extLst>
        </xdr:cNvPr>
        <xdr:cNvSpPr txBox="1"/>
      </xdr:nvSpPr>
      <xdr:spPr>
        <a:xfrm>
          <a:off x="2276475" y="5105400"/>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7</xdr:col>
      <xdr:colOff>314325</xdr:colOff>
      <xdr:row>24</xdr:row>
      <xdr:rowOff>95250</xdr:rowOff>
    </xdr:from>
    <xdr:ext cx="334322" cy="248851"/>
    <xdr:sp macro="" textlink="">
      <xdr:nvSpPr>
        <xdr:cNvPr id="40" name="CaixaDeTexto 39">
          <a:extLst>
            <a:ext uri="{FF2B5EF4-FFF2-40B4-BE49-F238E27FC236}">
              <a16:creationId xmlns:a16="http://schemas.microsoft.com/office/drawing/2014/main" id="{00000000-0008-0000-1000-000028000000}"/>
            </a:ext>
          </a:extLst>
        </xdr:cNvPr>
        <xdr:cNvSpPr txBox="1"/>
      </xdr:nvSpPr>
      <xdr:spPr>
        <a:xfrm>
          <a:off x="4019550" y="5105400"/>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10</xdr:col>
      <xdr:colOff>295275</xdr:colOff>
      <xdr:row>24</xdr:row>
      <xdr:rowOff>85725</xdr:rowOff>
    </xdr:from>
    <xdr:ext cx="334322" cy="248851"/>
    <xdr:sp macro="" textlink="">
      <xdr:nvSpPr>
        <xdr:cNvPr id="41" name="CaixaDeTexto 40">
          <a:extLst>
            <a:ext uri="{FF2B5EF4-FFF2-40B4-BE49-F238E27FC236}">
              <a16:creationId xmlns:a16="http://schemas.microsoft.com/office/drawing/2014/main" id="{00000000-0008-0000-1000-000029000000}"/>
            </a:ext>
          </a:extLst>
        </xdr:cNvPr>
        <xdr:cNvSpPr txBox="1"/>
      </xdr:nvSpPr>
      <xdr:spPr>
        <a:xfrm>
          <a:off x="5829300" y="5095875"/>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4</xdr:col>
      <xdr:colOff>9525</xdr:colOff>
      <xdr:row>28</xdr:row>
      <xdr:rowOff>54789</xdr:rowOff>
    </xdr:from>
    <xdr:ext cx="1692000" cy="264560"/>
    <xdr:sp macro="" textlink="Relatórios!G6">
      <xdr:nvSpPr>
        <xdr:cNvPr id="42" name="CaixaDeTexto 41">
          <a:extLst>
            <a:ext uri="{FF2B5EF4-FFF2-40B4-BE49-F238E27FC236}">
              <a16:creationId xmlns:a16="http://schemas.microsoft.com/office/drawing/2014/main" id="{00000000-0008-0000-1000-00002A000000}"/>
            </a:ext>
          </a:extLst>
        </xdr:cNvPr>
        <xdr:cNvSpPr txBox="1"/>
      </xdr:nvSpPr>
      <xdr:spPr>
        <a:xfrm>
          <a:off x="1028700" y="5826939"/>
          <a:ext cx="16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0337292C-8AA4-4248-9175-0CA9F86CEC1E}" type="TxLink">
            <a:rPr lang="en-US" sz="1100" b="0" i="0" u="none" strike="noStrike">
              <a:solidFill>
                <a:srgbClr val="01B8AA"/>
              </a:solidFill>
              <a:latin typeface="Calibri"/>
              <a:cs typeface="Calibri"/>
            </a:rPr>
            <a:pPr algn="ctr"/>
            <a:t>R$ 12.412,64</a:t>
          </a:fld>
          <a:endParaRPr lang="pt-BR" sz="800">
            <a:solidFill>
              <a:srgbClr val="01B8AA"/>
            </a:solidFill>
          </a:endParaRPr>
        </a:p>
      </xdr:txBody>
    </xdr:sp>
    <xdr:clientData/>
  </xdr:oneCellAnchor>
  <xdr:oneCellAnchor>
    <xdr:from>
      <xdr:col>5</xdr:col>
      <xdr:colOff>733425</xdr:colOff>
      <xdr:row>28</xdr:row>
      <xdr:rowOff>54789</xdr:rowOff>
    </xdr:from>
    <xdr:ext cx="1692000" cy="264560"/>
    <xdr:sp macro="" textlink="Relatórios!G8">
      <xdr:nvSpPr>
        <xdr:cNvPr id="43" name="CaixaDeTexto 42">
          <a:extLst>
            <a:ext uri="{FF2B5EF4-FFF2-40B4-BE49-F238E27FC236}">
              <a16:creationId xmlns:a16="http://schemas.microsoft.com/office/drawing/2014/main" id="{00000000-0008-0000-1000-00002B000000}"/>
            </a:ext>
          </a:extLst>
        </xdr:cNvPr>
        <xdr:cNvSpPr txBox="1"/>
      </xdr:nvSpPr>
      <xdr:spPr>
        <a:xfrm>
          <a:off x="2790825" y="5826939"/>
          <a:ext cx="16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BF3EB86-9180-4A0D-91EA-43BB048F8EB6}" type="TxLink">
            <a:rPr lang="en-US" sz="1100" b="0" i="0" u="none" strike="noStrike">
              <a:solidFill>
                <a:srgbClr val="01B8AA"/>
              </a:solidFill>
              <a:latin typeface="Calibri"/>
              <a:cs typeface="Calibri"/>
            </a:rPr>
            <a:pPr algn="ctr"/>
            <a:t>R$ 24.603,63</a:t>
          </a:fld>
          <a:endParaRPr lang="pt-BR" sz="800">
            <a:solidFill>
              <a:srgbClr val="01B8AA"/>
            </a:solidFill>
          </a:endParaRPr>
        </a:p>
      </xdr:txBody>
    </xdr:sp>
    <xdr:clientData/>
  </xdr:oneCellAnchor>
  <xdr:oneCellAnchor>
    <xdr:from>
      <xdr:col>8</xdr:col>
      <xdr:colOff>238125</xdr:colOff>
      <xdr:row>28</xdr:row>
      <xdr:rowOff>54789</xdr:rowOff>
    </xdr:from>
    <xdr:ext cx="1692000" cy="264560"/>
    <xdr:sp macro="" textlink="Relatórios!G10">
      <xdr:nvSpPr>
        <xdr:cNvPr id="44" name="CaixaDeTexto 43">
          <a:extLst>
            <a:ext uri="{FF2B5EF4-FFF2-40B4-BE49-F238E27FC236}">
              <a16:creationId xmlns:a16="http://schemas.microsoft.com/office/drawing/2014/main" id="{00000000-0008-0000-1000-00002C000000}"/>
            </a:ext>
          </a:extLst>
        </xdr:cNvPr>
        <xdr:cNvSpPr txBox="1"/>
      </xdr:nvSpPr>
      <xdr:spPr>
        <a:xfrm>
          <a:off x="4552950" y="5826939"/>
          <a:ext cx="169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4DC1E06-A578-44E0-A040-64C8A323BB18}" type="TxLink">
            <a:rPr lang="en-US" sz="1100" b="0" i="0" u="none" strike="noStrike">
              <a:solidFill>
                <a:srgbClr val="01B8AA"/>
              </a:solidFill>
              <a:latin typeface="Calibri"/>
              <a:cs typeface="Calibri"/>
            </a:rPr>
            <a:pPr algn="ctr"/>
            <a:t>R$ 67.826,22</a:t>
          </a:fld>
          <a:endParaRPr lang="pt-BR" sz="800">
            <a:solidFill>
              <a:srgbClr val="01B8AA"/>
            </a:solidFill>
          </a:endParaRPr>
        </a:p>
      </xdr:txBody>
    </xdr:sp>
    <xdr:clientData/>
  </xdr:oneCellAnchor>
  <xdr:oneCellAnchor>
    <xdr:from>
      <xdr:col>4</xdr:col>
      <xdr:colOff>9525</xdr:colOff>
      <xdr:row>26</xdr:row>
      <xdr:rowOff>32010</xdr:rowOff>
    </xdr:from>
    <xdr:ext cx="1692000" cy="405367"/>
    <xdr:sp macro="" textlink="Relatórios!G6">
      <xdr:nvSpPr>
        <xdr:cNvPr id="45" name="CaixaDeTexto 44">
          <a:extLst>
            <a:ext uri="{FF2B5EF4-FFF2-40B4-BE49-F238E27FC236}">
              <a16:creationId xmlns:a16="http://schemas.microsoft.com/office/drawing/2014/main" id="{00000000-0008-0000-1000-00002D000000}"/>
            </a:ext>
          </a:extLst>
        </xdr:cNvPr>
        <xdr:cNvSpPr txBox="1"/>
      </xdr:nvSpPr>
      <xdr:spPr>
        <a:xfrm>
          <a:off x="1028700" y="5423160"/>
          <a:ext cx="169200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Contábil</a:t>
          </a:r>
          <a:endParaRPr lang="pt-BR" sz="600">
            <a:solidFill>
              <a:schemeClr val="tx1">
                <a:lumMod val="65000"/>
                <a:lumOff val="35000"/>
              </a:schemeClr>
            </a:solidFill>
          </a:endParaRPr>
        </a:p>
      </xdr:txBody>
    </xdr:sp>
    <xdr:clientData/>
  </xdr:oneCellAnchor>
  <xdr:oneCellAnchor>
    <xdr:from>
      <xdr:col>5</xdr:col>
      <xdr:colOff>723900</xdr:colOff>
      <xdr:row>26</xdr:row>
      <xdr:rowOff>32010</xdr:rowOff>
    </xdr:from>
    <xdr:ext cx="1692000" cy="405367"/>
    <xdr:sp macro="" textlink="Relatórios!G6">
      <xdr:nvSpPr>
        <xdr:cNvPr id="46" name="CaixaDeTexto 45">
          <a:extLst>
            <a:ext uri="{FF2B5EF4-FFF2-40B4-BE49-F238E27FC236}">
              <a16:creationId xmlns:a16="http://schemas.microsoft.com/office/drawing/2014/main" id="{00000000-0008-0000-1000-00002E000000}"/>
            </a:ext>
          </a:extLst>
        </xdr:cNvPr>
        <xdr:cNvSpPr txBox="1"/>
      </xdr:nvSpPr>
      <xdr:spPr>
        <a:xfrm>
          <a:off x="2781300" y="5423160"/>
          <a:ext cx="169200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Financeiro</a:t>
          </a:r>
          <a:endParaRPr lang="pt-BR" sz="600">
            <a:solidFill>
              <a:schemeClr val="tx1">
                <a:lumMod val="65000"/>
                <a:lumOff val="35000"/>
              </a:schemeClr>
            </a:solidFill>
          </a:endParaRPr>
        </a:p>
      </xdr:txBody>
    </xdr:sp>
    <xdr:clientData/>
  </xdr:oneCellAnchor>
  <xdr:oneCellAnchor>
    <xdr:from>
      <xdr:col>8</xdr:col>
      <xdr:colOff>238125</xdr:colOff>
      <xdr:row>26</xdr:row>
      <xdr:rowOff>32010</xdr:rowOff>
    </xdr:from>
    <xdr:ext cx="1692000" cy="405367"/>
    <xdr:sp macro="" textlink="Relatórios!G6">
      <xdr:nvSpPr>
        <xdr:cNvPr id="47" name="CaixaDeTexto 46">
          <a:extLst>
            <a:ext uri="{FF2B5EF4-FFF2-40B4-BE49-F238E27FC236}">
              <a16:creationId xmlns:a16="http://schemas.microsoft.com/office/drawing/2014/main" id="{00000000-0008-0000-1000-00002F000000}"/>
            </a:ext>
          </a:extLst>
        </xdr:cNvPr>
        <xdr:cNvSpPr txBox="1"/>
      </xdr:nvSpPr>
      <xdr:spPr>
        <a:xfrm>
          <a:off x="4552950" y="5423160"/>
          <a:ext cx="169200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Econômico</a:t>
          </a:r>
          <a:endParaRPr lang="pt-BR" sz="600">
            <a:solidFill>
              <a:schemeClr val="tx1">
                <a:lumMod val="65000"/>
                <a:lumOff val="3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3</xdr:col>
          <xdr:colOff>180975</xdr:colOff>
          <xdr:row>54</xdr:row>
          <xdr:rowOff>0</xdr:rowOff>
        </xdr:from>
        <xdr:to>
          <xdr:col>10</xdr:col>
          <xdr:colOff>733425</xdr:colOff>
          <xdr:row>55</xdr:row>
          <xdr:rowOff>171450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0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9525</xdr:colOff>
      <xdr:row>56</xdr:row>
      <xdr:rowOff>57151</xdr:rowOff>
    </xdr:from>
    <xdr:to>
      <xdr:col>5</xdr:col>
      <xdr:colOff>699300</xdr:colOff>
      <xdr:row>61</xdr:row>
      <xdr:rowOff>184651</xdr:rowOff>
    </xdr:to>
    <xdr:sp macro="" textlink="'BH (1)'!E11">
      <xdr:nvSpPr>
        <xdr:cNvPr id="48" name="Retângulo 47">
          <a:extLst>
            <a:ext uri="{FF2B5EF4-FFF2-40B4-BE49-F238E27FC236}">
              <a16:creationId xmlns:a16="http://schemas.microsoft.com/office/drawing/2014/main" id="{00000000-0008-0000-1000-000030000000}"/>
            </a:ext>
          </a:extLst>
        </xdr:cNvPr>
        <xdr:cNvSpPr/>
      </xdr:nvSpPr>
      <xdr:spPr>
        <a:xfrm>
          <a:off x="102870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9E1D7A-9322-43F8-8420-3C77042C6E4D}" type="TxLink">
            <a:rPr lang="en-US" sz="2000" b="0" i="0" u="none" strike="noStrike">
              <a:solidFill>
                <a:schemeClr val="tx1">
                  <a:lumMod val="65000"/>
                  <a:lumOff val="35000"/>
                </a:schemeClr>
              </a:solidFill>
              <a:latin typeface="Calibri"/>
              <a:cs typeface="Calibri"/>
            </a:rPr>
            <a:pPr algn="ctr"/>
            <a:t>49</a:t>
          </a:fld>
          <a:endParaRPr lang="pt-BR" sz="2000" b="0">
            <a:solidFill>
              <a:schemeClr val="tx1">
                <a:lumMod val="65000"/>
                <a:lumOff val="35000"/>
              </a:schemeClr>
            </a:solidFill>
          </a:endParaRPr>
        </a:p>
      </xdr:txBody>
    </xdr:sp>
    <xdr:clientData/>
  </xdr:twoCellAnchor>
  <xdr:twoCellAnchor>
    <xdr:from>
      <xdr:col>5</xdr:col>
      <xdr:colOff>742950</xdr:colOff>
      <xdr:row>56</xdr:row>
      <xdr:rowOff>57151</xdr:rowOff>
    </xdr:from>
    <xdr:to>
      <xdr:col>8</xdr:col>
      <xdr:colOff>213525</xdr:colOff>
      <xdr:row>61</xdr:row>
      <xdr:rowOff>184651</xdr:rowOff>
    </xdr:to>
    <xdr:sp macro="" textlink="'BH (1)'!E12">
      <xdr:nvSpPr>
        <xdr:cNvPr id="49" name="Retângulo 48">
          <a:extLst>
            <a:ext uri="{FF2B5EF4-FFF2-40B4-BE49-F238E27FC236}">
              <a16:creationId xmlns:a16="http://schemas.microsoft.com/office/drawing/2014/main" id="{00000000-0008-0000-1000-000031000000}"/>
            </a:ext>
          </a:extLst>
        </xdr:cNvPr>
        <xdr:cNvSpPr/>
      </xdr:nvSpPr>
      <xdr:spPr>
        <a:xfrm>
          <a:off x="280035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7AEB1F-9D19-4167-BE3D-B56F0A7142CD}" type="TxLink">
            <a:rPr lang="en-US" sz="2000" b="0" i="0" u="none" strike="noStrike">
              <a:solidFill>
                <a:schemeClr val="tx1">
                  <a:lumMod val="65000"/>
                  <a:lumOff val="35000"/>
                </a:schemeClr>
              </a:solidFill>
              <a:latin typeface="Calibri"/>
              <a:cs typeface="Calibri"/>
            </a:rPr>
            <a:pPr algn="ctr"/>
            <a:t>R$ 170,00</a:t>
          </a:fld>
          <a:endParaRPr lang="pt-BR" sz="2000" b="0">
            <a:solidFill>
              <a:schemeClr val="tx1">
                <a:lumMod val="65000"/>
                <a:lumOff val="35000"/>
              </a:schemeClr>
            </a:solidFill>
          </a:endParaRPr>
        </a:p>
      </xdr:txBody>
    </xdr:sp>
    <xdr:clientData/>
  </xdr:twoCellAnchor>
  <xdr:twoCellAnchor>
    <xdr:from>
      <xdr:col>8</xdr:col>
      <xdr:colOff>257175</xdr:colOff>
      <xdr:row>56</xdr:row>
      <xdr:rowOff>57151</xdr:rowOff>
    </xdr:from>
    <xdr:to>
      <xdr:col>10</xdr:col>
      <xdr:colOff>765975</xdr:colOff>
      <xdr:row>61</xdr:row>
      <xdr:rowOff>184651</xdr:rowOff>
    </xdr:to>
    <xdr:sp macro="" textlink="'BH (1)'!E13">
      <xdr:nvSpPr>
        <xdr:cNvPr id="50" name="Retângulo 49">
          <a:extLst>
            <a:ext uri="{FF2B5EF4-FFF2-40B4-BE49-F238E27FC236}">
              <a16:creationId xmlns:a16="http://schemas.microsoft.com/office/drawing/2014/main" id="{00000000-0008-0000-1000-000032000000}"/>
            </a:ext>
          </a:extLst>
        </xdr:cNvPr>
        <xdr:cNvSpPr/>
      </xdr:nvSpPr>
      <xdr:spPr>
        <a:xfrm>
          <a:off x="457200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7D423FB-BF4B-4895-A435-141DFD95A60F}" type="TxLink">
            <a:rPr lang="en-US" sz="2000" b="0" i="0" u="none" strike="noStrike">
              <a:solidFill>
                <a:schemeClr val="tx1">
                  <a:lumMod val="65000"/>
                  <a:lumOff val="35000"/>
                </a:schemeClr>
              </a:solidFill>
              <a:latin typeface="Calibri"/>
              <a:cs typeface="Calibri"/>
            </a:rPr>
            <a:pPr algn="ctr"/>
            <a:t>R$ 55,54</a:t>
          </a:fld>
          <a:endParaRPr lang="en-US" sz="2000" b="0" i="0" u="none" strike="noStrike">
            <a:solidFill>
              <a:schemeClr val="tx1">
                <a:lumMod val="65000"/>
                <a:lumOff val="35000"/>
              </a:schemeClr>
            </a:solidFill>
            <a:latin typeface="Calibri"/>
            <a:cs typeface="Calibri"/>
          </a:endParaRPr>
        </a:p>
      </xdr:txBody>
    </xdr:sp>
    <xdr:clientData/>
  </xdr:twoCellAnchor>
  <xdr:twoCellAnchor>
    <xdr:from>
      <xdr:col>10</xdr:col>
      <xdr:colOff>809625</xdr:colOff>
      <xdr:row>56</xdr:row>
      <xdr:rowOff>57151</xdr:rowOff>
    </xdr:from>
    <xdr:to>
      <xdr:col>13</xdr:col>
      <xdr:colOff>280200</xdr:colOff>
      <xdr:row>61</xdr:row>
      <xdr:rowOff>184651</xdr:rowOff>
    </xdr:to>
    <xdr:sp macro="" textlink="'BH (1)'!E14">
      <xdr:nvSpPr>
        <xdr:cNvPr id="51" name="Retângulo 50">
          <a:extLst>
            <a:ext uri="{FF2B5EF4-FFF2-40B4-BE49-F238E27FC236}">
              <a16:creationId xmlns:a16="http://schemas.microsoft.com/office/drawing/2014/main" id="{00000000-0008-0000-1000-000033000000}"/>
            </a:ext>
          </a:extLst>
        </xdr:cNvPr>
        <xdr:cNvSpPr/>
      </xdr:nvSpPr>
      <xdr:spPr>
        <a:xfrm>
          <a:off x="634365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9A2C08D-30C4-4EC4-B703-36C2DC72AD4A}" type="TxLink">
            <a:rPr lang="en-US" sz="2000" b="0" i="0" u="none" strike="noStrike">
              <a:solidFill>
                <a:schemeClr val="tx1">
                  <a:lumMod val="65000"/>
                  <a:lumOff val="35000"/>
                </a:schemeClr>
              </a:solidFill>
              <a:latin typeface="Calibri"/>
              <a:cs typeface="Calibri"/>
            </a:rPr>
            <a:pPr algn="ctr"/>
            <a:t>R$ 114,46</a:t>
          </a:fld>
          <a:endParaRPr lang="pt-BR" sz="2000" b="0">
            <a:solidFill>
              <a:schemeClr val="tx1">
                <a:lumMod val="65000"/>
                <a:lumOff val="35000"/>
              </a:schemeClr>
            </a:solidFill>
          </a:endParaRPr>
        </a:p>
      </xdr:txBody>
    </xdr:sp>
    <xdr:clientData/>
  </xdr:twoCellAnchor>
  <xdr:twoCellAnchor>
    <xdr:from>
      <xdr:col>13</xdr:col>
      <xdr:colOff>323850</xdr:colOff>
      <xdr:row>56</xdr:row>
      <xdr:rowOff>57151</xdr:rowOff>
    </xdr:from>
    <xdr:to>
      <xdr:col>16</xdr:col>
      <xdr:colOff>223050</xdr:colOff>
      <xdr:row>61</xdr:row>
      <xdr:rowOff>184651</xdr:rowOff>
    </xdr:to>
    <xdr:sp macro="" textlink="'BH (1)'!E15">
      <xdr:nvSpPr>
        <xdr:cNvPr id="52" name="Retângulo 51">
          <a:extLst>
            <a:ext uri="{FF2B5EF4-FFF2-40B4-BE49-F238E27FC236}">
              <a16:creationId xmlns:a16="http://schemas.microsoft.com/office/drawing/2014/main" id="{00000000-0008-0000-1000-000034000000}"/>
            </a:ext>
          </a:extLst>
        </xdr:cNvPr>
        <xdr:cNvSpPr/>
      </xdr:nvSpPr>
      <xdr:spPr>
        <a:xfrm>
          <a:off x="811530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238FD3D-6376-45C9-8A92-51092B8CFEC5}" type="TxLink">
            <a:rPr lang="en-US" sz="2000" b="0" i="0" u="none" strike="noStrike">
              <a:solidFill>
                <a:schemeClr val="tx1">
                  <a:lumMod val="65000"/>
                  <a:lumOff val="35000"/>
                </a:schemeClr>
              </a:solidFill>
              <a:latin typeface="Calibri"/>
              <a:cs typeface="Calibri"/>
            </a:rPr>
            <a:pPr algn="ctr"/>
            <a:t>R$ 383,25</a:t>
          </a:fld>
          <a:endParaRPr lang="pt-BR" sz="2000" b="0">
            <a:solidFill>
              <a:schemeClr val="tx1">
                <a:lumMod val="65000"/>
                <a:lumOff val="35000"/>
              </a:schemeClr>
            </a:solidFill>
          </a:endParaRPr>
        </a:p>
      </xdr:txBody>
    </xdr:sp>
    <xdr:clientData/>
  </xdr:twoCellAnchor>
  <xdr:twoCellAnchor>
    <xdr:from>
      <xdr:col>16</xdr:col>
      <xdr:colOff>266700</xdr:colOff>
      <xdr:row>56</xdr:row>
      <xdr:rowOff>57151</xdr:rowOff>
    </xdr:from>
    <xdr:to>
      <xdr:col>19</xdr:col>
      <xdr:colOff>165900</xdr:colOff>
      <xdr:row>61</xdr:row>
      <xdr:rowOff>184651</xdr:rowOff>
    </xdr:to>
    <xdr:sp macro="" textlink="'BH (1)'!E16">
      <xdr:nvSpPr>
        <xdr:cNvPr id="53" name="Retângulo 52">
          <a:extLst>
            <a:ext uri="{FF2B5EF4-FFF2-40B4-BE49-F238E27FC236}">
              <a16:creationId xmlns:a16="http://schemas.microsoft.com/office/drawing/2014/main" id="{00000000-0008-0000-1000-000035000000}"/>
            </a:ext>
          </a:extLst>
        </xdr:cNvPr>
        <xdr:cNvSpPr/>
      </xdr:nvSpPr>
      <xdr:spPr>
        <a:xfrm>
          <a:off x="9886950" y="11163301"/>
          <a:ext cx="1728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79AA2F7-98FB-4BB2-B7EB-02381FA5B370}" type="TxLink">
            <a:rPr lang="en-US" sz="2000" b="0" i="0" u="none" strike="noStrike">
              <a:solidFill>
                <a:schemeClr val="tx1">
                  <a:lumMod val="65000"/>
                  <a:lumOff val="35000"/>
                </a:schemeClr>
              </a:solidFill>
              <a:latin typeface="Calibri"/>
              <a:cs typeface="Calibri"/>
            </a:rPr>
            <a:pPr algn="ctr"/>
            <a:t>R$ 5.216,75</a:t>
          </a:fld>
          <a:endParaRPr lang="pt-BR" sz="2000" b="0">
            <a:solidFill>
              <a:schemeClr val="tx1">
                <a:lumMod val="65000"/>
                <a:lumOff val="35000"/>
              </a:schemeClr>
            </a:solidFill>
          </a:endParaRPr>
        </a:p>
      </xdr:txBody>
    </xdr:sp>
    <xdr:clientData/>
  </xdr:twoCellAnchor>
  <xdr:oneCellAnchor>
    <xdr:from>
      <xdr:col>4</xdr:col>
      <xdr:colOff>28575</xdr:colOff>
      <xdr:row>56</xdr:row>
      <xdr:rowOff>76201</xdr:rowOff>
    </xdr:from>
    <xdr:ext cx="1728000" cy="248851"/>
    <xdr:sp macro="" textlink="">
      <xdr:nvSpPr>
        <xdr:cNvPr id="54" name="CaixaDeTexto 53">
          <a:extLst>
            <a:ext uri="{FF2B5EF4-FFF2-40B4-BE49-F238E27FC236}">
              <a16:creationId xmlns:a16="http://schemas.microsoft.com/office/drawing/2014/main" id="{00000000-0008-0000-1000-000036000000}"/>
            </a:ext>
          </a:extLst>
        </xdr:cNvPr>
        <xdr:cNvSpPr txBox="1"/>
      </xdr:nvSpPr>
      <xdr:spPr>
        <a:xfrm>
          <a:off x="1047750"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Vendas Necessárias</a:t>
          </a:r>
        </a:p>
      </xdr:txBody>
    </xdr:sp>
    <xdr:clientData/>
  </xdr:oneCellAnchor>
  <xdr:oneCellAnchor>
    <xdr:from>
      <xdr:col>5</xdr:col>
      <xdr:colOff>752475</xdr:colOff>
      <xdr:row>56</xdr:row>
      <xdr:rowOff>76201</xdr:rowOff>
    </xdr:from>
    <xdr:ext cx="1728000" cy="248851"/>
    <xdr:sp macro="" textlink="">
      <xdr:nvSpPr>
        <xdr:cNvPr id="55" name="CaixaDeTexto 54">
          <a:extLst>
            <a:ext uri="{FF2B5EF4-FFF2-40B4-BE49-F238E27FC236}">
              <a16:creationId xmlns:a16="http://schemas.microsoft.com/office/drawing/2014/main" id="{00000000-0008-0000-1000-000037000000}"/>
            </a:ext>
          </a:extLst>
        </xdr:cNvPr>
        <xdr:cNvSpPr txBox="1"/>
      </xdr:nvSpPr>
      <xdr:spPr>
        <a:xfrm>
          <a:off x="2809875"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Preço de Venda</a:t>
          </a:r>
        </a:p>
      </xdr:txBody>
    </xdr:sp>
    <xdr:clientData/>
  </xdr:oneCellAnchor>
  <xdr:oneCellAnchor>
    <xdr:from>
      <xdr:col>10</xdr:col>
      <xdr:colOff>819150</xdr:colOff>
      <xdr:row>56</xdr:row>
      <xdr:rowOff>76201</xdr:rowOff>
    </xdr:from>
    <xdr:ext cx="1728000" cy="248851"/>
    <xdr:sp macro="" textlink="">
      <xdr:nvSpPr>
        <xdr:cNvPr id="56" name="CaixaDeTexto 55">
          <a:extLst>
            <a:ext uri="{FF2B5EF4-FFF2-40B4-BE49-F238E27FC236}">
              <a16:creationId xmlns:a16="http://schemas.microsoft.com/office/drawing/2014/main" id="{00000000-0008-0000-1000-000038000000}"/>
            </a:ext>
          </a:extLst>
        </xdr:cNvPr>
        <xdr:cNvSpPr txBox="1"/>
      </xdr:nvSpPr>
      <xdr:spPr>
        <a:xfrm>
          <a:off x="6353175"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 de Contribuição</a:t>
          </a:r>
        </a:p>
      </xdr:txBody>
    </xdr:sp>
    <xdr:clientData/>
  </xdr:oneCellAnchor>
  <xdr:oneCellAnchor>
    <xdr:from>
      <xdr:col>13</xdr:col>
      <xdr:colOff>333375</xdr:colOff>
      <xdr:row>56</xdr:row>
      <xdr:rowOff>76201</xdr:rowOff>
    </xdr:from>
    <xdr:ext cx="1728000" cy="248851"/>
    <xdr:sp macro="" textlink="">
      <xdr:nvSpPr>
        <xdr:cNvPr id="57" name="CaixaDeTexto 56">
          <a:extLst>
            <a:ext uri="{FF2B5EF4-FFF2-40B4-BE49-F238E27FC236}">
              <a16:creationId xmlns:a16="http://schemas.microsoft.com/office/drawing/2014/main" id="{00000000-0008-0000-1000-000039000000}"/>
            </a:ext>
          </a:extLst>
        </xdr:cNvPr>
        <xdr:cNvSpPr txBox="1"/>
      </xdr:nvSpPr>
      <xdr:spPr>
        <a:xfrm>
          <a:off x="8124825"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 de Custos Fixos</a:t>
          </a:r>
        </a:p>
      </xdr:txBody>
    </xdr:sp>
    <xdr:clientData/>
  </xdr:oneCellAnchor>
  <xdr:oneCellAnchor>
    <xdr:from>
      <xdr:col>16</xdr:col>
      <xdr:colOff>266700</xdr:colOff>
      <xdr:row>56</xdr:row>
      <xdr:rowOff>76201</xdr:rowOff>
    </xdr:from>
    <xdr:ext cx="1728000" cy="248851"/>
    <xdr:sp macro="" textlink="">
      <xdr:nvSpPr>
        <xdr:cNvPr id="58" name="CaixaDeTexto 57">
          <a:extLst>
            <a:ext uri="{FF2B5EF4-FFF2-40B4-BE49-F238E27FC236}">
              <a16:creationId xmlns:a16="http://schemas.microsoft.com/office/drawing/2014/main" id="{00000000-0008-0000-1000-00003A000000}"/>
            </a:ext>
          </a:extLst>
        </xdr:cNvPr>
        <xdr:cNvSpPr txBox="1"/>
      </xdr:nvSpPr>
      <xdr:spPr>
        <a:xfrm>
          <a:off x="9886950"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 de Lucro</a:t>
          </a:r>
        </a:p>
      </xdr:txBody>
    </xdr:sp>
    <xdr:clientData/>
  </xdr:oneCellAnchor>
  <xdr:oneCellAnchor>
    <xdr:from>
      <xdr:col>8</xdr:col>
      <xdr:colOff>266700</xdr:colOff>
      <xdr:row>56</xdr:row>
      <xdr:rowOff>76201</xdr:rowOff>
    </xdr:from>
    <xdr:ext cx="1728000" cy="248851"/>
    <xdr:sp macro="" textlink="">
      <xdr:nvSpPr>
        <xdr:cNvPr id="59" name="CaixaDeTexto 58">
          <a:extLst>
            <a:ext uri="{FF2B5EF4-FFF2-40B4-BE49-F238E27FC236}">
              <a16:creationId xmlns:a16="http://schemas.microsoft.com/office/drawing/2014/main" id="{00000000-0008-0000-1000-00003B000000}"/>
            </a:ext>
          </a:extLst>
        </xdr:cNvPr>
        <xdr:cNvSpPr txBox="1"/>
      </xdr:nvSpPr>
      <xdr:spPr>
        <a:xfrm>
          <a:off x="4581525" y="11182351"/>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a:t>
          </a:r>
          <a:r>
            <a:rPr lang="pt-BR" sz="1000" baseline="0">
              <a:solidFill>
                <a:schemeClr val="tx1">
                  <a:lumMod val="75000"/>
                  <a:lumOff val="25000"/>
                </a:schemeClr>
              </a:solidFill>
            </a:rPr>
            <a:t> Direto Unitário</a:t>
          </a:r>
          <a:endParaRPr lang="pt-BR" sz="10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10</xdr:col>
          <xdr:colOff>809625</xdr:colOff>
          <xdr:row>54</xdr:row>
          <xdr:rowOff>0</xdr:rowOff>
        </xdr:from>
        <xdr:to>
          <xdr:col>19</xdr:col>
          <xdr:colOff>142875</xdr:colOff>
          <xdr:row>55</xdr:row>
          <xdr:rowOff>171450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10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9525</xdr:colOff>
      <xdr:row>62</xdr:row>
      <xdr:rowOff>47625</xdr:rowOff>
    </xdr:from>
    <xdr:to>
      <xdr:col>8</xdr:col>
      <xdr:colOff>200025</xdr:colOff>
      <xdr:row>85</xdr:row>
      <xdr:rowOff>0</xdr:rowOff>
    </xdr:to>
    <xdr:graphicFrame macro="">
      <xdr:nvGraphicFramePr>
        <xdr:cNvPr id="60" name="Gráfico 59">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257175</xdr:colOff>
      <xdr:row>62</xdr:row>
      <xdr:rowOff>47626</xdr:rowOff>
    </xdr:from>
    <xdr:to>
      <xdr:col>13</xdr:col>
      <xdr:colOff>266700</xdr:colOff>
      <xdr:row>85</xdr:row>
      <xdr:rowOff>1</xdr:rowOff>
    </xdr:to>
    <xdr:graphicFrame macro="">
      <xdr:nvGraphicFramePr>
        <xdr:cNvPr id="61" name="Gráfico 60">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323850</xdr:colOff>
      <xdr:row>62</xdr:row>
      <xdr:rowOff>47626</xdr:rowOff>
    </xdr:from>
    <xdr:to>
      <xdr:col>19</xdr:col>
      <xdr:colOff>152400</xdr:colOff>
      <xdr:row>85</xdr:row>
      <xdr:rowOff>1</xdr:rowOff>
    </xdr:to>
    <xdr:graphicFrame macro="">
      <xdr:nvGraphicFramePr>
        <xdr:cNvPr id="62" name="Gráfico 61">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1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Geral</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1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xdr:from>
      <xdr:col>2</xdr:col>
      <xdr:colOff>0</xdr:colOff>
      <xdr:row>3</xdr:row>
      <xdr:rowOff>0</xdr:rowOff>
    </xdr:from>
    <xdr:to>
      <xdr:col>5</xdr:col>
      <xdr:colOff>151200</xdr:colOff>
      <xdr:row>5</xdr:row>
      <xdr:rowOff>365625</xdr:rowOff>
    </xdr:to>
    <xdr:sp macro="" textlink="DespF!E4">
      <xdr:nvSpPr>
        <xdr:cNvPr id="18" name="Retângulo 17">
          <a:extLst>
            <a:ext uri="{FF2B5EF4-FFF2-40B4-BE49-F238E27FC236}">
              <a16:creationId xmlns:a16="http://schemas.microsoft.com/office/drawing/2014/main" id="{00000000-0008-0000-1100-000012000000}"/>
            </a:ext>
          </a:extLst>
        </xdr:cNvPr>
        <xdr:cNvSpPr/>
      </xdr:nvSpPr>
      <xdr:spPr>
        <a:xfrm>
          <a:off x="22860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171C76-5B10-489E-987E-794257C8FBB0}" type="TxLink">
            <a:rPr lang="en-US" sz="2000" b="0" i="0" u="none" strike="noStrike">
              <a:solidFill>
                <a:schemeClr val="tx1">
                  <a:lumMod val="65000"/>
                  <a:lumOff val="35000"/>
                </a:schemeClr>
              </a:solidFill>
              <a:latin typeface="Calibri"/>
              <a:cs typeface="Calibri"/>
            </a:rPr>
            <a:pPr algn="ctr"/>
            <a:t>R$ 5.600,00</a:t>
          </a:fld>
          <a:endParaRPr lang="pt-BR" sz="2000" b="0">
            <a:solidFill>
              <a:schemeClr val="tx1">
                <a:lumMod val="65000"/>
                <a:lumOff val="35000"/>
              </a:schemeClr>
            </a:solidFill>
          </a:endParaRPr>
        </a:p>
      </xdr:txBody>
    </xdr:sp>
    <xdr:clientData/>
  </xdr:twoCellAnchor>
  <xdr:twoCellAnchor>
    <xdr:from>
      <xdr:col>5</xdr:col>
      <xdr:colOff>209550</xdr:colOff>
      <xdr:row>3</xdr:row>
      <xdr:rowOff>0</xdr:rowOff>
    </xdr:from>
    <xdr:to>
      <xdr:col>8</xdr:col>
      <xdr:colOff>360750</xdr:colOff>
      <xdr:row>5</xdr:row>
      <xdr:rowOff>365625</xdr:rowOff>
    </xdr:to>
    <xdr:sp macro="" textlink="DespF!I4">
      <xdr:nvSpPr>
        <xdr:cNvPr id="19" name="Retângulo 18">
          <a:extLst>
            <a:ext uri="{FF2B5EF4-FFF2-40B4-BE49-F238E27FC236}">
              <a16:creationId xmlns:a16="http://schemas.microsoft.com/office/drawing/2014/main" id="{00000000-0008-0000-1100-000013000000}"/>
            </a:ext>
          </a:extLst>
        </xdr:cNvPr>
        <xdr:cNvSpPr/>
      </xdr:nvSpPr>
      <xdr:spPr>
        <a:xfrm>
          <a:off x="226695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359B44-726F-4C88-845D-22F01488D457}" type="TxLink">
            <a:rPr lang="en-US" sz="2000" b="0" i="0" u="none" strike="noStrike">
              <a:solidFill>
                <a:schemeClr val="tx1">
                  <a:lumMod val="65000"/>
                  <a:lumOff val="35000"/>
                </a:schemeClr>
              </a:solidFill>
              <a:latin typeface="Calibri"/>
              <a:cs typeface="Calibri"/>
            </a:rPr>
            <a:pPr algn="ctr"/>
            <a:t>R$ 5.500,00</a:t>
          </a:fld>
          <a:endParaRPr lang="pt-BR" sz="2000" b="0">
            <a:solidFill>
              <a:schemeClr val="tx1">
                <a:lumMod val="65000"/>
                <a:lumOff val="35000"/>
              </a:schemeClr>
            </a:solidFill>
          </a:endParaRPr>
        </a:p>
      </xdr:txBody>
    </xdr:sp>
    <xdr:clientData/>
  </xdr:twoCellAnchor>
  <xdr:twoCellAnchor>
    <xdr:from>
      <xdr:col>8</xdr:col>
      <xdr:colOff>419100</xdr:colOff>
      <xdr:row>3</xdr:row>
      <xdr:rowOff>0</xdr:rowOff>
    </xdr:from>
    <xdr:to>
      <xdr:col>11</xdr:col>
      <xdr:colOff>570300</xdr:colOff>
      <xdr:row>5</xdr:row>
      <xdr:rowOff>365625</xdr:rowOff>
    </xdr:to>
    <xdr:sp macro="" textlink="'Prod 3'!F3">
      <xdr:nvSpPr>
        <xdr:cNvPr id="20" name="Retângulo 19">
          <a:extLst>
            <a:ext uri="{FF2B5EF4-FFF2-40B4-BE49-F238E27FC236}">
              <a16:creationId xmlns:a16="http://schemas.microsoft.com/office/drawing/2014/main" id="{00000000-0008-0000-1100-000014000000}"/>
            </a:ext>
          </a:extLst>
        </xdr:cNvPr>
        <xdr:cNvSpPr/>
      </xdr:nvSpPr>
      <xdr:spPr>
        <a:xfrm>
          <a:off x="430530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1DB4D4-3AE5-465C-A5BC-197D62238D81}" type="TxLink">
            <a:rPr lang="en-US" sz="2000" b="0" i="0" u="none" strike="noStrike">
              <a:solidFill>
                <a:schemeClr val="tx1">
                  <a:lumMod val="65000"/>
                  <a:lumOff val="35000"/>
                </a:schemeClr>
              </a:solidFill>
              <a:latin typeface="Calibri"/>
              <a:cs typeface="Calibri"/>
            </a:rPr>
            <a:pPr algn="ctr"/>
            <a:t>R$ 62.100,00</a:t>
          </a:fld>
          <a:endParaRPr lang="pt-BR" sz="2000" b="0">
            <a:solidFill>
              <a:schemeClr val="tx1">
                <a:lumMod val="65000"/>
                <a:lumOff val="35000"/>
              </a:schemeClr>
            </a:solidFill>
          </a:endParaRPr>
        </a:p>
      </xdr:txBody>
    </xdr:sp>
    <xdr:clientData/>
  </xdr:twoCellAnchor>
  <xdr:twoCellAnchor>
    <xdr:from>
      <xdr:col>12</xdr:col>
      <xdr:colOff>19050</xdr:colOff>
      <xdr:row>3</xdr:row>
      <xdr:rowOff>0</xdr:rowOff>
    </xdr:from>
    <xdr:to>
      <xdr:col>15</xdr:col>
      <xdr:colOff>170250</xdr:colOff>
      <xdr:row>5</xdr:row>
      <xdr:rowOff>365625</xdr:rowOff>
    </xdr:to>
    <xdr:sp macro="" textlink="'Prod 1'!E3">
      <xdr:nvSpPr>
        <xdr:cNvPr id="21" name="Retângulo 20">
          <a:extLst>
            <a:ext uri="{FF2B5EF4-FFF2-40B4-BE49-F238E27FC236}">
              <a16:creationId xmlns:a16="http://schemas.microsoft.com/office/drawing/2014/main" id="{00000000-0008-0000-1100-000015000000}"/>
            </a:ext>
          </a:extLst>
        </xdr:cNvPr>
        <xdr:cNvSpPr/>
      </xdr:nvSpPr>
      <xdr:spPr>
        <a:xfrm>
          <a:off x="634365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4903A9-4847-46D1-A5EA-DEFEE0BB0860}" type="TxLink">
            <a:rPr lang="en-US" sz="2000" b="0" i="0" u="none" strike="noStrike">
              <a:solidFill>
                <a:srgbClr val="01B8AA"/>
              </a:solidFill>
              <a:latin typeface="Calibri"/>
              <a:cs typeface="Calibri"/>
            </a:rPr>
            <a:pPr algn="ctr"/>
            <a:t>R$ 340,00</a:t>
          </a:fld>
          <a:endParaRPr lang="pt-BR" sz="2000" b="0">
            <a:solidFill>
              <a:srgbClr val="01B8AA"/>
            </a:solidFill>
          </a:endParaRPr>
        </a:p>
      </xdr:txBody>
    </xdr:sp>
    <xdr:clientData/>
  </xdr:twoCellAnchor>
  <xdr:twoCellAnchor>
    <xdr:from>
      <xdr:col>15</xdr:col>
      <xdr:colOff>228600</xdr:colOff>
      <xdr:row>3</xdr:row>
      <xdr:rowOff>0</xdr:rowOff>
    </xdr:from>
    <xdr:to>
      <xdr:col>18</xdr:col>
      <xdr:colOff>379800</xdr:colOff>
      <xdr:row>5</xdr:row>
      <xdr:rowOff>365625</xdr:rowOff>
    </xdr:to>
    <xdr:sp macro="" textlink="'Prod 1'!H3">
      <xdr:nvSpPr>
        <xdr:cNvPr id="22" name="Retângulo 21">
          <a:extLst>
            <a:ext uri="{FF2B5EF4-FFF2-40B4-BE49-F238E27FC236}">
              <a16:creationId xmlns:a16="http://schemas.microsoft.com/office/drawing/2014/main" id="{00000000-0008-0000-1100-000016000000}"/>
            </a:ext>
          </a:extLst>
        </xdr:cNvPr>
        <xdr:cNvSpPr/>
      </xdr:nvSpPr>
      <xdr:spPr>
        <a:xfrm>
          <a:off x="838200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BE7CA1A-F0F3-496B-98C9-12A480990AB6}" type="TxLink">
            <a:rPr lang="en-US" sz="2000" b="0" i="0" u="none" strike="noStrike">
              <a:solidFill>
                <a:srgbClr val="FC8380"/>
              </a:solidFill>
              <a:latin typeface="Calibri"/>
              <a:cs typeface="Calibri"/>
            </a:rPr>
            <a:pPr algn="ctr"/>
            <a:t>R$ 186,61</a:t>
          </a:fld>
          <a:endParaRPr lang="pt-BR" sz="2000" b="0">
            <a:solidFill>
              <a:srgbClr val="FC8380"/>
            </a:solidFill>
          </a:endParaRPr>
        </a:p>
      </xdr:txBody>
    </xdr:sp>
    <xdr:clientData/>
  </xdr:twoCellAnchor>
  <xdr:twoCellAnchor>
    <xdr:from>
      <xdr:col>18</xdr:col>
      <xdr:colOff>438150</xdr:colOff>
      <xdr:row>3</xdr:row>
      <xdr:rowOff>0</xdr:rowOff>
    </xdr:from>
    <xdr:to>
      <xdr:col>21</xdr:col>
      <xdr:colOff>589350</xdr:colOff>
      <xdr:row>5</xdr:row>
      <xdr:rowOff>365625</xdr:rowOff>
    </xdr:to>
    <xdr:sp macro="" textlink="'Prod 1'!I3">
      <xdr:nvSpPr>
        <xdr:cNvPr id="23" name="Retângulo 22">
          <a:extLst>
            <a:ext uri="{FF2B5EF4-FFF2-40B4-BE49-F238E27FC236}">
              <a16:creationId xmlns:a16="http://schemas.microsoft.com/office/drawing/2014/main" id="{00000000-0008-0000-1100-000017000000}"/>
            </a:ext>
          </a:extLst>
        </xdr:cNvPr>
        <xdr:cNvSpPr/>
      </xdr:nvSpPr>
      <xdr:spPr>
        <a:xfrm>
          <a:off x="10420350" y="12001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762F4C-F7D9-4037-8743-8BD278E02C1A}" type="TxLink">
            <a:rPr lang="en-US" sz="2000" b="0" i="0" u="none" strike="noStrike">
              <a:solidFill>
                <a:srgbClr val="F2C80F"/>
              </a:solidFill>
              <a:latin typeface="Calibri"/>
              <a:cs typeface="Calibri"/>
            </a:rPr>
            <a:pPr algn="ctr"/>
            <a:t>R$ 153,39</a:t>
          </a:fld>
          <a:endParaRPr lang="pt-BR" sz="2000" b="0">
            <a:solidFill>
              <a:srgbClr val="F2C80F"/>
            </a:solidFill>
          </a:endParaRPr>
        </a:p>
      </xdr:txBody>
    </xdr:sp>
    <xdr:clientData/>
  </xdr:twoCellAnchor>
  <xdr:oneCellAnchor>
    <xdr:from>
      <xdr:col>2</xdr:col>
      <xdr:colOff>19050</xdr:colOff>
      <xdr:row>3</xdr:row>
      <xdr:rowOff>19050</xdr:rowOff>
    </xdr:from>
    <xdr:ext cx="1962150" cy="24885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247650"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Custos e Despesas</a:t>
          </a:r>
          <a:r>
            <a:rPr lang="pt-BR" sz="1000" baseline="0">
              <a:solidFill>
                <a:schemeClr val="tx1">
                  <a:lumMod val="75000"/>
                  <a:lumOff val="25000"/>
                </a:schemeClr>
              </a:solidFill>
            </a:rPr>
            <a:t> Fixas</a:t>
          </a:r>
          <a:endParaRPr lang="pt-BR" sz="1000">
            <a:solidFill>
              <a:schemeClr val="tx1">
                <a:lumMod val="75000"/>
                <a:lumOff val="25000"/>
              </a:schemeClr>
            </a:solidFill>
          </a:endParaRPr>
        </a:p>
      </xdr:txBody>
    </xdr:sp>
    <xdr:clientData/>
  </xdr:oneCellAnchor>
  <xdr:oneCellAnchor>
    <xdr:from>
      <xdr:col>5</xdr:col>
      <xdr:colOff>219075</xdr:colOff>
      <xdr:row>3</xdr:row>
      <xdr:rowOff>19050</xdr:rowOff>
    </xdr:from>
    <xdr:ext cx="1962150" cy="248851"/>
    <xdr:sp macro="" textlink="">
      <xdr:nvSpPr>
        <xdr:cNvPr id="25" name="CaixaDeTexto 24">
          <a:extLst>
            <a:ext uri="{FF2B5EF4-FFF2-40B4-BE49-F238E27FC236}">
              <a16:creationId xmlns:a16="http://schemas.microsoft.com/office/drawing/2014/main" id="{00000000-0008-0000-1100-000019000000}"/>
            </a:ext>
          </a:extLst>
        </xdr:cNvPr>
        <xdr:cNvSpPr txBox="1"/>
      </xdr:nvSpPr>
      <xdr:spPr>
        <a:xfrm>
          <a:off x="2276475"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Deprec.</a:t>
          </a:r>
          <a:r>
            <a:rPr lang="pt-BR" sz="1000" baseline="0">
              <a:solidFill>
                <a:schemeClr val="tx1">
                  <a:lumMod val="75000"/>
                  <a:lumOff val="25000"/>
                </a:schemeClr>
              </a:solidFill>
            </a:rPr>
            <a:t> Amortização.Exaustão</a:t>
          </a:r>
          <a:endParaRPr lang="pt-BR" sz="1000">
            <a:solidFill>
              <a:schemeClr val="tx1">
                <a:lumMod val="75000"/>
                <a:lumOff val="25000"/>
              </a:schemeClr>
            </a:solidFill>
          </a:endParaRPr>
        </a:p>
      </xdr:txBody>
    </xdr:sp>
    <xdr:clientData/>
  </xdr:oneCellAnchor>
  <xdr:oneCellAnchor>
    <xdr:from>
      <xdr:col>12</xdr:col>
      <xdr:colOff>28575</xdr:colOff>
      <xdr:row>3</xdr:row>
      <xdr:rowOff>19050</xdr:rowOff>
    </xdr:from>
    <xdr:ext cx="1962150" cy="248851"/>
    <xdr:sp macro="" textlink="">
      <xdr:nvSpPr>
        <xdr:cNvPr id="26" name="CaixaDeTexto 25">
          <a:extLst>
            <a:ext uri="{FF2B5EF4-FFF2-40B4-BE49-F238E27FC236}">
              <a16:creationId xmlns:a16="http://schemas.microsoft.com/office/drawing/2014/main" id="{00000000-0008-0000-1100-00001A000000}"/>
            </a:ext>
          </a:extLst>
        </xdr:cNvPr>
        <xdr:cNvSpPr txBox="1"/>
      </xdr:nvSpPr>
      <xdr:spPr>
        <a:xfrm>
          <a:off x="6353175"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Preço de Venda Médio</a:t>
          </a:r>
        </a:p>
      </xdr:txBody>
    </xdr:sp>
    <xdr:clientData/>
  </xdr:oneCellAnchor>
  <xdr:oneCellAnchor>
    <xdr:from>
      <xdr:col>15</xdr:col>
      <xdr:colOff>238125</xdr:colOff>
      <xdr:row>3</xdr:row>
      <xdr:rowOff>19050</xdr:rowOff>
    </xdr:from>
    <xdr:ext cx="1962150" cy="248851"/>
    <xdr:sp macro="" textlink="">
      <xdr:nvSpPr>
        <xdr:cNvPr id="27" name="CaixaDeTexto 26">
          <a:extLst>
            <a:ext uri="{FF2B5EF4-FFF2-40B4-BE49-F238E27FC236}">
              <a16:creationId xmlns:a16="http://schemas.microsoft.com/office/drawing/2014/main" id="{00000000-0008-0000-1100-00001B000000}"/>
            </a:ext>
          </a:extLst>
        </xdr:cNvPr>
        <xdr:cNvSpPr txBox="1"/>
      </xdr:nvSpPr>
      <xdr:spPr>
        <a:xfrm>
          <a:off x="8391525"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Custos Diretos Médio</a:t>
          </a:r>
        </a:p>
      </xdr:txBody>
    </xdr:sp>
    <xdr:clientData/>
  </xdr:oneCellAnchor>
  <xdr:oneCellAnchor>
    <xdr:from>
      <xdr:col>18</xdr:col>
      <xdr:colOff>438150</xdr:colOff>
      <xdr:row>3</xdr:row>
      <xdr:rowOff>19050</xdr:rowOff>
    </xdr:from>
    <xdr:ext cx="1962150" cy="248851"/>
    <xdr:sp macro="" textlink="">
      <xdr:nvSpPr>
        <xdr:cNvPr id="28" name="CaixaDeTexto 27">
          <a:extLst>
            <a:ext uri="{FF2B5EF4-FFF2-40B4-BE49-F238E27FC236}">
              <a16:creationId xmlns:a16="http://schemas.microsoft.com/office/drawing/2014/main" id="{00000000-0008-0000-1100-00001C000000}"/>
            </a:ext>
          </a:extLst>
        </xdr:cNvPr>
        <xdr:cNvSpPr txBox="1"/>
      </xdr:nvSpPr>
      <xdr:spPr>
        <a:xfrm>
          <a:off x="10420350"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a:t>
          </a:r>
          <a:r>
            <a:rPr lang="pt-BR" sz="1000" baseline="0">
              <a:solidFill>
                <a:schemeClr val="tx1">
                  <a:lumMod val="75000"/>
                  <a:lumOff val="25000"/>
                </a:schemeClr>
              </a:solidFill>
            </a:rPr>
            <a:t> de Contribuição Médio</a:t>
          </a:r>
          <a:endParaRPr lang="pt-BR" sz="1000">
            <a:solidFill>
              <a:schemeClr val="tx1">
                <a:lumMod val="75000"/>
                <a:lumOff val="25000"/>
              </a:schemeClr>
            </a:solidFill>
          </a:endParaRPr>
        </a:p>
      </xdr:txBody>
    </xdr:sp>
    <xdr:clientData/>
  </xdr:oneCellAnchor>
  <xdr:oneCellAnchor>
    <xdr:from>
      <xdr:col>8</xdr:col>
      <xdr:colOff>428625</xdr:colOff>
      <xdr:row>3</xdr:row>
      <xdr:rowOff>19050</xdr:rowOff>
    </xdr:from>
    <xdr:ext cx="1962150" cy="248851"/>
    <xdr:sp macro="" textlink="">
      <xdr:nvSpPr>
        <xdr:cNvPr id="29" name="CaixaDeTexto 28">
          <a:extLst>
            <a:ext uri="{FF2B5EF4-FFF2-40B4-BE49-F238E27FC236}">
              <a16:creationId xmlns:a16="http://schemas.microsoft.com/office/drawing/2014/main" id="{00000000-0008-0000-1100-00001D000000}"/>
            </a:ext>
          </a:extLst>
        </xdr:cNvPr>
        <xdr:cNvSpPr txBox="1"/>
      </xdr:nvSpPr>
      <xdr:spPr>
        <a:xfrm>
          <a:off x="4314825" y="12192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Faturamento Projetado</a:t>
          </a:r>
        </a:p>
      </xdr:txBody>
    </xdr:sp>
    <xdr:clientData/>
  </xdr:oneCellAnchor>
  <xdr:twoCellAnchor>
    <xdr:from>
      <xdr:col>12</xdr:col>
      <xdr:colOff>28575</xdr:colOff>
      <xdr:row>5</xdr:row>
      <xdr:rowOff>419098</xdr:rowOff>
    </xdr:from>
    <xdr:to>
      <xdr:col>21</xdr:col>
      <xdr:colOff>590550</xdr:colOff>
      <xdr:row>10</xdr:row>
      <xdr:rowOff>154348</xdr:rowOff>
    </xdr:to>
    <xdr:graphicFrame macro="">
      <xdr:nvGraphicFramePr>
        <xdr:cNvPr id="30" name="Gráfico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28574</xdr:colOff>
      <xdr:row>10</xdr:row>
      <xdr:rowOff>209550</xdr:rowOff>
    </xdr:from>
    <xdr:to>
      <xdr:col>21</xdr:col>
      <xdr:colOff>590174</xdr:colOff>
      <xdr:row>14</xdr:row>
      <xdr:rowOff>382950</xdr:rowOff>
    </xdr:to>
    <xdr:graphicFrame macro="">
      <xdr:nvGraphicFramePr>
        <xdr:cNvPr id="32" name="Gráfico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9525</xdr:colOff>
      <xdr:row>10</xdr:row>
      <xdr:rowOff>209550</xdr:rowOff>
    </xdr:from>
    <xdr:to>
      <xdr:col>11</xdr:col>
      <xdr:colOff>571500</xdr:colOff>
      <xdr:row>14</xdr:row>
      <xdr:rowOff>382950</xdr:rowOff>
    </xdr:to>
    <xdr:graphicFrame macro="">
      <xdr:nvGraphicFramePr>
        <xdr:cNvPr id="33" name="Gráfico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5</xdr:row>
      <xdr:rowOff>419099</xdr:rowOff>
    </xdr:from>
    <xdr:to>
      <xdr:col>5</xdr:col>
      <xdr:colOff>151200</xdr:colOff>
      <xdr:row>10</xdr:row>
      <xdr:rowOff>142874</xdr:rowOff>
    </xdr:to>
    <xdr:sp macro="" textlink="Relatórios!G5">
      <xdr:nvSpPr>
        <xdr:cNvPr id="34" name="Retângulo 33">
          <a:extLst>
            <a:ext uri="{FF2B5EF4-FFF2-40B4-BE49-F238E27FC236}">
              <a16:creationId xmlns:a16="http://schemas.microsoft.com/office/drawing/2014/main" id="{00000000-0008-0000-1100-000022000000}"/>
            </a:ext>
          </a:extLst>
        </xdr:cNvPr>
        <xdr:cNvSpPr/>
      </xdr:nvSpPr>
      <xdr:spPr>
        <a:xfrm>
          <a:off x="228600" y="2333624"/>
          <a:ext cx="1980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79F61D5-10D8-4C0E-8E7B-A13B6731AB96}" type="TxLink">
            <a:rPr lang="en-US" sz="3200" b="1" i="0" u="none" strike="noStrike">
              <a:solidFill>
                <a:srgbClr val="808080"/>
              </a:solidFill>
              <a:latin typeface="Calibri"/>
              <a:cs typeface="Calibri"/>
            </a:rPr>
            <a:pPr algn="ctr"/>
            <a:t>37</a:t>
          </a:fld>
          <a:endParaRPr lang="en-US" sz="4000" b="0" i="0" u="none" strike="noStrike">
            <a:solidFill>
              <a:schemeClr val="tx1"/>
            </a:solidFill>
            <a:latin typeface="Calibri"/>
            <a:cs typeface="Calibri"/>
          </a:endParaRPr>
        </a:p>
      </xdr:txBody>
    </xdr:sp>
    <xdr:clientData/>
  </xdr:twoCellAnchor>
  <xdr:oneCellAnchor>
    <xdr:from>
      <xdr:col>2</xdr:col>
      <xdr:colOff>19050</xdr:colOff>
      <xdr:row>5</xdr:row>
      <xdr:rowOff>414983</xdr:rowOff>
    </xdr:from>
    <xdr:ext cx="1962150" cy="561885"/>
    <xdr:sp macro="" textlink="">
      <xdr:nvSpPr>
        <xdr:cNvPr id="35" name="CaixaDeTexto 34">
          <a:extLst>
            <a:ext uri="{FF2B5EF4-FFF2-40B4-BE49-F238E27FC236}">
              <a16:creationId xmlns:a16="http://schemas.microsoft.com/office/drawing/2014/main" id="{00000000-0008-0000-1100-000023000000}"/>
            </a:ext>
          </a:extLst>
        </xdr:cNvPr>
        <xdr:cNvSpPr txBox="1"/>
      </xdr:nvSpPr>
      <xdr:spPr>
        <a:xfrm>
          <a:off x="247650" y="2329508"/>
          <a:ext cx="1962150" cy="561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Contábil</a:t>
          </a:r>
          <a:r>
            <a:rPr lang="en-US" sz="1000">
              <a:solidFill>
                <a:schemeClr val="tx1">
                  <a:lumMod val="65000"/>
                  <a:lumOff val="35000"/>
                </a:schemeClr>
              </a:solidFill>
            </a:rPr>
            <a:t>
Custos e despesas fixas ÷ Margem de contribuição</a:t>
          </a:r>
        </a:p>
      </xdr:txBody>
    </xdr:sp>
    <xdr:clientData/>
  </xdr:oneCellAnchor>
  <xdr:twoCellAnchor>
    <xdr:from>
      <xdr:col>5</xdr:col>
      <xdr:colOff>209550</xdr:colOff>
      <xdr:row>5</xdr:row>
      <xdr:rowOff>419099</xdr:rowOff>
    </xdr:from>
    <xdr:to>
      <xdr:col>8</xdr:col>
      <xdr:colOff>360750</xdr:colOff>
      <xdr:row>10</xdr:row>
      <xdr:rowOff>142874</xdr:rowOff>
    </xdr:to>
    <xdr:sp macro="" textlink="Relatórios!G7">
      <xdr:nvSpPr>
        <xdr:cNvPr id="36" name="Retângulo 35">
          <a:extLst>
            <a:ext uri="{FF2B5EF4-FFF2-40B4-BE49-F238E27FC236}">
              <a16:creationId xmlns:a16="http://schemas.microsoft.com/office/drawing/2014/main" id="{00000000-0008-0000-1100-000024000000}"/>
            </a:ext>
          </a:extLst>
        </xdr:cNvPr>
        <xdr:cNvSpPr/>
      </xdr:nvSpPr>
      <xdr:spPr>
        <a:xfrm>
          <a:off x="2266950" y="2333624"/>
          <a:ext cx="1980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5F3DF7A-C9DB-4A1B-BB07-CE97C8E9CF05}" type="TxLink">
            <a:rPr lang="en-US" sz="3200" b="1" i="0" u="none" strike="noStrike">
              <a:solidFill>
                <a:srgbClr val="808080"/>
              </a:solidFill>
              <a:latin typeface="Calibri"/>
              <a:cs typeface="Calibri"/>
            </a:rPr>
            <a:pPr algn="ctr"/>
            <a:t>72</a:t>
          </a:fld>
          <a:endParaRPr lang="en-US" sz="4000" b="0" i="0" u="none" strike="noStrike">
            <a:solidFill>
              <a:schemeClr val="tx1"/>
            </a:solidFill>
            <a:latin typeface="Calibri"/>
            <a:cs typeface="Calibri"/>
          </a:endParaRPr>
        </a:p>
      </xdr:txBody>
    </xdr:sp>
    <xdr:clientData/>
  </xdr:twoCellAnchor>
  <xdr:oneCellAnchor>
    <xdr:from>
      <xdr:col>5</xdr:col>
      <xdr:colOff>228600</xdr:colOff>
      <xdr:row>5</xdr:row>
      <xdr:rowOff>422450</xdr:rowOff>
    </xdr:from>
    <xdr:ext cx="1962150" cy="718402"/>
    <xdr:sp macro="" textlink="">
      <xdr:nvSpPr>
        <xdr:cNvPr id="37" name="CaixaDeTexto 36">
          <a:extLst>
            <a:ext uri="{FF2B5EF4-FFF2-40B4-BE49-F238E27FC236}">
              <a16:creationId xmlns:a16="http://schemas.microsoft.com/office/drawing/2014/main" id="{00000000-0008-0000-1100-000025000000}"/>
            </a:ext>
          </a:extLst>
        </xdr:cNvPr>
        <xdr:cNvSpPr txBox="1"/>
      </xdr:nvSpPr>
      <xdr:spPr>
        <a:xfrm>
          <a:off x="2286000" y="2336975"/>
          <a:ext cx="1962150" cy="718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Financeiro                                                             </a:t>
          </a:r>
          <a:r>
            <a:rPr lang="en-US" sz="1000">
              <a:solidFill>
                <a:schemeClr val="tx1">
                  <a:lumMod val="65000"/>
                  <a:lumOff val="35000"/>
                </a:schemeClr>
              </a:solidFill>
            </a:rPr>
            <a:t>Custos e despesas não desembolsáveis ÷ Margem de contribuição</a:t>
          </a:r>
        </a:p>
      </xdr:txBody>
    </xdr:sp>
    <xdr:clientData/>
  </xdr:oneCellAnchor>
  <xdr:twoCellAnchor>
    <xdr:from>
      <xdr:col>8</xdr:col>
      <xdr:colOff>419100</xdr:colOff>
      <xdr:row>5</xdr:row>
      <xdr:rowOff>419099</xdr:rowOff>
    </xdr:from>
    <xdr:to>
      <xdr:col>11</xdr:col>
      <xdr:colOff>570300</xdr:colOff>
      <xdr:row>10</xdr:row>
      <xdr:rowOff>142874</xdr:rowOff>
    </xdr:to>
    <xdr:sp macro="" textlink="Relatórios!G9">
      <xdr:nvSpPr>
        <xdr:cNvPr id="38" name="Retângulo 37">
          <a:extLst>
            <a:ext uri="{FF2B5EF4-FFF2-40B4-BE49-F238E27FC236}">
              <a16:creationId xmlns:a16="http://schemas.microsoft.com/office/drawing/2014/main" id="{00000000-0008-0000-1100-000026000000}"/>
            </a:ext>
          </a:extLst>
        </xdr:cNvPr>
        <xdr:cNvSpPr/>
      </xdr:nvSpPr>
      <xdr:spPr>
        <a:xfrm>
          <a:off x="4305300" y="2333624"/>
          <a:ext cx="1980000" cy="19145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82DD4A1-A357-4CE6-86C4-D0ED3D14387C}" type="TxLink">
            <a:rPr lang="en-US" sz="3200" b="1" i="0" u="none" strike="noStrike">
              <a:solidFill>
                <a:srgbClr val="808080"/>
              </a:solidFill>
              <a:latin typeface="Calibri"/>
              <a:cs typeface="Calibri"/>
            </a:rPr>
            <a:pPr algn="ctr"/>
            <a:t>199</a:t>
          </a:fld>
          <a:endParaRPr lang="en-US" sz="4000" b="0" i="0" u="none" strike="noStrike">
            <a:solidFill>
              <a:schemeClr val="tx1"/>
            </a:solidFill>
            <a:latin typeface="Calibri"/>
            <a:cs typeface="Calibri"/>
          </a:endParaRPr>
        </a:p>
      </xdr:txBody>
    </xdr:sp>
    <xdr:clientData/>
  </xdr:twoCellAnchor>
  <xdr:oneCellAnchor>
    <xdr:from>
      <xdr:col>8</xdr:col>
      <xdr:colOff>438150</xdr:colOff>
      <xdr:row>5</xdr:row>
      <xdr:rowOff>422450</xdr:rowOff>
    </xdr:from>
    <xdr:ext cx="1962150" cy="718402"/>
    <xdr:sp macro="" textlink="">
      <xdr:nvSpPr>
        <xdr:cNvPr id="39" name="CaixaDeTexto 38">
          <a:extLst>
            <a:ext uri="{FF2B5EF4-FFF2-40B4-BE49-F238E27FC236}">
              <a16:creationId xmlns:a16="http://schemas.microsoft.com/office/drawing/2014/main" id="{00000000-0008-0000-1100-000027000000}"/>
            </a:ext>
          </a:extLst>
        </xdr:cNvPr>
        <xdr:cNvSpPr txBox="1"/>
      </xdr:nvSpPr>
      <xdr:spPr>
        <a:xfrm>
          <a:off x="4324350" y="2336975"/>
          <a:ext cx="1962150" cy="718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1">
              <a:solidFill>
                <a:schemeClr val="tx1">
                  <a:lumMod val="65000"/>
                  <a:lumOff val="35000"/>
                </a:schemeClr>
              </a:solidFill>
            </a:rPr>
            <a:t>Ponto de Equilíbrio Econômico                                                          </a:t>
          </a:r>
          <a:r>
            <a:rPr lang="en-US" sz="1000">
              <a:solidFill>
                <a:schemeClr val="tx1">
                  <a:lumMod val="65000"/>
                  <a:lumOff val="35000"/>
                </a:schemeClr>
              </a:solidFill>
            </a:rPr>
            <a:t>Custos e despesas fixas + Lucro mínimo ÷ Margem de contribuição</a:t>
          </a:r>
        </a:p>
      </xdr:txBody>
    </xdr:sp>
    <xdr:clientData/>
  </xdr:oneCellAnchor>
  <xdr:oneCellAnchor>
    <xdr:from>
      <xdr:col>4</xdr:col>
      <xdr:colOff>38100</xdr:colOff>
      <xdr:row>7</xdr:row>
      <xdr:rowOff>409575</xdr:rowOff>
    </xdr:from>
    <xdr:ext cx="334322" cy="248851"/>
    <xdr:sp macro="" textlink="">
      <xdr:nvSpPr>
        <xdr:cNvPr id="41" name="CaixaDeTexto 40">
          <a:extLst>
            <a:ext uri="{FF2B5EF4-FFF2-40B4-BE49-F238E27FC236}">
              <a16:creationId xmlns:a16="http://schemas.microsoft.com/office/drawing/2014/main" id="{00000000-0008-0000-1100-000029000000}"/>
            </a:ext>
          </a:extLst>
        </xdr:cNvPr>
        <xdr:cNvSpPr txBox="1"/>
      </xdr:nvSpPr>
      <xdr:spPr>
        <a:xfrm>
          <a:off x="1485900" y="3200400"/>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7</xdr:col>
      <xdr:colOff>266700</xdr:colOff>
      <xdr:row>7</xdr:row>
      <xdr:rowOff>409575</xdr:rowOff>
    </xdr:from>
    <xdr:ext cx="334322" cy="248851"/>
    <xdr:sp macro="" textlink="">
      <xdr:nvSpPr>
        <xdr:cNvPr id="42" name="CaixaDeTexto 41">
          <a:extLst>
            <a:ext uri="{FF2B5EF4-FFF2-40B4-BE49-F238E27FC236}">
              <a16:creationId xmlns:a16="http://schemas.microsoft.com/office/drawing/2014/main" id="{00000000-0008-0000-1100-00002A000000}"/>
            </a:ext>
          </a:extLst>
        </xdr:cNvPr>
        <xdr:cNvSpPr txBox="1"/>
      </xdr:nvSpPr>
      <xdr:spPr>
        <a:xfrm>
          <a:off x="3543300" y="3200400"/>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10</xdr:col>
      <xdr:colOff>581025</xdr:colOff>
      <xdr:row>7</xdr:row>
      <xdr:rowOff>400050</xdr:rowOff>
    </xdr:from>
    <xdr:ext cx="334322" cy="248851"/>
    <xdr:sp macro="" textlink="">
      <xdr:nvSpPr>
        <xdr:cNvPr id="43" name="CaixaDeTexto 42">
          <a:extLst>
            <a:ext uri="{FF2B5EF4-FFF2-40B4-BE49-F238E27FC236}">
              <a16:creationId xmlns:a16="http://schemas.microsoft.com/office/drawing/2014/main" id="{00000000-0008-0000-1100-00002B000000}"/>
            </a:ext>
          </a:extLst>
        </xdr:cNvPr>
        <xdr:cNvSpPr txBox="1"/>
      </xdr:nvSpPr>
      <xdr:spPr>
        <a:xfrm>
          <a:off x="5686425" y="3190875"/>
          <a:ext cx="3343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Un</a:t>
          </a:r>
        </a:p>
      </xdr:txBody>
    </xdr:sp>
    <xdr:clientData/>
  </xdr:oneCellAnchor>
  <xdr:oneCellAnchor>
    <xdr:from>
      <xdr:col>2</xdr:col>
      <xdr:colOff>9525</xdr:colOff>
      <xdr:row>9</xdr:row>
      <xdr:rowOff>254814</xdr:rowOff>
    </xdr:from>
    <xdr:ext cx="1971675" cy="264560"/>
    <xdr:sp macro="" textlink="Relatórios!G6">
      <xdr:nvSpPr>
        <xdr:cNvPr id="44" name="CaixaDeTexto 43">
          <a:extLst>
            <a:ext uri="{FF2B5EF4-FFF2-40B4-BE49-F238E27FC236}">
              <a16:creationId xmlns:a16="http://schemas.microsoft.com/office/drawing/2014/main" id="{00000000-0008-0000-1100-00002C000000}"/>
            </a:ext>
          </a:extLst>
        </xdr:cNvPr>
        <xdr:cNvSpPr txBox="1"/>
      </xdr:nvSpPr>
      <xdr:spPr>
        <a:xfrm>
          <a:off x="238125" y="3921939"/>
          <a:ext cx="19716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0337292C-8AA4-4248-9175-0CA9F86CEC1E}" type="TxLink">
            <a:rPr lang="en-US" sz="1100" b="0" i="0" u="none" strike="noStrike">
              <a:solidFill>
                <a:srgbClr val="01B8AA"/>
              </a:solidFill>
              <a:latin typeface="Calibri"/>
              <a:cs typeface="Calibri"/>
            </a:rPr>
            <a:pPr algn="ctr"/>
            <a:t>R$ 12.412,64</a:t>
          </a:fld>
          <a:endParaRPr lang="pt-BR" sz="800">
            <a:solidFill>
              <a:srgbClr val="01B8AA"/>
            </a:solidFill>
          </a:endParaRPr>
        </a:p>
      </xdr:txBody>
    </xdr:sp>
    <xdr:clientData/>
  </xdr:oneCellAnchor>
  <xdr:oneCellAnchor>
    <xdr:from>
      <xdr:col>5</xdr:col>
      <xdr:colOff>219075</xdr:colOff>
      <xdr:row>9</xdr:row>
      <xdr:rowOff>254814</xdr:rowOff>
    </xdr:from>
    <xdr:ext cx="1971675" cy="264560"/>
    <xdr:sp macro="" textlink="Relatórios!G8">
      <xdr:nvSpPr>
        <xdr:cNvPr id="45" name="CaixaDeTexto 44">
          <a:extLst>
            <a:ext uri="{FF2B5EF4-FFF2-40B4-BE49-F238E27FC236}">
              <a16:creationId xmlns:a16="http://schemas.microsoft.com/office/drawing/2014/main" id="{00000000-0008-0000-1100-00002D000000}"/>
            </a:ext>
          </a:extLst>
        </xdr:cNvPr>
        <xdr:cNvSpPr txBox="1"/>
      </xdr:nvSpPr>
      <xdr:spPr>
        <a:xfrm>
          <a:off x="2276475" y="3921939"/>
          <a:ext cx="19716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BF3EB86-9180-4A0D-91EA-43BB048F8EB6}" type="TxLink">
            <a:rPr lang="en-US" sz="1100" b="0" i="0" u="none" strike="noStrike">
              <a:solidFill>
                <a:srgbClr val="01B8AA"/>
              </a:solidFill>
              <a:latin typeface="Calibri"/>
              <a:cs typeface="Calibri"/>
            </a:rPr>
            <a:pPr algn="ctr"/>
            <a:t>R$ 24.603,63</a:t>
          </a:fld>
          <a:endParaRPr lang="pt-BR" sz="800">
            <a:solidFill>
              <a:srgbClr val="01B8AA"/>
            </a:solidFill>
          </a:endParaRPr>
        </a:p>
      </xdr:txBody>
    </xdr:sp>
    <xdr:clientData/>
  </xdr:oneCellAnchor>
  <xdr:oneCellAnchor>
    <xdr:from>
      <xdr:col>8</xdr:col>
      <xdr:colOff>428625</xdr:colOff>
      <xdr:row>9</xdr:row>
      <xdr:rowOff>254814</xdr:rowOff>
    </xdr:from>
    <xdr:ext cx="1971675" cy="264560"/>
    <xdr:sp macro="" textlink="Relatórios!G10">
      <xdr:nvSpPr>
        <xdr:cNvPr id="46" name="CaixaDeTexto 45">
          <a:extLst>
            <a:ext uri="{FF2B5EF4-FFF2-40B4-BE49-F238E27FC236}">
              <a16:creationId xmlns:a16="http://schemas.microsoft.com/office/drawing/2014/main" id="{00000000-0008-0000-1100-00002E000000}"/>
            </a:ext>
          </a:extLst>
        </xdr:cNvPr>
        <xdr:cNvSpPr txBox="1"/>
      </xdr:nvSpPr>
      <xdr:spPr>
        <a:xfrm>
          <a:off x="4314825" y="3921939"/>
          <a:ext cx="19716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4DC1E06-A578-44E0-A040-64C8A323BB18}" type="TxLink">
            <a:rPr lang="en-US" sz="1100" b="0" i="0" u="none" strike="noStrike">
              <a:solidFill>
                <a:srgbClr val="01B8AA"/>
              </a:solidFill>
              <a:latin typeface="Calibri"/>
              <a:cs typeface="Calibri"/>
            </a:rPr>
            <a:pPr algn="ctr"/>
            <a:t>R$ 67.826,22</a:t>
          </a:fld>
          <a:endParaRPr lang="pt-BR" sz="800">
            <a:solidFill>
              <a:srgbClr val="01B8AA"/>
            </a:solidFill>
          </a:endParaRPr>
        </a:p>
      </xdr:txBody>
    </xdr:sp>
    <xdr:clientData/>
  </xdr:oneCellAnchor>
  <xdr:oneCellAnchor>
    <xdr:from>
      <xdr:col>2</xdr:col>
      <xdr:colOff>9525</xdr:colOff>
      <xdr:row>8</xdr:row>
      <xdr:rowOff>289185</xdr:rowOff>
    </xdr:from>
    <xdr:ext cx="1971675" cy="405367"/>
    <xdr:sp macro="" textlink="Relatórios!G6">
      <xdr:nvSpPr>
        <xdr:cNvPr id="47" name="CaixaDeTexto 46">
          <a:extLst>
            <a:ext uri="{FF2B5EF4-FFF2-40B4-BE49-F238E27FC236}">
              <a16:creationId xmlns:a16="http://schemas.microsoft.com/office/drawing/2014/main" id="{00000000-0008-0000-1100-00002F000000}"/>
            </a:ext>
          </a:extLst>
        </xdr:cNvPr>
        <xdr:cNvSpPr txBox="1"/>
      </xdr:nvSpPr>
      <xdr:spPr>
        <a:xfrm>
          <a:off x="238125" y="3518160"/>
          <a:ext cx="197167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Contábil</a:t>
          </a:r>
          <a:endParaRPr lang="pt-BR" sz="600">
            <a:solidFill>
              <a:schemeClr val="tx1">
                <a:lumMod val="65000"/>
                <a:lumOff val="35000"/>
              </a:schemeClr>
            </a:solidFill>
          </a:endParaRPr>
        </a:p>
      </xdr:txBody>
    </xdr:sp>
    <xdr:clientData/>
  </xdr:oneCellAnchor>
  <xdr:oneCellAnchor>
    <xdr:from>
      <xdr:col>5</xdr:col>
      <xdr:colOff>209550</xdr:colOff>
      <xdr:row>8</xdr:row>
      <xdr:rowOff>289185</xdr:rowOff>
    </xdr:from>
    <xdr:ext cx="1971675" cy="405367"/>
    <xdr:sp macro="" textlink="Relatórios!G6">
      <xdr:nvSpPr>
        <xdr:cNvPr id="48" name="CaixaDeTexto 47">
          <a:extLst>
            <a:ext uri="{FF2B5EF4-FFF2-40B4-BE49-F238E27FC236}">
              <a16:creationId xmlns:a16="http://schemas.microsoft.com/office/drawing/2014/main" id="{00000000-0008-0000-1100-000030000000}"/>
            </a:ext>
          </a:extLst>
        </xdr:cNvPr>
        <xdr:cNvSpPr txBox="1"/>
      </xdr:nvSpPr>
      <xdr:spPr>
        <a:xfrm>
          <a:off x="2266950" y="3518160"/>
          <a:ext cx="197167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Financeiro</a:t>
          </a:r>
          <a:endParaRPr lang="pt-BR" sz="600">
            <a:solidFill>
              <a:schemeClr val="tx1">
                <a:lumMod val="65000"/>
                <a:lumOff val="35000"/>
              </a:schemeClr>
            </a:solidFill>
          </a:endParaRPr>
        </a:p>
      </xdr:txBody>
    </xdr:sp>
    <xdr:clientData/>
  </xdr:oneCellAnchor>
  <xdr:oneCellAnchor>
    <xdr:from>
      <xdr:col>8</xdr:col>
      <xdr:colOff>428625</xdr:colOff>
      <xdr:row>8</xdr:row>
      <xdr:rowOff>289185</xdr:rowOff>
    </xdr:from>
    <xdr:ext cx="1971675" cy="405367"/>
    <xdr:sp macro="" textlink="Relatórios!G6">
      <xdr:nvSpPr>
        <xdr:cNvPr id="49" name="CaixaDeTexto 48">
          <a:extLst>
            <a:ext uri="{FF2B5EF4-FFF2-40B4-BE49-F238E27FC236}">
              <a16:creationId xmlns:a16="http://schemas.microsoft.com/office/drawing/2014/main" id="{00000000-0008-0000-1100-000031000000}"/>
            </a:ext>
          </a:extLst>
        </xdr:cNvPr>
        <xdr:cNvSpPr txBox="1"/>
      </xdr:nvSpPr>
      <xdr:spPr>
        <a:xfrm>
          <a:off x="4314825" y="3518160"/>
          <a:ext cx="197167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00" b="0" i="0" u="none" strike="noStrike">
              <a:solidFill>
                <a:schemeClr val="tx1">
                  <a:lumMod val="65000"/>
                  <a:lumOff val="35000"/>
                </a:schemeClr>
              </a:solidFill>
              <a:latin typeface="Calibri"/>
              <a:cs typeface="Calibri"/>
            </a:rPr>
            <a:t>Faturamento</a:t>
          </a:r>
          <a:r>
            <a:rPr lang="en-US" sz="1000" b="0" i="0" u="none" strike="noStrike" baseline="0">
              <a:solidFill>
                <a:schemeClr val="tx1">
                  <a:lumMod val="65000"/>
                  <a:lumOff val="35000"/>
                </a:schemeClr>
              </a:solidFill>
              <a:latin typeface="Calibri"/>
              <a:cs typeface="Calibri"/>
            </a:rPr>
            <a:t> no Ponto de Equilíbrio Econômico</a:t>
          </a:r>
          <a:endParaRPr lang="pt-BR" sz="600">
            <a:solidFill>
              <a:schemeClr val="tx1">
                <a:lumMod val="65000"/>
                <a:lumOff val="35000"/>
              </a:schemeClr>
            </a:solidFill>
          </a:endParaRPr>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2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Geral</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2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285750</xdr:rowOff>
        </xdr:from>
        <xdr:to>
          <xdr:col>8</xdr:col>
          <xdr:colOff>361950</xdr:colOff>
          <xdr:row>3</xdr:row>
          <xdr:rowOff>266700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4</xdr:row>
      <xdr:rowOff>66675</xdr:rowOff>
    </xdr:from>
    <xdr:to>
      <xdr:col>5</xdr:col>
      <xdr:colOff>151200</xdr:colOff>
      <xdr:row>6</xdr:row>
      <xdr:rowOff>270375</xdr:rowOff>
    </xdr:to>
    <xdr:sp macro="" textlink="'BH (1)'!E11">
      <xdr:nvSpPr>
        <xdr:cNvPr id="31" name="Retângulo 30">
          <a:extLst>
            <a:ext uri="{FF2B5EF4-FFF2-40B4-BE49-F238E27FC236}">
              <a16:creationId xmlns:a16="http://schemas.microsoft.com/office/drawing/2014/main" id="{00000000-0008-0000-1200-00001F000000}"/>
            </a:ext>
          </a:extLst>
        </xdr:cNvPr>
        <xdr:cNvSpPr/>
      </xdr:nvSpPr>
      <xdr:spPr>
        <a:xfrm>
          <a:off x="22860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9E1D7A-9322-43F8-8420-3C77042C6E4D}" type="TxLink">
            <a:rPr lang="en-US" sz="2000" b="0" i="0" u="none" strike="noStrike">
              <a:solidFill>
                <a:schemeClr val="tx1">
                  <a:lumMod val="65000"/>
                  <a:lumOff val="35000"/>
                </a:schemeClr>
              </a:solidFill>
              <a:latin typeface="Calibri"/>
              <a:cs typeface="Calibri"/>
            </a:rPr>
            <a:pPr algn="ctr"/>
            <a:t>49</a:t>
          </a:fld>
          <a:endParaRPr lang="pt-BR" sz="2000" b="0">
            <a:solidFill>
              <a:schemeClr val="tx1">
                <a:lumMod val="65000"/>
                <a:lumOff val="35000"/>
              </a:schemeClr>
            </a:solidFill>
          </a:endParaRPr>
        </a:p>
      </xdr:txBody>
    </xdr:sp>
    <xdr:clientData/>
  </xdr:twoCellAnchor>
  <xdr:twoCellAnchor>
    <xdr:from>
      <xdr:col>5</xdr:col>
      <xdr:colOff>209550</xdr:colOff>
      <xdr:row>4</xdr:row>
      <xdr:rowOff>66675</xdr:rowOff>
    </xdr:from>
    <xdr:to>
      <xdr:col>8</xdr:col>
      <xdr:colOff>360750</xdr:colOff>
      <xdr:row>6</xdr:row>
      <xdr:rowOff>270375</xdr:rowOff>
    </xdr:to>
    <xdr:sp macro="" textlink="'BH (1)'!E12">
      <xdr:nvSpPr>
        <xdr:cNvPr id="32" name="Retângulo 31">
          <a:extLst>
            <a:ext uri="{FF2B5EF4-FFF2-40B4-BE49-F238E27FC236}">
              <a16:creationId xmlns:a16="http://schemas.microsoft.com/office/drawing/2014/main" id="{00000000-0008-0000-1200-000020000000}"/>
            </a:ext>
          </a:extLst>
        </xdr:cNvPr>
        <xdr:cNvSpPr/>
      </xdr:nvSpPr>
      <xdr:spPr>
        <a:xfrm>
          <a:off x="226695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7AEB1F-9D19-4167-BE3D-B56F0A7142CD}" type="TxLink">
            <a:rPr lang="en-US" sz="2000" b="0" i="0" u="none" strike="noStrike">
              <a:solidFill>
                <a:schemeClr val="tx1">
                  <a:lumMod val="65000"/>
                  <a:lumOff val="35000"/>
                </a:schemeClr>
              </a:solidFill>
              <a:latin typeface="Calibri"/>
              <a:cs typeface="Calibri"/>
            </a:rPr>
            <a:pPr algn="ctr"/>
            <a:t>R$ 170,00</a:t>
          </a:fld>
          <a:endParaRPr lang="pt-BR" sz="2000" b="0">
            <a:solidFill>
              <a:schemeClr val="tx1">
                <a:lumMod val="65000"/>
                <a:lumOff val="35000"/>
              </a:schemeClr>
            </a:solidFill>
          </a:endParaRPr>
        </a:p>
      </xdr:txBody>
    </xdr:sp>
    <xdr:clientData/>
  </xdr:twoCellAnchor>
  <xdr:twoCellAnchor>
    <xdr:from>
      <xdr:col>8</xdr:col>
      <xdr:colOff>419100</xdr:colOff>
      <xdr:row>4</xdr:row>
      <xdr:rowOff>66675</xdr:rowOff>
    </xdr:from>
    <xdr:to>
      <xdr:col>11</xdr:col>
      <xdr:colOff>570300</xdr:colOff>
      <xdr:row>6</xdr:row>
      <xdr:rowOff>270375</xdr:rowOff>
    </xdr:to>
    <xdr:sp macro="" textlink="'BH (1)'!E13">
      <xdr:nvSpPr>
        <xdr:cNvPr id="33" name="Retângulo 32">
          <a:extLst>
            <a:ext uri="{FF2B5EF4-FFF2-40B4-BE49-F238E27FC236}">
              <a16:creationId xmlns:a16="http://schemas.microsoft.com/office/drawing/2014/main" id="{00000000-0008-0000-1200-000021000000}"/>
            </a:ext>
          </a:extLst>
        </xdr:cNvPr>
        <xdr:cNvSpPr/>
      </xdr:nvSpPr>
      <xdr:spPr>
        <a:xfrm>
          <a:off x="430530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7D423FB-BF4B-4895-A435-141DFD95A60F}" type="TxLink">
            <a:rPr lang="en-US" sz="2000" b="0" i="0" u="none" strike="noStrike">
              <a:solidFill>
                <a:schemeClr val="tx1">
                  <a:lumMod val="65000"/>
                  <a:lumOff val="35000"/>
                </a:schemeClr>
              </a:solidFill>
              <a:latin typeface="Calibri"/>
              <a:cs typeface="Calibri"/>
            </a:rPr>
            <a:pPr algn="ctr"/>
            <a:t>R$ 55,54</a:t>
          </a:fld>
          <a:endParaRPr lang="en-US" sz="2000" b="0" i="0" u="none" strike="noStrike">
            <a:solidFill>
              <a:schemeClr val="tx1">
                <a:lumMod val="65000"/>
                <a:lumOff val="35000"/>
              </a:schemeClr>
            </a:solidFill>
            <a:latin typeface="Calibri"/>
            <a:cs typeface="Calibri"/>
          </a:endParaRPr>
        </a:p>
      </xdr:txBody>
    </xdr:sp>
    <xdr:clientData/>
  </xdr:twoCellAnchor>
  <xdr:twoCellAnchor>
    <xdr:from>
      <xdr:col>12</xdr:col>
      <xdr:colOff>19050</xdr:colOff>
      <xdr:row>4</xdr:row>
      <xdr:rowOff>66675</xdr:rowOff>
    </xdr:from>
    <xdr:to>
      <xdr:col>15</xdr:col>
      <xdr:colOff>170250</xdr:colOff>
      <xdr:row>6</xdr:row>
      <xdr:rowOff>270375</xdr:rowOff>
    </xdr:to>
    <xdr:sp macro="" textlink="'BH (1)'!E14">
      <xdr:nvSpPr>
        <xdr:cNvPr id="34" name="Retângulo 33">
          <a:extLst>
            <a:ext uri="{FF2B5EF4-FFF2-40B4-BE49-F238E27FC236}">
              <a16:creationId xmlns:a16="http://schemas.microsoft.com/office/drawing/2014/main" id="{00000000-0008-0000-1200-000022000000}"/>
            </a:ext>
          </a:extLst>
        </xdr:cNvPr>
        <xdr:cNvSpPr/>
      </xdr:nvSpPr>
      <xdr:spPr>
        <a:xfrm>
          <a:off x="634365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9A2C08D-30C4-4EC4-B703-36C2DC72AD4A}" type="TxLink">
            <a:rPr lang="en-US" sz="2000" b="0" i="0" u="none" strike="noStrike">
              <a:solidFill>
                <a:schemeClr val="tx1">
                  <a:lumMod val="65000"/>
                  <a:lumOff val="35000"/>
                </a:schemeClr>
              </a:solidFill>
              <a:latin typeface="Calibri"/>
              <a:cs typeface="Calibri"/>
            </a:rPr>
            <a:pPr algn="ctr"/>
            <a:t>R$ 114,46</a:t>
          </a:fld>
          <a:endParaRPr lang="pt-BR" sz="2000" b="0">
            <a:solidFill>
              <a:schemeClr val="tx1">
                <a:lumMod val="65000"/>
                <a:lumOff val="35000"/>
              </a:schemeClr>
            </a:solidFill>
          </a:endParaRPr>
        </a:p>
      </xdr:txBody>
    </xdr:sp>
    <xdr:clientData/>
  </xdr:twoCellAnchor>
  <xdr:twoCellAnchor>
    <xdr:from>
      <xdr:col>15</xdr:col>
      <xdr:colOff>228600</xdr:colOff>
      <xdr:row>4</xdr:row>
      <xdr:rowOff>66675</xdr:rowOff>
    </xdr:from>
    <xdr:to>
      <xdr:col>18</xdr:col>
      <xdr:colOff>379800</xdr:colOff>
      <xdr:row>6</xdr:row>
      <xdr:rowOff>270375</xdr:rowOff>
    </xdr:to>
    <xdr:sp macro="" textlink="'BH (1)'!E15">
      <xdr:nvSpPr>
        <xdr:cNvPr id="35" name="Retângulo 34">
          <a:extLst>
            <a:ext uri="{FF2B5EF4-FFF2-40B4-BE49-F238E27FC236}">
              <a16:creationId xmlns:a16="http://schemas.microsoft.com/office/drawing/2014/main" id="{00000000-0008-0000-1200-000023000000}"/>
            </a:ext>
          </a:extLst>
        </xdr:cNvPr>
        <xdr:cNvSpPr/>
      </xdr:nvSpPr>
      <xdr:spPr>
        <a:xfrm>
          <a:off x="838200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238FD3D-6376-45C9-8A92-51092B8CFEC5}" type="TxLink">
            <a:rPr lang="en-US" sz="2000" b="0" i="0" u="none" strike="noStrike">
              <a:solidFill>
                <a:schemeClr val="tx1">
                  <a:lumMod val="65000"/>
                  <a:lumOff val="35000"/>
                </a:schemeClr>
              </a:solidFill>
              <a:latin typeface="Calibri"/>
              <a:cs typeface="Calibri"/>
            </a:rPr>
            <a:pPr algn="ctr"/>
            <a:t>R$ 383,25</a:t>
          </a:fld>
          <a:endParaRPr lang="pt-BR" sz="2000" b="0">
            <a:solidFill>
              <a:schemeClr val="tx1">
                <a:lumMod val="65000"/>
                <a:lumOff val="35000"/>
              </a:schemeClr>
            </a:solidFill>
          </a:endParaRPr>
        </a:p>
      </xdr:txBody>
    </xdr:sp>
    <xdr:clientData/>
  </xdr:twoCellAnchor>
  <xdr:twoCellAnchor>
    <xdr:from>
      <xdr:col>18</xdr:col>
      <xdr:colOff>438150</xdr:colOff>
      <xdr:row>4</xdr:row>
      <xdr:rowOff>66675</xdr:rowOff>
    </xdr:from>
    <xdr:to>
      <xdr:col>21</xdr:col>
      <xdr:colOff>589350</xdr:colOff>
      <xdr:row>6</xdr:row>
      <xdr:rowOff>270375</xdr:rowOff>
    </xdr:to>
    <xdr:sp macro="" textlink="'BH (1)'!E16">
      <xdr:nvSpPr>
        <xdr:cNvPr id="36" name="Retângulo 35">
          <a:extLst>
            <a:ext uri="{FF2B5EF4-FFF2-40B4-BE49-F238E27FC236}">
              <a16:creationId xmlns:a16="http://schemas.microsoft.com/office/drawing/2014/main" id="{00000000-0008-0000-1200-000024000000}"/>
            </a:ext>
          </a:extLst>
        </xdr:cNvPr>
        <xdr:cNvSpPr/>
      </xdr:nvSpPr>
      <xdr:spPr>
        <a:xfrm>
          <a:off x="10420350" y="1543050"/>
          <a:ext cx="1980000" cy="10800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79AA2F7-98FB-4BB2-B7EB-02381FA5B370}" type="TxLink">
            <a:rPr lang="en-US" sz="2000" b="0" i="0" u="none" strike="noStrike">
              <a:solidFill>
                <a:schemeClr val="tx1">
                  <a:lumMod val="65000"/>
                  <a:lumOff val="35000"/>
                </a:schemeClr>
              </a:solidFill>
              <a:latin typeface="Calibri"/>
              <a:cs typeface="Calibri"/>
            </a:rPr>
            <a:pPr algn="ctr"/>
            <a:t>R$ 5.216,75</a:t>
          </a:fld>
          <a:endParaRPr lang="pt-BR" sz="2000" b="0">
            <a:solidFill>
              <a:schemeClr val="tx1">
                <a:lumMod val="65000"/>
                <a:lumOff val="35000"/>
              </a:schemeClr>
            </a:solidFill>
          </a:endParaRPr>
        </a:p>
      </xdr:txBody>
    </xdr:sp>
    <xdr:clientData/>
  </xdr:twoCellAnchor>
  <xdr:oneCellAnchor>
    <xdr:from>
      <xdr:col>2</xdr:col>
      <xdr:colOff>19050</xdr:colOff>
      <xdr:row>4</xdr:row>
      <xdr:rowOff>85725</xdr:rowOff>
    </xdr:from>
    <xdr:ext cx="1962150" cy="248851"/>
    <xdr:sp macro="" textlink="">
      <xdr:nvSpPr>
        <xdr:cNvPr id="37" name="CaixaDeTexto 36">
          <a:extLst>
            <a:ext uri="{FF2B5EF4-FFF2-40B4-BE49-F238E27FC236}">
              <a16:creationId xmlns:a16="http://schemas.microsoft.com/office/drawing/2014/main" id="{00000000-0008-0000-1200-000025000000}"/>
            </a:ext>
          </a:extLst>
        </xdr:cNvPr>
        <xdr:cNvSpPr txBox="1"/>
      </xdr:nvSpPr>
      <xdr:spPr>
        <a:xfrm>
          <a:off x="247650"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Vendas Necessárias</a:t>
          </a:r>
        </a:p>
      </xdr:txBody>
    </xdr:sp>
    <xdr:clientData/>
  </xdr:oneCellAnchor>
  <xdr:oneCellAnchor>
    <xdr:from>
      <xdr:col>5</xdr:col>
      <xdr:colOff>219075</xdr:colOff>
      <xdr:row>4</xdr:row>
      <xdr:rowOff>85725</xdr:rowOff>
    </xdr:from>
    <xdr:ext cx="1962150" cy="248851"/>
    <xdr:sp macro="" textlink="">
      <xdr:nvSpPr>
        <xdr:cNvPr id="38" name="CaixaDeTexto 37">
          <a:extLst>
            <a:ext uri="{FF2B5EF4-FFF2-40B4-BE49-F238E27FC236}">
              <a16:creationId xmlns:a16="http://schemas.microsoft.com/office/drawing/2014/main" id="{00000000-0008-0000-1200-000026000000}"/>
            </a:ext>
          </a:extLst>
        </xdr:cNvPr>
        <xdr:cNvSpPr txBox="1"/>
      </xdr:nvSpPr>
      <xdr:spPr>
        <a:xfrm>
          <a:off x="2276475"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Preço de Venda</a:t>
          </a:r>
        </a:p>
      </xdr:txBody>
    </xdr:sp>
    <xdr:clientData/>
  </xdr:oneCellAnchor>
  <xdr:oneCellAnchor>
    <xdr:from>
      <xdr:col>12</xdr:col>
      <xdr:colOff>28575</xdr:colOff>
      <xdr:row>4</xdr:row>
      <xdr:rowOff>85725</xdr:rowOff>
    </xdr:from>
    <xdr:ext cx="1962150" cy="248851"/>
    <xdr:sp macro="" textlink="">
      <xdr:nvSpPr>
        <xdr:cNvPr id="39" name="CaixaDeTexto 38">
          <a:extLst>
            <a:ext uri="{FF2B5EF4-FFF2-40B4-BE49-F238E27FC236}">
              <a16:creationId xmlns:a16="http://schemas.microsoft.com/office/drawing/2014/main" id="{00000000-0008-0000-1200-000027000000}"/>
            </a:ext>
          </a:extLst>
        </xdr:cNvPr>
        <xdr:cNvSpPr txBox="1"/>
      </xdr:nvSpPr>
      <xdr:spPr>
        <a:xfrm>
          <a:off x="6353175"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 de Contribuição</a:t>
          </a:r>
        </a:p>
      </xdr:txBody>
    </xdr:sp>
    <xdr:clientData/>
  </xdr:oneCellAnchor>
  <xdr:oneCellAnchor>
    <xdr:from>
      <xdr:col>15</xdr:col>
      <xdr:colOff>238125</xdr:colOff>
      <xdr:row>4</xdr:row>
      <xdr:rowOff>85725</xdr:rowOff>
    </xdr:from>
    <xdr:ext cx="1962150" cy="248851"/>
    <xdr:sp macro="" textlink="">
      <xdr:nvSpPr>
        <xdr:cNvPr id="40" name="CaixaDeTexto 39">
          <a:extLst>
            <a:ext uri="{FF2B5EF4-FFF2-40B4-BE49-F238E27FC236}">
              <a16:creationId xmlns:a16="http://schemas.microsoft.com/office/drawing/2014/main" id="{00000000-0008-0000-1200-000028000000}"/>
            </a:ext>
          </a:extLst>
        </xdr:cNvPr>
        <xdr:cNvSpPr txBox="1"/>
      </xdr:nvSpPr>
      <xdr:spPr>
        <a:xfrm>
          <a:off x="8391525"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 de Custos Fixos</a:t>
          </a:r>
        </a:p>
      </xdr:txBody>
    </xdr:sp>
    <xdr:clientData/>
  </xdr:oneCellAnchor>
  <xdr:oneCellAnchor>
    <xdr:from>
      <xdr:col>18</xdr:col>
      <xdr:colOff>438150</xdr:colOff>
      <xdr:row>4</xdr:row>
      <xdr:rowOff>85725</xdr:rowOff>
    </xdr:from>
    <xdr:ext cx="1962150" cy="248851"/>
    <xdr:sp macro="" textlink="">
      <xdr:nvSpPr>
        <xdr:cNvPr id="41" name="CaixaDeTexto 40">
          <a:extLst>
            <a:ext uri="{FF2B5EF4-FFF2-40B4-BE49-F238E27FC236}">
              <a16:creationId xmlns:a16="http://schemas.microsoft.com/office/drawing/2014/main" id="{00000000-0008-0000-1200-000029000000}"/>
            </a:ext>
          </a:extLst>
        </xdr:cNvPr>
        <xdr:cNvSpPr txBox="1"/>
      </xdr:nvSpPr>
      <xdr:spPr>
        <a:xfrm>
          <a:off x="10420350"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Margem de Lucro</a:t>
          </a:r>
        </a:p>
      </xdr:txBody>
    </xdr:sp>
    <xdr:clientData/>
  </xdr:oneCellAnchor>
  <xdr:oneCellAnchor>
    <xdr:from>
      <xdr:col>8</xdr:col>
      <xdr:colOff>428625</xdr:colOff>
      <xdr:row>4</xdr:row>
      <xdr:rowOff>85725</xdr:rowOff>
    </xdr:from>
    <xdr:ext cx="1962150" cy="248851"/>
    <xdr:sp macro="" textlink="">
      <xdr:nvSpPr>
        <xdr:cNvPr id="42" name="CaixaDeTexto 41">
          <a:extLst>
            <a:ext uri="{FF2B5EF4-FFF2-40B4-BE49-F238E27FC236}">
              <a16:creationId xmlns:a16="http://schemas.microsoft.com/office/drawing/2014/main" id="{00000000-0008-0000-1200-00002A000000}"/>
            </a:ext>
          </a:extLst>
        </xdr:cNvPr>
        <xdr:cNvSpPr txBox="1"/>
      </xdr:nvSpPr>
      <xdr:spPr>
        <a:xfrm>
          <a:off x="4314825" y="1562100"/>
          <a:ext cx="19621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75000"/>
                  <a:lumOff val="25000"/>
                </a:schemeClr>
              </a:solidFill>
            </a:rPr>
            <a:t>Custo</a:t>
          </a:r>
          <a:r>
            <a:rPr lang="pt-BR" sz="1000" baseline="0">
              <a:solidFill>
                <a:schemeClr val="tx1">
                  <a:lumMod val="75000"/>
                  <a:lumOff val="25000"/>
                </a:schemeClr>
              </a:solidFill>
            </a:rPr>
            <a:t> Direto Unitário</a:t>
          </a:r>
          <a:endParaRPr lang="pt-BR" sz="10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8</xdr:col>
          <xdr:colOff>400050</xdr:colOff>
          <xdr:row>2</xdr:row>
          <xdr:rowOff>285750</xdr:rowOff>
        </xdr:from>
        <xdr:to>
          <xdr:col>15</xdr:col>
          <xdr:colOff>161925</xdr:colOff>
          <xdr:row>3</xdr:row>
          <xdr:rowOff>266700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1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6</xdr:row>
      <xdr:rowOff>323849</xdr:rowOff>
    </xdr:from>
    <xdr:to>
      <xdr:col>8</xdr:col>
      <xdr:colOff>361950</xdr:colOff>
      <xdr:row>14</xdr:row>
      <xdr:rowOff>371474</xdr:rowOff>
    </xdr:to>
    <xdr:graphicFrame macro="">
      <xdr:nvGraphicFramePr>
        <xdr:cNvPr id="58" name="Gráfico 57">
          <a:extLst>
            <a:ext uri="{FF2B5EF4-FFF2-40B4-BE49-F238E27FC236}">
              <a16:creationId xmlns:a16="http://schemas.microsoft.com/office/drawing/2014/main" id="{00000000-0008-0000-1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428625</xdr:colOff>
      <xdr:row>6</xdr:row>
      <xdr:rowOff>323850</xdr:rowOff>
    </xdr:from>
    <xdr:to>
      <xdr:col>15</xdr:col>
      <xdr:colOff>180975</xdr:colOff>
      <xdr:row>14</xdr:row>
      <xdr:rowOff>371475</xdr:rowOff>
    </xdr:to>
    <xdr:graphicFrame macro="">
      <xdr:nvGraphicFramePr>
        <xdr:cNvPr id="59" name="Gráfico 58">
          <a:extLst>
            <a:ext uri="{FF2B5EF4-FFF2-40B4-BE49-F238E27FC236}">
              <a16:creationId xmlns:a16="http://schemas.microsoft.com/office/drawing/2014/main" id="{00000000-0008-0000-12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238125</xdr:colOff>
      <xdr:row>6</xdr:row>
      <xdr:rowOff>323850</xdr:rowOff>
    </xdr:from>
    <xdr:to>
      <xdr:col>21</xdr:col>
      <xdr:colOff>600075</xdr:colOff>
      <xdr:row>14</xdr:row>
      <xdr:rowOff>371475</xdr:rowOff>
    </xdr:to>
    <xdr:graphicFrame macro="">
      <xdr:nvGraphicFramePr>
        <xdr:cNvPr id="60" name="Gráfico 59">
          <a:extLst>
            <a:ext uri="{FF2B5EF4-FFF2-40B4-BE49-F238E27FC236}">
              <a16:creationId xmlns:a16="http://schemas.microsoft.com/office/drawing/2014/main" id="{00000000-0008-0000-12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85000"/>
          </a:schemeClr>
        </a:solidFill>
        <a:ln>
          <a:noFill/>
        </a:ln>
      </a:spPr>
      <a:bodyPr vertOverflow="clip" horzOverflow="clip" rtlCol="0" anchor="ctr"/>
      <a:lstStyle>
        <a:defPPr algn="ctr">
          <a:defRPr sz="1000">
            <a:solidFill>
              <a:schemeClr val="tx1"/>
            </a:solidFill>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1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FFC000"/>
  </sheetPr>
  <dimension ref="B1:G1005"/>
  <sheetViews>
    <sheetView showGridLines="0" workbookViewId="0">
      <selection activeCell="G23" sqref="G23"/>
    </sheetView>
  </sheetViews>
  <sheetFormatPr defaultColWidth="20.7109375" defaultRowHeight="24.95" customHeight="1" x14ac:dyDescent="0.25"/>
  <cols>
    <col min="1" max="1" width="6.7109375" style="21" customWidth="1"/>
    <col min="2" max="3" width="20.7109375" style="21"/>
    <col min="4" max="4" width="18.5703125" style="127" customWidth="1"/>
    <col min="5" max="7" width="20.7109375" style="106"/>
    <col min="8" max="16384" width="20.7109375" style="21"/>
  </cols>
  <sheetData>
    <row r="1" spans="2:7" s="22" customFormat="1" ht="24.95" customHeight="1" x14ac:dyDescent="0.25">
      <c r="D1" s="125"/>
      <c r="E1" s="128"/>
      <c r="F1" s="128"/>
      <c r="G1" s="128"/>
    </row>
    <row r="2" spans="2:7" s="24" customFormat="1" ht="24.95" customHeight="1" x14ac:dyDescent="0.25">
      <c r="B2" s="23" t="s">
        <v>0</v>
      </c>
      <c r="D2" s="126"/>
      <c r="E2" s="129"/>
      <c r="F2" s="129"/>
      <c r="G2" s="129"/>
    </row>
    <row r="3" spans="2:7" ht="24.95" customHeight="1" x14ac:dyDescent="0.25">
      <c r="C3" s="107" t="s">
        <v>1092</v>
      </c>
      <c r="E3" s="120" t="str">
        <f>C19</f>
        <v>Ponto de Equilíbrio Contábil</v>
      </c>
      <c r="F3" s="120" t="str">
        <f>C20</f>
        <v>Ponto de Equilíbrio Financeiro</v>
      </c>
      <c r="G3" s="120" t="str">
        <f>C21</f>
        <v>Ponto Equilíbrio Econômico</v>
      </c>
    </row>
    <row r="4" spans="2:7" ht="24.95" customHeight="1" x14ac:dyDescent="0.25">
      <c r="C4" s="108">
        <f>DespF!E4</f>
        <v>5600</v>
      </c>
      <c r="D4" s="127" t="s">
        <v>1096</v>
      </c>
      <c r="E4" s="130">
        <f ca="1">PProduto!$G$5</f>
        <v>48.925388781679835</v>
      </c>
      <c r="F4" s="130">
        <f ca="1">PProduto!$G$7</f>
        <v>96.977109906543959</v>
      </c>
      <c r="G4" s="130">
        <f ca="1">PProduto!$G$9</f>
        <v>179.97553730403655</v>
      </c>
    </row>
    <row r="5" spans="2:7" ht="24.95" customHeight="1" x14ac:dyDescent="0.25">
      <c r="B5" s="103">
        <f>1000-COUNTBLANK(B6:B1005)</f>
        <v>5</v>
      </c>
      <c r="C5" s="103">
        <v>1</v>
      </c>
      <c r="D5" s="127" t="s">
        <v>40</v>
      </c>
      <c r="E5" s="118">
        <f ca="1">C8</f>
        <v>170</v>
      </c>
      <c r="F5" s="118">
        <f t="shared" ref="F5:G8" ca="1" si="0">E5</f>
        <v>170</v>
      </c>
      <c r="G5" s="118">
        <f t="shared" ca="1" si="0"/>
        <v>170</v>
      </c>
    </row>
    <row r="6" spans="2:7" ht="24.95" customHeight="1" x14ac:dyDescent="0.25">
      <c r="B6" s="92" t="str">
        <f>IF('Prod 1'!D5="","",'Prod 1'!D5)</f>
        <v>Produto A</v>
      </c>
      <c r="C6" s="120" t="str">
        <f ca="1">INDEX(Produtos,C5)</f>
        <v>Produto A</v>
      </c>
      <c r="D6" s="127" t="s">
        <v>1100</v>
      </c>
      <c r="E6" s="118">
        <f ca="1">C12</f>
        <v>55.54</v>
      </c>
      <c r="F6" s="118">
        <f t="shared" ca="1" si="0"/>
        <v>55.54</v>
      </c>
      <c r="G6" s="118">
        <f t="shared" ca="1" si="0"/>
        <v>55.54</v>
      </c>
    </row>
    <row r="7" spans="2:7" ht="24.95" customHeight="1" x14ac:dyDescent="0.25">
      <c r="B7" s="92" t="str">
        <f>IF('Prod 1'!D6="","",'Prod 1'!D6)</f>
        <v>Produto B</v>
      </c>
      <c r="C7" s="107" t="s">
        <v>1089</v>
      </c>
      <c r="D7" s="127" t="s">
        <v>1101</v>
      </c>
      <c r="E7" s="118">
        <f ca="1">C10</f>
        <v>114.46000000100001</v>
      </c>
      <c r="F7" s="118">
        <f t="shared" ca="1" si="0"/>
        <v>114.46000000100001</v>
      </c>
      <c r="G7" s="118">
        <f t="shared" ca="1" si="0"/>
        <v>114.46000000100001</v>
      </c>
    </row>
    <row r="8" spans="2:7" ht="24.95" customHeight="1" x14ac:dyDescent="0.25">
      <c r="B8" s="92" t="str">
        <f>IF('Prod 1'!D7="","",'Prod 1'!D7)</f>
        <v>Produto C</v>
      </c>
      <c r="C8" s="108">
        <f ca="1">IFERROR(VLOOKUP($C$6,'Prod 1'!$D$5:$I$1004,2,0),0)</f>
        <v>170</v>
      </c>
      <c r="D8" s="127" t="s">
        <v>1099</v>
      </c>
      <c r="E8" s="118">
        <f ca="1">C14</f>
        <v>383.25281803542674</v>
      </c>
      <c r="F8" s="118">
        <f t="shared" ca="1" si="0"/>
        <v>383.25281803542674</v>
      </c>
      <c r="G8" s="118">
        <f t="shared" ca="1" si="0"/>
        <v>383.25281803542674</v>
      </c>
    </row>
    <row r="9" spans="2:7" ht="24.95" customHeight="1" x14ac:dyDescent="0.25">
      <c r="B9" s="92" t="str">
        <f>IF('Prod 1'!D8="","",'Prod 1'!D8)</f>
        <v>Produto D</v>
      </c>
      <c r="C9" s="107" t="s">
        <v>1090</v>
      </c>
      <c r="D9" s="127" t="s">
        <v>1098</v>
      </c>
      <c r="E9" s="118">
        <f ca="1">IFERROR((E4*E5)-(E4*E6)-E8,0)</f>
        <v>5216.7471819156481</v>
      </c>
      <c r="F9" s="118">
        <f ca="1">IFERROR((F4*F5)-(F4*F6)-F8,0)</f>
        <v>10716.747181867595</v>
      </c>
      <c r="G9" s="118">
        <f ca="1">IFERROR((G4*G5)-(G4*G6)-G8,0)</f>
        <v>20216.747181784594</v>
      </c>
    </row>
    <row r="10" spans="2:7" ht="24.95" customHeight="1" x14ac:dyDescent="0.25">
      <c r="B10" s="92" t="str">
        <f>IF('Prod 1'!D9="","",'Prod 1'!D9)</f>
        <v>Produto E</v>
      </c>
      <c r="C10" s="108">
        <f ca="1">IFERROR(VLOOKUP($C$6,'Prod 1'!$D$5:$I$1004,6,0),0)</f>
        <v>114.46000000100001</v>
      </c>
    </row>
    <row r="11" spans="2:7" ht="24.95" customHeight="1" x14ac:dyDescent="0.25">
      <c r="B11" s="92" t="str">
        <f>IF('Prod 1'!D10="","",'Prod 1'!D10)</f>
        <v/>
      </c>
      <c r="C11" s="107" t="s">
        <v>1091</v>
      </c>
      <c r="D11" s="127" t="s">
        <v>1096</v>
      </c>
      <c r="E11" s="130">
        <f ca="1">IF($C$23=1,E4,IF($C$23=2,F4,IF($C$23=3,G4)))</f>
        <v>48.925388781679835</v>
      </c>
    </row>
    <row r="12" spans="2:7" ht="24.95" customHeight="1" x14ac:dyDescent="0.25">
      <c r="B12" s="92" t="str">
        <f>IF('Prod 1'!D11="","",'Prod 1'!D11)</f>
        <v/>
      </c>
      <c r="C12" s="108">
        <f ca="1">IFERROR(VLOOKUP($C$6,'Prod 1'!$D$5:$I$1004,5,0),0)</f>
        <v>55.54</v>
      </c>
      <c r="D12" s="127" t="s">
        <v>1089</v>
      </c>
      <c r="E12" s="118">
        <f t="shared" ref="E12:E16" ca="1" si="1">IF($C$23=1,E5,IF($C$23=2,F5,IF($C$23=3,G5)))</f>
        <v>170</v>
      </c>
    </row>
    <row r="13" spans="2:7" ht="24.95" customHeight="1" x14ac:dyDescent="0.25">
      <c r="B13" s="92" t="str">
        <f>IF('Prod 1'!D12="","",'Prod 1'!D12)</f>
        <v/>
      </c>
      <c r="C13" s="122">
        <f ca="1">IFERROR(VLOOKUP($C$6,'Prod 1'!$D$5:$I$1004,4,0),0)</f>
        <v>6.8438003220611915E-2</v>
      </c>
      <c r="D13" s="127" t="s">
        <v>1091</v>
      </c>
      <c r="E13" s="118">
        <f t="shared" ca="1" si="1"/>
        <v>55.54</v>
      </c>
    </row>
    <row r="14" spans="2:7" ht="24.95" customHeight="1" x14ac:dyDescent="0.25">
      <c r="B14" s="92" t="str">
        <f>IF('Prod 1'!D13="","",'Prod 1'!D13)</f>
        <v/>
      </c>
      <c r="C14" s="108">
        <f ca="1">IFERROR(C4*C13,0)</f>
        <v>383.25281803542674</v>
      </c>
      <c r="D14" s="127" t="s">
        <v>1090</v>
      </c>
      <c r="E14" s="118">
        <f t="shared" ca="1" si="1"/>
        <v>114.46000000100001</v>
      </c>
    </row>
    <row r="15" spans="2:7" ht="24.95" customHeight="1" x14ac:dyDescent="0.25">
      <c r="B15" s="92" t="str">
        <f>IF('Prod 1'!D14="","",'Prod 1'!D14)</f>
        <v/>
      </c>
      <c r="C15" s="123">
        <f ca="1">IFERROR((C17*C8)-(C17*C12)-C14,0)</f>
        <v>5216.7471819156481</v>
      </c>
      <c r="D15" s="127" t="s">
        <v>1097</v>
      </c>
      <c r="E15" s="118">
        <f t="shared" ca="1" si="1"/>
        <v>383.25281803542674</v>
      </c>
    </row>
    <row r="16" spans="2:7" ht="24.95" customHeight="1" x14ac:dyDescent="0.25">
      <c r="B16" s="92" t="str">
        <f>IF('Prod 1'!D15="","",'Prod 1'!D15)</f>
        <v/>
      </c>
      <c r="C16" s="107" t="s">
        <v>1093</v>
      </c>
      <c r="D16" s="127" t="s">
        <v>1098</v>
      </c>
      <c r="E16" s="118">
        <f t="shared" ca="1" si="1"/>
        <v>5216.7471819156481</v>
      </c>
    </row>
    <row r="17" spans="2:3" ht="24.95" customHeight="1" x14ac:dyDescent="0.25">
      <c r="B17" s="92" t="str">
        <f>IF('Prod 1'!D16="","",'Prod 1'!D16)</f>
        <v/>
      </c>
      <c r="C17" s="121">
        <f ca="1">IFERROR(C4/C10,0)</f>
        <v>48.925388781679835</v>
      </c>
    </row>
    <row r="18" spans="2:3" ht="24.95" customHeight="1" x14ac:dyDescent="0.25">
      <c r="B18" s="92" t="str">
        <f>IF('Prod 1'!D17="","",'Prod 1'!D17)</f>
        <v/>
      </c>
    </row>
    <row r="19" spans="2:3" ht="24.95" customHeight="1" x14ac:dyDescent="0.25">
      <c r="B19" s="92" t="str">
        <f>IF('Prod 1'!D18="","",'Prod 1'!D18)</f>
        <v/>
      </c>
      <c r="C19" s="21" t="s">
        <v>1077</v>
      </c>
    </row>
    <row r="20" spans="2:3" ht="24.95" customHeight="1" x14ac:dyDescent="0.25">
      <c r="B20" s="92" t="str">
        <f>IF('Prod 1'!D19="","",'Prod 1'!D19)</f>
        <v/>
      </c>
      <c r="C20" s="21" t="s">
        <v>1094</v>
      </c>
    </row>
    <row r="21" spans="2:3" ht="24.95" customHeight="1" x14ac:dyDescent="0.25">
      <c r="B21" s="92" t="str">
        <f>IF('Prod 1'!D20="","",'Prod 1'!D20)</f>
        <v/>
      </c>
      <c r="C21" s="21" t="s">
        <v>1095</v>
      </c>
    </row>
    <row r="22" spans="2:3" ht="24.95" customHeight="1" x14ac:dyDescent="0.25">
      <c r="B22" s="92" t="str">
        <f>IF('Prod 1'!D21="","",'Prod 1'!D21)</f>
        <v/>
      </c>
    </row>
    <row r="23" spans="2:3" ht="24.95" customHeight="1" x14ac:dyDescent="0.25">
      <c r="B23" s="92" t="str">
        <f>IF('Prod 1'!D22="","",'Prod 1'!D22)</f>
        <v/>
      </c>
      <c r="C23" s="124">
        <v>1</v>
      </c>
    </row>
    <row r="24" spans="2:3" ht="24.95" customHeight="1" x14ac:dyDescent="0.25">
      <c r="B24" s="92" t="str">
        <f>IF('Prod 1'!D23="","",'Prod 1'!D23)</f>
        <v/>
      </c>
      <c r="C24" s="124" t="str">
        <f>INDEX(Tipo,C23)</f>
        <v>Ponto de Equilíbrio Contábil</v>
      </c>
    </row>
    <row r="25" spans="2:3" ht="24.95" customHeight="1" x14ac:dyDescent="0.25">
      <c r="B25" s="92" t="str">
        <f>IF('Prod 1'!D24="","",'Prod 1'!D24)</f>
        <v/>
      </c>
    </row>
    <row r="26" spans="2:3" ht="24.95" customHeight="1" x14ac:dyDescent="0.25">
      <c r="B26" s="92" t="str">
        <f>IF('Prod 1'!D25="","",'Prod 1'!D25)</f>
        <v/>
      </c>
    </row>
    <row r="27" spans="2:3" ht="24.95" customHeight="1" x14ac:dyDescent="0.25">
      <c r="B27" s="92" t="str">
        <f>IF('Prod 1'!D26="","",'Prod 1'!D26)</f>
        <v/>
      </c>
    </row>
    <row r="28" spans="2:3" ht="24.95" customHeight="1" x14ac:dyDescent="0.25">
      <c r="B28" s="92" t="str">
        <f>IF('Prod 1'!D27="","",'Prod 1'!D27)</f>
        <v/>
      </c>
    </row>
    <row r="29" spans="2:3" ht="24.95" customHeight="1" x14ac:dyDescent="0.25">
      <c r="B29" s="92" t="str">
        <f>IF('Prod 1'!D28="","",'Prod 1'!D28)</f>
        <v/>
      </c>
    </row>
    <row r="30" spans="2:3" ht="24.95" customHeight="1" x14ac:dyDescent="0.25">
      <c r="B30" s="92" t="str">
        <f>IF('Prod 1'!D29="","",'Prod 1'!D29)</f>
        <v/>
      </c>
    </row>
    <row r="31" spans="2:3" ht="24.95" customHeight="1" x14ac:dyDescent="0.25">
      <c r="B31" s="92" t="str">
        <f>IF('Prod 1'!D30="","",'Prod 1'!D30)</f>
        <v/>
      </c>
    </row>
    <row r="32" spans="2:3" ht="24.95" customHeight="1" x14ac:dyDescent="0.25">
      <c r="B32" s="92" t="str">
        <f>IF('Prod 1'!D31="","",'Prod 1'!D31)</f>
        <v/>
      </c>
    </row>
    <row r="33" spans="2:2" ht="24.95" customHeight="1" x14ac:dyDescent="0.25">
      <c r="B33" s="92" t="str">
        <f>IF('Prod 1'!D32="","",'Prod 1'!D32)</f>
        <v/>
      </c>
    </row>
    <row r="34" spans="2:2" ht="24.95" customHeight="1" x14ac:dyDescent="0.25">
      <c r="B34" s="92" t="str">
        <f>IF('Prod 1'!D33="","",'Prod 1'!D33)</f>
        <v/>
      </c>
    </row>
    <row r="35" spans="2:2" ht="24.95" customHeight="1" x14ac:dyDescent="0.25">
      <c r="B35" s="92" t="str">
        <f>IF('Prod 1'!D34="","",'Prod 1'!D34)</f>
        <v/>
      </c>
    </row>
    <row r="36" spans="2:2" ht="24.95" customHeight="1" x14ac:dyDescent="0.25">
      <c r="B36" s="92" t="str">
        <f>IF('Prod 1'!D35="","",'Prod 1'!D35)</f>
        <v/>
      </c>
    </row>
    <row r="37" spans="2:2" ht="24.95" customHeight="1" x14ac:dyDescent="0.25">
      <c r="B37" s="92" t="str">
        <f>IF('Prod 1'!D36="","",'Prod 1'!D36)</f>
        <v/>
      </c>
    </row>
    <row r="38" spans="2:2" ht="24.95" customHeight="1" x14ac:dyDescent="0.25">
      <c r="B38" s="92" t="str">
        <f>IF('Prod 1'!D37="","",'Prod 1'!D37)</f>
        <v/>
      </c>
    </row>
    <row r="39" spans="2:2" ht="24.95" customHeight="1" x14ac:dyDescent="0.25">
      <c r="B39" s="92" t="str">
        <f>IF('Prod 1'!D38="","",'Prod 1'!D38)</f>
        <v/>
      </c>
    </row>
    <row r="40" spans="2:2" ht="24.95" customHeight="1" x14ac:dyDescent="0.25">
      <c r="B40" s="92" t="str">
        <f>IF('Prod 1'!D39="","",'Prod 1'!D39)</f>
        <v/>
      </c>
    </row>
    <row r="41" spans="2:2" ht="24.95" customHeight="1" x14ac:dyDescent="0.25">
      <c r="B41" s="92" t="str">
        <f>IF('Prod 1'!D40="","",'Prod 1'!D40)</f>
        <v/>
      </c>
    </row>
    <row r="42" spans="2:2" ht="24.95" customHeight="1" x14ac:dyDescent="0.25">
      <c r="B42" s="92" t="str">
        <f>IF('Prod 1'!D41="","",'Prod 1'!D41)</f>
        <v/>
      </c>
    </row>
    <row r="43" spans="2:2" ht="24.95" customHeight="1" x14ac:dyDescent="0.25">
      <c r="B43" s="92" t="str">
        <f>IF('Prod 1'!D42="","",'Prod 1'!D42)</f>
        <v/>
      </c>
    </row>
    <row r="44" spans="2:2" ht="24.95" customHeight="1" x14ac:dyDescent="0.25">
      <c r="B44" s="92" t="str">
        <f>IF('Prod 1'!D43="","",'Prod 1'!D43)</f>
        <v/>
      </c>
    </row>
    <row r="45" spans="2:2" ht="24.95" customHeight="1" x14ac:dyDescent="0.25">
      <c r="B45" s="92" t="str">
        <f>IF('Prod 1'!D44="","",'Prod 1'!D44)</f>
        <v/>
      </c>
    </row>
    <row r="46" spans="2:2" ht="24.95" customHeight="1" x14ac:dyDescent="0.25">
      <c r="B46" s="92" t="str">
        <f>IF('Prod 1'!D45="","",'Prod 1'!D45)</f>
        <v/>
      </c>
    </row>
    <row r="47" spans="2:2" ht="24.95" customHeight="1" x14ac:dyDescent="0.25">
      <c r="B47" s="92" t="str">
        <f>IF('Prod 1'!D46="","",'Prod 1'!D46)</f>
        <v/>
      </c>
    </row>
    <row r="48" spans="2:2" ht="24.95" customHeight="1" x14ac:dyDescent="0.25">
      <c r="B48" s="92" t="str">
        <f>IF('Prod 1'!D47="","",'Prod 1'!D47)</f>
        <v/>
      </c>
    </row>
    <row r="49" spans="2:2" ht="24.95" customHeight="1" x14ac:dyDescent="0.25">
      <c r="B49" s="92" t="str">
        <f>IF('Prod 1'!D48="","",'Prod 1'!D48)</f>
        <v/>
      </c>
    </row>
    <row r="50" spans="2:2" ht="24.95" customHeight="1" x14ac:dyDescent="0.25">
      <c r="B50" s="92" t="str">
        <f>IF('Prod 1'!D49="","",'Prod 1'!D49)</f>
        <v/>
      </c>
    </row>
    <row r="51" spans="2:2" ht="24.95" customHeight="1" x14ac:dyDescent="0.25">
      <c r="B51" s="92" t="str">
        <f>IF('Prod 1'!D50="","",'Prod 1'!D50)</f>
        <v/>
      </c>
    </row>
    <row r="52" spans="2:2" ht="24.95" customHeight="1" x14ac:dyDescent="0.25">
      <c r="B52" s="92" t="str">
        <f>IF('Prod 1'!D51="","",'Prod 1'!D51)</f>
        <v/>
      </c>
    </row>
    <row r="53" spans="2:2" ht="24.95" customHeight="1" x14ac:dyDescent="0.25">
      <c r="B53" s="92" t="str">
        <f>IF('Prod 1'!D52="","",'Prod 1'!D52)</f>
        <v/>
      </c>
    </row>
    <row r="54" spans="2:2" ht="24.95" customHeight="1" x14ac:dyDescent="0.25">
      <c r="B54" s="92" t="str">
        <f>IF('Prod 1'!D53="","",'Prod 1'!D53)</f>
        <v/>
      </c>
    </row>
    <row r="55" spans="2:2" ht="24.95" customHeight="1" x14ac:dyDescent="0.25">
      <c r="B55" s="92" t="str">
        <f>IF('Prod 1'!D54="","",'Prod 1'!D54)</f>
        <v/>
      </c>
    </row>
    <row r="56" spans="2:2" ht="24.95" customHeight="1" x14ac:dyDescent="0.25">
      <c r="B56" s="92" t="str">
        <f>IF('Prod 1'!D55="","",'Prod 1'!D55)</f>
        <v/>
      </c>
    </row>
    <row r="57" spans="2:2" ht="24.95" customHeight="1" x14ac:dyDescent="0.25">
      <c r="B57" s="92" t="str">
        <f>IF('Prod 1'!D56="","",'Prod 1'!D56)</f>
        <v/>
      </c>
    </row>
    <row r="58" spans="2:2" ht="24.95" customHeight="1" x14ac:dyDescent="0.25">
      <c r="B58" s="92" t="str">
        <f>IF('Prod 1'!D57="","",'Prod 1'!D57)</f>
        <v/>
      </c>
    </row>
    <row r="59" spans="2:2" ht="24.95" customHeight="1" x14ac:dyDescent="0.25">
      <c r="B59" s="92" t="str">
        <f>IF('Prod 1'!D58="","",'Prod 1'!D58)</f>
        <v/>
      </c>
    </row>
    <row r="60" spans="2:2" ht="24.95" customHeight="1" x14ac:dyDescent="0.25">
      <c r="B60" s="92" t="str">
        <f>IF('Prod 1'!D59="","",'Prod 1'!D59)</f>
        <v/>
      </c>
    </row>
    <row r="61" spans="2:2" ht="24.95" customHeight="1" x14ac:dyDescent="0.25">
      <c r="B61" s="92" t="str">
        <f>IF('Prod 1'!D60="","",'Prod 1'!D60)</f>
        <v/>
      </c>
    </row>
    <row r="62" spans="2:2" ht="24.95" customHeight="1" x14ac:dyDescent="0.25">
      <c r="B62" s="92" t="str">
        <f>IF('Prod 1'!D61="","",'Prod 1'!D61)</f>
        <v/>
      </c>
    </row>
    <row r="63" spans="2:2" ht="24.95" customHeight="1" x14ac:dyDescent="0.25">
      <c r="B63" s="92" t="str">
        <f>IF('Prod 1'!D62="","",'Prod 1'!D62)</f>
        <v/>
      </c>
    </row>
    <row r="64" spans="2:2" ht="24.95" customHeight="1" x14ac:dyDescent="0.25">
      <c r="B64" s="92" t="str">
        <f>IF('Prod 1'!D63="","",'Prod 1'!D63)</f>
        <v/>
      </c>
    </row>
    <row r="65" spans="2:2" ht="24.95" customHeight="1" x14ac:dyDescent="0.25">
      <c r="B65" s="92" t="str">
        <f>IF('Prod 1'!D64="","",'Prod 1'!D64)</f>
        <v/>
      </c>
    </row>
    <row r="66" spans="2:2" ht="24.95" customHeight="1" x14ac:dyDescent="0.25">
      <c r="B66" s="92" t="str">
        <f>IF('Prod 1'!D65="","",'Prod 1'!D65)</f>
        <v/>
      </c>
    </row>
    <row r="67" spans="2:2" ht="24.95" customHeight="1" x14ac:dyDescent="0.25">
      <c r="B67" s="92" t="str">
        <f>IF('Prod 1'!D66="","",'Prod 1'!D66)</f>
        <v/>
      </c>
    </row>
    <row r="68" spans="2:2" ht="24.95" customHeight="1" x14ac:dyDescent="0.25">
      <c r="B68" s="92" t="str">
        <f>IF('Prod 1'!D67="","",'Prod 1'!D67)</f>
        <v/>
      </c>
    </row>
    <row r="69" spans="2:2" ht="24.95" customHeight="1" x14ac:dyDescent="0.25">
      <c r="B69" s="92" t="str">
        <f>IF('Prod 1'!D68="","",'Prod 1'!D68)</f>
        <v/>
      </c>
    </row>
    <row r="70" spans="2:2" ht="24.95" customHeight="1" x14ac:dyDescent="0.25">
      <c r="B70" s="92" t="str">
        <f>IF('Prod 1'!D69="","",'Prod 1'!D69)</f>
        <v/>
      </c>
    </row>
    <row r="71" spans="2:2" ht="24.95" customHeight="1" x14ac:dyDescent="0.25">
      <c r="B71" s="92" t="str">
        <f>IF('Prod 1'!D70="","",'Prod 1'!D70)</f>
        <v/>
      </c>
    </row>
    <row r="72" spans="2:2" ht="24.95" customHeight="1" x14ac:dyDescent="0.25">
      <c r="B72" s="92" t="str">
        <f>IF('Prod 1'!D71="","",'Prod 1'!D71)</f>
        <v/>
      </c>
    </row>
    <row r="73" spans="2:2" ht="24.95" customHeight="1" x14ac:dyDescent="0.25">
      <c r="B73" s="92" t="str">
        <f>IF('Prod 1'!D72="","",'Prod 1'!D72)</f>
        <v/>
      </c>
    </row>
    <row r="74" spans="2:2" ht="24.95" customHeight="1" x14ac:dyDescent="0.25">
      <c r="B74" s="92" t="str">
        <f>IF('Prod 1'!D73="","",'Prod 1'!D73)</f>
        <v/>
      </c>
    </row>
    <row r="75" spans="2:2" ht="24.95" customHeight="1" x14ac:dyDescent="0.25">
      <c r="B75" s="92" t="str">
        <f>IF('Prod 1'!D74="","",'Prod 1'!D74)</f>
        <v/>
      </c>
    </row>
    <row r="76" spans="2:2" ht="24.95" customHeight="1" x14ac:dyDescent="0.25">
      <c r="B76" s="92" t="str">
        <f>IF('Prod 1'!D75="","",'Prod 1'!D75)</f>
        <v/>
      </c>
    </row>
    <row r="77" spans="2:2" ht="24.95" customHeight="1" x14ac:dyDescent="0.25">
      <c r="B77" s="92" t="str">
        <f>IF('Prod 1'!D76="","",'Prod 1'!D76)</f>
        <v/>
      </c>
    </row>
    <row r="78" spans="2:2" ht="24.95" customHeight="1" x14ac:dyDescent="0.25">
      <c r="B78" s="92" t="str">
        <f>IF('Prod 1'!D77="","",'Prod 1'!D77)</f>
        <v/>
      </c>
    </row>
    <row r="79" spans="2:2" ht="24.95" customHeight="1" x14ac:dyDescent="0.25">
      <c r="B79" s="92" t="str">
        <f>IF('Prod 1'!D78="","",'Prod 1'!D78)</f>
        <v/>
      </c>
    </row>
    <row r="80" spans="2:2" ht="24.95" customHeight="1" x14ac:dyDescent="0.25">
      <c r="B80" s="92" t="str">
        <f>IF('Prod 1'!D79="","",'Prod 1'!D79)</f>
        <v/>
      </c>
    </row>
    <row r="81" spans="2:2" ht="24.95" customHeight="1" x14ac:dyDescent="0.25">
      <c r="B81" s="92" t="str">
        <f>IF('Prod 1'!D80="","",'Prod 1'!D80)</f>
        <v/>
      </c>
    </row>
    <row r="82" spans="2:2" ht="24.95" customHeight="1" x14ac:dyDescent="0.25">
      <c r="B82" s="92" t="str">
        <f>IF('Prod 1'!D81="","",'Prod 1'!D81)</f>
        <v/>
      </c>
    </row>
    <row r="83" spans="2:2" ht="24.95" customHeight="1" x14ac:dyDescent="0.25">
      <c r="B83" s="92" t="str">
        <f>IF('Prod 1'!D82="","",'Prod 1'!D82)</f>
        <v/>
      </c>
    </row>
    <row r="84" spans="2:2" ht="24.95" customHeight="1" x14ac:dyDescent="0.25">
      <c r="B84" s="92" t="str">
        <f>IF('Prod 1'!D83="","",'Prod 1'!D83)</f>
        <v/>
      </c>
    </row>
    <row r="85" spans="2:2" ht="24.95" customHeight="1" x14ac:dyDescent="0.25">
      <c r="B85" s="92" t="str">
        <f>IF('Prod 1'!D84="","",'Prod 1'!D84)</f>
        <v/>
      </c>
    </row>
    <row r="86" spans="2:2" ht="24.95" customHeight="1" x14ac:dyDescent="0.25">
      <c r="B86" s="92" t="str">
        <f>IF('Prod 1'!D85="","",'Prod 1'!D85)</f>
        <v/>
      </c>
    </row>
    <row r="87" spans="2:2" ht="24.95" customHeight="1" x14ac:dyDescent="0.25">
      <c r="B87" s="92" t="str">
        <f>IF('Prod 1'!D86="","",'Prod 1'!D86)</f>
        <v/>
      </c>
    </row>
    <row r="88" spans="2:2" ht="24.95" customHeight="1" x14ac:dyDescent="0.25">
      <c r="B88" s="92" t="str">
        <f>IF('Prod 1'!D87="","",'Prod 1'!D87)</f>
        <v/>
      </c>
    </row>
    <row r="89" spans="2:2" ht="24.95" customHeight="1" x14ac:dyDescent="0.25">
      <c r="B89" s="92" t="str">
        <f>IF('Prod 1'!D88="","",'Prod 1'!D88)</f>
        <v/>
      </c>
    </row>
    <row r="90" spans="2:2" ht="24.95" customHeight="1" x14ac:dyDescent="0.25">
      <c r="B90" s="92" t="str">
        <f>IF('Prod 1'!D89="","",'Prod 1'!D89)</f>
        <v/>
      </c>
    </row>
    <row r="91" spans="2:2" ht="24.95" customHeight="1" x14ac:dyDescent="0.25">
      <c r="B91" s="92" t="str">
        <f>IF('Prod 1'!D90="","",'Prod 1'!D90)</f>
        <v/>
      </c>
    </row>
    <row r="92" spans="2:2" ht="24.95" customHeight="1" x14ac:dyDescent="0.25">
      <c r="B92" s="92" t="str">
        <f>IF('Prod 1'!D91="","",'Prod 1'!D91)</f>
        <v/>
      </c>
    </row>
    <row r="93" spans="2:2" ht="24.95" customHeight="1" x14ac:dyDescent="0.25">
      <c r="B93" s="92" t="str">
        <f>IF('Prod 1'!D92="","",'Prod 1'!D92)</f>
        <v/>
      </c>
    </row>
    <row r="94" spans="2:2" ht="24.95" customHeight="1" x14ac:dyDescent="0.25">
      <c r="B94" s="92" t="str">
        <f>IF('Prod 1'!D93="","",'Prod 1'!D93)</f>
        <v/>
      </c>
    </row>
    <row r="95" spans="2:2" ht="24.95" customHeight="1" x14ac:dyDescent="0.25">
      <c r="B95" s="92" t="str">
        <f>IF('Prod 1'!D94="","",'Prod 1'!D94)</f>
        <v/>
      </c>
    </row>
    <row r="96" spans="2:2" ht="24.95" customHeight="1" x14ac:dyDescent="0.25">
      <c r="B96" s="92" t="str">
        <f>IF('Prod 1'!D95="","",'Prod 1'!D95)</f>
        <v/>
      </c>
    </row>
    <row r="97" spans="2:2" ht="24.95" customHeight="1" x14ac:dyDescent="0.25">
      <c r="B97" s="92" t="str">
        <f>IF('Prod 1'!D96="","",'Prod 1'!D96)</f>
        <v/>
      </c>
    </row>
    <row r="98" spans="2:2" ht="24.95" customHeight="1" x14ac:dyDescent="0.25">
      <c r="B98" s="92" t="str">
        <f>IF('Prod 1'!D97="","",'Prod 1'!D97)</f>
        <v/>
      </c>
    </row>
    <row r="99" spans="2:2" ht="24.95" customHeight="1" x14ac:dyDescent="0.25">
      <c r="B99" s="92" t="str">
        <f>IF('Prod 1'!D98="","",'Prod 1'!D98)</f>
        <v/>
      </c>
    </row>
    <row r="100" spans="2:2" ht="24.95" customHeight="1" x14ac:dyDescent="0.25">
      <c r="B100" s="92" t="str">
        <f>IF('Prod 1'!D99="","",'Prod 1'!D99)</f>
        <v/>
      </c>
    </row>
    <row r="101" spans="2:2" ht="24.95" customHeight="1" x14ac:dyDescent="0.25">
      <c r="B101" s="92" t="str">
        <f>IF('Prod 1'!D100="","",'Prod 1'!D100)</f>
        <v/>
      </c>
    </row>
    <row r="102" spans="2:2" ht="24.95" customHeight="1" x14ac:dyDescent="0.25">
      <c r="B102" s="92" t="str">
        <f>IF('Prod 1'!D101="","",'Prod 1'!D101)</f>
        <v/>
      </c>
    </row>
    <row r="103" spans="2:2" ht="24.95" customHeight="1" x14ac:dyDescent="0.25">
      <c r="B103" s="92" t="str">
        <f>IF('Prod 1'!D102="","",'Prod 1'!D102)</f>
        <v/>
      </c>
    </row>
    <row r="104" spans="2:2" ht="24.95" customHeight="1" x14ac:dyDescent="0.25">
      <c r="B104" s="92" t="str">
        <f>IF('Prod 1'!D103="","",'Prod 1'!D103)</f>
        <v/>
      </c>
    </row>
    <row r="105" spans="2:2" ht="24.95" customHeight="1" x14ac:dyDescent="0.25">
      <c r="B105" s="92" t="str">
        <f>IF('Prod 1'!D104="","",'Prod 1'!D104)</f>
        <v/>
      </c>
    </row>
    <row r="106" spans="2:2" ht="24.95" customHeight="1" x14ac:dyDescent="0.25">
      <c r="B106" s="92" t="str">
        <f>IF('Prod 1'!D105="","",'Prod 1'!D105)</f>
        <v/>
      </c>
    </row>
    <row r="107" spans="2:2" ht="24.95" customHeight="1" x14ac:dyDescent="0.25">
      <c r="B107" s="92" t="str">
        <f>IF('Prod 1'!D106="","",'Prod 1'!D106)</f>
        <v/>
      </c>
    </row>
    <row r="108" spans="2:2" ht="24.95" customHeight="1" x14ac:dyDescent="0.25">
      <c r="B108" s="92" t="str">
        <f>IF('Prod 1'!D107="","",'Prod 1'!D107)</f>
        <v/>
      </c>
    </row>
    <row r="109" spans="2:2" ht="24.95" customHeight="1" x14ac:dyDescent="0.25">
      <c r="B109" s="92" t="str">
        <f>IF('Prod 1'!D108="","",'Prod 1'!D108)</f>
        <v/>
      </c>
    </row>
    <row r="110" spans="2:2" ht="24.95" customHeight="1" x14ac:dyDescent="0.25">
      <c r="B110" s="92" t="str">
        <f>IF('Prod 1'!D109="","",'Prod 1'!D109)</f>
        <v/>
      </c>
    </row>
    <row r="111" spans="2:2" ht="24.95" customHeight="1" x14ac:dyDescent="0.25">
      <c r="B111" s="92" t="str">
        <f>IF('Prod 1'!D110="","",'Prod 1'!D110)</f>
        <v/>
      </c>
    </row>
    <row r="112" spans="2:2" ht="24.95" customHeight="1" x14ac:dyDescent="0.25">
      <c r="B112" s="92" t="str">
        <f>IF('Prod 1'!D111="","",'Prod 1'!D111)</f>
        <v/>
      </c>
    </row>
    <row r="113" spans="2:2" ht="24.95" customHeight="1" x14ac:dyDescent="0.25">
      <c r="B113" s="92" t="str">
        <f>IF('Prod 1'!D112="","",'Prod 1'!D112)</f>
        <v/>
      </c>
    </row>
    <row r="114" spans="2:2" ht="24.95" customHeight="1" x14ac:dyDescent="0.25">
      <c r="B114" s="92" t="str">
        <f>IF('Prod 1'!D113="","",'Prod 1'!D113)</f>
        <v/>
      </c>
    </row>
    <row r="115" spans="2:2" ht="24.95" customHeight="1" x14ac:dyDescent="0.25">
      <c r="B115" s="92" t="str">
        <f>IF('Prod 1'!D114="","",'Prod 1'!D114)</f>
        <v/>
      </c>
    </row>
    <row r="116" spans="2:2" ht="24.95" customHeight="1" x14ac:dyDescent="0.25">
      <c r="B116" s="92" t="str">
        <f>IF('Prod 1'!D115="","",'Prod 1'!D115)</f>
        <v/>
      </c>
    </row>
    <row r="117" spans="2:2" ht="24.95" customHeight="1" x14ac:dyDescent="0.25">
      <c r="B117" s="92" t="str">
        <f>IF('Prod 1'!D116="","",'Prod 1'!D116)</f>
        <v/>
      </c>
    </row>
    <row r="118" spans="2:2" ht="24.95" customHeight="1" x14ac:dyDescent="0.25">
      <c r="B118" s="92" t="str">
        <f>IF('Prod 1'!D117="","",'Prod 1'!D117)</f>
        <v/>
      </c>
    </row>
    <row r="119" spans="2:2" ht="24.95" customHeight="1" x14ac:dyDescent="0.25">
      <c r="B119" s="92" t="str">
        <f>IF('Prod 1'!D118="","",'Prod 1'!D118)</f>
        <v/>
      </c>
    </row>
    <row r="120" spans="2:2" ht="24.95" customHeight="1" x14ac:dyDescent="0.25">
      <c r="B120" s="92" t="str">
        <f>IF('Prod 1'!D119="","",'Prod 1'!D119)</f>
        <v/>
      </c>
    </row>
    <row r="121" spans="2:2" ht="24.95" customHeight="1" x14ac:dyDescent="0.25">
      <c r="B121" s="92" t="str">
        <f>IF('Prod 1'!D120="","",'Prod 1'!D120)</f>
        <v/>
      </c>
    </row>
    <row r="122" spans="2:2" ht="24.95" customHeight="1" x14ac:dyDescent="0.25">
      <c r="B122" s="92" t="str">
        <f>IF('Prod 1'!D121="","",'Prod 1'!D121)</f>
        <v/>
      </c>
    </row>
    <row r="123" spans="2:2" ht="24.95" customHeight="1" x14ac:dyDescent="0.25">
      <c r="B123" s="92" t="str">
        <f>IF('Prod 1'!D122="","",'Prod 1'!D122)</f>
        <v/>
      </c>
    </row>
    <row r="124" spans="2:2" ht="24.95" customHeight="1" x14ac:dyDescent="0.25">
      <c r="B124" s="92" t="str">
        <f>IF('Prod 1'!D123="","",'Prod 1'!D123)</f>
        <v/>
      </c>
    </row>
    <row r="125" spans="2:2" ht="24.95" customHeight="1" x14ac:dyDescent="0.25">
      <c r="B125" s="92" t="str">
        <f>IF('Prod 1'!D124="","",'Prod 1'!D124)</f>
        <v/>
      </c>
    </row>
    <row r="126" spans="2:2" ht="24.95" customHeight="1" x14ac:dyDescent="0.25">
      <c r="B126" s="92" t="str">
        <f>IF('Prod 1'!D125="","",'Prod 1'!D125)</f>
        <v/>
      </c>
    </row>
    <row r="127" spans="2:2" ht="24.95" customHeight="1" x14ac:dyDescent="0.25">
      <c r="B127" s="92" t="str">
        <f>IF('Prod 1'!D126="","",'Prod 1'!D126)</f>
        <v/>
      </c>
    </row>
    <row r="128" spans="2:2" ht="24.95" customHeight="1" x14ac:dyDescent="0.25">
      <c r="B128" s="92" t="str">
        <f>IF('Prod 1'!D127="","",'Prod 1'!D127)</f>
        <v/>
      </c>
    </row>
    <row r="129" spans="2:2" ht="24.95" customHeight="1" x14ac:dyDescent="0.25">
      <c r="B129" s="92" t="str">
        <f>IF('Prod 1'!D128="","",'Prod 1'!D128)</f>
        <v/>
      </c>
    </row>
    <row r="130" spans="2:2" ht="24.95" customHeight="1" x14ac:dyDescent="0.25">
      <c r="B130" s="92" t="str">
        <f>IF('Prod 1'!D129="","",'Prod 1'!D129)</f>
        <v/>
      </c>
    </row>
    <row r="131" spans="2:2" ht="24.95" customHeight="1" x14ac:dyDescent="0.25">
      <c r="B131" s="92" t="str">
        <f>IF('Prod 1'!D130="","",'Prod 1'!D130)</f>
        <v/>
      </c>
    </row>
    <row r="132" spans="2:2" ht="24.95" customHeight="1" x14ac:dyDescent="0.25">
      <c r="B132" s="92" t="str">
        <f>IF('Prod 1'!D131="","",'Prod 1'!D131)</f>
        <v/>
      </c>
    </row>
    <row r="133" spans="2:2" ht="24.95" customHeight="1" x14ac:dyDescent="0.25">
      <c r="B133" s="92" t="str">
        <f>IF('Prod 1'!D132="","",'Prod 1'!D132)</f>
        <v/>
      </c>
    </row>
    <row r="134" spans="2:2" ht="24.95" customHeight="1" x14ac:dyDescent="0.25">
      <c r="B134" s="92" t="str">
        <f>IF('Prod 1'!D133="","",'Prod 1'!D133)</f>
        <v/>
      </c>
    </row>
    <row r="135" spans="2:2" ht="24.95" customHeight="1" x14ac:dyDescent="0.25">
      <c r="B135" s="92" t="str">
        <f>IF('Prod 1'!D134="","",'Prod 1'!D134)</f>
        <v/>
      </c>
    </row>
    <row r="136" spans="2:2" ht="24.95" customHeight="1" x14ac:dyDescent="0.25">
      <c r="B136" s="92" t="str">
        <f>IF('Prod 1'!D135="","",'Prod 1'!D135)</f>
        <v/>
      </c>
    </row>
    <row r="137" spans="2:2" ht="24.95" customHeight="1" x14ac:dyDescent="0.25">
      <c r="B137" s="92" t="str">
        <f>IF('Prod 1'!D136="","",'Prod 1'!D136)</f>
        <v/>
      </c>
    </row>
    <row r="138" spans="2:2" ht="24.95" customHeight="1" x14ac:dyDescent="0.25">
      <c r="B138" s="92" t="str">
        <f>IF('Prod 1'!D137="","",'Prod 1'!D137)</f>
        <v/>
      </c>
    </row>
    <row r="139" spans="2:2" ht="24.95" customHeight="1" x14ac:dyDescent="0.25">
      <c r="B139" s="92" t="str">
        <f>IF('Prod 1'!D138="","",'Prod 1'!D138)</f>
        <v/>
      </c>
    </row>
    <row r="140" spans="2:2" ht="24.95" customHeight="1" x14ac:dyDescent="0.25">
      <c r="B140" s="92" t="str">
        <f>IF('Prod 1'!D139="","",'Prod 1'!D139)</f>
        <v/>
      </c>
    </row>
    <row r="141" spans="2:2" ht="24.95" customHeight="1" x14ac:dyDescent="0.25">
      <c r="B141" s="92" t="str">
        <f>IF('Prod 1'!D140="","",'Prod 1'!D140)</f>
        <v/>
      </c>
    </row>
    <row r="142" spans="2:2" ht="24.95" customHeight="1" x14ac:dyDescent="0.25">
      <c r="B142" s="92" t="str">
        <f>IF('Prod 1'!D141="","",'Prod 1'!D141)</f>
        <v/>
      </c>
    </row>
    <row r="143" spans="2:2" ht="24.95" customHeight="1" x14ac:dyDescent="0.25">
      <c r="B143" s="92" t="str">
        <f>IF('Prod 1'!D142="","",'Prod 1'!D142)</f>
        <v/>
      </c>
    </row>
    <row r="144" spans="2:2" ht="24.95" customHeight="1" x14ac:dyDescent="0.25">
      <c r="B144" s="92" t="str">
        <f>IF('Prod 1'!D143="","",'Prod 1'!D143)</f>
        <v/>
      </c>
    </row>
    <row r="145" spans="2:2" ht="24.95" customHeight="1" x14ac:dyDescent="0.25">
      <c r="B145" s="92" t="str">
        <f>IF('Prod 1'!D144="","",'Prod 1'!D144)</f>
        <v/>
      </c>
    </row>
    <row r="146" spans="2:2" ht="24.95" customHeight="1" x14ac:dyDescent="0.25">
      <c r="B146" s="92" t="str">
        <f>IF('Prod 1'!D145="","",'Prod 1'!D145)</f>
        <v/>
      </c>
    </row>
    <row r="147" spans="2:2" ht="24.95" customHeight="1" x14ac:dyDescent="0.25">
      <c r="B147" s="92" t="str">
        <f>IF('Prod 1'!D146="","",'Prod 1'!D146)</f>
        <v/>
      </c>
    </row>
    <row r="148" spans="2:2" ht="24.95" customHeight="1" x14ac:dyDescent="0.25">
      <c r="B148" s="92" t="str">
        <f>IF('Prod 1'!D147="","",'Prod 1'!D147)</f>
        <v/>
      </c>
    </row>
    <row r="149" spans="2:2" ht="24.95" customHeight="1" x14ac:dyDescent="0.25">
      <c r="B149" s="92" t="str">
        <f>IF('Prod 1'!D148="","",'Prod 1'!D148)</f>
        <v/>
      </c>
    </row>
    <row r="150" spans="2:2" ht="24.95" customHeight="1" x14ac:dyDescent="0.25">
      <c r="B150" s="92" t="str">
        <f>IF('Prod 1'!D149="","",'Prod 1'!D149)</f>
        <v/>
      </c>
    </row>
    <row r="151" spans="2:2" ht="24.95" customHeight="1" x14ac:dyDescent="0.25">
      <c r="B151" s="92" t="str">
        <f>IF('Prod 1'!D150="","",'Prod 1'!D150)</f>
        <v/>
      </c>
    </row>
    <row r="152" spans="2:2" ht="24.95" customHeight="1" x14ac:dyDescent="0.25">
      <c r="B152" s="92" t="str">
        <f>IF('Prod 1'!D151="","",'Prod 1'!D151)</f>
        <v/>
      </c>
    </row>
    <row r="153" spans="2:2" ht="24.95" customHeight="1" x14ac:dyDescent="0.25">
      <c r="B153" s="92" t="str">
        <f>IF('Prod 1'!D152="","",'Prod 1'!D152)</f>
        <v/>
      </c>
    </row>
    <row r="154" spans="2:2" ht="24.95" customHeight="1" x14ac:dyDescent="0.25">
      <c r="B154" s="92" t="str">
        <f>IF('Prod 1'!D153="","",'Prod 1'!D153)</f>
        <v/>
      </c>
    </row>
    <row r="155" spans="2:2" ht="24.95" customHeight="1" x14ac:dyDescent="0.25">
      <c r="B155" s="92" t="str">
        <f>IF('Prod 1'!D154="","",'Prod 1'!D154)</f>
        <v/>
      </c>
    </row>
    <row r="156" spans="2:2" ht="24.95" customHeight="1" x14ac:dyDescent="0.25">
      <c r="B156" s="92" t="str">
        <f>IF('Prod 1'!D155="","",'Prod 1'!D155)</f>
        <v/>
      </c>
    </row>
    <row r="157" spans="2:2" ht="24.95" customHeight="1" x14ac:dyDescent="0.25">
      <c r="B157" s="92" t="str">
        <f>IF('Prod 1'!D156="","",'Prod 1'!D156)</f>
        <v/>
      </c>
    </row>
    <row r="158" spans="2:2" ht="24.95" customHeight="1" x14ac:dyDescent="0.25">
      <c r="B158" s="92" t="str">
        <f>IF('Prod 1'!D157="","",'Prod 1'!D157)</f>
        <v/>
      </c>
    </row>
    <row r="159" spans="2:2" ht="24.95" customHeight="1" x14ac:dyDescent="0.25">
      <c r="B159" s="92" t="str">
        <f>IF('Prod 1'!D158="","",'Prod 1'!D158)</f>
        <v/>
      </c>
    </row>
    <row r="160" spans="2:2" ht="24.95" customHeight="1" x14ac:dyDescent="0.25">
      <c r="B160" s="92" t="str">
        <f>IF('Prod 1'!D159="","",'Prod 1'!D159)</f>
        <v/>
      </c>
    </row>
    <row r="161" spans="2:2" ht="24.95" customHeight="1" x14ac:dyDescent="0.25">
      <c r="B161" s="92" t="str">
        <f>IF('Prod 1'!D160="","",'Prod 1'!D160)</f>
        <v/>
      </c>
    </row>
    <row r="162" spans="2:2" ht="24.95" customHeight="1" x14ac:dyDescent="0.25">
      <c r="B162" s="92" t="str">
        <f>IF('Prod 1'!D161="","",'Prod 1'!D161)</f>
        <v/>
      </c>
    </row>
    <row r="163" spans="2:2" ht="24.95" customHeight="1" x14ac:dyDescent="0.25">
      <c r="B163" s="92" t="str">
        <f>IF('Prod 1'!D162="","",'Prod 1'!D162)</f>
        <v/>
      </c>
    </row>
    <row r="164" spans="2:2" ht="24.95" customHeight="1" x14ac:dyDescent="0.25">
      <c r="B164" s="92" t="str">
        <f>IF('Prod 1'!D163="","",'Prod 1'!D163)</f>
        <v/>
      </c>
    </row>
    <row r="165" spans="2:2" ht="24.95" customHeight="1" x14ac:dyDescent="0.25">
      <c r="B165" s="92" t="str">
        <f>IF('Prod 1'!D164="","",'Prod 1'!D164)</f>
        <v/>
      </c>
    </row>
    <row r="166" spans="2:2" ht="24.95" customHeight="1" x14ac:dyDescent="0.25">
      <c r="B166" s="92" t="str">
        <f>IF('Prod 1'!D165="","",'Prod 1'!D165)</f>
        <v/>
      </c>
    </row>
    <row r="167" spans="2:2" ht="24.95" customHeight="1" x14ac:dyDescent="0.25">
      <c r="B167" s="92" t="str">
        <f>IF('Prod 1'!D166="","",'Prod 1'!D166)</f>
        <v/>
      </c>
    </row>
    <row r="168" spans="2:2" ht="24.95" customHeight="1" x14ac:dyDescent="0.25">
      <c r="B168" s="92" t="str">
        <f>IF('Prod 1'!D167="","",'Prod 1'!D167)</f>
        <v/>
      </c>
    </row>
    <row r="169" spans="2:2" ht="24.95" customHeight="1" x14ac:dyDescent="0.25">
      <c r="B169" s="92" t="str">
        <f>IF('Prod 1'!D168="","",'Prod 1'!D168)</f>
        <v/>
      </c>
    </row>
    <row r="170" spans="2:2" ht="24.95" customHeight="1" x14ac:dyDescent="0.25">
      <c r="B170" s="92" t="str">
        <f>IF('Prod 1'!D169="","",'Prod 1'!D169)</f>
        <v/>
      </c>
    </row>
    <row r="171" spans="2:2" ht="24.95" customHeight="1" x14ac:dyDescent="0.25">
      <c r="B171" s="92" t="str">
        <f>IF('Prod 1'!D170="","",'Prod 1'!D170)</f>
        <v/>
      </c>
    </row>
    <row r="172" spans="2:2" ht="24.95" customHeight="1" x14ac:dyDescent="0.25">
      <c r="B172" s="92" t="str">
        <f>IF('Prod 1'!D171="","",'Prod 1'!D171)</f>
        <v/>
      </c>
    </row>
    <row r="173" spans="2:2" ht="24.95" customHeight="1" x14ac:dyDescent="0.25">
      <c r="B173" s="92" t="str">
        <f>IF('Prod 1'!D172="","",'Prod 1'!D172)</f>
        <v/>
      </c>
    </row>
    <row r="174" spans="2:2" ht="24.95" customHeight="1" x14ac:dyDescent="0.25">
      <c r="B174" s="92" t="str">
        <f>IF('Prod 1'!D173="","",'Prod 1'!D173)</f>
        <v/>
      </c>
    </row>
    <row r="175" spans="2:2" ht="24.95" customHeight="1" x14ac:dyDescent="0.25">
      <c r="B175" s="92" t="str">
        <f>IF('Prod 1'!D174="","",'Prod 1'!D174)</f>
        <v/>
      </c>
    </row>
    <row r="176" spans="2:2" ht="24.95" customHeight="1" x14ac:dyDescent="0.25">
      <c r="B176" s="92" t="str">
        <f>IF('Prod 1'!D175="","",'Prod 1'!D175)</f>
        <v/>
      </c>
    </row>
    <row r="177" spans="2:2" ht="24.95" customHeight="1" x14ac:dyDescent="0.25">
      <c r="B177" s="92" t="str">
        <f>IF('Prod 1'!D176="","",'Prod 1'!D176)</f>
        <v/>
      </c>
    </row>
    <row r="178" spans="2:2" ht="24.95" customHeight="1" x14ac:dyDescent="0.25">
      <c r="B178" s="92" t="str">
        <f>IF('Prod 1'!D177="","",'Prod 1'!D177)</f>
        <v/>
      </c>
    </row>
    <row r="179" spans="2:2" ht="24.95" customHeight="1" x14ac:dyDescent="0.25">
      <c r="B179" s="92" t="str">
        <f>IF('Prod 1'!D178="","",'Prod 1'!D178)</f>
        <v/>
      </c>
    </row>
    <row r="180" spans="2:2" ht="24.95" customHeight="1" x14ac:dyDescent="0.25">
      <c r="B180" s="92" t="str">
        <f>IF('Prod 1'!D179="","",'Prod 1'!D179)</f>
        <v/>
      </c>
    </row>
    <row r="181" spans="2:2" ht="24.95" customHeight="1" x14ac:dyDescent="0.25">
      <c r="B181" s="92" t="str">
        <f>IF('Prod 1'!D180="","",'Prod 1'!D180)</f>
        <v/>
      </c>
    </row>
    <row r="182" spans="2:2" ht="24.95" customHeight="1" x14ac:dyDescent="0.25">
      <c r="B182" s="92" t="str">
        <f>IF('Prod 1'!D181="","",'Prod 1'!D181)</f>
        <v/>
      </c>
    </row>
    <row r="183" spans="2:2" ht="24.95" customHeight="1" x14ac:dyDescent="0.25">
      <c r="B183" s="92" t="str">
        <f>IF('Prod 1'!D182="","",'Prod 1'!D182)</f>
        <v/>
      </c>
    </row>
    <row r="184" spans="2:2" ht="24.95" customHeight="1" x14ac:dyDescent="0.25">
      <c r="B184" s="92" t="str">
        <f>IF('Prod 1'!D183="","",'Prod 1'!D183)</f>
        <v/>
      </c>
    </row>
    <row r="185" spans="2:2" ht="24.95" customHeight="1" x14ac:dyDescent="0.25">
      <c r="B185" s="92" t="str">
        <f>IF('Prod 1'!D184="","",'Prod 1'!D184)</f>
        <v/>
      </c>
    </row>
    <row r="186" spans="2:2" ht="24.95" customHeight="1" x14ac:dyDescent="0.25">
      <c r="B186" s="92" t="str">
        <f>IF('Prod 1'!D185="","",'Prod 1'!D185)</f>
        <v/>
      </c>
    </row>
    <row r="187" spans="2:2" ht="24.95" customHeight="1" x14ac:dyDescent="0.25">
      <c r="B187" s="92" t="str">
        <f>IF('Prod 1'!D186="","",'Prod 1'!D186)</f>
        <v/>
      </c>
    </row>
    <row r="188" spans="2:2" ht="24.95" customHeight="1" x14ac:dyDescent="0.25">
      <c r="B188" s="92" t="str">
        <f>IF('Prod 1'!D187="","",'Prod 1'!D187)</f>
        <v/>
      </c>
    </row>
    <row r="189" spans="2:2" ht="24.95" customHeight="1" x14ac:dyDescent="0.25">
      <c r="B189" s="92" t="str">
        <f>IF('Prod 1'!D188="","",'Prod 1'!D188)</f>
        <v/>
      </c>
    </row>
    <row r="190" spans="2:2" ht="24.95" customHeight="1" x14ac:dyDescent="0.25">
      <c r="B190" s="92" t="str">
        <f>IF('Prod 1'!D189="","",'Prod 1'!D189)</f>
        <v/>
      </c>
    </row>
    <row r="191" spans="2:2" ht="24.95" customHeight="1" x14ac:dyDescent="0.25">
      <c r="B191" s="92" t="str">
        <f>IF('Prod 1'!D190="","",'Prod 1'!D190)</f>
        <v/>
      </c>
    </row>
    <row r="192" spans="2:2" ht="24.95" customHeight="1" x14ac:dyDescent="0.25">
      <c r="B192" s="92" t="str">
        <f>IF('Prod 1'!D191="","",'Prod 1'!D191)</f>
        <v/>
      </c>
    </row>
    <row r="193" spans="2:2" ht="24.95" customHeight="1" x14ac:dyDescent="0.25">
      <c r="B193" s="92" t="str">
        <f>IF('Prod 1'!D192="","",'Prod 1'!D192)</f>
        <v/>
      </c>
    </row>
    <row r="194" spans="2:2" ht="24.95" customHeight="1" x14ac:dyDescent="0.25">
      <c r="B194" s="92" t="str">
        <f>IF('Prod 1'!D193="","",'Prod 1'!D193)</f>
        <v/>
      </c>
    </row>
    <row r="195" spans="2:2" ht="24.95" customHeight="1" x14ac:dyDescent="0.25">
      <c r="B195" s="92" t="str">
        <f>IF('Prod 1'!D194="","",'Prod 1'!D194)</f>
        <v/>
      </c>
    </row>
    <row r="196" spans="2:2" ht="24.95" customHeight="1" x14ac:dyDescent="0.25">
      <c r="B196" s="92" t="str">
        <f>IF('Prod 1'!D195="","",'Prod 1'!D195)</f>
        <v/>
      </c>
    </row>
    <row r="197" spans="2:2" ht="24.95" customHeight="1" x14ac:dyDescent="0.25">
      <c r="B197" s="92" t="str">
        <f>IF('Prod 1'!D196="","",'Prod 1'!D196)</f>
        <v/>
      </c>
    </row>
    <row r="198" spans="2:2" ht="24.95" customHeight="1" x14ac:dyDescent="0.25">
      <c r="B198" s="92" t="str">
        <f>IF('Prod 1'!D197="","",'Prod 1'!D197)</f>
        <v/>
      </c>
    </row>
    <row r="199" spans="2:2" ht="24.95" customHeight="1" x14ac:dyDescent="0.25">
      <c r="B199" s="92" t="str">
        <f>IF('Prod 1'!D198="","",'Prod 1'!D198)</f>
        <v/>
      </c>
    </row>
    <row r="200" spans="2:2" ht="24.95" customHeight="1" x14ac:dyDescent="0.25">
      <c r="B200" s="92" t="str">
        <f>IF('Prod 1'!D199="","",'Prod 1'!D199)</f>
        <v/>
      </c>
    </row>
    <row r="201" spans="2:2" ht="24.95" customHeight="1" x14ac:dyDescent="0.25">
      <c r="B201" s="92" t="str">
        <f>IF('Prod 1'!D200="","",'Prod 1'!D200)</f>
        <v/>
      </c>
    </row>
    <row r="202" spans="2:2" ht="24.95" customHeight="1" x14ac:dyDescent="0.25">
      <c r="B202" s="92" t="str">
        <f>IF('Prod 1'!D201="","",'Prod 1'!D201)</f>
        <v/>
      </c>
    </row>
    <row r="203" spans="2:2" ht="24.95" customHeight="1" x14ac:dyDescent="0.25">
      <c r="B203" s="92" t="str">
        <f>IF('Prod 1'!D202="","",'Prod 1'!D202)</f>
        <v/>
      </c>
    </row>
    <row r="204" spans="2:2" ht="24.95" customHeight="1" x14ac:dyDescent="0.25">
      <c r="B204" s="92" t="str">
        <f>IF('Prod 1'!D203="","",'Prod 1'!D203)</f>
        <v/>
      </c>
    </row>
    <row r="205" spans="2:2" ht="24.95" customHeight="1" x14ac:dyDescent="0.25">
      <c r="B205" s="92" t="str">
        <f>IF('Prod 1'!D204="","",'Prod 1'!D204)</f>
        <v/>
      </c>
    </row>
    <row r="206" spans="2:2" ht="24.95" customHeight="1" x14ac:dyDescent="0.25">
      <c r="B206" s="92" t="str">
        <f>IF('Prod 1'!D205="","",'Prod 1'!D205)</f>
        <v/>
      </c>
    </row>
    <row r="207" spans="2:2" ht="24.95" customHeight="1" x14ac:dyDescent="0.25">
      <c r="B207" s="92" t="str">
        <f>IF('Prod 1'!D206="","",'Prod 1'!D206)</f>
        <v/>
      </c>
    </row>
    <row r="208" spans="2:2" ht="24.95" customHeight="1" x14ac:dyDescent="0.25">
      <c r="B208" s="92" t="str">
        <f>IF('Prod 1'!D207="","",'Prod 1'!D207)</f>
        <v/>
      </c>
    </row>
    <row r="209" spans="2:2" ht="24.95" customHeight="1" x14ac:dyDescent="0.25">
      <c r="B209" s="92" t="str">
        <f>IF('Prod 1'!D208="","",'Prod 1'!D208)</f>
        <v/>
      </c>
    </row>
    <row r="210" spans="2:2" ht="24.95" customHeight="1" x14ac:dyDescent="0.25">
      <c r="B210" s="92" t="str">
        <f>IF('Prod 1'!D209="","",'Prod 1'!D209)</f>
        <v/>
      </c>
    </row>
    <row r="211" spans="2:2" ht="24.95" customHeight="1" x14ac:dyDescent="0.25">
      <c r="B211" s="92" t="str">
        <f>IF('Prod 1'!D210="","",'Prod 1'!D210)</f>
        <v/>
      </c>
    </row>
    <row r="212" spans="2:2" ht="24.95" customHeight="1" x14ac:dyDescent="0.25">
      <c r="B212" s="92" t="str">
        <f>IF('Prod 1'!D211="","",'Prod 1'!D211)</f>
        <v/>
      </c>
    </row>
    <row r="213" spans="2:2" ht="24.95" customHeight="1" x14ac:dyDescent="0.25">
      <c r="B213" s="92" t="str">
        <f>IF('Prod 1'!D212="","",'Prod 1'!D212)</f>
        <v/>
      </c>
    </row>
    <row r="214" spans="2:2" ht="24.95" customHeight="1" x14ac:dyDescent="0.25">
      <c r="B214" s="92" t="str">
        <f>IF('Prod 1'!D213="","",'Prod 1'!D213)</f>
        <v/>
      </c>
    </row>
    <row r="215" spans="2:2" ht="24.95" customHeight="1" x14ac:dyDescent="0.25">
      <c r="B215" s="92" t="str">
        <f>IF('Prod 1'!D214="","",'Prod 1'!D214)</f>
        <v/>
      </c>
    </row>
    <row r="216" spans="2:2" ht="24.95" customHeight="1" x14ac:dyDescent="0.25">
      <c r="B216" s="92" t="str">
        <f>IF('Prod 1'!D215="","",'Prod 1'!D215)</f>
        <v/>
      </c>
    </row>
    <row r="217" spans="2:2" ht="24.95" customHeight="1" x14ac:dyDescent="0.25">
      <c r="B217" s="92" t="str">
        <f>IF('Prod 1'!D216="","",'Prod 1'!D216)</f>
        <v/>
      </c>
    </row>
    <row r="218" spans="2:2" ht="24.95" customHeight="1" x14ac:dyDescent="0.25">
      <c r="B218" s="92" t="str">
        <f>IF('Prod 1'!D217="","",'Prod 1'!D217)</f>
        <v/>
      </c>
    </row>
    <row r="219" spans="2:2" ht="24.95" customHeight="1" x14ac:dyDescent="0.25">
      <c r="B219" s="92" t="str">
        <f>IF('Prod 1'!D218="","",'Prod 1'!D218)</f>
        <v/>
      </c>
    </row>
    <row r="220" spans="2:2" ht="24.95" customHeight="1" x14ac:dyDescent="0.25">
      <c r="B220" s="92" t="str">
        <f>IF('Prod 1'!D219="","",'Prod 1'!D219)</f>
        <v/>
      </c>
    </row>
    <row r="221" spans="2:2" ht="24.95" customHeight="1" x14ac:dyDescent="0.25">
      <c r="B221" s="92" t="str">
        <f>IF('Prod 1'!D220="","",'Prod 1'!D220)</f>
        <v/>
      </c>
    </row>
    <row r="222" spans="2:2" ht="24.95" customHeight="1" x14ac:dyDescent="0.25">
      <c r="B222" s="92" t="str">
        <f>IF('Prod 1'!D221="","",'Prod 1'!D221)</f>
        <v/>
      </c>
    </row>
    <row r="223" spans="2:2" ht="24.95" customHeight="1" x14ac:dyDescent="0.25">
      <c r="B223" s="92" t="str">
        <f>IF('Prod 1'!D222="","",'Prod 1'!D222)</f>
        <v/>
      </c>
    </row>
    <row r="224" spans="2:2" ht="24.95" customHeight="1" x14ac:dyDescent="0.25">
      <c r="B224" s="92" t="str">
        <f>IF('Prod 1'!D223="","",'Prod 1'!D223)</f>
        <v/>
      </c>
    </row>
    <row r="225" spans="2:2" ht="24.95" customHeight="1" x14ac:dyDescent="0.25">
      <c r="B225" s="92" t="str">
        <f>IF('Prod 1'!D224="","",'Prod 1'!D224)</f>
        <v/>
      </c>
    </row>
    <row r="226" spans="2:2" ht="24.95" customHeight="1" x14ac:dyDescent="0.25">
      <c r="B226" s="92" t="str">
        <f>IF('Prod 1'!D225="","",'Prod 1'!D225)</f>
        <v/>
      </c>
    </row>
    <row r="227" spans="2:2" ht="24.95" customHeight="1" x14ac:dyDescent="0.25">
      <c r="B227" s="92" t="str">
        <f>IF('Prod 1'!D226="","",'Prod 1'!D226)</f>
        <v/>
      </c>
    </row>
    <row r="228" spans="2:2" ht="24.95" customHeight="1" x14ac:dyDescent="0.25">
      <c r="B228" s="92" t="str">
        <f>IF('Prod 1'!D227="","",'Prod 1'!D227)</f>
        <v/>
      </c>
    </row>
    <row r="229" spans="2:2" ht="24.95" customHeight="1" x14ac:dyDescent="0.25">
      <c r="B229" s="92" t="str">
        <f>IF('Prod 1'!D228="","",'Prod 1'!D228)</f>
        <v/>
      </c>
    </row>
    <row r="230" spans="2:2" ht="24.95" customHeight="1" x14ac:dyDescent="0.25">
      <c r="B230" s="92" t="str">
        <f>IF('Prod 1'!D229="","",'Prod 1'!D229)</f>
        <v/>
      </c>
    </row>
    <row r="231" spans="2:2" ht="24.95" customHeight="1" x14ac:dyDescent="0.25">
      <c r="B231" s="92" t="str">
        <f>IF('Prod 1'!D230="","",'Prod 1'!D230)</f>
        <v/>
      </c>
    </row>
    <row r="232" spans="2:2" ht="24.95" customHeight="1" x14ac:dyDescent="0.25">
      <c r="B232" s="92" t="str">
        <f>IF('Prod 1'!D231="","",'Prod 1'!D231)</f>
        <v/>
      </c>
    </row>
    <row r="233" spans="2:2" ht="24.95" customHeight="1" x14ac:dyDescent="0.25">
      <c r="B233" s="92" t="str">
        <f>IF('Prod 1'!D232="","",'Prod 1'!D232)</f>
        <v/>
      </c>
    </row>
    <row r="234" spans="2:2" ht="24.95" customHeight="1" x14ac:dyDescent="0.25">
      <c r="B234" s="92" t="str">
        <f>IF('Prod 1'!D233="","",'Prod 1'!D233)</f>
        <v/>
      </c>
    </row>
    <row r="235" spans="2:2" ht="24.95" customHeight="1" x14ac:dyDescent="0.25">
      <c r="B235" s="92" t="str">
        <f>IF('Prod 1'!D234="","",'Prod 1'!D234)</f>
        <v/>
      </c>
    </row>
    <row r="236" spans="2:2" ht="24.95" customHeight="1" x14ac:dyDescent="0.25">
      <c r="B236" s="92" t="str">
        <f>IF('Prod 1'!D235="","",'Prod 1'!D235)</f>
        <v/>
      </c>
    </row>
    <row r="237" spans="2:2" ht="24.95" customHeight="1" x14ac:dyDescent="0.25">
      <c r="B237" s="92" t="str">
        <f>IF('Prod 1'!D236="","",'Prod 1'!D236)</f>
        <v/>
      </c>
    </row>
    <row r="238" spans="2:2" ht="24.95" customHeight="1" x14ac:dyDescent="0.25">
      <c r="B238" s="92" t="str">
        <f>IF('Prod 1'!D237="","",'Prod 1'!D237)</f>
        <v/>
      </c>
    </row>
    <row r="239" spans="2:2" ht="24.95" customHeight="1" x14ac:dyDescent="0.25">
      <c r="B239" s="92" t="str">
        <f>IF('Prod 1'!D238="","",'Prod 1'!D238)</f>
        <v/>
      </c>
    </row>
    <row r="240" spans="2:2" ht="24.95" customHeight="1" x14ac:dyDescent="0.25">
      <c r="B240" s="92" t="str">
        <f>IF('Prod 1'!D239="","",'Prod 1'!D239)</f>
        <v/>
      </c>
    </row>
    <row r="241" spans="2:2" ht="24.95" customHeight="1" x14ac:dyDescent="0.25">
      <c r="B241" s="92" t="str">
        <f>IF('Prod 1'!D240="","",'Prod 1'!D240)</f>
        <v/>
      </c>
    </row>
    <row r="242" spans="2:2" ht="24.95" customHeight="1" x14ac:dyDescent="0.25">
      <c r="B242" s="92" t="str">
        <f>IF('Prod 1'!D241="","",'Prod 1'!D241)</f>
        <v/>
      </c>
    </row>
    <row r="243" spans="2:2" ht="24.95" customHeight="1" x14ac:dyDescent="0.25">
      <c r="B243" s="92" t="str">
        <f>IF('Prod 1'!D242="","",'Prod 1'!D242)</f>
        <v/>
      </c>
    </row>
    <row r="244" spans="2:2" ht="24.95" customHeight="1" x14ac:dyDescent="0.25">
      <c r="B244" s="92" t="str">
        <f>IF('Prod 1'!D243="","",'Prod 1'!D243)</f>
        <v/>
      </c>
    </row>
    <row r="245" spans="2:2" ht="24.95" customHeight="1" x14ac:dyDescent="0.25">
      <c r="B245" s="92" t="str">
        <f>IF('Prod 1'!D244="","",'Prod 1'!D244)</f>
        <v/>
      </c>
    </row>
    <row r="246" spans="2:2" ht="24.95" customHeight="1" x14ac:dyDescent="0.25">
      <c r="B246" s="92" t="str">
        <f>IF('Prod 1'!D245="","",'Prod 1'!D245)</f>
        <v/>
      </c>
    </row>
    <row r="247" spans="2:2" ht="24.95" customHeight="1" x14ac:dyDescent="0.25">
      <c r="B247" s="92" t="str">
        <f>IF('Prod 1'!D246="","",'Prod 1'!D246)</f>
        <v/>
      </c>
    </row>
    <row r="248" spans="2:2" ht="24.95" customHeight="1" x14ac:dyDescent="0.25">
      <c r="B248" s="92" t="str">
        <f>IF('Prod 1'!D247="","",'Prod 1'!D247)</f>
        <v/>
      </c>
    </row>
    <row r="249" spans="2:2" ht="24.95" customHeight="1" x14ac:dyDescent="0.25">
      <c r="B249" s="92" t="str">
        <f>IF('Prod 1'!D248="","",'Prod 1'!D248)</f>
        <v/>
      </c>
    </row>
    <row r="250" spans="2:2" ht="24.95" customHeight="1" x14ac:dyDescent="0.25">
      <c r="B250" s="92" t="str">
        <f>IF('Prod 1'!D249="","",'Prod 1'!D249)</f>
        <v/>
      </c>
    </row>
    <row r="251" spans="2:2" ht="24.95" customHeight="1" x14ac:dyDescent="0.25">
      <c r="B251" s="92" t="str">
        <f>IF('Prod 1'!D250="","",'Prod 1'!D250)</f>
        <v/>
      </c>
    </row>
    <row r="252" spans="2:2" ht="24.95" customHeight="1" x14ac:dyDescent="0.25">
      <c r="B252" s="92" t="str">
        <f>IF('Prod 1'!D251="","",'Prod 1'!D251)</f>
        <v/>
      </c>
    </row>
    <row r="253" spans="2:2" ht="24.95" customHeight="1" x14ac:dyDescent="0.25">
      <c r="B253" s="92" t="str">
        <f>IF('Prod 1'!D252="","",'Prod 1'!D252)</f>
        <v/>
      </c>
    </row>
    <row r="254" spans="2:2" ht="24.95" customHeight="1" x14ac:dyDescent="0.25">
      <c r="B254" s="92" t="str">
        <f>IF('Prod 1'!D253="","",'Prod 1'!D253)</f>
        <v/>
      </c>
    </row>
    <row r="255" spans="2:2" ht="24.95" customHeight="1" x14ac:dyDescent="0.25">
      <c r="B255" s="92" t="str">
        <f>IF('Prod 1'!D254="","",'Prod 1'!D254)</f>
        <v/>
      </c>
    </row>
    <row r="256" spans="2:2" ht="24.95" customHeight="1" x14ac:dyDescent="0.25">
      <c r="B256" s="92" t="str">
        <f>IF('Prod 1'!D255="","",'Prod 1'!D255)</f>
        <v/>
      </c>
    </row>
    <row r="257" spans="2:2" ht="24.95" customHeight="1" x14ac:dyDescent="0.25">
      <c r="B257" s="92" t="str">
        <f>IF('Prod 1'!D256="","",'Prod 1'!D256)</f>
        <v/>
      </c>
    </row>
    <row r="258" spans="2:2" ht="24.95" customHeight="1" x14ac:dyDescent="0.25">
      <c r="B258" s="92" t="str">
        <f>IF('Prod 1'!D257="","",'Prod 1'!D257)</f>
        <v/>
      </c>
    </row>
    <row r="259" spans="2:2" ht="24.95" customHeight="1" x14ac:dyDescent="0.25">
      <c r="B259" s="92" t="str">
        <f>IF('Prod 1'!D258="","",'Prod 1'!D258)</f>
        <v/>
      </c>
    </row>
    <row r="260" spans="2:2" ht="24.95" customHeight="1" x14ac:dyDescent="0.25">
      <c r="B260" s="92" t="str">
        <f>IF('Prod 1'!D259="","",'Prod 1'!D259)</f>
        <v/>
      </c>
    </row>
    <row r="261" spans="2:2" ht="24.95" customHeight="1" x14ac:dyDescent="0.25">
      <c r="B261" s="92" t="str">
        <f>IF('Prod 1'!D260="","",'Prod 1'!D260)</f>
        <v/>
      </c>
    </row>
    <row r="262" spans="2:2" ht="24.95" customHeight="1" x14ac:dyDescent="0.25">
      <c r="B262" s="92" t="str">
        <f>IF('Prod 1'!D261="","",'Prod 1'!D261)</f>
        <v/>
      </c>
    </row>
    <row r="263" spans="2:2" ht="24.95" customHeight="1" x14ac:dyDescent="0.25">
      <c r="B263" s="92" t="str">
        <f>IF('Prod 1'!D262="","",'Prod 1'!D262)</f>
        <v/>
      </c>
    </row>
    <row r="264" spans="2:2" ht="24.95" customHeight="1" x14ac:dyDescent="0.25">
      <c r="B264" s="92" t="str">
        <f>IF('Prod 1'!D263="","",'Prod 1'!D263)</f>
        <v/>
      </c>
    </row>
    <row r="265" spans="2:2" ht="24.95" customHeight="1" x14ac:dyDescent="0.25">
      <c r="B265" s="92" t="str">
        <f>IF('Prod 1'!D264="","",'Prod 1'!D264)</f>
        <v/>
      </c>
    </row>
    <row r="266" spans="2:2" ht="24.95" customHeight="1" x14ac:dyDescent="0.25">
      <c r="B266" s="92" t="str">
        <f>IF('Prod 1'!D265="","",'Prod 1'!D265)</f>
        <v/>
      </c>
    </row>
    <row r="267" spans="2:2" ht="24.95" customHeight="1" x14ac:dyDescent="0.25">
      <c r="B267" s="92" t="str">
        <f>IF('Prod 1'!D266="","",'Prod 1'!D266)</f>
        <v/>
      </c>
    </row>
    <row r="268" spans="2:2" ht="24.95" customHeight="1" x14ac:dyDescent="0.25">
      <c r="B268" s="92" t="str">
        <f>IF('Prod 1'!D267="","",'Prod 1'!D267)</f>
        <v/>
      </c>
    </row>
    <row r="269" spans="2:2" ht="24.95" customHeight="1" x14ac:dyDescent="0.25">
      <c r="B269" s="92" t="str">
        <f>IF('Prod 1'!D268="","",'Prod 1'!D268)</f>
        <v/>
      </c>
    </row>
    <row r="270" spans="2:2" ht="24.95" customHeight="1" x14ac:dyDescent="0.25">
      <c r="B270" s="92" t="str">
        <f>IF('Prod 1'!D269="","",'Prod 1'!D269)</f>
        <v/>
      </c>
    </row>
    <row r="271" spans="2:2" ht="24.95" customHeight="1" x14ac:dyDescent="0.25">
      <c r="B271" s="92" t="str">
        <f>IF('Prod 1'!D270="","",'Prod 1'!D270)</f>
        <v/>
      </c>
    </row>
    <row r="272" spans="2:2" ht="24.95" customHeight="1" x14ac:dyDescent="0.25">
      <c r="B272" s="92" t="str">
        <f>IF('Prod 1'!D271="","",'Prod 1'!D271)</f>
        <v/>
      </c>
    </row>
    <row r="273" spans="2:2" ht="24.95" customHeight="1" x14ac:dyDescent="0.25">
      <c r="B273" s="92" t="str">
        <f>IF('Prod 1'!D272="","",'Prod 1'!D272)</f>
        <v/>
      </c>
    </row>
    <row r="274" spans="2:2" ht="24.95" customHeight="1" x14ac:dyDescent="0.25">
      <c r="B274" s="92" t="str">
        <f>IF('Prod 1'!D273="","",'Prod 1'!D273)</f>
        <v/>
      </c>
    </row>
    <row r="275" spans="2:2" ht="24.95" customHeight="1" x14ac:dyDescent="0.25">
      <c r="B275" s="92" t="str">
        <f>IF('Prod 1'!D274="","",'Prod 1'!D274)</f>
        <v/>
      </c>
    </row>
    <row r="276" spans="2:2" ht="24.95" customHeight="1" x14ac:dyDescent="0.25">
      <c r="B276" s="92" t="str">
        <f>IF('Prod 1'!D275="","",'Prod 1'!D275)</f>
        <v/>
      </c>
    </row>
    <row r="277" spans="2:2" ht="24.95" customHeight="1" x14ac:dyDescent="0.25">
      <c r="B277" s="92" t="str">
        <f>IF('Prod 1'!D276="","",'Prod 1'!D276)</f>
        <v/>
      </c>
    </row>
    <row r="278" spans="2:2" ht="24.95" customHeight="1" x14ac:dyDescent="0.25">
      <c r="B278" s="92" t="str">
        <f>IF('Prod 1'!D277="","",'Prod 1'!D277)</f>
        <v/>
      </c>
    </row>
    <row r="279" spans="2:2" ht="24.95" customHeight="1" x14ac:dyDescent="0.25">
      <c r="B279" s="92" t="str">
        <f>IF('Prod 1'!D278="","",'Prod 1'!D278)</f>
        <v/>
      </c>
    </row>
    <row r="280" spans="2:2" ht="24.95" customHeight="1" x14ac:dyDescent="0.25">
      <c r="B280" s="92" t="str">
        <f>IF('Prod 1'!D279="","",'Prod 1'!D279)</f>
        <v/>
      </c>
    </row>
    <row r="281" spans="2:2" ht="24.95" customHeight="1" x14ac:dyDescent="0.25">
      <c r="B281" s="92" t="str">
        <f>IF('Prod 1'!D280="","",'Prod 1'!D280)</f>
        <v/>
      </c>
    </row>
    <row r="282" spans="2:2" ht="24.95" customHeight="1" x14ac:dyDescent="0.25">
      <c r="B282" s="92" t="str">
        <f>IF('Prod 1'!D281="","",'Prod 1'!D281)</f>
        <v/>
      </c>
    </row>
    <row r="283" spans="2:2" ht="24.95" customHeight="1" x14ac:dyDescent="0.25">
      <c r="B283" s="92" t="str">
        <f>IF('Prod 1'!D282="","",'Prod 1'!D282)</f>
        <v/>
      </c>
    </row>
    <row r="284" spans="2:2" ht="24.95" customHeight="1" x14ac:dyDescent="0.25">
      <c r="B284" s="92" t="str">
        <f>IF('Prod 1'!D283="","",'Prod 1'!D283)</f>
        <v/>
      </c>
    </row>
    <row r="285" spans="2:2" ht="24.95" customHeight="1" x14ac:dyDescent="0.25">
      <c r="B285" s="92" t="str">
        <f>IF('Prod 1'!D284="","",'Prod 1'!D284)</f>
        <v/>
      </c>
    </row>
    <row r="286" spans="2:2" ht="24.95" customHeight="1" x14ac:dyDescent="0.25">
      <c r="B286" s="92" t="str">
        <f>IF('Prod 1'!D285="","",'Prod 1'!D285)</f>
        <v/>
      </c>
    </row>
    <row r="287" spans="2:2" ht="24.95" customHeight="1" x14ac:dyDescent="0.25">
      <c r="B287" s="92" t="str">
        <f>IF('Prod 1'!D286="","",'Prod 1'!D286)</f>
        <v/>
      </c>
    </row>
    <row r="288" spans="2:2" ht="24.95" customHeight="1" x14ac:dyDescent="0.25">
      <c r="B288" s="92" t="str">
        <f>IF('Prod 1'!D287="","",'Prod 1'!D287)</f>
        <v/>
      </c>
    </row>
    <row r="289" spans="2:2" ht="24.95" customHeight="1" x14ac:dyDescent="0.25">
      <c r="B289" s="92" t="str">
        <f>IF('Prod 1'!D288="","",'Prod 1'!D288)</f>
        <v/>
      </c>
    </row>
    <row r="290" spans="2:2" ht="24.95" customHeight="1" x14ac:dyDescent="0.25">
      <c r="B290" s="92" t="str">
        <f>IF('Prod 1'!D289="","",'Prod 1'!D289)</f>
        <v/>
      </c>
    </row>
    <row r="291" spans="2:2" ht="24.95" customHeight="1" x14ac:dyDescent="0.25">
      <c r="B291" s="92" t="str">
        <f>IF('Prod 1'!D290="","",'Prod 1'!D290)</f>
        <v/>
      </c>
    </row>
    <row r="292" spans="2:2" ht="24.95" customHeight="1" x14ac:dyDescent="0.25">
      <c r="B292" s="92" t="str">
        <f>IF('Prod 1'!D291="","",'Prod 1'!D291)</f>
        <v/>
      </c>
    </row>
    <row r="293" spans="2:2" ht="24.95" customHeight="1" x14ac:dyDescent="0.25">
      <c r="B293" s="92" t="str">
        <f>IF('Prod 1'!D292="","",'Prod 1'!D292)</f>
        <v/>
      </c>
    </row>
    <row r="294" spans="2:2" ht="24.95" customHeight="1" x14ac:dyDescent="0.25">
      <c r="B294" s="92" t="str">
        <f>IF('Prod 1'!D293="","",'Prod 1'!D293)</f>
        <v/>
      </c>
    </row>
    <row r="295" spans="2:2" ht="24.95" customHeight="1" x14ac:dyDescent="0.25">
      <c r="B295" s="92" t="str">
        <f>IF('Prod 1'!D294="","",'Prod 1'!D294)</f>
        <v/>
      </c>
    </row>
    <row r="296" spans="2:2" ht="24.95" customHeight="1" x14ac:dyDescent="0.25">
      <c r="B296" s="92" t="str">
        <f>IF('Prod 1'!D295="","",'Prod 1'!D295)</f>
        <v/>
      </c>
    </row>
    <row r="297" spans="2:2" ht="24.95" customHeight="1" x14ac:dyDescent="0.25">
      <c r="B297" s="92" t="str">
        <f>IF('Prod 1'!D296="","",'Prod 1'!D296)</f>
        <v/>
      </c>
    </row>
    <row r="298" spans="2:2" ht="24.95" customHeight="1" x14ac:dyDescent="0.25">
      <c r="B298" s="92" t="str">
        <f>IF('Prod 1'!D297="","",'Prod 1'!D297)</f>
        <v/>
      </c>
    </row>
    <row r="299" spans="2:2" ht="24.95" customHeight="1" x14ac:dyDescent="0.25">
      <c r="B299" s="92" t="str">
        <f>IF('Prod 1'!D298="","",'Prod 1'!D298)</f>
        <v/>
      </c>
    </row>
    <row r="300" spans="2:2" ht="24.95" customHeight="1" x14ac:dyDescent="0.25">
      <c r="B300" s="92" t="str">
        <f>IF('Prod 1'!D299="","",'Prod 1'!D299)</f>
        <v/>
      </c>
    </row>
    <row r="301" spans="2:2" ht="24.95" customHeight="1" x14ac:dyDescent="0.25">
      <c r="B301" s="92" t="str">
        <f>IF('Prod 1'!D300="","",'Prod 1'!D300)</f>
        <v/>
      </c>
    </row>
    <row r="302" spans="2:2" ht="24.95" customHeight="1" x14ac:dyDescent="0.25">
      <c r="B302" s="92" t="str">
        <f>IF('Prod 1'!D301="","",'Prod 1'!D301)</f>
        <v/>
      </c>
    </row>
    <row r="303" spans="2:2" ht="24.95" customHeight="1" x14ac:dyDescent="0.25">
      <c r="B303" s="92" t="str">
        <f>IF('Prod 1'!D302="","",'Prod 1'!D302)</f>
        <v/>
      </c>
    </row>
    <row r="304" spans="2:2" ht="24.95" customHeight="1" x14ac:dyDescent="0.25">
      <c r="B304" s="92" t="str">
        <f>IF('Prod 1'!D303="","",'Prod 1'!D303)</f>
        <v/>
      </c>
    </row>
    <row r="305" spans="2:2" ht="24.95" customHeight="1" x14ac:dyDescent="0.25">
      <c r="B305" s="92" t="str">
        <f>IF('Prod 1'!D304="","",'Prod 1'!D304)</f>
        <v/>
      </c>
    </row>
    <row r="306" spans="2:2" ht="24.95" customHeight="1" x14ac:dyDescent="0.25">
      <c r="B306" s="92" t="str">
        <f>IF('Prod 1'!D305="","",'Prod 1'!D305)</f>
        <v/>
      </c>
    </row>
    <row r="307" spans="2:2" ht="24.95" customHeight="1" x14ac:dyDescent="0.25">
      <c r="B307" s="92" t="str">
        <f>IF('Prod 1'!D306="","",'Prod 1'!D306)</f>
        <v/>
      </c>
    </row>
    <row r="308" spans="2:2" ht="24.95" customHeight="1" x14ac:dyDescent="0.25">
      <c r="B308" s="92" t="str">
        <f>IF('Prod 1'!D307="","",'Prod 1'!D307)</f>
        <v/>
      </c>
    </row>
    <row r="309" spans="2:2" ht="24.95" customHeight="1" x14ac:dyDescent="0.25">
      <c r="B309" s="92" t="str">
        <f>IF('Prod 1'!D308="","",'Prod 1'!D308)</f>
        <v/>
      </c>
    </row>
    <row r="310" spans="2:2" ht="24.95" customHeight="1" x14ac:dyDescent="0.25">
      <c r="B310" s="92" t="str">
        <f>IF('Prod 1'!D309="","",'Prod 1'!D309)</f>
        <v/>
      </c>
    </row>
    <row r="311" spans="2:2" ht="24.95" customHeight="1" x14ac:dyDescent="0.25">
      <c r="B311" s="92" t="str">
        <f>IF('Prod 1'!D310="","",'Prod 1'!D310)</f>
        <v/>
      </c>
    </row>
    <row r="312" spans="2:2" ht="24.95" customHeight="1" x14ac:dyDescent="0.25">
      <c r="B312" s="92" t="str">
        <f>IF('Prod 1'!D311="","",'Prod 1'!D311)</f>
        <v/>
      </c>
    </row>
    <row r="313" spans="2:2" ht="24.95" customHeight="1" x14ac:dyDescent="0.25">
      <c r="B313" s="92" t="str">
        <f>IF('Prod 1'!D312="","",'Prod 1'!D312)</f>
        <v/>
      </c>
    </row>
    <row r="314" spans="2:2" ht="24.95" customHeight="1" x14ac:dyDescent="0.25">
      <c r="B314" s="92" t="str">
        <f>IF('Prod 1'!D313="","",'Prod 1'!D313)</f>
        <v/>
      </c>
    </row>
    <row r="315" spans="2:2" ht="24.95" customHeight="1" x14ac:dyDescent="0.25">
      <c r="B315" s="92" t="str">
        <f>IF('Prod 1'!D314="","",'Prod 1'!D314)</f>
        <v/>
      </c>
    </row>
    <row r="316" spans="2:2" ht="24.95" customHeight="1" x14ac:dyDescent="0.25">
      <c r="B316" s="92" t="str">
        <f>IF('Prod 1'!D315="","",'Prod 1'!D315)</f>
        <v/>
      </c>
    </row>
    <row r="317" spans="2:2" ht="24.95" customHeight="1" x14ac:dyDescent="0.25">
      <c r="B317" s="92" t="str">
        <f>IF('Prod 1'!D316="","",'Prod 1'!D316)</f>
        <v/>
      </c>
    </row>
    <row r="318" spans="2:2" ht="24.95" customHeight="1" x14ac:dyDescent="0.25">
      <c r="B318" s="92" t="str">
        <f>IF('Prod 1'!D317="","",'Prod 1'!D317)</f>
        <v/>
      </c>
    </row>
    <row r="319" spans="2:2" ht="24.95" customHeight="1" x14ac:dyDescent="0.25">
      <c r="B319" s="92" t="str">
        <f>IF('Prod 1'!D318="","",'Prod 1'!D318)</f>
        <v/>
      </c>
    </row>
    <row r="320" spans="2:2" ht="24.95" customHeight="1" x14ac:dyDescent="0.25">
      <c r="B320" s="92" t="str">
        <f>IF('Prod 1'!D319="","",'Prod 1'!D319)</f>
        <v/>
      </c>
    </row>
    <row r="321" spans="2:2" ht="24.95" customHeight="1" x14ac:dyDescent="0.25">
      <c r="B321" s="92" t="str">
        <f>IF('Prod 1'!D320="","",'Prod 1'!D320)</f>
        <v/>
      </c>
    </row>
    <row r="322" spans="2:2" ht="24.95" customHeight="1" x14ac:dyDescent="0.25">
      <c r="B322" s="92" t="str">
        <f>IF('Prod 1'!D321="","",'Prod 1'!D321)</f>
        <v/>
      </c>
    </row>
    <row r="323" spans="2:2" ht="24.95" customHeight="1" x14ac:dyDescent="0.25">
      <c r="B323" s="92" t="str">
        <f>IF('Prod 1'!D322="","",'Prod 1'!D322)</f>
        <v/>
      </c>
    </row>
    <row r="324" spans="2:2" ht="24.95" customHeight="1" x14ac:dyDescent="0.25">
      <c r="B324" s="92" t="str">
        <f>IF('Prod 1'!D323="","",'Prod 1'!D323)</f>
        <v/>
      </c>
    </row>
    <row r="325" spans="2:2" ht="24.95" customHeight="1" x14ac:dyDescent="0.25">
      <c r="B325" s="92" t="str">
        <f>IF('Prod 1'!D324="","",'Prod 1'!D324)</f>
        <v/>
      </c>
    </row>
    <row r="326" spans="2:2" ht="24.95" customHeight="1" x14ac:dyDescent="0.25">
      <c r="B326" s="92" t="str">
        <f>IF('Prod 1'!D325="","",'Prod 1'!D325)</f>
        <v/>
      </c>
    </row>
    <row r="327" spans="2:2" ht="24.95" customHeight="1" x14ac:dyDescent="0.25">
      <c r="B327" s="92" t="str">
        <f>IF('Prod 1'!D326="","",'Prod 1'!D326)</f>
        <v/>
      </c>
    </row>
    <row r="328" spans="2:2" ht="24.95" customHeight="1" x14ac:dyDescent="0.25">
      <c r="B328" s="92" t="str">
        <f>IF('Prod 1'!D327="","",'Prod 1'!D327)</f>
        <v/>
      </c>
    </row>
    <row r="329" spans="2:2" ht="24.95" customHeight="1" x14ac:dyDescent="0.25">
      <c r="B329" s="92" t="str">
        <f>IF('Prod 1'!D328="","",'Prod 1'!D328)</f>
        <v/>
      </c>
    </row>
    <row r="330" spans="2:2" ht="24.95" customHeight="1" x14ac:dyDescent="0.25">
      <c r="B330" s="92" t="str">
        <f>IF('Prod 1'!D329="","",'Prod 1'!D329)</f>
        <v/>
      </c>
    </row>
    <row r="331" spans="2:2" ht="24.95" customHeight="1" x14ac:dyDescent="0.25">
      <c r="B331" s="92" t="str">
        <f>IF('Prod 1'!D330="","",'Prod 1'!D330)</f>
        <v/>
      </c>
    </row>
    <row r="332" spans="2:2" ht="24.95" customHeight="1" x14ac:dyDescent="0.25">
      <c r="B332" s="92" t="str">
        <f>IF('Prod 1'!D331="","",'Prod 1'!D331)</f>
        <v/>
      </c>
    </row>
    <row r="333" spans="2:2" ht="24.95" customHeight="1" x14ac:dyDescent="0.25">
      <c r="B333" s="92" t="str">
        <f>IF('Prod 1'!D332="","",'Prod 1'!D332)</f>
        <v/>
      </c>
    </row>
    <row r="334" spans="2:2" ht="24.95" customHeight="1" x14ac:dyDescent="0.25">
      <c r="B334" s="92" t="str">
        <f>IF('Prod 1'!D333="","",'Prod 1'!D333)</f>
        <v/>
      </c>
    </row>
    <row r="335" spans="2:2" ht="24.95" customHeight="1" x14ac:dyDescent="0.25">
      <c r="B335" s="92" t="str">
        <f>IF('Prod 1'!D334="","",'Prod 1'!D334)</f>
        <v/>
      </c>
    </row>
    <row r="336" spans="2:2" ht="24.95" customHeight="1" x14ac:dyDescent="0.25">
      <c r="B336" s="92" t="str">
        <f>IF('Prod 1'!D335="","",'Prod 1'!D335)</f>
        <v/>
      </c>
    </row>
    <row r="337" spans="2:2" ht="24.95" customHeight="1" x14ac:dyDescent="0.25">
      <c r="B337" s="92" t="str">
        <f>IF('Prod 1'!D336="","",'Prod 1'!D336)</f>
        <v/>
      </c>
    </row>
    <row r="338" spans="2:2" ht="24.95" customHeight="1" x14ac:dyDescent="0.25">
      <c r="B338" s="92" t="str">
        <f>IF('Prod 1'!D337="","",'Prod 1'!D337)</f>
        <v/>
      </c>
    </row>
    <row r="339" spans="2:2" ht="24.95" customHeight="1" x14ac:dyDescent="0.25">
      <c r="B339" s="92" t="str">
        <f>IF('Prod 1'!D338="","",'Prod 1'!D338)</f>
        <v/>
      </c>
    </row>
    <row r="340" spans="2:2" ht="24.95" customHeight="1" x14ac:dyDescent="0.25">
      <c r="B340" s="92" t="str">
        <f>IF('Prod 1'!D339="","",'Prod 1'!D339)</f>
        <v/>
      </c>
    </row>
    <row r="341" spans="2:2" ht="24.95" customHeight="1" x14ac:dyDescent="0.25">
      <c r="B341" s="92" t="str">
        <f>IF('Prod 1'!D340="","",'Prod 1'!D340)</f>
        <v/>
      </c>
    </row>
    <row r="342" spans="2:2" ht="24.95" customHeight="1" x14ac:dyDescent="0.25">
      <c r="B342" s="92" t="str">
        <f>IF('Prod 1'!D341="","",'Prod 1'!D341)</f>
        <v/>
      </c>
    </row>
    <row r="343" spans="2:2" ht="24.95" customHeight="1" x14ac:dyDescent="0.25">
      <c r="B343" s="92" t="str">
        <f>IF('Prod 1'!D342="","",'Prod 1'!D342)</f>
        <v/>
      </c>
    </row>
    <row r="344" spans="2:2" ht="24.95" customHeight="1" x14ac:dyDescent="0.25">
      <c r="B344" s="92" t="str">
        <f>IF('Prod 1'!D343="","",'Prod 1'!D343)</f>
        <v/>
      </c>
    </row>
    <row r="345" spans="2:2" ht="24.95" customHeight="1" x14ac:dyDescent="0.25">
      <c r="B345" s="92" t="str">
        <f>IF('Prod 1'!D344="","",'Prod 1'!D344)</f>
        <v/>
      </c>
    </row>
    <row r="346" spans="2:2" ht="24.95" customHeight="1" x14ac:dyDescent="0.25">
      <c r="B346" s="92" t="str">
        <f>IF('Prod 1'!D345="","",'Prod 1'!D345)</f>
        <v/>
      </c>
    </row>
    <row r="347" spans="2:2" ht="24.95" customHeight="1" x14ac:dyDescent="0.25">
      <c r="B347" s="92" t="str">
        <f>IF('Prod 1'!D346="","",'Prod 1'!D346)</f>
        <v/>
      </c>
    </row>
    <row r="348" spans="2:2" ht="24.95" customHeight="1" x14ac:dyDescent="0.25">
      <c r="B348" s="92" t="str">
        <f>IF('Prod 1'!D347="","",'Prod 1'!D347)</f>
        <v/>
      </c>
    </row>
    <row r="349" spans="2:2" ht="24.95" customHeight="1" x14ac:dyDescent="0.25">
      <c r="B349" s="92" t="str">
        <f>IF('Prod 1'!D348="","",'Prod 1'!D348)</f>
        <v/>
      </c>
    </row>
    <row r="350" spans="2:2" ht="24.95" customHeight="1" x14ac:dyDescent="0.25">
      <c r="B350" s="92" t="str">
        <f>IF('Prod 1'!D349="","",'Prod 1'!D349)</f>
        <v/>
      </c>
    </row>
    <row r="351" spans="2:2" ht="24.95" customHeight="1" x14ac:dyDescent="0.25">
      <c r="B351" s="92" t="str">
        <f>IF('Prod 1'!D350="","",'Prod 1'!D350)</f>
        <v/>
      </c>
    </row>
    <row r="352" spans="2:2" ht="24.95" customHeight="1" x14ac:dyDescent="0.25">
      <c r="B352" s="92" t="str">
        <f>IF('Prod 1'!D351="","",'Prod 1'!D351)</f>
        <v/>
      </c>
    </row>
    <row r="353" spans="2:2" ht="24.95" customHeight="1" x14ac:dyDescent="0.25">
      <c r="B353" s="92" t="str">
        <f>IF('Prod 1'!D352="","",'Prod 1'!D352)</f>
        <v/>
      </c>
    </row>
    <row r="354" spans="2:2" ht="24.95" customHeight="1" x14ac:dyDescent="0.25">
      <c r="B354" s="92" t="str">
        <f>IF('Prod 1'!D353="","",'Prod 1'!D353)</f>
        <v/>
      </c>
    </row>
    <row r="355" spans="2:2" ht="24.95" customHeight="1" x14ac:dyDescent="0.25">
      <c r="B355" s="92" t="str">
        <f>IF('Prod 1'!D354="","",'Prod 1'!D354)</f>
        <v/>
      </c>
    </row>
    <row r="356" spans="2:2" ht="24.95" customHeight="1" x14ac:dyDescent="0.25">
      <c r="B356" s="92" t="str">
        <f>IF('Prod 1'!D355="","",'Prod 1'!D355)</f>
        <v/>
      </c>
    </row>
    <row r="357" spans="2:2" ht="24.95" customHeight="1" x14ac:dyDescent="0.25">
      <c r="B357" s="92" t="str">
        <f>IF('Prod 1'!D356="","",'Prod 1'!D356)</f>
        <v/>
      </c>
    </row>
    <row r="358" spans="2:2" ht="24.95" customHeight="1" x14ac:dyDescent="0.25">
      <c r="B358" s="92" t="str">
        <f>IF('Prod 1'!D357="","",'Prod 1'!D357)</f>
        <v/>
      </c>
    </row>
    <row r="359" spans="2:2" ht="24.95" customHeight="1" x14ac:dyDescent="0.25">
      <c r="B359" s="92" t="str">
        <f>IF('Prod 1'!D358="","",'Prod 1'!D358)</f>
        <v/>
      </c>
    </row>
    <row r="360" spans="2:2" ht="24.95" customHeight="1" x14ac:dyDescent="0.25">
      <c r="B360" s="92" t="str">
        <f>IF('Prod 1'!D359="","",'Prod 1'!D359)</f>
        <v/>
      </c>
    </row>
    <row r="361" spans="2:2" ht="24.95" customHeight="1" x14ac:dyDescent="0.25">
      <c r="B361" s="92" t="str">
        <f>IF('Prod 1'!D360="","",'Prod 1'!D360)</f>
        <v/>
      </c>
    </row>
    <row r="362" spans="2:2" ht="24.95" customHeight="1" x14ac:dyDescent="0.25">
      <c r="B362" s="92" t="str">
        <f>IF('Prod 1'!D361="","",'Prod 1'!D361)</f>
        <v/>
      </c>
    </row>
    <row r="363" spans="2:2" ht="24.95" customHeight="1" x14ac:dyDescent="0.25">
      <c r="B363" s="92" t="str">
        <f>IF('Prod 1'!D362="","",'Prod 1'!D362)</f>
        <v/>
      </c>
    </row>
    <row r="364" spans="2:2" ht="24.95" customHeight="1" x14ac:dyDescent="0.25">
      <c r="B364" s="92" t="str">
        <f>IF('Prod 1'!D363="","",'Prod 1'!D363)</f>
        <v/>
      </c>
    </row>
    <row r="365" spans="2:2" ht="24.95" customHeight="1" x14ac:dyDescent="0.25">
      <c r="B365" s="92" t="str">
        <f>IF('Prod 1'!D364="","",'Prod 1'!D364)</f>
        <v/>
      </c>
    </row>
    <row r="366" spans="2:2" ht="24.95" customHeight="1" x14ac:dyDescent="0.25">
      <c r="B366" s="92" t="str">
        <f>IF('Prod 1'!D365="","",'Prod 1'!D365)</f>
        <v/>
      </c>
    </row>
    <row r="367" spans="2:2" ht="24.95" customHeight="1" x14ac:dyDescent="0.25">
      <c r="B367" s="92" t="str">
        <f>IF('Prod 1'!D366="","",'Prod 1'!D366)</f>
        <v/>
      </c>
    </row>
    <row r="368" spans="2:2" ht="24.95" customHeight="1" x14ac:dyDescent="0.25">
      <c r="B368" s="92" t="str">
        <f>IF('Prod 1'!D367="","",'Prod 1'!D367)</f>
        <v/>
      </c>
    </row>
    <row r="369" spans="2:2" ht="24.95" customHeight="1" x14ac:dyDescent="0.25">
      <c r="B369" s="92" t="str">
        <f>IF('Prod 1'!D368="","",'Prod 1'!D368)</f>
        <v/>
      </c>
    </row>
    <row r="370" spans="2:2" ht="24.95" customHeight="1" x14ac:dyDescent="0.25">
      <c r="B370" s="92" t="str">
        <f>IF('Prod 1'!D369="","",'Prod 1'!D369)</f>
        <v/>
      </c>
    </row>
    <row r="371" spans="2:2" ht="24.95" customHeight="1" x14ac:dyDescent="0.25">
      <c r="B371" s="92" t="str">
        <f>IF('Prod 1'!D370="","",'Prod 1'!D370)</f>
        <v/>
      </c>
    </row>
    <row r="372" spans="2:2" ht="24.95" customHeight="1" x14ac:dyDescent="0.25">
      <c r="B372" s="92" t="str">
        <f>IF('Prod 1'!D371="","",'Prod 1'!D371)</f>
        <v/>
      </c>
    </row>
    <row r="373" spans="2:2" ht="24.95" customHeight="1" x14ac:dyDescent="0.25">
      <c r="B373" s="92" t="str">
        <f>IF('Prod 1'!D372="","",'Prod 1'!D372)</f>
        <v/>
      </c>
    </row>
    <row r="374" spans="2:2" ht="24.95" customHeight="1" x14ac:dyDescent="0.25">
      <c r="B374" s="92" t="str">
        <f>IF('Prod 1'!D373="","",'Prod 1'!D373)</f>
        <v/>
      </c>
    </row>
    <row r="375" spans="2:2" ht="24.95" customHeight="1" x14ac:dyDescent="0.25">
      <c r="B375" s="92" t="str">
        <f>IF('Prod 1'!D374="","",'Prod 1'!D374)</f>
        <v/>
      </c>
    </row>
    <row r="376" spans="2:2" ht="24.95" customHeight="1" x14ac:dyDescent="0.25">
      <c r="B376" s="92" t="str">
        <f>IF('Prod 1'!D375="","",'Prod 1'!D375)</f>
        <v/>
      </c>
    </row>
    <row r="377" spans="2:2" ht="24.95" customHeight="1" x14ac:dyDescent="0.25">
      <c r="B377" s="92" t="str">
        <f>IF('Prod 1'!D376="","",'Prod 1'!D376)</f>
        <v/>
      </c>
    </row>
    <row r="378" spans="2:2" ht="24.95" customHeight="1" x14ac:dyDescent="0.25">
      <c r="B378" s="92" t="str">
        <f>IF('Prod 1'!D377="","",'Prod 1'!D377)</f>
        <v/>
      </c>
    </row>
    <row r="379" spans="2:2" ht="24.95" customHeight="1" x14ac:dyDescent="0.25">
      <c r="B379" s="92" t="str">
        <f>IF('Prod 1'!D378="","",'Prod 1'!D378)</f>
        <v/>
      </c>
    </row>
    <row r="380" spans="2:2" ht="24.95" customHeight="1" x14ac:dyDescent="0.25">
      <c r="B380" s="92" t="str">
        <f>IF('Prod 1'!D379="","",'Prod 1'!D379)</f>
        <v/>
      </c>
    </row>
    <row r="381" spans="2:2" ht="24.95" customHeight="1" x14ac:dyDescent="0.25">
      <c r="B381" s="92" t="str">
        <f>IF('Prod 1'!D380="","",'Prod 1'!D380)</f>
        <v/>
      </c>
    </row>
    <row r="382" spans="2:2" ht="24.95" customHeight="1" x14ac:dyDescent="0.25">
      <c r="B382" s="92" t="str">
        <f>IF('Prod 1'!D381="","",'Prod 1'!D381)</f>
        <v/>
      </c>
    </row>
    <row r="383" spans="2:2" ht="24.95" customHeight="1" x14ac:dyDescent="0.25">
      <c r="B383" s="92" t="str">
        <f>IF('Prod 1'!D382="","",'Prod 1'!D382)</f>
        <v/>
      </c>
    </row>
    <row r="384" spans="2:2" ht="24.95" customHeight="1" x14ac:dyDescent="0.25">
      <c r="B384" s="92" t="str">
        <f>IF('Prod 1'!D383="","",'Prod 1'!D383)</f>
        <v/>
      </c>
    </row>
    <row r="385" spans="2:2" ht="24.95" customHeight="1" x14ac:dyDescent="0.25">
      <c r="B385" s="92" t="str">
        <f>IF('Prod 1'!D384="","",'Prod 1'!D384)</f>
        <v/>
      </c>
    </row>
    <row r="386" spans="2:2" ht="24.95" customHeight="1" x14ac:dyDescent="0.25">
      <c r="B386" s="92" t="str">
        <f>IF('Prod 1'!D385="","",'Prod 1'!D385)</f>
        <v/>
      </c>
    </row>
    <row r="387" spans="2:2" ht="24.95" customHeight="1" x14ac:dyDescent="0.25">
      <c r="B387" s="92" t="str">
        <f>IF('Prod 1'!D386="","",'Prod 1'!D386)</f>
        <v/>
      </c>
    </row>
    <row r="388" spans="2:2" ht="24.95" customHeight="1" x14ac:dyDescent="0.25">
      <c r="B388" s="92" t="str">
        <f>IF('Prod 1'!D387="","",'Prod 1'!D387)</f>
        <v/>
      </c>
    </row>
    <row r="389" spans="2:2" ht="24.95" customHeight="1" x14ac:dyDescent="0.25">
      <c r="B389" s="92" t="str">
        <f>IF('Prod 1'!D388="","",'Prod 1'!D388)</f>
        <v/>
      </c>
    </row>
    <row r="390" spans="2:2" ht="24.95" customHeight="1" x14ac:dyDescent="0.25">
      <c r="B390" s="92" t="str">
        <f>IF('Prod 1'!D389="","",'Prod 1'!D389)</f>
        <v/>
      </c>
    </row>
    <row r="391" spans="2:2" ht="24.95" customHeight="1" x14ac:dyDescent="0.25">
      <c r="B391" s="92" t="str">
        <f>IF('Prod 1'!D390="","",'Prod 1'!D390)</f>
        <v/>
      </c>
    </row>
    <row r="392" spans="2:2" ht="24.95" customHeight="1" x14ac:dyDescent="0.25">
      <c r="B392" s="92" t="str">
        <f>IF('Prod 1'!D391="","",'Prod 1'!D391)</f>
        <v/>
      </c>
    </row>
    <row r="393" spans="2:2" ht="24.95" customHeight="1" x14ac:dyDescent="0.25">
      <c r="B393" s="92" t="str">
        <f>IF('Prod 1'!D392="","",'Prod 1'!D392)</f>
        <v/>
      </c>
    </row>
    <row r="394" spans="2:2" ht="24.95" customHeight="1" x14ac:dyDescent="0.25">
      <c r="B394" s="92" t="str">
        <f>IF('Prod 1'!D393="","",'Prod 1'!D393)</f>
        <v/>
      </c>
    </row>
    <row r="395" spans="2:2" ht="24.95" customHeight="1" x14ac:dyDescent="0.25">
      <c r="B395" s="92" t="str">
        <f>IF('Prod 1'!D394="","",'Prod 1'!D394)</f>
        <v/>
      </c>
    </row>
    <row r="396" spans="2:2" ht="24.95" customHeight="1" x14ac:dyDescent="0.25">
      <c r="B396" s="92" t="str">
        <f>IF('Prod 1'!D395="","",'Prod 1'!D395)</f>
        <v/>
      </c>
    </row>
    <row r="397" spans="2:2" ht="24.95" customHeight="1" x14ac:dyDescent="0.25">
      <c r="B397" s="92" t="str">
        <f>IF('Prod 1'!D396="","",'Prod 1'!D396)</f>
        <v/>
      </c>
    </row>
    <row r="398" spans="2:2" ht="24.95" customHeight="1" x14ac:dyDescent="0.25">
      <c r="B398" s="92" t="str">
        <f>IF('Prod 1'!D397="","",'Prod 1'!D397)</f>
        <v/>
      </c>
    </row>
    <row r="399" spans="2:2" ht="24.95" customHeight="1" x14ac:dyDescent="0.25">
      <c r="B399" s="92" t="str">
        <f>IF('Prod 1'!D398="","",'Prod 1'!D398)</f>
        <v/>
      </c>
    </row>
    <row r="400" spans="2:2" ht="24.95" customHeight="1" x14ac:dyDescent="0.25">
      <c r="B400" s="92" t="str">
        <f>IF('Prod 1'!D399="","",'Prod 1'!D399)</f>
        <v/>
      </c>
    </row>
    <row r="401" spans="2:2" ht="24.95" customHeight="1" x14ac:dyDescent="0.25">
      <c r="B401" s="92" t="str">
        <f>IF('Prod 1'!D400="","",'Prod 1'!D400)</f>
        <v/>
      </c>
    </row>
    <row r="402" spans="2:2" ht="24.95" customHeight="1" x14ac:dyDescent="0.25">
      <c r="B402" s="92" t="str">
        <f>IF('Prod 1'!D401="","",'Prod 1'!D401)</f>
        <v/>
      </c>
    </row>
    <row r="403" spans="2:2" ht="24.95" customHeight="1" x14ac:dyDescent="0.25">
      <c r="B403" s="92" t="str">
        <f>IF('Prod 1'!D402="","",'Prod 1'!D402)</f>
        <v/>
      </c>
    </row>
    <row r="404" spans="2:2" ht="24.95" customHeight="1" x14ac:dyDescent="0.25">
      <c r="B404" s="92" t="str">
        <f>IF('Prod 1'!D403="","",'Prod 1'!D403)</f>
        <v/>
      </c>
    </row>
    <row r="405" spans="2:2" ht="24.95" customHeight="1" x14ac:dyDescent="0.25">
      <c r="B405" s="92" t="str">
        <f>IF('Prod 1'!D404="","",'Prod 1'!D404)</f>
        <v/>
      </c>
    </row>
    <row r="406" spans="2:2" ht="24.95" customHeight="1" x14ac:dyDescent="0.25">
      <c r="B406" s="92" t="str">
        <f>IF('Prod 1'!D405="","",'Prod 1'!D405)</f>
        <v/>
      </c>
    </row>
    <row r="407" spans="2:2" ht="24.95" customHeight="1" x14ac:dyDescent="0.25">
      <c r="B407" s="92" t="str">
        <f>IF('Prod 1'!D406="","",'Prod 1'!D406)</f>
        <v/>
      </c>
    </row>
    <row r="408" spans="2:2" ht="24.95" customHeight="1" x14ac:dyDescent="0.25">
      <c r="B408" s="92" t="str">
        <f>IF('Prod 1'!D407="","",'Prod 1'!D407)</f>
        <v/>
      </c>
    </row>
    <row r="409" spans="2:2" ht="24.95" customHeight="1" x14ac:dyDescent="0.25">
      <c r="B409" s="92" t="str">
        <f>IF('Prod 1'!D408="","",'Prod 1'!D408)</f>
        <v/>
      </c>
    </row>
    <row r="410" spans="2:2" ht="24.95" customHeight="1" x14ac:dyDescent="0.25">
      <c r="B410" s="92" t="str">
        <f>IF('Prod 1'!D409="","",'Prod 1'!D409)</f>
        <v/>
      </c>
    </row>
    <row r="411" spans="2:2" ht="24.95" customHeight="1" x14ac:dyDescent="0.25">
      <c r="B411" s="92" t="str">
        <f>IF('Prod 1'!D410="","",'Prod 1'!D410)</f>
        <v/>
      </c>
    </row>
    <row r="412" spans="2:2" ht="24.95" customHeight="1" x14ac:dyDescent="0.25">
      <c r="B412" s="92" t="str">
        <f>IF('Prod 1'!D411="","",'Prod 1'!D411)</f>
        <v/>
      </c>
    </row>
    <row r="413" spans="2:2" ht="24.95" customHeight="1" x14ac:dyDescent="0.25">
      <c r="B413" s="92" t="str">
        <f>IF('Prod 1'!D412="","",'Prod 1'!D412)</f>
        <v/>
      </c>
    </row>
    <row r="414" spans="2:2" ht="24.95" customHeight="1" x14ac:dyDescent="0.25">
      <c r="B414" s="92" t="str">
        <f>IF('Prod 1'!D413="","",'Prod 1'!D413)</f>
        <v/>
      </c>
    </row>
    <row r="415" spans="2:2" ht="24.95" customHeight="1" x14ac:dyDescent="0.25">
      <c r="B415" s="92" t="str">
        <f>IF('Prod 1'!D414="","",'Prod 1'!D414)</f>
        <v/>
      </c>
    </row>
    <row r="416" spans="2:2" ht="24.95" customHeight="1" x14ac:dyDescent="0.25">
      <c r="B416" s="92" t="str">
        <f>IF('Prod 1'!D415="","",'Prod 1'!D415)</f>
        <v/>
      </c>
    </row>
    <row r="417" spans="2:2" ht="24.95" customHeight="1" x14ac:dyDescent="0.25">
      <c r="B417" s="92" t="str">
        <f>IF('Prod 1'!D416="","",'Prod 1'!D416)</f>
        <v/>
      </c>
    </row>
    <row r="418" spans="2:2" ht="24.95" customHeight="1" x14ac:dyDescent="0.25">
      <c r="B418" s="92" t="str">
        <f>IF('Prod 1'!D417="","",'Prod 1'!D417)</f>
        <v/>
      </c>
    </row>
    <row r="419" spans="2:2" ht="24.95" customHeight="1" x14ac:dyDescent="0.25">
      <c r="B419" s="92" t="str">
        <f>IF('Prod 1'!D418="","",'Prod 1'!D418)</f>
        <v/>
      </c>
    </row>
    <row r="420" spans="2:2" ht="24.95" customHeight="1" x14ac:dyDescent="0.25">
      <c r="B420" s="92" t="str">
        <f>IF('Prod 1'!D419="","",'Prod 1'!D419)</f>
        <v/>
      </c>
    </row>
    <row r="421" spans="2:2" ht="24.95" customHeight="1" x14ac:dyDescent="0.25">
      <c r="B421" s="92" t="str">
        <f>IF('Prod 1'!D420="","",'Prod 1'!D420)</f>
        <v/>
      </c>
    </row>
    <row r="422" spans="2:2" ht="24.95" customHeight="1" x14ac:dyDescent="0.25">
      <c r="B422" s="92" t="str">
        <f>IF('Prod 1'!D421="","",'Prod 1'!D421)</f>
        <v/>
      </c>
    </row>
    <row r="423" spans="2:2" ht="24.95" customHeight="1" x14ac:dyDescent="0.25">
      <c r="B423" s="92" t="str">
        <f>IF('Prod 1'!D422="","",'Prod 1'!D422)</f>
        <v/>
      </c>
    </row>
    <row r="424" spans="2:2" ht="24.95" customHeight="1" x14ac:dyDescent="0.25">
      <c r="B424" s="92" t="str">
        <f>IF('Prod 1'!D423="","",'Prod 1'!D423)</f>
        <v/>
      </c>
    </row>
    <row r="425" spans="2:2" ht="24.95" customHeight="1" x14ac:dyDescent="0.25">
      <c r="B425" s="92" t="str">
        <f>IF('Prod 1'!D424="","",'Prod 1'!D424)</f>
        <v/>
      </c>
    </row>
    <row r="426" spans="2:2" ht="24.95" customHeight="1" x14ac:dyDescent="0.25">
      <c r="B426" s="92" t="str">
        <f>IF('Prod 1'!D425="","",'Prod 1'!D425)</f>
        <v/>
      </c>
    </row>
    <row r="427" spans="2:2" ht="24.95" customHeight="1" x14ac:dyDescent="0.25">
      <c r="B427" s="92" t="str">
        <f>IF('Prod 1'!D426="","",'Prod 1'!D426)</f>
        <v/>
      </c>
    </row>
    <row r="428" spans="2:2" ht="24.95" customHeight="1" x14ac:dyDescent="0.25">
      <c r="B428" s="92" t="str">
        <f>IF('Prod 1'!D427="","",'Prod 1'!D427)</f>
        <v/>
      </c>
    </row>
    <row r="429" spans="2:2" ht="24.95" customHeight="1" x14ac:dyDescent="0.25">
      <c r="B429" s="92" t="str">
        <f>IF('Prod 1'!D428="","",'Prod 1'!D428)</f>
        <v/>
      </c>
    </row>
    <row r="430" spans="2:2" ht="24.95" customHeight="1" x14ac:dyDescent="0.25">
      <c r="B430" s="92" t="str">
        <f>IF('Prod 1'!D429="","",'Prod 1'!D429)</f>
        <v/>
      </c>
    </row>
    <row r="431" spans="2:2" ht="24.95" customHeight="1" x14ac:dyDescent="0.25">
      <c r="B431" s="92" t="str">
        <f>IF('Prod 1'!D430="","",'Prod 1'!D430)</f>
        <v/>
      </c>
    </row>
    <row r="432" spans="2:2" ht="24.95" customHeight="1" x14ac:dyDescent="0.25">
      <c r="B432" s="92" t="str">
        <f>IF('Prod 1'!D431="","",'Prod 1'!D431)</f>
        <v/>
      </c>
    </row>
    <row r="433" spans="2:2" ht="24.95" customHeight="1" x14ac:dyDescent="0.25">
      <c r="B433" s="92" t="str">
        <f>IF('Prod 1'!D432="","",'Prod 1'!D432)</f>
        <v/>
      </c>
    </row>
    <row r="434" spans="2:2" ht="24.95" customHeight="1" x14ac:dyDescent="0.25">
      <c r="B434" s="92" t="str">
        <f>IF('Prod 1'!D433="","",'Prod 1'!D433)</f>
        <v/>
      </c>
    </row>
    <row r="435" spans="2:2" ht="24.95" customHeight="1" x14ac:dyDescent="0.25">
      <c r="B435" s="92" t="str">
        <f>IF('Prod 1'!D434="","",'Prod 1'!D434)</f>
        <v/>
      </c>
    </row>
    <row r="436" spans="2:2" ht="24.95" customHeight="1" x14ac:dyDescent="0.25">
      <c r="B436" s="92" t="str">
        <f>IF('Prod 1'!D435="","",'Prod 1'!D435)</f>
        <v/>
      </c>
    </row>
    <row r="437" spans="2:2" ht="24.95" customHeight="1" x14ac:dyDescent="0.25">
      <c r="B437" s="92" t="str">
        <f>IF('Prod 1'!D436="","",'Prod 1'!D436)</f>
        <v/>
      </c>
    </row>
    <row r="438" spans="2:2" ht="24.95" customHeight="1" x14ac:dyDescent="0.25">
      <c r="B438" s="92" t="str">
        <f>IF('Prod 1'!D437="","",'Prod 1'!D437)</f>
        <v/>
      </c>
    </row>
    <row r="439" spans="2:2" ht="24.95" customHeight="1" x14ac:dyDescent="0.25">
      <c r="B439" s="92" t="str">
        <f>IF('Prod 1'!D438="","",'Prod 1'!D438)</f>
        <v/>
      </c>
    </row>
    <row r="440" spans="2:2" ht="24.95" customHeight="1" x14ac:dyDescent="0.25">
      <c r="B440" s="92" t="str">
        <f>IF('Prod 1'!D439="","",'Prod 1'!D439)</f>
        <v/>
      </c>
    </row>
    <row r="441" spans="2:2" ht="24.95" customHeight="1" x14ac:dyDescent="0.25">
      <c r="B441" s="92" t="str">
        <f>IF('Prod 1'!D440="","",'Prod 1'!D440)</f>
        <v/>
      </c>
    </row>
    <row r="442" spans="2:2" ht="24.95" customHeight="1" x14ac:dyDescent="0.25">
      <c r="B442" s="92" t="str">
        <f>IF('Prod 1'!D441="","",'Prod 1'!D441)</f>
        <v/>
      </c>
    </row>
    <row r="443" spans="2:2" ht="24.95" customHeight="1" x14ac:dyDescent="0.25">
      <c r="B443" s="92" t="str">
        <f>IF('Prod 1'!D442="","",'Prod 1'!D442)</f>
        <v/>
      </c>
    </row>
    <row r="444" spans="2:2" ht="24.95" customHeight="1" x14ac:dyDescent="0.25">
      <c r="B444" s="92" t="str">
        <f>IF('Prod 1'!D443="","",'Prod 1'!D443)</f>
        <v/>
      </c>
    </row>
    <row r="445" spans="2:2" ht="24.95" customHeight="1" x14ac:dyDescent="0.25">
      <c r="B445" s="92" t="str">
        <f>IF('Prod 1'!D444="","",'Prod 1'!D444)</f>
        <v/>
      </c>
    </row>
    <row r="446" spans="2:2" ht="24.95" customHeight="1" x14ac:dyDescent="0.25">
      <c r="B446" s="92" t="str">
        <f>IF('Prod 1'!D445="","",'Prod 1'!D445)</f>
        <v/>
      </c>
    </row>
    <row r="447" spans="2:2" ht="24.95" customHeight="1" x14ac:dyDescent="0.25">
      <c r="B447" s="92" t="str">
        <f>IF('Prod 1'!D446="","",'Prod 1'!D446)</f>
        <v/>
      </c>
    </row>
    <row r="448" spans="2:2" ht="24.95" customHeight="1" x14ac:dyDescent="0.25">
      <c r="B448" s="92" t="str">
        <f>IF('Prod 1'!D447="","",'Prod 1'!D447)</f>
        <v/>
      </c>
    </row>
    <row r="449" spans="2:2" ht="24.95" customHeight="1" x14ac:dyDescent="0.25">
      <c r="B449" s="92" t="str">
        <f>IF('Prod 1'!D448="","",'Prod 1'!D448)</f>
        <v/>
      </c>
    </row>
    <row r="450" spans="2:2" ht="24.95" customHeight="1" x14ac:dyDescent="0.25">
      <c r="B450" s="92" t="str">
        <f>IF('Prod 1'!D449="","",'Prod 1'!D449)</f>
        <v/>
      </c>
    </row>
    <row r="451" spans="2:2" ht="24.95" customHeight="1" x14ac:dyDescent="0.25">
      <c r="B451" s="92" t="str">
        <f>IF('Prod 1'!D450="","",'Prod 1'!D450)</f>
        <v/>
      </c>
    </row>
    <row r="452" spans="2:2" ht="24.95" customHeight="1" x14ac:dyDescent="0.25">
      <c r="B452" s="92" t="str">
        <f>IF('Prod 1'!D451="","",'Prod 1'!D451)</f>
        <v/>
      </c>
    </row>
    <row r="453" spans="2:2" ht="24.95" customHeight="1" x14ac:dyDescent="0.25">
      <c r="B453" s="92" t="str">
        <f>IF('Prod 1'!D452="","",'Prod 1'!D452)</f>
        <v/>
      </c>
    </row>
    <row r="454" spans="2:2" ht="24.95" customHeight="1" x14ac:dyDescent="0.25">
      <c r="B454" s="92" t="str">
        <f>IF('Prod 1'!D453="","",'Prod 1'!D453)</f>
        <v/>
      </c>
    </row>
    <row r="455" spans="2:2" ht="24.95" customHeight="1" x14ac:dyDescent="0.25">
      <c r="B455" s="92" t="str">
        <f>IF('Prod 1'!D454="","",'Prod 1'!D454)</f>
        <v/>
      </c>
    </row>
    <row r="456" spans="2:2" ht="24.95" customHeight="1" x14ac:dyDescent="0.25">
      <c r="B456" s="92" t="str">
        <f>IF('Prod 1'!D455="","",'Prod 1'!D455)</f>
        <v/>
      </c>
    </row>
    <row r="457" spans="2:2" ht="24.95" customHeight="1" x14ac:dyDescent="0.25">
      <c r="B457" s="92" t="str">
        <f>IF('Prod 1'!D456="","",'Prod 1'!D456)</f>
        <v/>
      </c>
    </row>
    <row r="458" spans="2:2" ht="24.95" customHeight="1" x14ac:dyDescent="0.25">
      <c r="B458" s="92" t="str">
        <f>IF('Prod 1'!D457="","",'Prod 1'!D457)</f>
        <v/>
      </c>
    </row>
    <row r="459" spans="2:2" ht="24.95" customHeight="1" x14ac:dyDescent="0.25">
      <c r="B459" s="92" t="str">
        <f>IF('Prod 1'!D458="","",'Prod 1'!D458)</f>
        <v/>
      </c>
    </row>
    <row r="460" spans="2:2" ht="24.95" customHeight="1" x14ac:dyDescent="0.25">
      <c r="B460" s="92" t="str">
        <f>IF('Prod 1'!D459="","",'Prod 1'!D459)</f>
        <v/>
      </c>
    </row>
    <row r="461" spans="2:2" ht="24.95" customHeight="1" x14ac:dyDescent="0.25">
      <c r="B461" s="92" t="str">
        <f>IF('Prod 1'!D460="","",'Prod 1'!D460)</f>
        <v/>
      </c>
    </row>
    <row r="462" spans="2:2" ht="24.95" customHeight="1" x14ac:dyDescent="0.25">
      <c r="B462" s="92" t="str">
        <f>IF('Prod 1'!D461="","",'Prod 1'!D461)</f>
        <v/>
      </c>
    </row>
    <row r="463" spans="2:2" ht="24.95" customHeight="1" x14ac:dyDescent="0.25">
      <c r="B463" s="92" t="str">
        <f>IF('Prod 1'!D462="","",'Prod 1'!D462)</f>
        <v/>
      </c>
    </row>
    <row r="464" spans="2:2" ht="24.95" customHeight="1" x14ac:dyDescent="0.25">
      <c r="B464" s="92" t="str">
        <f>IF('Prod 1'!D463="","",'Prod 1'!D463)</f>
        <v/>
      </c>
    </row>
    <row r="465" spans="2:2" ht="24.95" customHeight="1" x14ac:dyDescent="0.25">
      <c r="B465" s="92" t="str">
        <f>IF('Prod 1'!D464="","",'Prod 1'!D464)</f>
        <v/>
      </c>
    </row>
    <row r="466" spans="2:2" ht="24.95" customHeight="1" x14ac:dyDescent="0.25">
      <c r="B466" s="92" t="str">
        <f>IF('Prod 1'!D465="","",'Prod 1'!D465)</f>
        <v/>
      </c>
    </row>
    <row r="467" spans="2:2" ht="24.95" customHeight="1" x14ac:dyDescent="0.25">
      <c r="B467" s="92" t="str">
        <f>IF('Prod 1'!D466="","",'Prod 1'!D466)</f>
        <v/>
      </c>
    </row>
    <row r="468" spans="2:2" ht="24.95" customHeight="1" x14ac:dyDescent="0.25">
      <c r="B468" s="92" t="str">
        <f>IF('Prod 1'!D467="","",'Prod 1'!D467)</f>
        <v/>
      </c>
    </row>
    <row r="469" spans="2:2" ht="24.95" customHeight="1" x14ac:dyDescent="0.25">
      <c r="B469" s="92" t="str">
        <f>IF('Prod 1'!D468="","",'Prod 1'!D468)</f>
        <v/>
      </c>
    </row>
    <row r="470" spans="2:2" ht="24.95" customHeight="1" x14ac:dyDescent="0.25">
      <c r="B470" s="92" t="str">
        <f>IF('Prod 1'!D469="","",'Prod 1'!D469)</f>
        <v/>
      </c>
    </row>
    <row r="471" spans="2:2" ht="24.95" customHeight="1" x14ac:dyDescent="0.25">
      <c r="B471" s="92" t="str">
        <f>IF('Prod 1'!D470="","",'Prod 1'!D470)</f>
        <v/>
      </c>
    </row>
    <row r="472" spans="2:2" ht="24.95" customHeight="1" x14ac:dyDescent="0.25">
      <c r="B472" s="92" t="str">
        <f>IF('Prod 1'!D471="","",'Prod 1'!D471)</f>
        <v/>
      </c>
    </row>
    <row r="473" spans="2:2" ht="24.95" customHeight="1" x14ac:dyDescent="0.25">
      <c r="B473" s="92" t="str">
        <f>IF('Prod 1'!D472="","",'Prod 1'!D472)</f>
        <v/>
      </c>
    </row>
    <row r="474" spans="2:2" ht="24.95" customHeight="1" x14ac:dyDescent="0.25">
      <c r="B474" s="92" t="str">
        <f>IF('Prod 1'!D473="","",'Prod 1'!D473)</f>
        <v/>
      </c>
    </row>
    <row r="475" spans="2:2" ht="24.95" customHeight="1" x14ac:dyDescent="0.25">
      <c r="B475" s="92" t="str">
        <f>IF('Prod 1'!D474="","",'Prod 1'!D474)</f>
        <v/>
      </c>
    </row>
    <row r="476" spans="2:2" ht="24.95" customHeight="1" x14ac:dyDescent="0.25">
      <c r="B476" s="92" t="str">
        <f>IF('Prod 1'!D475="","",'Prod 1'!D475)</f>
        <v/>
      </c>
    </row>
    <row r="477" spans="2:2" ht="24.95" customHeight="1" x14ac:dyDescent="0.25">
      <c r="B477" s="92" t="str">
        <f>IF('Prod 1'!D476="","",'Prod 1'!D476)</f>
        <v/>
      </c>
    </row>
    <row r="478" spans="2:2" ht="24.95" customHeight="1" x14ac:dyDescent="0.25">
      <c r="B478" s="92" t="str">
        <f>IF('Prod 1'!D477="","",'Prod 1'!D477)</f>
        <v/>
      </c>
    </row>
    <row r="479" spans="2:2" ht="24.95" customHeight="1" x14ac:dyDescent="0.25">
      <c r="B479" s="92" t="str">
        <f>IF('Prod 1'!D478="","",'Prod 1'!D478)</f>
        <v/>
      </c>
    </row>
    <row r="480" spans="2:2" ht="24.95" customHeight="1" x14ac:dyDescent="0.25">
      <c r="B480" s="92" t="str">
        <f>IF('Prod 1'!D479="","",'Prod 1'!D479)</f>
        <v/>
      </c>
    </row>
    <row r="481" spans="2:2" ht="24.95" customHeight="1" x14ac:dyDescent="0.25">
      <c r="B481" s="92" t="str">
        <f>IF('Prod 1'!D480="","",'Prod 1'!D480)</f>
        <v/>
      </c>
    </row>
    <row r="482" spans="2:2" ht="24.95" customHeight="1" x14ac:dyDescent="0.25">
      <c r="B482" s="92" t="str">
        <f>IF('Prod 1'!D481="","",'Prod 1'!D481)</f>
        <v/>
      </c>
    </row>
    <row r="483" spans="2:2" ht="24.95" customHeight="1" x14ac:dyDescent="0.25">
      <c r="B483" s="92" t="str">
        <f>IF('Prod 1'!D482="","",'Prod 1'!D482)</f>
        <v/>
      </c>
    </row>
    <row r="484" spans="2:2" ht="24.95" customHeight="1" x14ac:dyDescent="0.25">
      <c r="B484" s="92" t="str">
        <f>IF('Prod 1'!D483="","",'Prod 1'!D483)</f>
        <v/>
      </c>
    </row>
    <row r="485" spans="2:2" ht="24.95" customHeight="1" x14ac:dyDescent="0.25">
      <c r="B485" s="92" t="str">
        <f>IF('Prod 1'!D484="","",'Prod 1'!D484)</f>
        <v/>
      </c>
    </row>
    <row r="486" spans="2:2" ht="24.95" customHeight="1" x14ac:dyDescent="0.25">
      <c r="B486" s="92" t="str">
        <f>IF('Prod 1'!D485="","",'Prod 1'!D485)</f>
        <v/>
      </c>
    </row>
    <row r="487" spans="2:2" ht="24.95" customHeight="1" x14ac:dyDescent="0.25">
      <c r="B487" s="92" t="str">
        <f>IF('Prod 1'!D486="","",'Prod 1'!D486)</f>
        <v/>
      </c>
    </row>
    <row r="488" spans="2:2" ht="24.95" customHeight="1" x14ac:dyDescent="0.25">
      <c r="B488" s="92" t="str">
        <f>IF('Prod 1'!D487="","",'Prod 1'!D487)</f>
        <v/>
      </c>
    </row>
    <row r="489" spans="2:2" ht="24.95" customHeight="1" x14ac:dyDescent="0.25">
      <c r="B489" s="92" t="str">
        <f>IF('Prod 1'!D488="","",'Prod 1'!D488)</f>
        <v/>
      </c>
    </row>
    <row r="490" spans="2:2" ht="24.95" customHeight="1" x14ac:dyDescent="0.25">
      <c r="B490" s="92" t="str">
        <f>IF('Prod 1'!D489="","",'Prod 1'!D489)</f>
        <v/>
      </c>
    </row>
    <row r="491" spans="2:2" ht="24.95" customHeight="1" x14ac:dyDescent="0.25">
      <c r="B491" s="92" t="str">
        <f>IF('Prod 1'!D490="","",'Prod 1'!D490)</f>
        <v/>
      </c>
    </row>
    <row r="492" spans="2:2" ht="24.95" customHeight="1" x14ac:dyDescent="0.25">
      <c r="B492" s="92" t="str">
        <f>IF('Prod 1'!D491="","",'Prod 1'!D491)</f>
        <v/>
      </c>
    </row>
    <row r="493" spans="2:2" ht="24.95" customHeight="1" x14ac:dyDescent="0.25">
      <c r="B493" s="92" t="str">
        <f>IF('Prod 1'!D492="","",'Prod 1'!D492)</f>
        <v/>
      </c>
    </row>
    <row r="494" spans="2:2" ht="24.95" customHeight="1" x14ac:dyDescent="0.25">
      <c r="B494" s="92" t="str">
        <f>IF('Prod 1'!D493="","",'Prod 1'!D493)</f>
        <v/>
      </c>
    </row>
    <row r="495" spans="2:2" ht="24.95" customHeight="1" x14ac:dyDescent="0.25">
      <c r="B495" s="92" t="str">
        <f>IF('Prod 1'!D494="","",'Prod 1'!D494)</f>
        <v/>
      </c>
    </row>
    <row r="496" spans="2:2" ht="24.95" customHeight="1" x14ac:dyDescent="0.25">
      <c r="B496" s="92" t="str">
        <f>IF('Prod 1'!D495="","",'Prod 1'!D495)</f>
        <v/>
      </c>
    </row>
    <row r="497" spans="2:2" ht="24.95" customHeight="1" x14ac:dyDescent="0.25">
      <c r="B497" s="92" t="str">
        <f>IF('Prod 1'!D496="","",'Prod 1'!D496)</f>
        <v/>
      </c>
    </row>
    <row r="498" spans="2:2" ht="24.95" customHeight="1" x14ac:dyDescent="0.25">
      <c r="B498" s="92" t="str">
        <f>IF('Prod 1'!D497="","",'Prod 1'!D497)</f>
        <v/>
      </c>
    </row>
    <row r="499" spans="2:2" ht="24.95" customHeight="1" x14ac:dyDescent="0.25">
      <c r="B499" s="92" t="str">
        <f>IF('Prod 1'!D498="","",'Prod 1'!D498)</f>
        <v/>
      </c>
    </row>
    <row r="500" spans="2:2" ht="24.95" customHeight="1" x14ac:dyDescent="0.25">
      <c r="B500" s="92" t="str">
        <f>IF('Prod 1'!D499="","",'Prod 1'!D499)</f>
        <v/>
      </c>
    </row>
    <row r="501" spans="2:2" ht="24.95" customHeight="1" x14ac:dyDescent="0.25">
      <c r="B501" s="92" t="str">
        <f>IF('Prod 1'!D500="","",'Prod 1'!D500)</f>
        <v/>
      </c>
    </row>
    <row r="502" spans="2:2" ht="24.95" customHeight="1" x14ac:dyDescent="0.25">
      <c r="B502" s="92" t="str">
        <f>IF('Prod 1'!D501="","",'Prod 1'!D501)</f>
        <v/>
      </c>
    </row>
    <row r="503" spans="2:2" ht="24.95" customHeight="1" x14ac:dyDescent="0.25">
      <c r="B503" s="92" t="str">
        <f>IF('Prod 1'!D502="","",'Prod 1'!D502)</f>
        <v/>
      </c>
    </row>
    <row r="504" spans="2:2" ht="24.95" customHeight="1" x14ac:dyDescent="0.25">
      <c r="B504" s="92" t="str">
        <f>IF('Prod 1'!D503="","",'Prod 1'!D503)</f>
        <v/>
      </c>
    </row>
    <row r="505" spans="2:2" ht="24.95" customHeight="1" x14ac:dyDescent="0.25">
      <c r="B505" s="92" t="str">
        <f>IF('Prod 1'!D504="","",'Prod 1'!D504)</f>
        <v/>
      </c>
    </row>
    <row r="506" spans="2:2" ht="24.95" customHeight="1" x14ac:dyDescent="0.25">
      <c r="B506" s="92" t="str">
        <f>IF('Prod 1'!D505="","",'Prod 1'!D505)</f>
        <v/>
      </c>
    </row>
    <row r="507" spans="2:2" ht="24.95" customHeight="1" x14ac:dyDescent="0.25">
      <c r="B507" s="92" t="str">
        <f>IF('Prod 1'!D506="","",'Prod 1'!D506)</f>
        <v/>
      </c>
    </row>
    <row r="508" spans="2:2" ht="24.95" customHeight="1" x14ac:dyDescent="0.25">
      <c r="B508" s="92" t="str">
        <f>IF('Prod 1'!D507="","",'Prod 1'!D507)</f>
        <v/>
      </c>
    </row>
    <row r="509" spans="2:2" ht="24.95" customHeight="1" x14ac:dyDescent="0.25">
      <c r="B509" s="92" t="str">
        <f>IF('Prod 1'!D508="","",'Prod 1'!D508)</f>
        <v/>
      </c>
    </row>
    <row r="510" spans="2:2" ht="24.95" customHeight="1" x14ac:dyDescent="0.25">
      <c r="B510" s="92" t="str">
        <f>IF('Prod 1'!D509="","",'Prod 1'!D509)</f>
        <v/>
      </c>
    </row>
    <row r="511" spans="2:2" ht="24.95" customHeight="1" x14ac:dyDescent="0.25">
      <c r="B511" s="92" t="str">
        <f>IF('Prod 1'!D510="","",'Prod 1'!D510)</f>
        <v/>
      </c>
    </row>
    <row r="512" spans="2:2" ht="24.95" customHeight="1" x14ac:dyDescent="0.25">
      <c r="B512" s="92" t="str">
        <f>IF('Prod 1'!D511="","",'Prod 1'!D511)</f>
        <v/>
      </c>
    </row>
    <row r="513" spans="2:2" ht="24.95" customHeight="1" x14ac:dyDescent="0.25">
      <c r="B513" s="92" t="str">
        <f>IF('Prod 1'!D512="","",'Prod 1'!D512)</f>
        <v/>
      </c>
    </row>
    <row r="514" spans="2:2" ht="24.95" customHeight="1" x14ac:dyDescent="0.25">
      <c r="B514" s="92" t="str">
        <f>IF('Prod 1'!D513="","",'Prod 1'!D513)</f>
        <v/>
      </c>
    </row>
    <row r="515" spans="2:2" ht="24.95" customHeight="1" x14ac:dyDescent="0.25">
      <c r="B515" s="92" t="str">
        <f>IF('Prod 1'!D514="","",'Prod 1'!D514)</f>
        <v/>
      </c>
    </row>
    <row r="516" spans="2:2" ht="24.95" customHeight="1" x14ac:dyDescent="0.25">
      <c r="B516" s="92" t="str">
        <f>IF('Prod 1'!D515="","",'Prod 1'!D515)</f>
        <v/>
      </c>
    </row>
    <row r="517" spans="2:2" ht="24.95" customHeight="1" x14ac:dyDescent="0.25">
      <c r="B517" s="92" t="str">
        <f>IF('Prod 1'!D516="","",'Prod 1'!D516)</f>
        <v/>
      </c>
    </row>
    <row r="518" spans="2:2" ht="24.95" customHeight="1" x14ac:dyDescent="0.25">
      <c r="B518" s="92" t="str">
        <f>IF('Prod 1'!D517="","",'Prod 1'!D517)</f>
        <v/>
      </c>
    </row>
    <row r="519" spans="2:2" ht="24.95" customHeight="1" x14ac:dyDescent="0.25">
      <c r="B519" s="92" t="str">
        <f>IF('Prod 1'!D518="","",'Prod 1'!D518)</f>
        <v/>
      </c>
    </row>
    <row r="520" spans="2:2" ht="24.95" customHeight="1" x14ac:dyDescent="0.25">
      <c r="B520" s="92" t="str">
        <f>IF('Prod 1'!D519="","",'Prod 1'!D519)</f>
        <v/>
      </c>
    </row>
    <row r="521" spans="2:2" ht="24.95" customHeight="1" x14ac:dyDescent="0.25">
      <c r="B521" s="92" t="str">
        <f>IF('Prod 1'!D520="","",'Prod 1'!D520)</f>
        <v/>
      </c>
    </row>
    <row r="522" spans="2:2" ht="24.95" customHeight="1" x14ac:dyDescent="0.25">
      <c r="B522" s="92" t="str">
        <f>IF('Prod 1'!D521="","",'Prod 1'!D521)</f>
        <v/>
      </c>
    </row>
    <row r="523" spans="2:2" ht="24.95" customHeight="1" x14ac:dyDescent="0.25">
      <c r="B523" s="92" t="str">
        <f>IF('Prod 1'!D522="","",'Prod 1'!D522)</f>
        <v/>
      </c>
    </row>
    <row r="524" spans="2:2" ht="24.95" customHeight="1" x14ac:dyDescent="0.25">
      <c r="B524" s="92" t="str">
        <f>IF('Prod 1'!D523="","",'Prod 1'!D523)</f>
        <v/>
      </c>
    </row>
    <row r="525" spans="2:2" ht="24.95" customHeight="1" x14ac:dyDescent="0.25">
      <c r="B525" s="92" t="str">
        <f>IF('Prod 1'!D524="","",'Prod 1'!D524)</f>
        <v/>
      </c>
    </row>
    <row r="526" spans="2:2" ht="24.95" customHeight="1" x14ac:dyDescent="0.25">
      <c r="B526" s="92" t="str">
        <f>IF('Prod 1'!D525="","",'Prod 1'!D525)</f>
        <v/>
      </c>
    </row>
    <row r="527" spans="2:2" ht="24.95" customHeight="1" x14ac:dyDescent="0.25">
      <c r="B527" s="92" t="str">
        <f>IF('Prod 1'!D526="","",'Prod 1'!D526)</f>
        <v/>
      </c>
    </row>
    <row r="528" spans="2:2" ht="24.95" customHeight="1" x14ac:dyDescent="0.25">
      <c r="B528" s="92" t="str">
        <f>IF('Prod 1'!D527="","",'Prod 1'!D527)</f>
        <v/>
      </c>
    </row>
    <row r="529" spans="2:2" ht="24.95" customHeight="1" x14ac:dyDescent="0.25">
      <c r="B529" s="92" t="str">
        <f>IF('Prod 1'!D528="","",'Prod 1'!D528)</f>
        <v/>
      </c>
    </row>
    <row r="530" spans="2:2" ht="24.95" customHeight="1" x14ac:dyDescent="0.25">
      <c r="B530" s="92" t="str">
        <f>IF('Prod 1'!D529="","",'Prod 1'!D529)</f>
        <v/>
      </c>
    </row>
    <row r="531" spans="2:2" ht="24.95" customHeight="1" x14ac:dyDescent="0.25">
      <c r="B531" s="92" t="str">
        <f>IF('Prod 1'!D530="","",'Prod 1'!D530)</f>
        <v/>
      </c>
    </row>
    <row r="532" spans="2:2" ht="24.95" customHeight="1" x14ac:dyDescent="0.25">
      <c r="B532" s="92" t="str">
        <f>IF('Prod 1'!D531="","",'Prod 1'!D531)</f>
        <v/>
      </c>
    </row>
    <row r="533" spans="2:2" ht="24.95" customHeight="1" x14ac:dyDescent="0.25">
      <c r="B533" s="92" t="str">
        <f>IF('Prod 1'!D532="","",'Prod 1'!D532)</f>
        <v/>
      </c>
    </row>
    <row r="534" spans="2:2" ht="24.95" customHeight="1" x14ac:dyDescent="0.25">
      <c r="B534" s="92" t="str">
        <f>IF('Prod 1'!D533="","",'Prod 1'!D533)</f>
        <v/>
      </c>
    </row>
    <row r="535" spans="2:2" ht="24.95" customHeight="1" x14ac:dyDescent="0.25">
      <c r="B535" s="92" t="str">
        <f>IF('Prod 1'!D534="","",'Prod 1'!D534)</f>
        <v/>
      </c>
    </row>
    <row r="536" spans="2:2" ht="24.95" customHeight="1" x14ac:dyDescent="0.25">
      <c r="B536" s="92" t="str">
        <f>IF('Prod 1'!D535="","",'Prod 1'!D535)</f>
        <v/>
      </c>
    </row>
    <row r="537" spans="2:2" ht="24.95" customHeight="1" x14ac:dyDescent="0.25">
      <c r="B537" s="92" t="str">
        <f>IF('Prod 1'!D536="","",'Prod 1'!D536)</f>
        <v/>
      </c>
    </row>
    <row r="538" spans="2:2" ht="24.95" customHeight="1" x14ac:dyDescent="0.25">
      <c r="B538" s="92" t="str">
        <f>IF('Prod 1'!D537="","",'Prod 1'!D537)</f>
        <v/>
      </c>
    </row>
    <row r="539" spans="2:2" ht="24.95" customHeight="1" x14ac:dyDescent="0.25">
      <c r="B539" s="92" t="str">
        <f>IF('Prod 1'!D538="","",'Prod 1'!D538)</f>
        <v/>
      </c>
    </row>
    <row r="540" spans="2:2" ht="24.95" customHeight="1" x14ac:dyDescent="0.25">
      <c r="B540" s="92" t="str">
        <f>IF('Prod 1'!D539="","",'Prod 1'!D539)</f>
        <v/>
      </c>
    </row>
    <row r="541" spans="2:2" ht="24.95" customHeight="1" x14ac:dyDescent="0.25">
      <c r="B541" s="92" t="str">
        <f>IF('Prod 1'!D540="","",'Prod 1'!D540)</f>
        <v/>
      </c>
    </row>
    <row r="542" spans="2:2" ht="24.95" customHeight="1" x14ac:dyDescent="0.25">
      <c r="B542" s="92" t="str">
        <f>IF('Prod 1'!D541="","",'Prod 1'!D541)</f>
        <v/>
      </c>
    </row>
    <row r="543" spans="2:2" ht="24.95" customHeight="1" x14ac:dyDescent="0.25">
      <c r="B543" s="92" t="str">
        <f>IF('Prod 1'!D542="","",'Prod 1'!D542)</f>
        <v/>
      </c>
    </row>
    <row r="544" spans="2:2" ht="24.95" customHeight="1" x14ac:dyDescent="0.25">
      <c r="B544" s="92" t="str">
        <f>IF('Prod 1'!D543="","",'Prod 1'!D543)</f>
        <v/>
      </c>
    </row>
    <row r="545" spans="2:2" ht="24.95" customHeight="1" x14ac:dyDescent="0.25">
      <c r="B545" s="92" t="str">
        <f>IF('Prod 1'!D544="","",'Prod 1'!D544)</f>
        <v/>
      </c>
    </row>
    <row r="546" spans="2:2" ht="24.95" customHeight="1" x14ac:dyDescent="0.25">
      <c r="B546" s="92" t="str">
        <f>IF('Prod 1'!D545="","",'Prod 1'!D545)</f>
        <v/>
      </c>
    </row>
    <row r="547" spans="2:2" ht="24.95" customHeight="1" x14ac:dyDescent="0.25">
      <c r="B547" s="92" t="str">
        <f>IF('Prod 1'!D546="","",'Prod 1'!D546)</f>
        <v/>
      </c>
    </row>
    <row r="548" spans="2:2" ht="24.95" customHeight="1" x14ac:dyDescent="0.25">
      <c r="B548" s="92" t="str">
        <f>IF('Prod 1'!D547="","",'Prod 1'!D547)</f>
        <v/>
      </c>
    </row>
    <row r="549" spans="2:2" ht="24.95" customHeight="1" x14ac:dyDescent="0.25">
      <c r="B549" s="92" t="str">
        <f>IF('Prod 1'!D548="","",'Prod 1'!D548)</f>
        <v/>
      </c>
    </row>
    <row r="550" spans="2:2" ht="24.95" customHeight="1" x14ac:dyDescent="0.25">
      <c r="B550" s="92" t="str">
        <f>IF('Prod 1'!D549="","",'Prod 1'!D549)</f>
        <v/>
      </c>
    </row>
    <row r="551" spans="2:2" ht="24.95" customHeight="1" x14ac:dyDescent="0.25">
      <c r="B551" s="92" t="str">
        <f>IF('Prod 1'!D550="","",'Prod 1'!D550)</f>
        <v/>
      </c>
    </row>
    <row r="552" spans="2:2" ht="24.95" customHeight="1" x14ac:dyDescent="0.25">
      <c r="B552" s="92" t="str">
        <f>IF('Prod 1'!D551="","",'Prod 1'!D551)</f>
        <v/>
      </c>
    </row>
    <row r="553" spans="2:2" ht="24.95" customHeight="1" x14ac:dyDescent="0.25">
      <c r="B553" s="92" t="str">
        <f>IF('Prod 1'!D552="","",'Prod 1'!D552)</f>
        <v/>
      </c>
    </row>
    <row r="554" spans="2:2" ht="24.95" customHeight="1" x14ac:dyDescent="0.25">
      <c r="B554" s="92" t="str">
        <f>IF('Prod 1'!D553="","",'Prod 1'!D553)</f>
        <v/>
      </c>
    </row>
    <row r="555" spans="2:2" ht="24.95" customHeight="1" x14ac:dyDescent="0.25">
      <c r="B555" s="92" t="str">
        <f>IF('Prod 1'!D554="","",'Prod 1'!D554)</f>
        <v/>
      </c>
    </row>
    <row r="556" spans="2:2" ht="24.95" customHeight="1" x14ac:dyDescent="0.25">
      <c r="B556" s="92" t="str">
        <f>IF('Prod 1'!D555="","",'Prod 1'!D555)</f>
        <v/>
      </c>
    </row>
    <row r="557" spans="2:2" ht="24.95" customHeight="1" x14ac:dyDescent="0.25">
      <c r="B557" s="92" t="str">
        <f>IF('Prod 1'!D556="","",'Prod 1'!D556)</f>
        <v/>
      </c>
    </row>
    <row r="558" spans="2:2" ht="24.95" customHeight="1" x14ac:dyDescent="0.25">
      <c r="B558" s="92" t="str">
        <f>IF('Prod 1'!D557="","",'Prod 1'!D557)</f>
        <v/>
      </c>
    </row>
    <row r="559" spans="2:2" ht="24.95" customHeight="1" x14ac:dyDescent="0.25">
      <c r="B559" s="92" t="str">
        <f>IF('Prod 1'!D558="","",'Prod 1'!D558)</f>
        <v/>
      </c>
    </row>
    <row r="560" spans="2:2" ht="24.95" customHeight="1" x14ac:dyDescent="0.25">
      <c r="B560" s="92" t="str">
        <f>IF('Prod 1'!D559="","",'Prod 1'!D559)</f>
        <v/>
      </c>
    </row>
    <row r="561" spans="2:2" ht="24.95" customHeight="1" x14ac:dyDescent="0.25">
      <c r="B561" s="92" t="str">
        <f>IF('Prod 1'!D560="","",'Prod 1'!D560)</f>
        <v/>
      </c>
    </row>
    <row r="562" spans="2:2" ht="24.95" customHeight="1" x14ac:dyDescent="0.25">
      <c r="B562" s="92" t="str">
        <f>IF('Prod 1'!D561="","",'Prod 1'!D561)</f>
        <v/>
      </c>
    </row>
    <row r="563" spans="2:2" ht="24.95" customHeight="1" x14ac:dyDescent="0.25">
      <c r="B563" s="92" t="str">
        <f>IF('Prod 1'!D562="","",'Prod 1'!D562)</f>
        <v/>
      </c>
    </row>
    <row r="564" spans="2:2" ht="24.95" customHeight="1" x14ac:dyDescent="0.25">
      <c r="B564" s="92" t="str">
        <f>IF('Prod 1'!D563="","",'Prod 1'!D563)</f>
        <v/>
      </c>
    </row>
    <row r="565" spans="2:2" ht="24.95" customHeight="1" x14ac:dyDescent="0.25">
      <c r="B565" s="92" t="str">
        <f>IF('Prod 1'!D564="","",'Prod 1'!D564)</f>
        <v/>
      </c>
    </row>
    <row r="566" spans="2:2" ht="24.95" customHeight="1" x14ac:dyDescent="0.25">
      <c r="B566" s="92" t="str">
        <f>IF('Prod 1'!D565="","",'Prod 1'!D565)</f>
        <v/>
      </c>
    </row>
    <row r="567" spans="2:2" ht="24.95" customHeight="1" x14ac:dyDescent="0.25">
      <c r="B567" s="92" t="str">
        <f>IF('Prod 1'!D566="","",'Prod 1'!D566)</f>
        <v/>
      </c>
    </row>
    <row r="568" spans="2:2" ht="24.95" customHeight="1" x14ac:dyDescent="0.25">
      <c r="B568" s="92" t="str">
        <f>IF('Prod 1'!D567="","",'Prod 1'!D567)</f>
        <v/>
      </c>
    </row>
    <row r="569" spans="2:2" ht="24.95" customHeight="1" x14ac:dyDescent="0.25">
      <c r="B569" s="92" t="str">
        <f>IF('Prod 1'!D568="","",'Prod 1'!D568)</f>
        <v/>
      </c>
    </row>
    <row r="570" spans="2:2" ht="24.95" customHeight="1" x14ac:dyDescent="0.25">
      <c r="B570" s="92" t="str">
        <f>IF('Prod 1'!D569="","",'Prod 1'!D569)</f>
        <v/>
      </c>
    </row>
    <row r="571" spans="2:2" ht="24.95" customHeight="1" x14ac:dyDescent="0.25">
      <c r="B571" s="92" t="str">
        <f>IF('Prod 1'!D570="","",'Prod 1'!D570)</f>
        <v/>
      </c>
    </row>
    <row r="572" spans="2:2" ht="24.95" customHeight="1" x14ac:dyDescent="0.25">
      <c r="B572" s="92" t="str">
        <f>IF('Prod 1'!D571="","",'Prod 1'!D571)</f>
        <v/>
      </c>
    </row>
    <row r="573" spans="2:2" ht="24.95" customHeight="1" x14ac:dyDescent="0.25">
      <c r="B573" s="92" t="str">
        <f>IF('Prod 1'!D572="","",'Prod 1'!D572)</f>
        <v/>
      </c>
    </row>
    <row r="574" spans="2:2" ht="24.95" customHeight="1" x14ac:dyDescent="0.25">
      <c r="B574" s="92" t="str">
        <f>IF('Prod 1'!D573="","",'Prod 1'!D573)</f>
        <v/>
      </c>
    </row>
    <row r="575" spans="2:2" ht="24.95" customHeight="1" x14ac:dyDescent="0.25">
      <c r="B575" s="92" t="str">
        <f>IF('Prod 1'!D574="","",'Prod 1'!D574)</f>
        <v/>
      </c>
    </row>
    <row r="576" spans="2:2" ht="24.95" customHeight="1" x14ac:dyDescent="0.25">
      <c r="B576" s="92" t="str">
        <f>IF('Prod 1'!D575="","",'Prod 1'!D575)</f>
        <v/>
      </c>
    </row>
    <row r="577" spans="2:2" ht="24.95" customHeight="1" x14ac:dyDescent="0.25">
      <c r="B577" s="92" t="str">
        <f>IF('Prod 1'!D576="","",'Prod 1'!D576)</f>
        <v/>
      </c>
    </row>
    <row r="578" spans="2:2" ht="24.95" customHeight="1" x14ac:dyDescent="0.25">
      <c r="B578" s="92" t="str">
        <f>IF('Prod 1'!D577="","",'Prod 1'!D577)</f>
        <v/>
      </c>
    </row>
    <row r="579" spans="2:2" ht="24.95" customHeight="1" x14ac:dyDescent="0.25">
      <c r="B579" s="92" t="str">
        <f>IF('Prod 1'!D578="","",'Prod 1'!D578)</f>
        <v/>
      </c>
    </row>
    <row r="580" spans="2:2" ht="24.95" customHeight="1" x14ac:dyDescent="0.25">
      <c r="B580" s="92" t="str">
        <f>IF('Prod 1'!D579="","",'Prod 1'!D579)</f>
        <v/>
      </c>
    </row>
    <row r="581" spans="2:2" ht="24.95" customHeight="1" x14ac:dyDescent="0.25">
      <c r="B581" s="92" t="str">
        <f>IF('Prod 1'!D580="","",'Prod 1'!D580)</f>
        <v/>
      </c>
    </row>
    <row r="582" spans="2:2" ht="24.95" customHeight="1" x14ac:dyDescent="0.25">
      <c r="B582" s="92" t="str">
        <f>IF('Prod 1'!D581="","",'Prod 1'!D581)</f>
        <v/>
      </c>
    </row>
    <row r="583" spans="2:2" ht="24.95" customHeight="1" x14ac:dyDescent="0.25">
      <c r="B583" s="92" t="str">
        <f>IF('Prod 1'!D582="","",'Prod 1'!D582)</f>
        <v/>
      </c>
    </row>
    <row r="584" spans="2:2" ht="24.95" customHeight="1" x14ac:dyDescent="0.25">
      <c r="B584" s="92" t="str">
        <f>IF('Prod 1'!D583="","",'Prod 1'!D583)</f>
        <v/>
      </c>
    </row>
    <row r="585" spans="2:2" ht="24.95" customHeight="1" x14ac:dyDescent="0.25">
      <c r="B585" s="92" t="str">
        <f>IF('Prod 1'!D584="","",'Prod 1'!D584)</f>
        <v/>
      </c>
    </row>
    <row r="586" spans="2:2" ht="24.95" customHeight="1" x14ac:dyDescent="0.25">
      <c r="B586" s="92" t="str">
        <f>IF('Prod 1'!D585="","",'Prod 1'!D585)</f>
        <v/>
      </c>
    </row>
    <row r="587" spans="2:2" ht="24.95" customHeight="1" x14ac:dyDescent="0.25">
      <c r="B587" s="92" t="str">
        <f>IF('Prod 1'!D586="","",'Prod 1'!D586)</f>
        <v/>
      </c>
    </row>
    <row r="588" spans="2:2" ht="24.95" customHeight="1" x14ac:dyDescent="0.25">
      <c r="B588" s="92" t="str">
        <f>IF('Prod 1'!D587="","",'Prod 1'!D587)</f>
        <v/>
      </c>
    </row>
    <row r="589" spans="2:2" ht="24.95" customHeight="1" x14ac:dyDescent="0.25">
      <c r="B589" s="92" t="str">
        <f>IF('Prod 1'!D588="","",'Prod 1'!D588)</f>
        <v/>
      </c>
    </row>
    <row r="590" spans="2:2" ht="24.95" customHeight="1" x14ac:dyDescent="0.25">
      <c r="B590" s="92" t="str">
        <f>IF('Prod 1'!D589="","",'Prod 1'!D589)</f>
        <v/>
      </c>
    </row>
    <row r="591" spans="2:2" ht="24.95" customHeight="1" x14ac:dyDescent="0.25">
      <c r="B591" s="92" t="str">
        <f>IF('Prod 1'!D590="","",'Prod 1'!D590)</f>
        <v/>
      </c>
    </row>
    <row r="592" spans="2:2" ht="24.95" customHeight="1" x14ac:dyDescent="0.25">
      <c r="B592" s="92" t="str">
        <f>IF('Prod 1'!D591="","",'Prod 1'!D591)</f>
        <v/>
      </c>
    </row>
    <row r="593" spans="2:2" ht="24.95" customHeight="1" x14ac:dyDescent="0.25">
      <c r="B593" s="92" t="str">
        <f>IF('Prod 1'!D592="","",'Prod 1'!D592)</f>
        <v/>
      </c>
    </row>
    <row r="594" spans="2:2" ht="24.95" customHeight="1" x14ac:dyDescent="0.25">
      <c r="B594" s="92" t="str">
        <f>IF('Prod 1'!D593="","",'Prod 1'!D593)</f>
        <v/>
      </c>
    </row>
    <row r="595" spans="2:2" ht="24.95" customHeight="1" x14ac:dyDescent="0.25">
      <c r="B595" s="92" t="str">
        <f>IF('Prod 1'!D594="","",'Prod 1'!D594)</f>
        <v/>
      </c>
    </row>
    <row r="596" spans="2:2" ht="24.95" customHeight="1" x14ac:dyDescent="0.25">
      <c r="B596" s="92" t="str">
        <f>IF('Prod 1'!D595="","",'Prod 1'!D595)</f>
        <v/>
      </c>
    </row>
    <row r="597" spans="2:2" ht="24.95" customHeight="1" x14ac:dyDescent="0.25">
      <c r="B597" s="92" t="str">
        <f>IF('Prod 1'!D596="","",'Prod 1'!D596)</f>
        <v/>
      </c>
    </row>
    <row r="598" spans="2:2" ht="24.95" customHeight="1" x14ac:dyDescent="0.25">
      <c r="B598" s="92" t="str">
        <f>IF('Prod 1'!D597="","",'Prod 1'!D597)</f>
        <v/>
      </c>
    </row>
    <row r="599" spans="2:2" ht="24.95" customHeight="1" x14ac:dyDescent="0.25">
      <c r="B599" s="92" t="str">
        <f>IF('Prod 1'!D598="","",'Prod 1'!D598)</f>
        <v/>
      </c>
    </row>
    <row r="600" spans="2:2" ht="24.95" customHeight="1" x14ac:dyDescent="0.25">
      <c r="B600" s="92" t="str">
        <f>IF('Prod 1'!D599="","",'Prod 1'!D599)</f>
        <v/>
      </c>
    </row>
    <row r="601" spans="2:2" ht="24.95" customHeight="1" x14ac:dyDescent="0.25">
      <c r="B601" s="92" t="str">
        <f>IF('Prod 1'!D600="","",'Prod 1'!D600)</f>
        <v/>
      </c>
    </row>
    <row r="602" spans="2:2" ht="24.95" customHeight="1" x14ac:dyDescent="0.25">
      <c r="B602" s="92" t="str">
        <f>IF('Prod 1'!D601="","",'Prod 1'!D601)</f>
        <v/>
      </c>
    </row>
    <row r="603" spans="2:2" ht="24.95" customHeight="1" x14ac:dyDescent="0.25">
      <c r="B603" s="92" t="str">
        <f>IF('Prod 1'!D602="","",'Prod 1'!D602)</f>
        <v/>
      </c>
    </row>
    <row r="604" spans="2:2" ht="24.95" customHeight="1" x14ac:dyDescent="0.25">
      <c r="B604" s="92" t="str">
        <f>IF('Prod 1'!D603="","",'Prod 1'!D603)</f>
        <v/>
      </c>
    </row>
    <row r="605" spans="2:2" ht="24.95" customHeight="1" x14ac:dyDescent="0.25">
      <c r="B605" s="92" t="str">
        <f>IF('Prod 1'!D604="","",'Prod 1'!D604)</f>
        <v/>
      </c>
    </row>
    <row r="606" spans="2:2" ht="24.95" customHeight="1" x14ac:dyDescent="0.25">
      <c r="B606" s="92" t="str">
        <f>IF('Prod 1'!D605="","",'Prod 1'!D605)</f>
        <v/>
      </c>
    </row>
    <row r="607" spans="2:2" ht="24.95" customHeight="1" x14ac:dyDescent="0.25">
      <c r="B607" s="92" t="str">
        <f>IF('Prod 1'!D606="","",'Prod 1'!D606)</f>
        <v/>
      </c>
    </row>
    <row r="608" spans="2:2" ht="24.95" customHeight="1" x14ac:dyDescent="0.25">
      <c r="B608" s="92" t="str">
        <f>IF('Prod 1'!D607="","",'Prod 1'!D607)</f>
        <v/>
      </c>
    </row>
    <row r="609" spans="2:2" ht="24.95" customHeight="1" x14ac:dyDescent="0.25">
      <c r="B609" s="92" t="str">
        <f>IF('Prod 1'!D608="","",'Prod 1'!D608)</f>
        <v/>
      </c>
    </row>
    <row r="610" spans="2:2" ht="24.95" customHeight="1" x14ac:dyDescent="0.25">
      <c r="B610" s="92" t="str">
        <f>IF('Prod 1'!D609="","",'Prod 1'!D609)</f>
        <v/>
      </c>
    </row>
    <row r="611" spans="2:2" ht="24.95" customHeight="1" x14ac:dyDescent="0.25">
      <c r="B611" s="92" t="str">
        <f>IF('Prod 1'!D610="","",'Prod 1'!D610)</f>
        <v/>
      </c>
    </row>
    <row r="612" spans="2:2" ht="24.95" customHeight="1" x14ac:dyDescent="0.25">
      <c r="B612" s="92" t="str">
        <f>IF('Prod 1'!D611="","",'Prod 1'!D611)</f>
        <v/>
      </c>
    </row>
    <row r="613" spans="2:2" ht="24.95" customHeight="1" x14ac:dyDescent="0.25">
      <c r="B613" s="92" t="str">
        <f>IF('Prod 1'!D612="","",'Prod 1'!D612)</f>
        <v/>
      </c>
    </row>
    <row r="614" spans="2:2" ht="24.95" customHeight="1" x14ac:dyDescent="0.25">
      <c r="B614" s="92" t="str">
        <f>IF('Prod 1'!D613="","",'Prod 1'!D613)</f>
        <v/>
      </c>
    </row>
    <row r="615" spans="2:2" ht="24.95" customHeight="1" x14ac:dyDescent="0.25">
      <c r="B615" s="92" t="str">
        <f>IF('Prod 1'!D614="","",'Prod 1'!D614)</f>
        <v/>
      </c>
    </row>
    <row r="616" spans="2:2" ht="24.95" customHeight="1" x14ac:dyDescent="0.25">
      <c r="B616" s="92" t="str">
        <f>IF('Prod 1'!D615="","",'Prod 1'!D615)</f>
        <v/>
      </c>
    </row>
    <row r="617" spans="2:2" ht="24.95" customHeight="1" x14ac:dyDescent="0.25">
      <c r="B617" s="92" t="str">
        <f>IF('Prod 1'!D616="","",'Prod 1'!D616)</f>
        <v/>
      </c>
    </row>
    <row r="618" spans="2:2" ht="24.95" customHeight="1" x14ac:dyDescent="0.25">
      <c r="B618" s="92" t="str">
        <f>IF('Prod 1'!D617="","",'Prod 1'!D617)</f>
        <v/>
      </c>
    </row>
    <row r="619" spans="2:2" ht="24.95" customHeight="1" x14ac:dyDescent="0.25">
      <c r="B619" s="92" t="str">
        <f>IF('Prod 1'!D618="","",'Prod 1'!D618)</f>
        <v/>
      </c>
    </row>
    <row r="620" spans="2:2" ht="24.95" customHeight="1" x14ac:dyDescent="0.25">
      <c r="B620" s="92" t="str">
        <f>IF('Prod 1'!D619="","",'Prod 1'!D619)</f>
        <v/>
      </c>
    </row>
    <row r="621" spans="2:2" ht="24.95" customHeight="1" x14ac:dyDescent="0.25">
      <c r="B621" s="92" t="str">
        <f>IF('Prod 1'!D620="","",'Prod 1'!D620)</f>
        <v/>
      </c>
    </row>
    <row r="622" spans="2:2" ht="24.95" customHeight="1" x14ac:dyDescent="0.25">
      <c r="B622" s="92" t="str">
        <f>IF('Prod 1'!D621="","",'Prod 1'!D621)</f>
        <v/>
      </c>
    </row>
    <row r="623" spans="2:2" ht="24.95" customHeight="1" x14ac:dyDescent="0.25">
      <c r="B623" s="92" t="str">
        <f>IF('Prod 1'!D622="","",'Prod 1'!D622)</f>
        <v/>
      </c>
    </row>
    <row r="624" spans="2:2" ht="24.95" customHeight="1" x14ac:dyDescent="0.25">
      <c r="B624" s="92" t="str">
        <f>IF('Prod 1'!D623="","",'Prod 1'!D623)</f>
        <v/>
      </c>
    </row>
    <row r="625" spans="2:2" ht="24.95" customHeight="1" x14ac:dyDescent="0.25">
      <c r="B625" s="92" t="str">
        <f>IF('Prod 1'!D624="","",'Prod 1'!D624)</f>
        <v/>
      </c>
    </row>
    <row r="626" spans="2:2" ht="24.95" customHeight="1" x14ac:dyDescent="0.25">
      <c r="B626" s="92" t="str">
        <f>IF('Prod 1'!D625="","",'Prod 1'!D625)</f>
        <v/>
      </c>
    </row>
    <row r="627" spans="2:2" ht="24.95" customHeight="1" x14ac:dyDescent="0.25">
      <c r="B627" s="92" t="str">
        <f>IF('Prod 1'!D626="","",'Prod 1'!D626)</f>
        <v/>
      </c>
    </row>
    <row r="628" spans="2:2" ht="24.95" customHeight="1" x14ac:dyDescent="0.25">
      <c r="B628" s="92" t="str">
        <f>IF('Prod 1'!D627="","",'Prod 1'!D627)</f>
        <v/>
      </c>
    </row>
    <row r="629" spans="2:2" ht="24.95" customHeight="1" x14ac:dyDescent="0.25">
      <c r="B629" s="92" t="str">
        <f>IF('Prod 1'!D628="","",'Prod 1'!D628)</f>
        <v/>
      </c>
    </row>
    <row r="630" spans="2:2" ht="24.95" customHeight="1" x14ac:dyDescent="0.25">
      <c r="B630" s="92" t="str">
        <f>IF('Prod 1'!D629="","",'Prod 1'!D629)</f>
        <v/>
      </c>
    </row>
    <row r="631" spans="2:2" ht="24.95" customHeight="1" x14ac:dyDescent="0.25">
      <c r="B631" s="92" t="str">
        <f>IF('Prod 1'!D630="","",'Prod 1'!D630)</f>
        <v/>
      </c>
    </row>
    <row r="632" spans="2:2" ht="24.95" customHeight="1" x14ac:dyDescent="0.25">
      <c r="B632" s="92" t="str">
        <f>IF('Prod 1'!D631="","",'Prod 1'!D631)</f>
        <v/>
      </c>
    </row>
    <row r="633" spans="2:2" ht="24.95" customHeight="1" x14ac:dyDescent="0.25">
      <c r="B633" s="92" t="str">
        <f>IF('Prod 1'!D632="","",'Prod 1'!D632)</f>
        <v/>
      </c>
    </row>
    <row r="634" spans="2:2" ht="24.95" customHeight="1" x14ac:dyDescent="0.25">
      <c r="B634" s="92" t="str">
        <f>IF('Prod 1'!D633="","",'Prod 1'!D633)</f>
        <v/>
      </c>
    </row>
    <row r="635" spans="2:2" ht="24.95" customHeight="1" x14ac:dyDescent="0.25">
      <c r="B635" s="92" t="str">
        <f>IF('Prod 1'!D634="","",'Prod 1'!D634)</f>
        <v/>
      </c>
    </row>
    <row r="636" spans="2:2" ht="24.95" customHeight="1" x14ac:dyDescent="0.25">
      <c r="B636" s="92" t="str">
        <f>IF('Prod 1'!D635="","",'Prod 1'!D635)</f>
        <v/>
      </c>
    </row>
    <row r="637" spans="2:2" ht="24.95" customHeight="1" x14ac:dyDescent="0.25">
      <c r="B637" s="92" t="str">
        <f>IF('Prod 1'!D636="","",'Prod 1'!D636)</f>
        <v/>
      </c>
    </row>
    <row r="638" spans="2:2" ht="24.95" customHeight="1" x14ac:dyDescent="0.25">
      <c r="B638" s="92" t="str">
        <f>IF('Prod 1'!D637="","",'Prod 1'!D637)</f>
        <v/>
      </c>
    </row>
    <row r="639" spans="2:2" ht="24.95" customHeight="1" x14ac:dyDescent="0.25">
      <c r="B639" s="92" t="str">
        <f>IF('Prod 1'!D638="","",'Prod 1'!D638)</f>
        <v/>
      </c>
    </row>
    <row r="640" spans="2:2" ht="24.95" customHeight="1" x14ac:dyDescent="0.25">
      <c r="B640" s="92" t="str">
        <f>IF('Prod 1'!D639="","",'Prod 1'!D639)</f>
        <v/>
      </c>
    </row>
    <row r="641" spans="2:2" ht="24.95" customHeight="1" x14ac:dyDescent="0.25">
      <c r="B641" s="92" t="str">
        <f>IF('Prod 1'!D640="","",'Prod 1'!D640)</f>
        <v/>
      </c>
    </row>
    <row r="642" spans="2:2" ht="24.95" customHeight="1" x14ac:dyDescent="0.25">
      <c r="B642" s="92" t="str">
        <f>IF('Prod 1'!D641="","",'Prod 1'!D641)</f>
        <v/>
      </c>
    </row>
    <row r="643" spans="2:2" ht="24.95" customHeight="1" x14ac:dyDescent="0.25">
      <c r="B643" s="92" t="str">
        <f>IF('Prod 1'!D642="","",'Prod 1'!D642)</f>
        <v/>
      </c>
    </row>
    <row r="644" spans="2:2" ht="24.95" customHeight="1" x14ac:dyDescent="0.25">
      <c r="B644" s="92" t="str">
        <f>IF('Prod 1'!D643="","",'Prod 1'!D643)</f>
        <v/>
      </c>
    </row>
    <row r="645" spans="2:2" ht="24.95" customHeight="1" x14ac:dyDescent="0.25">
      <c r="B645" s="92" t="str">
        <f>IF('Prod 1'!D644="","",'Prod 1'!D644)</f>
        <v/>
      </c>
    </row>
    <row r="646" spans="2:2" ht="24.95" customHeight="1" x14ac:dyDescent="0.25">
      <c r="B646" s="92" t="str">
        <f>IF('Prod 1'!D645="","",'Prod 1'!D645)</f>
        <v/>
      </c>
    </row>
    <row r="647" spans="2:2" ht="24.95" customHeight="1" x14ac:dyDescent="0.25">
      <c r="B647" s="92" t="str">
        <f>IF('Prod 1'!D646="","",'Prod 1'!D646)</f>
        <v/>
      </c>
    </row>
    <row r="648" spans="2:2" ht="24.95" customHeight="1" x14ac:dyDescent="0.25">
      <c r="B648" s="92" t="str">
        <f>IF('Prod 1'!D647="","",'Prod 1'!D647)</f>
        <v/>
      </c>
    </row>
    <row r="649" spans="2:2" ht="24.95" customHeight="1" x14ac:dyDescent="0.25">
      <c r="B649" s="92" t="str">
        <f>IF('Prod 1'!D648="","",'Prod 1'!D648)</f>
        <v/>
      </c>
    </row>
    <row r="650" spans="2:2" ht="24.95" customHeight="1" x14ac:dyDescent="0.25">
      <c r="B650" s="92" t="str">
        <f>IF('Prod 1'!D649="","",'Prod 1'!D649)</f>
        <v/>
      </c>
    </row>
    <row r="651" spans="2:2" ht="24.95" customHeight="1" x14ac:dyDescent="0.25">
      <c r="B651" s="92" t="str">
        <f>IF('Prod 1'!D650="","",'Prod 1'!D650)</f>
        <v/>
      </c>
    </row>
    <row r="652" spans="2:2" ht="24.95" customHeight="1" x14ac:dyDescent="0.25">
      <c r="B652" s="92" t="str">
        <f>IF('Prod 1'!D651="","",'Prod 1'!D651)</f>
        <v/>
      </c>
    </row>
    <row r="653" spans="2:2" ht="24.95" customHeight="1" x14ac:dyDescent="0.25">
      <c r="B653" s="92" t="str">
        <f>IF('Prod 1'!D652="","",'Prod 1'!D652)</f>
        <v/>
      </c>
    </row>
    <row r="654" spans="2:2" ht="24.95" customHeight="1" x14ac:dyDescent="0.25">
      <c r="B654" s="92" t="str">
        <f>IF('Prod 1'!D653="","",'Prod 1'!D653)</f>
        <v/>
      </c>
    </row>
    <row r="655" spans="2:2" ht="24.95" customHeight="1" x14ac:dyDescent="0.25">
      <c r="B655" s="92" t="str">
        <f>IF('Prod 1'!D654="","",'Prod 1'!D654)</f>
        <v/>
      </c>
    </row>
    <row r="656" spans="2:2" ht="24.95" customHeight="1" x14ac:dyDescent="0.25">
      <c r="B656" s="92" t="str">
        <f>IF('Prod 1'!D655="","",'Prod 1'!D655)</f>
        <v/>
      </c>
    </row>
    <row r="657" spans="2:2" ht="24.95" customHeight="1" x14ac:dyDescent="0.25">
      <c r="B657" s="92" t="str">
        <f>IF('Prod 1'!D656="","",'Prod 1'!D656)</f>
        <v/>
      </c>
    </row>
    <row r="658" spans="2:2" ht="24.95" customHeight="1" x14ac:dyDescent="0.25">
      <c r="B658" s="92" t="str">
        <f>IF('Prod 1'!D657="","",'Prod 1'!D657)</f>
        <v/>
      </c>
    </row>
    <row r="659" spans="2:2" ht="24.95" customHeight="1" x14ac:dyDescent="0.25">
      <c r="B659" s="92" t="str">
        <f>IF('Prod 1'!D658="","",'Prod 1'!D658)</f>
        <v/>
      </c>
    </row>
    <row r="660" spans="2:2" ht="24.95" customHeight="1" x14ac:dyDescent="0.25">
      <c r="B660" s="92" t="str">
        <f>IF('Prod 1'!D659="","",'Prod 1'!D659)</f>
        <v/>
      </c>
    </row>
    <row r="661" spans="2:2" ht="24.95" customHeight="1" x14ac:dyDescent="0.25">
      <c r="B661" s="92" t="str">
        <f>IF('Prod 1'!D660="","",'Prod 1'!D660)</f>
        <v/>
      </c>
    </row>
    <row r="662" spans="2:2" ht="24.95" customHeight="1" x14ac:dyDescent="0.25">
      <c r="B662" s="92" t="str">
        <f>IF('Prod 1'!D661="","",'Prod 1'!D661)</f>
        <v/>
      </c>
    </row>
    <row r="663" spans="2:2" ht="24.95" customHeight="1" x14ac:dyDescent="0.25">
      <c r="B663" s="92" t="str">
        <f>IF('Prod 1'!D662="","",'Prod 1'!D662)</f>
        <v/>
      </c>
    </row>
    <row r="664" spans="2:2" ht="24.95" customHeight="1" x14ac:dyDescent="0.25">
      <c r="B664" s="92" t="str">
        <f>IF('Prod 1'!D663="","",'Prod 1'!D663)</f>
        <v/>
      </c>
    </row>
    <row r="665" spans="2:2" ht="24.95" customHeight="1" x14ac:dyDescent="0.25">
      <c r="B665" s="92" t="str">
        <f>IF('Prod 1'!D664="","",'Prod 1'!D664)</f>
        <v/>
      </c>
    </row>
    <row r="666" spans="2:2" ht="24.95" customHeight="1" x14ac:dyDescent="0.25">
      <c r="B666" s="92" t="str">
        <f>IF('Prod 1'!D665="","",'Prod 1'!D665)</f>
        <v/>
      </c>
    </row>
    <row r="667" spans="2:2" ht="24.95" customHeight="1" x14ac:dyDescent="0.25">
      <c r="B667" s="92" t="str">
        <f>IF('Prod 1'!D666="","",'Prod 1'!D666)</f>
        <v/>
      </c>
    </row>
    <row r="668" spans="2:2" ht="24.95" customHeight="1" x14ac:dyDescent="0.25">
      <c r="B668" s="92" t="str">
        <f>IF('Prod 1'!D667="","",'Prod 1'!D667)</f>
        <v/>
      </c>
    </row>
    <row r="669" spans="2:2" ht="24.95" customHeight="1" x14ac:dyDescent="0.25">
      <c r="B669" s="92" t="str">
        <f>IF('Prod 1'!D668="","",'Prod 1'!D668)</f>
        <v/>
      </c>
    </row>
    <row r="670" spans="2:2" ht="24.95" customHeight="1" x14ac:dyDescent="0.25">
      <c r="B670" s="92" t="str">
        <f>IF('Prod 1'!D669="","",'Prod 1'!D669)</f>
        <v/>
      </c>
    </row>
    <row r="671" spans="2:2" ht="24.95" customHeight="1" x14ac:dyDescent="0.25">
      <c r="B671" s="92" t="str">
        <f>IF('Prod 1'!D670="","",'Prod 1'!D670)</f>
        <v/>
      </c>
    </row>
    <row r="672" spans="2:2" ht="24.95" customHeight="1" x14ac:dyDescent="0.25">
      <c r="B672" s="92" t="str">
        <f>IF('Prod 1'!D671="","",'Prod 1'!D671)</f>
        <v/>
      </c>
    </row>
    <row r="673" spans="2:2" ht="24.95" customHeight="1" x14ac:dyDescent="0.25">
      <c r="B673" s="92" t="str">
        <f>IF('Prod 1'!D672="","",'Prod 1'!D672)</f>
        <v/>
      </c>
    </row>
    <row r="674" spans="2:2" ht="24.95" customHeight="1" x14ac:dyDescent="0.25">
      <c r="B674" s="92" t="str">
        <f>IF('Prod 1'!D673="","",'Prod 1'!D673)</f>
        <v/>
      </c>
    </row>
    <row r="675" spans="2:2" ht="24.95" customHeight="1" x14ac:dyDescent="0.25">
      <c r="B675" s="92" t="str">
        <f>IF('Prod 1'!D674="","",'Prod 1'!D674)</f>
        <v/>
      </c>
    </row>
    <row r="676" spans="2:2" ht="24.95" customHeight="1" x14ac:dyDescent="0.25">
      <c r="B676" s="92" t="str">
        <f>IF('Prod 1'!D675="","",'Prod 1'!D675)</f>
        <v/>
      </c>
    </row>
    <row r="677" spans="2:2" ht="24.95" customHeight="1" x14ac:dyDescent="0.25">
      <c r="B677" s="92" t="str">
        <f>IF('Prod 1'!D676="","",'Prod 1'!D676)</f>
        <v/>
      </c>
    </row>
    <row r="678" spans="2:2" ht="24.95" customHeight="1" x14ac:dyDescent="0.25">
      <c r="B678" s="92" t="str">
        <f>IF('Prod 1'!D677="","",'Prod 1'!D677)</f>
        <v/>
      </c>
    </row>
    <row r="679" spans="2:2" ht="24.95" customHeight="1" x14ac:dyDescent="0.25">
      <c r="B679" s="92" t="str">
        <f>IF('Prod 1'!D678="","",'Prod 1'!D678)</f>
        <v/>
      </c>
    </row>
    <row r="680" spans="2:2" ht="24.95" customHeight="1" x14ac:dyDescent="0.25">
      <c r="B680" s="92" t="str">
        <f>IF('Prod 1'!D679="","",'Prod 1'!D679)</f>
        <v/>
      </c>
    </row>
    <row r="681" spans="2:2" ht="24.95" customHeight="1" x14ac:dyDescent="0.25">
      <c r="B681" s="92" t="str">
        <f>IF('Prod 1'!D680="","",'Prod 1'!D680)</f>
        <v/>
      </c>
    </row>
    <row r="682" spans="2:2" ht="24.95" customHeight="1" x14ac:dyDescent="0.25">
      <c r="B682" s="92" t="str">
        <f>IF('Prod 1'!D681="","",'Prod 1'!D681)</f>
        <v/>
      </c>
    </row>
    <row r="683" spans="2:2" ht="24.95" customHeight="1" x14ac:dyDescent="0.25">
      <c r="B683" s="92" t="str">
        <f>IF('Prod 1'!D682="","",'Prod 1'!D682)</f>
        <v/>
      </c>
    </row>
    <row r="684" spans="2:2" ht="24.95" customHeight="1" x14ac:dyDescent="0.25">
      <c r="B684" s="92" t="str">
        <f>IF('Prod 1'!D683="","",'Prod 1'!D683)</f>
        <v/>
      </c>
    </row>
    <row r="685" spans="2:2" ht="24.95" customHeight="1" x14ac:dyDescent="0.25">
      <c r="B685" s="92" t="str">
        <f>IF('Prod 1'!D684="","",'Prod 1'!D684)</f>
        <v/>
      </c>
    </row>
    <row r="686" spans="2:2" ht="24.95" customHeight="1" x14ac:dyDescent="0.25">
      <c r="B686" s="92" t="str">
        <f>IF('Prod 1'!D685="","",'Prod 1'!D685)</f>
        <v/>
      </c>
    </row>
    <row r="687" spans="2:2" ht="24.95" customHeight="1" x14ac:dyDescent="0.25">
      <c r="B687" s="92" t="str">
        <f>IF('Prod 1'!D686="","",'Prod 1'!D686)</f>
        <v/>
      </c>
    </row>
    <row r="688" spans="2:2" ht="24.95" customHeight="1" x14ac:dyDescent="0.25">
      <c r="B688" s="92" t="str">
        <f>IF('Prod 1'!D687="","",'Prod 1'!D687)</f>
        <v/>
      </c>
    </row>
    <row r="689" spans="2:2" ht="24.95" customHeight="1" x14ac:dyDescent="0.25">
      <c r="B689" s="92" t="str">
        <f>IF('Prod 1'!D688="","",'Prod 1'!D688)</f>
        <v/>
      </c>
    </row>
    <row r="690" spans="2:2" ht="24.95" customHeight="1" x14ac:dyDescent="0.25">
      <c r="B690" s="92" t="str">
        <f>IF('Prod 1'!D689="","",'Prod 1'!D689)</f>
        <v/>
      </c>
    </row>
    <row r="691" spans="2:2" ht="24.95" customHeight="1" x14ac:dyDescent="0.25">
      <c r="B691" s="92" t="str">
        <f>IF('Prod 1'!D690="","",'Prod 1'!D690)</f>
        <v/>
      </c>
    </row>
    <row r="692" spans="2:2" ht="24.95" customHeight="1" x14ac:dyDescent="0.25">
      <c r="B692" s="92" t="str">
        <f>IF('Prod 1'!D691="","",'Prod 1'!D691)</f>
        <v/>
      </c>
    </row>
    <row r="693" spans="2:2" ht="24.95" customHeight="1" x14ac:dyDescent="0.25">
      <c r="B693" s="92" t="str">
        <f>IF('Prod 1'!D692="","",'Prod 1'!D692)</f>
        <v/>
      </c>
    </row>
    <row r="694" spans="2:2" ht="24.95" customHeight="1" x14ac:dyDescent="0.25">
      <c r="B694" s="92" t="str">
        <f>IF('Prod 1'!D693="","",'Prod 1'!D693)</f>
        <v/>
      </c>
    </row>
    <row r="695" spans="2:2" ht="24.95" customHeight="1" x14ac:dyDescent="0.25">
      <c r="B695" s="92" t="str">
        <f>IF('Prod 1'!D694="","",'Prod 1'!D694)</f>
        <v/>
      </c>
    </row>
    <row r="696" spans="2:2" ht="24.95" customHeight="1" x14ac:dyDescent="0.25">
      <c r="B696" s="92" t="str">
        <f>IF('Prod 1'!D695="","",'Prod 1'!D695)</f>
        <v/>
      </c>
    </row>
    <row r="697" spans="2:2" ht="24.95" customHeight="1" x14ac:dyDescent="0.25">
      <c r="B697" s="92" t="str">
        <f>IF('Prod 1'!D696="","",'Prod 1'!D696)</f>
        <v/>
      </c>
    </row>
    <row r="698" spans="2:2" ht="24.95" customHeight="1" x14ac:dyDescent="0.25">
      <c r="B698" s="92" t="str">
        <f>IF('Prod 1'!D697="","",'Prod 1'!D697)</f>
        <v/>
      </c>
    </row>
    <row r="699" spans="2:2" ht="24.95" customHeight="1" x14ac:dyDescent="0.25">
      <c r="B699" s="92" t="str">
        <f>IF('Prod 1'!D698="","",'Prod 1'!D698)</f>
        <v/>
      </c>
    </row>
    <row r="700" spans="2:2" ht="24.95" customHeight="1" x14ac:dyDescent="0.25">
      <c r="B700" s="92" t="str">
        <f>IF('Prod 1'!D699="","",'Prod 1'!D699)</f>
        <v/>
      </c>
    </row>
    <row r="701" spans="2:2" ht="24.95" customHeight="1" x14ac:dyDescent="0.25">
      <c r="B701" s="92" t="str">
        <f>IF('Prod 1'!D700="","",'Prod 1'!D700)</f>
        <v/>
      </c>
    </row>
    <row r="702" spans="2:2" ht="24.95" customHeight="1" x14ac:dyDescent="0.25">
      <c r="B702" s="92" t="str">
        <f>IF('Prod 1'!D701="","",'Prod 1'!D701)</f>
        <v/>
      </c>
    </row>
    <row r="703" spans="2:2" ht="24.95" customHeight="1" x14ac:dyDescent="0.25">
      <c r="B703" s="92" t="str">
        <f>IF('Prod 1'!D702="","",'Prod 1'!D702)</f>
        <v/>
      </c>
    </row>
    <row r="704" spans="2:2" ht="24.95" customHeight="1" x14ac:dyDescent="0.25">
      <c r="B704" s="92" t="str">
        <f>IF('Prod 1'!D703="","",'Prod 1'!D703)</f>
        <v/>
      </c>
    </row>
    <row r="705" spans="2:2" ht="24.95" customHeight="1" x14ac:dyDescent="0.25">
      <c r="B705" s="92" t="str">
        <f>IF('Prod 1'!D704="","",'Prod 1'!D704)</f>
        <v/>
      </c>
    </row>
    <row r="706" spans="2:2" ht="24.95" customHeight="1" x14ac:dyDescent="0.25">
      <c r="B706" s="92" t="str">
        <f>IF('Prod 1'!D705="","",'Prod 1'!D705)</f>
        <v/>
      </c>
    </row>
    <row r="707" spans="2:2" ht="24.95" customHeight="1" x14ac:dyDescent="0.25">
      <c r="B707" s="92" t="str">
        <f>IF('Prod 1'!D706="","",'Prod 1'!D706)</f>
        <v/>
      </c>
    </row>
    <row r="708" spans="2:2" ht="24.95" customHeight="1" x14ac:dyDescent="0.25">
      <c r="B708" s="92" t="str">
        <f>IF('Prod 1'!D707="","",'Prod 1'!D707)</f>
        <v/>
      </c>
    </row>
    <row r="709" spans="2:2" ht="24.95" customHeight="1" x14ac:dyDescent="0.25">
      <c r="B709" s="92" t="str">
        <f>IF('Prod 1'!D708="","",'Prod 1'!D708)</f>
        <v/>
      </c>
    </row>
    <row r="710" spans="2:2" ht="24.95" customHeight="1" x14ac:dyDescent="0.25">
      <c r="B710" s="92" t="str">
        <f>IF('Prod 1'!D709="","",'Prod 1'!D709)</f>
        <v/>
      </c>
    </row>
    <row r="711" spans="2:2" ht="24.95" customHeight="1" x14ac:dyDescent="0.25">
      <c r="B711" s="92" t="str">
        <f>IF('Prod 1'!D710="","",'Prod 1'!D710)</f>
        <v/>
      </c>
    </row>
    <row r="712" spans="2:2" ht="24.95" customHeight="1" x14ac:dyDescent="0.25">
      <c r="B712" s="92" t="str">
        <f>IF('Prod 1'!D711="","",'Prod 1'!D711)</f>
        <v/>
      </c>
    </row>
    <row r="713" spans="2:2" ht="24.95" customHeight="1" x14ac:dyDescent="0.25">
      <c r="B713" s="92" t="str">
        <f>IF('Prod 1'!D712="","",'Prod 1'!D712)</f>
        <v/>
      </c>
    </row>
    <row r="714" spans="2:2" ht="24.95" customHeight="1" x14ac:dyDescent="0.25">
      <c r="B714" s="92" t="str">
        <f>IF('Prod 1'!D713="","",'Prod 1'!D713)</f>
        <v/>
      </c>
    </row>
    <row r="715" spans="2:2" ht="24.95" customHeight="1" x14ac:dyDescent="0.25">
      <c r="B715" s="92" t="str">
        <f>IF('Prod 1'!D714="","",'Prod 1'!D714)</f>
        <v/>
      </c>
    </row>
    <row r="716" spans="2:2" ht="24.95" customHeight="1" x14ac:dyDescent="0.25">
      <c r="B716" s="92" t="str">
        <f>IF('Prod 1'!D715="","",'Prod 1'!D715)</f>
        <v/>
      </c>
    </row>
    <row r="717" spans="2:2" ht="24.95" customHeight="1" x14ac:dyDescent="0.25">
      <c r="B717" s="92" t="str">
        <f>IF('Prod 1'!D716="","",'Prod 1'!D716)</f>
        <v/>
      </c>
    </row>
    <row r="718" spans="2:2" ht="24.95" customHeight="1" x14ac:dyDescent="0.25">
      <c r="B718" s="92" t="str">
        <f>IF('Prod 1'!D717="","",'Prod 1'!D717)</f>
        <v/>
      </c>
    </row>
    <row r="719" spans="2:2" ht="24.95" customHeight="1" x14ac:dyDescent="0.25">
      <c r="B719" s="92" t="str">
        <f>IF('Prod 1'!D718="","",'Prod 1'!D718)</f>
        <v/>
      </c>
    </row>
    <row r="720" spans="2:2" ht="24.95" customHeight="1" x14ac:dyDescent="0.25">
      <c r="B720" s="92" t="str">
        <f>IF('Prod 1'!D719="","",'Prod 1'!D719)</f>
        <v/>
      </c>
    </row>
    <row r="721" spans="2:2" ht="24.95" customHeight="1" x14ac:dyDescent="0.25">
      <c r="B721" s="92" t="str">
        <f>IF('Prod 1'!D720="","",'Prod 1'!D720)</f>
        <v/>
      </c>
    </row>
    <row r="722" spans="2:2" ht="24.95" customHeight="1" x14ac:dyDescent="0.25">
      <c r="B722" s="92" t="str">
        <f>IF('Prod 1'!D721="","",'Prod 1'!D721)</f>
        <v/>
      </c>
    </row>
    <row r="723" spans="2:2" ht="24.95" customHeight="1" x14ac:dyDescent="0.25">
      <c r="B723" s="92" t="str">
        <f>IF('Prod 1'!D722="","",'Prod 1'!D722)</f>
        <v/>
      </c>
    </row>
    <row r="724" spans="2:2" ht="24.95" customHeight="1" x14ac:dyDescent="0.25">
      <c r="B724" s="92" t="str">
        <f>IF('Prod 1'!D723="","",'Prod 1'!D723)</f>
        <v/>
      </c>
    </row>
    <row r="725" spans="2:2" ht="24.95" customHeight="1" x14ac:dyDescent="0.25">
      <c r="B725" s="92" t="str">
        <f>IF('Prod 1'!D724="","",'Prod 1'!D724)</f>
        <v/>
      </c>
    </row>
    <row r="726" spans="2:2" ht="24.95" customHeight="1" x14ac:dyDescent="0.25">
      <c r="B726" s="92" t="str">
        <f>IF('Prod 1'!D725="","",'Prod 1'!D725)</f>
        <v/>
      </c>
    </row>
    <row r="727" spans="2:2" ht="24.95" customHeight="1" x14ac:dyDescent="0.25">
      <c r="B727" s="92" t="str">
        <f>IF('Prod 1'!D726="","",'Prod 1'!D726)</f>
        <v/>
      </c>
    </row>
    <row r="728" spans="2:2" ht="24.95" customHeight="1" x14ac:dyDescent="0.25">
      <c r="B728" s="92" t="str">
        <f>IF('Prod 1'!D727="","",'Prod 1'!D727)</f>
        <v/>
      </c>
    </row>
    <row r="729" spans="2:2" ht="24.95" customHeight="1" x14ac:dyDescent="0.25">
      <c r="B729" s="92" t="str">
        <f>IF('Prod 1'!D728="","",'Prod 1'!D728)</f>
        <v/>
      </c>
    </row>
    <row r="730" spans="2:2" ht="24.95" customHeight="1" x14ac:dyDescent="0.25">
      <c r="B730" s="92" t="str">
        <f>IF('Prod 1'!D729="","",'Prod 1'!D729)</f>
        <v/>
      </c>
    </row>
    <row r="731" spans="2:2" ht="24.95" customHeight="1" x14ac:dyDescent="0.25">
      <c r="B731" s="92" t="str">
        <f>IF('Prod 1'!D730="","",'Prod 1'!D730)</f>
        <v/>
      </c>
    </row>
    <row r="732" spans="2:2" ht="24.95" customHeight="1" x14ac:dyDescent="0.25">
      <c r="B732" s="92" t="str">
        <f>IF('Prod 1'!D731="","",'Prod 1'!D731)</f>
        <v/>
      </c>
    </row>
    <row r="733" spans="2:2" ht="24.95" customHeight="1" x14ac:dyDescent="0.25">
      <c r="B733" s="92" t="str">
        <f>IF('Prod 1'!D732="","",'Prod 1'!D732)</f>
        <v/>
      </c>
    </row>
    <row r="734" spans="2:2" ht="24.95" customHeight="1" x14ac:dyDescent="0.25">
      <c r="B734" s="92" t="str">
        <f>IF('Prod 1'!D733="","",'Prod 1'!D733)</f>
        <v/>
      </c>
    </row>
    <row r="735" spans="2:2" ht="24.95" customHeight="1" x14ac:dyDescent="0.25">
      <c r="B735" s="92" t="str">
        <f>IF('Prod 1'!D734="","",'Prod 1'!D734)</f>
        <v/>
      </c>
    </row>
    <row r="736" spans="2:2" ht="24.95" customHeight="1" x14ac:dyDescent="0.25">
      <c r="B736" s="92" t="str">
        <f>IF('Prod 1'!D735="","",'Prod 1'!D735)</f>
        <v/>
      </c>
    </row>
    <row r="737" spans="2:2" ht="24.95" customHeight="1" x14ac:dyDescent="0.25">
      <c r="B737" s="92" t="str">
        <f>IF('Prod 1'!D736="","",'Prod 1'!D736)</f>
        <v/>
      </c>
    </row>
    <row r="738" spans="2:2" ht="24.95" customHeight="1" x14ac:dyDescent="0.25">
      <c r="B738" s="92" t="str">
        <f>IF('Prod 1'!D737="","",'Prod 1'!D737)</f>
        <v/>
      </c>
    </row>
    <row r="739" spans="2:2" ht="24.95" customHeight="1" x14ac:dyDescent="0.25">
      <c r="B739" s="92" t="str">
        <f>IF('Prod 1'!D738="","",'Prod 1'!D738)</f>
        <v/>
      </c>
    </row>
    <row r="740" spans="2:2" ht="24.95" customHeight="1" x14ac:dyDescent="0.25">
      <c r="B740" s="92" t="str">
        <f>IF('Prod 1'!D739="","",'Prod 1'!D739)</f>
        <v/>
      </c>
    </row>
    <row r="741" spans="2:2" ht="24.95" customHeight="1" x14ac:dyDescent="0.25">
      <c r="B741" s="92" t="str">
        <f>IF('Prod 1'!D740="","",'Prod 1'!D740)</f>
        <v/>
      </c>
    </row>
    <row r="742" spans="2:2" ht="24.95" customHeight="1" x14ac:dyDescent="0.25">
      <c r="B742" s="92" t="str">
        <f>IF('Prod 1'!D741="","",'Prod 1'!D741)</f>
        <v/>
      </c>
    </row>
    <row r="743" spans="2:2" ht="24.95" customHeight="1" x14ac:dyDescent="0.25">
      <c r="B743" s="92" t="str">
        <f>IF('Prod 1'!D742="","",'Prod 1'!D742)</f>
        <v/>
      </c>
    </row>
    <row r="744" spans="2:2" ht="24.95" customHeight="1" x14ac:dyDescent="0.25">
      <c r="B744" s="92" t="str">
        <f>IF('Prod 1'!D743="","",'Prod 1'!D743)</f>
        <v/>
      </c>
    </row>
    <row r="745" spans="2:2" ht="24.95" customHeight="1" x14ac:dyDescent="0.25">
      <c r="B745" s="92" t="str">
        <f>IF('Prod 1'!D744="","",'Prod 1'!D744)</f>
        <v/>
      </c>
    </row>
    <row r="746" spans="2:2" ht="24.95" customHeight="1" x14ac:dyDescent="0.25">
      <c r="B746" s="92" t="str">
        <f>IF('Prod 1'!D745="","",'Prod 1'!D745)</f>
        <v/>
      </c>
    </row>
    <row r="747" spans="2:2" ht="24.95" customHeight="1" x14ac:dyDescent="0.25">
      <c r="B747" s="92" t="str">
        <f>IF('Prod 1'!D746="","",'Prod 1'!D746)</f>
        <v/>
      </c>
    </row>
    <row r="748" spans="2:2" ht="24.95" customHeight="1" x14ac:dyDescent="0.25">
      <c r="B748" s="92" t="str">
        <f>IF('Prod 1'!D747="","",'Prod 1'!D747)</f>
        <v/>
      </c>
    </row>
    <row r="749" spans="2:2" ht="24.95" customHeight="1" x14ac:dyDescent="0.25">
      <c r="B749" s="92" t="str">
        <f>IF('Prod 1'!D748="","",'Prod 1'!D748)</f>
        <v/>
      </c>
    </row>
    <row r="750" spans="2:2" ht="24.95" customHeight="1" x14ac:dyDescent="0.25">
      <c r="B750" s="92" t="str">
        <f>IF('Prod 1'!D749="","",'Prod 1'!D749)</f>
        <v/>
      </c>
    </row>
    <row r="751" spans="2:2" ht="24.95" customHeight="1" x14ac:dyDescent="0.25">
      <c r="B751" s="92" t="str">
        <f>IF('Prod 1'!D750="","",'Prod 1'!D750)</f>
        <v/>
      </c>
    </row>
    <row r="752" spans="2:2" ht="24.95" customHeight="1" x14ac:dyDescent="0.25">
      <c r="B752" s="92" t="str">
        <f>IF('Prod 1'!D751="","",'Prod 1'!D751)</f>
        <v/>
      </c>
    </row>
    <row r="753" spans="2:2" ht="24.95" customHeight="1" x14ac:dyDescent="0.25">
      <c r="B753" s="92" t="str">
        <f>IF('Prod 1'!D752="","",'Prod 1'!D752)</f>
        <v/>
      </c>
    </row>
    <row r="754" spans="2:2" ht="24.95" customHeight="1" x14ac:dyDescent="0.25">
      <c r="B754" s="92" t="str">
        <f>IF('Prod 1'!D753="","",'Prod 1'!D753)</f>
        <v/>
      </c>
    </row>
    <row r="755" spans="2:2" ht="24.95" customHeight="1" x14ac:dyDescent="0.25">
      <c r="B755" s="92" t="str">
        <f>IF('Prod 1'!D754="","",'Prod 1'!D754)</f>
        <v/>
      </c>
    </row>
    <row r="756" spans="2:2" ht="24.95" customHeight="1" x14ac:dyDescent="0.25">
      <c r="B756" s="92" t="str">
        <f>IF('Prod 1'!D755="","",'Prod 1'!D755)</f>
        <v/>
      </c>
    </row>
    <row r="757" spans="2:2" ht="24.95" customHeight="1" x14ac:dyDescent="0.25">
      <c r="B757" s="92" t="str">
        <f>IF('Prod 1'!D756="","",'Prod 1'!D756)</f>
        <v/>
      </c>
    </row>
    <row r="758" spans="2:2" ht="24.95" customHeight="1" x14ac:dyDescent="0.25">
      <c r="B758" s="92" t="str">
        <f>IF('Prod 1'!D757="","",'Prod 1'!D757)</f>
        <v/>
      </c>
    </row>
    <row r="759" spans="2:2" ht="24.95" customHeight="1" x14ac:dyDescent="0.25">
      <c r="B759" s="92" t="str">
        <f>IF('Prod 1'!D758="","",'Prod 1'!D758)</f>
        <v/>
      </c>
    </row>
    <row r="760" spans="2:2" ht="24.95" customHeight="1" x14ac:dyDescent="0.25">
      <c r="B760" s="92" t="str">
        <f>IF('Prod 1'!D759="","",'Prod 1'!D759)</f>
        <v/>
      </c>
    </row>
    <row r="761" spans="2:2" ht="24.95" customHeight="1" x14ac:dyDescent="0.25">
      <c r="B761" s="92" t="str">
        <f>IF('Prod 1'!D760="","",'Prod 1'!D760)</f>
        <v/>
      </c>
    </row>
    <row r="762" spans="2:2" ht="24.95" customHeight="1" x14ac:dyDescent="0.25">
      <c r="B762" s="92" t="str">
        <f>IF('Prod 1'!D761="","",'Prod 1'!D761)</f>
        <v/>
      </c>
    </row>
    <row r="763" spans="2:2" ht="24.95" customHeight="1" x14ac:dyDescent="0.25">
      <c r="B763" s="92" t="str">
        <f>IF('Prod 1'!D762="","",'Prod 1'!D762)</f>
        <v/>
      </c>
    </row>
    <row r="764" spans="2:2" ht="24.95" customHeight="1" x14ac:dyDescent="0.25">
      <c r="B764" s="92" t="str">
        <f>IF('Prod 1'!D763="","",'Prod 1'!D763)</f>
        <v/>
      </c>
    </row>
    <row r="765" spans="2:2" ht="24.95" customHeight="1" x14ac:dyDescent="0.25">
      <c r="B765" s="92" t="str">
        <f>IF('Prod 1'!D764="","",'Prod 1'!D764)</f>
        <v/>
      </c>
    </row>
    <row r="766" spans="2:2" ht="24.95" customHeight="1" x14ac:dyDescent="0.25">
      <c r="B766" s="92" t="str">
        <f>IF('Prod 1'!D765="","",'Prod 1'!D765)</f>
        <v/>
      </c>
    </row>
    <row r="767" spans="2:2" ht="24.95" customHeight="1" x14ac:dyDescent="0.25">
      <c r="B767" s="92" t="str">
        <f>IF('Prod 1'!D766="","",'Prod 1'!D766)</f>
        <v/>
      </c>
    </row>
    <row r="768" spans="2:2" ht="24.95" customHeight="1" x14ac:dyDescent="0.25">
      <c r="B768" s="92" t="str">
        <f>IF('Prod 1'!D767="","",'Prod 1'!D767)</f>
        <v/>
      </c>
    </row>
    <row r="769" spans="2:2" ht="24.95" customHeight="1" x14ac:dyDescent="0.25">
      <c r="B769" s="92" t="str">
        <f>IF('Prod 1'!D768="","",'Prod 1'!D768)</f>
        <v/>
      </c>
    </row>
    <row r="770" spans="2:2" ht="24.95" customHeight="1" x14ac:dyDescent="0.25">
      <c r="B770" s="92" t="str">
        <f>IF('Prod 1'!D769="","",'Prod 1'!D769)</f>
        <v/>
      </c>
    </row>
    <row r="771" spans="2:2" ht="24.95" customHeight="1" x14ac:dyDescent="0.25">
      <c r="B771" s="92" t="str">
        <f>IF('Prod 1'!D770="","",'Prod 1'!D770)</f>
        <v/>
      </c>
    </row>
    <row r="772" spans="2:2" ht="24.95" customHeight="1" x14ac:dyDescent="0.25">
      <c r="B772" s="92" t="str">
        <f>IF('Prod 1'!D771="","",'Prod 1'!D771)</f>
        <v/>
      </c>
    </row>
    <row r="773" spans="2:2" ht="24.95" customHeight="1" x14ac:dyDescent="0.25">
      <c r="B773" s="92" t="str">
        <f>IF('Prod 1'!D772="","",'Prod 1'!D772)</f>
        <v/>
      </c>
    </row>
    <row r="774" spans="2:2" ht="24.95" customHeight="1" x14ac:dyDescent="0.25">
      <c r="B774" s="92" t="str">
        <f>IF('Prod 1'!D773="","",'Prod 1'!D773)</f>
        <v/>
      </c>
    </row>
    <row r="775" spans="2:2" ht="24.95" customHeight="1" x14ac:dyDescent="0.25">
      <c r="B775" s="92" t="str">
        <f>IF('Prod 1'!D774="","",'Prod 1'!D774)</f>
        <v/>
      </c>
    </row>
    <row r="776" spans="2:2" ht="24.95" customHeight="1" x14ac:dyDescent="0.25">
      <c r="B776" s="92" t="str">
        <f>IF('Prod 1'!D775="","",'Prod 1'!D775)</f>
        <v/>
      </c>
    </row>
    <row r="777" spans="2:2" ht="24.95" customHeight="1" x14ac:dyDescent="0.25">
      <c r="B777" s="92" t="str">
        <f>IF('Prod 1'!D776="","",'Prod 1'!D776)</f>
        <v/>
      </c>
    </row>
    <row r="778" spans="2:2" ht="24.95" customHeight="1" x14ac:dyDescent="0.25">
      <c r="B778" s="92" t="str">
        <f>IF('Prod 1'!D777="","",'Prod 1'!D777)</f>
        <v/>
      </c>
    </row>
    <row r="779" spans="2:2" ht="24.95" customHeight="1" x14ac:dyDescent="0.25">
      <c r="B779" s="92" t="str">
        <f>IF('Prod 1'!D778="","",'Prod 1'!D778)</f>
        <v/>
      </c>
    </row>
    <row r="780" spans="2:2" ht="24.95" customHeight="1" x14ac:dyDescent="0.25">
      <c r="B780" s="92" t="str">
        <f>IF('Prod 1'!D779="","",'Prod 1'!D779)</f>
        <v/>
      </c>
    </row>
    <row r="781" spans="2:2" ht="24.95" customHeight="1" x14ac:dyDescent="0.25">
      <c r="B781" s="92" t="str">
        <f>IF('Prod 1'!D780="","",'Prod 1'!D780)</f>
        <v/>
      </c>
    </row>
    <row r="782" spans="2:2" ht="24.95" customHeight="1" x14ac:dyDescent="0.25">
      <c r="B782" s="92" t="str">
        <f>IF('Prod 1'!D781="","",'Prod 1'!D781)</f>
        <v/>
      </c>
    </row>
    <row r="783" spans="2:2" ht="24.95" customHeight="1" x14ac:dyDescent="0.25">
      <c r="B783" s="92" t="str">
        <f>IF('Prod 1'!D782="","",'Prod 1'!D782)</f>
        <v/>
      </c>
    </row>
    <row r="784" spans="2:2" ht="24.95" customHeight="1" x14ac:dyDescent="0.25">
      <c r="B784" s="92" t="str">
        <f>IF('Prod 1'!D783="","",'Prod 1'!D783)</f>
        <v/>
      </c>
    </row>
    <row r="785" spans="2:2" ht="24.95" customHeight="1" x14ac:dyDescent="0.25">
      <c r="B785" s="92" t="str">
        <f>IF('Prod 1'!D784="","",'Prod 1'!D784)</f>
        <v/>
      </c>
    </row>
    <row r="786" spans="2:2" ht="24.95" customHeight="1" x14ac:dyDescent="0.25">
      <c r="B786" s="92" t="str">
        <f>IF('Prod 1'!D785="","",'Prod 1'!D785)</f>
        <v/>
      </c>
    </row>
    <row r="787" spans="2:2" ht="24.95" customHeight="1" x14ac:dyDescent="0.25">
      <c r="B787" s="92" t="str">
        <f>IF('Prod 1'!D786="","",'Prod 1'!D786)</f>
        <v/>
      </c>
    </row>
    <row r="788" spans="2:2" ht="24.95" customHeight="1" x14ac:dyDescent="0.25">
      <c r="B788" s="92" t="str">
        <f>IF('Prod 1'!D787="","",'Prod 1'!D787)</f>
        <v/>
      </c>
    </row>
    <row r="789" spans="2:2" ht="24.95" customHeight="1" x14ac:dyDescent="0.25">
      <c r="B789" s="92" t="str">
        <f>IF('Prod 1'!D788="","",'Prod 1'!D788)</f>
        <v/>
      </c>
    </row>
    <row r="790" spans="2:2" ht="24.95" customHeight="1" x14ac:dyDescent="0.25">
      <c r="B790" s="92" t="str">
        <f>IF('Prod 1'!D789="","",'Prod 1'!D789)</f>
        <v/>
      </c>
    </row>
    <row r="791" spans="2:2" ht="24.95" customHeight="1" x14ac:dyDescent="0.25">
      <c r="B791" s="92" t="str">
        <f>IF('Prod 1'!D790="","",'Prod 1'!D790)</f>
        <v/>
      </c>
    </row>
    <row r="792" spans="2:2" ht="24.95" customHeight="1" x14ac:dyDescent="0.25">
      <c r="B792" s="92" t="str">
        <f>IF('Prod 1'!D791="","",'Prod 1'!D791)</f>
        <v/>
      </c>
    </row>
    <row r="793" spans="2:2" ht="24.95" customHeight="1" x14ac:dyDescent="0.25">
      <c r="B793" s="92" t="str">
        <f>IF('Prod 1'!D792="","",'Prod 1'!D792)</f>
        <v/>
      </c>
    </row>
    <row r="794" spans="2:2" ht="24.95" customHeight="1" x14ac:dyDescent="0.25">
      <c r="B794" s="92" t="str">
        <f>IF('Prod 1'!D793="","",'Prod 1'!D793)</f>
        <v/>
      </c>
    </row>
    <row r="795" spans="2:2" ht="24.95" customHeight="1" x14ac:dyDescent="0.25">
      <c r="B795" s="92" t="str">
        <f>IF('Prod 1'!D794="","",'Prod 1'!D794)</f>
        <v/>
      </c>
    </row>
    <row r="796" spans="2:2" ht="24.95" customHeight="1" x14ac:dyDescent="0.25">
      <c r="B796" s="92" t="str">
        <f>IF('Prod 1'!D795="","",'Prod 1'!D795)</f>
        <v/>
      </c>
    </row>
    <row r="797" spans="2:2" ht="24.95" customHeight="1" x14ac:dyDescent="0.25">
      <c r="B797" s="92" t="str">
        <f>IF('Prod 1'!D796="","",'Prod 1'!D796)</f>
        <v/>
      </c>
    </row>
    <row r="798" spans="2:2" ht="24.95" customHeight="1" x14ac:dyDescent="0.25">
      <c r="B798" s="92" t="str">
        <f>IF('Prod 1'!D797="","",'Prod 1'!D797)</f>
        <v/>
      </c>
    </row>
    <row r="799" spans="2:2" ht="24.95" customHeight="1" x14ac:dyDescent="0.25">
      <c r="B799" s="92" t="str">
        <f>IF('Prod 1'!D798="","",'Prod 1'!D798)</f>
        <v/>
      </c>
    </row>
    <row r="800" spans="2:2" ht="24.95" customHeight="1" x14ac:dyDescent="0.25">
      <c r="B800" s="92" t="str">
        <f>IF('Prod 1'!D799="","",'Prod 1'!D799)</f>
        <v/>
      </c>
    </row>
    <row r="801" spans="2:2" ht="24.95" customHeight="1" x14ac:dyDescent="0.25">
      <c r="B801" s="92" t="str">
        <f>IF('Prod 1'!D800="","",'Prod 1'!D800)</f>
        <v/>
      </c>
    </row>
    <row r="802" spans="2:2" ht="24.95" customHeight="1" x14ac:dyDescent="0.25">
      <c r="B802" s="92" t="str">
        <f>IF('Prod 1'!D801="","",'Prod 1'!D801)</f>
        <v/>
      </c>
    </row>
    <row r="803" spans="2:2" ht="24.95" customHeight="1" x14ac:dyDescent="0.25">
      <c r="B803" s="92" t="str">
        <f>IF('Prod 1'!D802="","",'Prod 1'!D802)</f>
        <v/>
      </c>
    </row>
    <row r="804" spans="2:2" ht="24.95" customHeight="1" x14ac:dyDescent="0.25">
      <c r="B804" s="92" t="str">
        <f>IF('Prod 1'!D803="","",'Prod 1'!D803)</f>
        <v/>
      </c>
    </row>
    <row r="805" spans="2:2" ht="24.95" customHeight="1" x14ac:dyDescent="0.25">
      <c r="B805" s="92" t="str">
        <f>IF('Prod 1'!D804="","",'Prod 1'!D804)</f>
        <v/>
      </c>
    </row>
    <row r="806" spans="2:2" ht="24.95" customHeight="1" x14ac:dyDescent="0.25">
      <c r="B806" s="92" t="str">
        <f>IF('Prod 1'!D805="","",'Prod 1'!D805)</f>
        <v/>
      </c>
    </row>
    <row r="807" spans="2:2" ht="24.95" customHeight="1" x14ac:dyDescent="0.25">
      <c r="B807" s="92" t="str">
        <f>IF('Prod 1'!D806="","",'Prod 1'!D806)</f>
        <v/>
      </c>
    </row>
    <row r="808" spans="2:2" ht="24.95" customHeight="1" x14ac:dyDescent="0.25">
      <c r="B808" s="92" t="str">
        <f>IF('Prod 1'!D807="","",'Prod 1'!D807)</f>
        <v/>
      </c>
    </row>
    <row r="809" spans="2:2" ht="24.95" customHeight="1" x14ac:dyDescent="0.25">
      <c r="B809" s="92" t="str">
        <f>IF('Prod 1'!D808="","",'Prod 1'!D808)</f>
        <v/>
      </c>
    </row>
    <row r="810" spans="2:2" ht="24.95" customHeight="1" x14ac:dyDescent="0.25">
      <c r="B810" s="92" t="str">
        <f>IF('Prod 1'!D809="","",'Prod 1'!D809)</f>
        <v/>
      </c>
    </row>
    <row r="811" spans="2:2" ht="24.95" customHeight="1" x14ac:dyDescent="0.25">
      <c r="B811" s="92" t="str">
        <f>IF('Prod 1'!D810="","",'Prod 1'!D810)</f>
        <v/>
      </c>
    </row>
    <row r="812" spans="2:2" ht="24.95" customHeight="1" x14ac:dyDescent="0.25">
      <c r="B812" s="92" t="str">
        <f>IF('Prod 1'!D811="","",'Prod 1'!D811)</f>
        <v/>
      </c>
    </row>
    <row r="813" spans="2:2" ht="24.95" customHeight="1" x14ac:dyDescent="0.25">
      <c r="B813" s="92" t="str">
        <f>IF('Prod 1'!D812="","",'Prod 1'!D812)</f>
        <v/>
      </c>
    </row>
    <row r="814" spans="2:2" ht="24.95" customHeight="1" x14ac:dyDescent="0.25">
      <c r="B814" s="92" t="str">
        <f>IF('Prod 1'!D813="","",'Prod 1'!D813)</f>
        <v/>
      </c>
    </row>
    <row r="815" spans="2:2" ht="24.95" customHeight="1" x14ac:dyDescent="0.25">
      <c r="B815" s="92" t="str">
        <f>IF('Prod 1'!D814="","",'Prod 1'!D814)</f>
        <v/>
      </c>
    </row>
    <row r="816" spans="2:2" ht="24.95" customHeight="1" x14ac:dyDescent="0.25">
      <c r="B816" s="92" t="str">
        <f>IF('Prod 1'!D815="","",'Prod 1'!D815)</f>
        <v/>
      </c>
    </row>
    <row r="817" spans="2:2" ht="24.95" customHeight="1" x14ac:dyDescent="0.25">
      <c r="B817" s="92" t="str">
        <f>IF('Prod 1'!D816="","",'Prod 1'!D816)</f>
        <v/>
      </c>
    </row>
    <row r="818" spans="2:2" ht="24.95" customHeight="1" x14ac:dyDescent="0.25">
      <c r="B818" s="92" t="str">
        <f>IF('Prod 1'!D817="","",'Prod 1'!D817)</f>
        <v/>
      </c>
    </row>
    <row r="819" spans="2:2" ht="24.95" customHeight="1" x14ac:dyDescent="0.25">
      <c r="B819" s="92" t="str">
        <f>IF('Prod 1'!D818="","",'Prod 1'!D818)</f>
        <v/>
      </c>
    </row>
    <row r="820" spans="2:2" ht="24.95" customHeight="1" x14ac:dyDescent="0.25">
      <c r="B820" s="92" t="str">
        <f>IF('Prod 1'!D819="","",'Prod 1'!D819)</f>
        <v/>
      </c>
    </row>
    <row r="821" spans="2:2" ht="24.95" customHeight="1" x14ac:dyDescent="0.25">
      <c r="B821" s="92" t="str">
        <f>IF('Prod 1'!D820="","",'Prod 1'!D820)</f>
        <v/>
      </c>
    </row>
    <row r="822" spans="2:2" ht="24.95" customHeight="1" x14ac:dyDescent="0.25">
      <c r="B822" s="92" t="str">
        <f>IF('Prod 1'!D821="","",'Prod 1'!D821)</f>
        <v/>
      </c>
    </row>
    <row r="823" spans="2:2" ht="24.95" customHeight="1" x14ac:dyDescent="0.25">
      <c r="B823" s="92" t="str">
        <f>IF('Prod 1'!D822="","",'Prod 1'!D822)</f>
        <v/>
      </c>
    </row>
    <row r="824" spans="2:2" ht="24.95" customHeight="1" x14ac:dyDescent="0.25">
      <c r="B824" s="92" t="str">
        <f>IF('Prod 1'!D823="","",'Prod 1'!D823)</f>
        <v/>
      </c>
    </row>
    <row r="825" spans="2:2" ht="24.95" customHeight="1" x14ac:dyDescent="0.25">
      <c r="B825" s="92" t="str">
        <f>IF('Prod 1'!D824="","",'Prod 1'!D824)</f>
        <v/>
      </c>
    </row>
    <row r="826" spans="2:2" ht="24.95" customHeight="1" x14ac:dyDescent="0.25">
      <c r="B826" s="92" t="str">
        <f>IF('Prod 1'!D825="","",'Prod 1'!D825)</f>
        <v/>
      </c>
    </row>
    <row r="827" spans="2:2" ht="24.95" customHeight="1" x14ac:dyDescent="0.25">
      <c r="B827" s="92" t="str">
        <f>IF('Prod 1'!D826="","",'Prod 1'!D826)</f>
        <v/>
      </c>
    </row>
    <row r="828" spans="2:2" ht="24.95" customHeight="1" x14ac:dyDescent="0.25">
      <c r="B828" s="92" t="str">
        <f>IF('Prod 1'!D827="","",'Prod 1'!D827)</f>
        <v/>
      </c>
    </row>
    <row r="829" spans="2:2" ht="24.95" customHeight="1" x14ac:dyDescent="0.25">
      <c r="B829" s="92" t="str">
        <f>IF('Prod 1'!D828="","",'Prod 1'!D828)</f>
        <v/>
      </c>
    </row>
    <row r="830" spans="2:2" ht="24.95" customHeight="1" x14ac:dyDescent="0.25">
      <c r="B830" s="92" t="str">
        <f>IF('Prod 1'!D829="","",'Prod 1'!D829)</f>
        <v/>
      </c>
    </row>
    <row r="831" spans="2:2" ht="24.95" customHeight="1" x14ac:dyDescent="0.25">
      <c r="B831" s="92" t="str">
        <f>IF('Prod 1'!D830="","",'Prod 1'!D830)</f>
        <v/>
      </c>
    </row>
    <row r="832" spans="2:2" ht="24.95" customHeight="1" x14ac:dyDescent="0.25">
      <c r="B832" s="92" t="str">
        <f>IF('Prod 1'!D831="","",'Prod 1'!D831)</f>
        <v/>
      </c>
    </row>
    <row r="833" spans="2:2" ht="24.95" customHeight="1" x14ac:dyDescent="0.25">
      <c r="B833" s="92" t="str">
        <f>IF('Prod 1'!D832="","",'Prod 1'!D832)</f>
        <v/>
      </c>
    </row>
    <row r="834" spans="2:2" ht="24.95" customHeight="1" x14ac:dyDescent="0.25">
      <c r="B834" s="92" t="str">
        <f>IF('Prod 1'!D833="","",'Prod 1'!D833)</f>
        <v/>
      </c>
    </row>
    <row r="835" spans="2:2" ht="24.95" customHeight="1" x14ac:dyDescent="0.25">
      <c r="B835" s="92" t="str">
        <f>IF('Prod 1'!D834="","",'Prod 1'!D834)</f>
        <v/>
      </c>
    </row>
    <row r="836" spans="2:2" ht="24.95" customHeight="1" x14ac:dyDescent="0.25">
      <c r="B836" s="92" t="str">
        <f>IF('Prod 1'!D835="","",'Prod 1'!D835)</f>
        <v/>
      </c>
    </row>
    <row r="837" spans="2:2" ht="24.95" customHeight="1" x14ac:dyDescent="0.25">
      <c r="B837" s="92" t="str">
        <f>IF('Prod 1'!D836="","",'Prod 1'!D836)</f>
        <v/>
      </c>
    </row>
    <row r="838" spans="2:2" ht="24.95" customHeight="1" x14ac:dyDescent="0.25">
      <c r="B838" s="92" t="str">
        <f>IF('Prod 1'!D837="","",'Prod 1'!D837)</f>
        <v/>
      </c>
    </row>
    <row r="839" spans="2:2" ht="24.95" customHeight="1" x14ac:dyDescent="0.25">
      <c r="B839" s="92" t="str">
        <f>IF('Prod 1'!D838="","",'Prod 1'!D838)</f>
        <v/>
      </c>
    </row>
    <row r="840" spans="2:2" ht="24.95" customHeight="1" x14ac:dyDescent="0.25">
      <c r="B840" s="92" t="str">
        <f>IF('Prod 1'!D839="","",'Prod 1'!D839)</f>
        <v/>
      </c>
    </row>
    <row r="841" spans="2:2" ht="24.95" customHeight="1" x14ac:dyDescent="0.25">
      <c r="B841" s="92" t="str">
        <f>IF('Prod 1'!D840="","",'Prod 1'!D840)</f>
        <v/>
      </c>
    </row>
    <row r="842" spans="2:2" ht="24.95" customHeight="1" x14ac:dyDescent="0.25">
      <c r="B842" s="92" t="str">
        <f>IF('Prod 1'!D841="","",'Prod 1'!D841)</f>
        <v/>
      </c>
    </row>
    <row r="843" spans="2:2" ht="24.95" customHeight="1" x14ac:dyDescent="0.25">
      <c r="B843" s="92" t="str">
        <f>IF('Prod 1'!D842="","",'Prod 1'!D842)</f>
        <v/>
      </c>
    </row>
    <row r="844" spans="2:2" ht="24.95" customHeight="1" x14ac:dyDescent="0.25">
      <c r="B844" s="92" t="str">
        <f>IF('Prod 1'!D843="","",'Prod 1'!D843)</f>
        <v/>
      </c>
    </row>
    <row r="845" spans="2:2" ht="24.95" customHeight="1" x14ac:dyDescent="0.25">
      <c r="B845" s="92" t="str">
        <f>IF('Prod 1'!D844="","",'Prod 1'!D844)</f>
        <v/>
      </c>
    </row>
    <row r="846" spans="2:2" ht="24.95" customHeight="1" x14ac:dyDescent="0.25">
      <c r="B846" s="92" t="str">
        <f>IF('Prod 1'!D845="","",'Prod 1'!D845)</f>
        <v/>
      </c>
    </row>
    <row r="847" spans="2:2" ht="24.95" customHeight="1" x14ac:dyDescent="0.25">
      <c r="B847" s="92" t="str">
        <f>IF('Prod 1'!D846="","",'Prod 1'!D846)</f>
        <v/>
      </c>
    </row>
    <row r="848" spans="2:2" ht="24.95" customHeight="1" x14ac:dyDescent="0.25">
      <c r="B848" s="92" t="str">
        <f>IF('Prod 1'!D847="","",'Prod 1'!D847)</f>
        <v/>
      </c>
    </row>
    <row r="849" spans="2:2" ht="24.95" customHeight="1" x14ac:dyDescent="0.25">
      <c r="B849" s="92" t="str">
        <f>IF('Prod 1'!D848="","",'Prod 1'!D848)</f>
        <v/>
      </c>
    </row>
    <row r="850" spans="2:2" ht="24.95" customHeight="1" x14ac:dyDescent="0.25">
      <c r="B850" s="92" t="str">
        <f>IF('Prod 1'!D849="","",'Prod 1'!D849)</f>
        <v/>
      </c>
    </row>
    <row r="851" spans="2:2" ht="24.95" customHeight="1" x14ac:dyDescent="0.25">
      <c r="B851" s="92" t="str">
        <f>IF('Prod 1'!D850="","",'Prod 1'!D850)</f>
        <v/>
      </c>
    </row>
    <row r="852" spans="2:2" ht="24.95" customHeight="1" x14ac:dyDescent="0.25">
      <c r="B852" s="92" t="str">
        <f>IF('Prod 1'!D851="","",'Prod 1'!D851)</f>
        <v/>
      </c>
    </row>
    <row r="853" spans="2:2" ht="24.95" customHeight="1" x14ac:dyDescent="0.25">
      <c r="B853" s="92" t="str">
        <f>IF('Prod 1'!D852="","",'Prod 1'!D852)</f>
        <v/>
      </c>
    </row>
    <row r="854" spans="2:2" ht="24.95" customHeight="1" x14ac:dyDescent="0.25">
      <c r="B854" s="92" t="str">
        <f>IF('Prod 1'!D853="","",'Prod 1'!D853)</f>
        <v/>
      </c>
    </row>
    <row r="855" spans="2:2" ht="24.95" customHeight="1" x14ac:dyDescent="0.25">
      <c r="B855" s="92" t="str">
        <f>IF('Prod 1'!D854="","",'Prod 1'!D854)</f>
        <v/>
      </c>
    </row>
    <row r="856" spans="2:2" ht="24.95" customHeight="1" x14ac:dyDescent="0.25">
      <c r="B856" s="92" t="str">
        <f>IF('Prod 1'!D855="","",'Prod 1'!D855)</f>
        <v/>
      </c>
    </row>
    <row r="857" spans="2:2" ht="24.95" customHeight="1" x14ac:dyDescent="0.25">
      <c r="B857" s="92" t="str">
        <f>IF('Prod 1'!D856="","",'Prod 1'!D856)</f>
        <v/>
      </c>
    </row>
    <row r="858" spans="2:2" ht="24.95" customHeight="1" x14ac:dyDescent="0.25">
      <c r="B858" s="92" t="str">
        <f>IF('Prod 1'!D857="","",'Prod 1'!D857)</f>
        <v/>
      </c>
    </row>
    <row r="859" spans="2:2" ht="24.95" customHeight="1" x14ac:dyDescent="0.25">
      <c r="B859" s="92" t="str">
        <f>IF('Prod 1'!D858="","",'Prod 1'!D858)</f>
        <v/>
      </c>
    </row>
    <row r="860" spans="2:2" ht="24.95" customHeight="1" x14ac:dyDescent="0.25">
      <c r="B860" s="92" t="str">
        <f>IF('Prod 1'!D859="","",'Prod 1'!D859)</f>
        <v/>
      </c>
    </row>
    <row r="861" spans="2:2" ht="24.95" customHeight="1" x14ac:dyDescent="0.25">
      <c r="B861" s="92" t="str">
        <f>IF('Prod 1'!D860="","",'Prod 1'!D860)</f>
        <v/>
      </c>
    </row>
    <row r="862" spans="2:2" ht="24.95" customHeight="1" x14ac:dyDescent="0.25">
      <c r="B862" s="92" t="str">
        <f>IF('Prod 1'!D861="","",'Prod 1'!D861)</f>
        <v/>
      </c>
    </row>
    <row r="863" spans="2:2" ht="24.95" customHeight="1" x14ac:dyDescent="0.25">
      <c r="B863" s="92" t="str">
        <f>IF('Prod 1'!D862="","",'Prod 1'!D862)</f>
        <v/>
      </c>
    </row>
    <row r="864" spans="2:2" ht="24.95" customHeight="1" x14ac:dyDescent="0.25">
      <c r="B864" s="92" t="str">
        <f>IF('Prod 1'!D863="","",'Prod 1'!D863)</f>
        <v/>
      </c>
    </row>
    <row r="865" spans="2:2" ht="24.95" customHeight="1" x14ac:dyDescent="0.25">
      <c r="B865" s="92" t="str">
        <f>IF('Prod 1'!D864="","",'Prod 1'!D864)</f>
        <v/>
      </c>
    </row>
    <row r="866" spans="2:2" ht="24.95" customHeight="1" x14ac:dyDescent="0.25">
      <c r="B866" s="92" t="str">
        <f>IF('Prod 1'!D865="","",'Prod 1'!D865)</f>
        <v/>
      </c>
    </row>
    <row r="867" spans="2:2" ht="24.95" customHeight="1" x14ac:dyDescent="0.25">
      <c r="B867" s="92" t="str">
        <f>IF('Prod 1'!D866="","",'Prod 1'!D866)</f>
        <v/>
      </c>
    </row>
    <row r="868" spans="2:2" ht="24.95" customHeight="1" x14ac:dyDescent="0.25">
      <c r="B868" s="92" t="str">
        <f>IF('Prod 1'!D867="","",'Prod 1'!D867)</f>
        <v/>
      </c>
    </row>
    <row r="869" spans="2:2" ht="24.95" customHeight="1" x14ac:dyDescent="0.25">
      <c r="B869" s="92" t="str">
        <f>IF('Prod 1'!D868="","",'Prod 1'!D868)</f>
        <v/>
      </c>
    </row>
    <row r="870" spans="2:2" ht="24.95" customHeight="1" x14ac:dyDescent="0.25">
      <c r="B870" s="92" t="str">
        <f>IF('Prod 1'!D869="","",'Prod 1'!D869)</f>
        <v/>
      </c>
    </row>
    <row r="871" spans="2:2" ht="24.95" customHeight="1" x14ac:dyDescent="0.25">
      <c r="B871" s="92" t="str">
        <f>IF('Prod 1'!D870="","",'Prod 1'!D870)</f>
        <v/>
      </c>
    </row>
    <row r="872" spans="2:2" ht="24.95" customHeight="1" x14ac:dyDescent="0.25">
      <c r="B872" s="92" t="str">
        <f>IF('Prod 1'!D871="","",'Prod 1'!D871)</f>
        <v/>
      </c>
    </row>
    <row r="873" spans="2:2" ht="24.95" customHeight="1" x14ac:dyDescent="0.25">
      <c r="B873" s="92" t="str">
        <f>IF('Prod 1'!D872="","",'Prod 1'!D872)</f>
        <v/>
      </c>
    </row>
    <row r="874" spans="2:2" ht="24.95" customHeight="1" x14ac:dyDescent="0.25">
      <c r="B874" s="92" t="str">
        <f>IF('Prod 1'!D873="","",'Prod 1'!D873)</f>
        <v/>
      </c>
    </row>
    <row r="875" spans="2:2" ht="24.95" customHeight="1" x14ac:dyDescent="0.25">
      <c r="B875" s="92" t="str">
        <f>IF('Prod 1'!D874="","",'Prod 1'!D874)</f>
        <v/>
      </c>
    </row>
    <row r="876" spans="2:2" ht="24.95" customHeight="1" x14ac:dyDescent="0.25">
      <c r="B876" s="92" t="str">
        <f>IF('Prod 1'!D875="","",'Prod 1'!D875)</f>
        <v/>
      </c>
    </row>
    <row r="877" spans="2:2" ht="24.95" customHeight="1" x14ac:dyDescent="0.25">
      <c r="B877" s="92" t="str">
        <f>IF('Prod 1'!D876="","",'Prod 1'!D876)</f>
        <v/>
      </c>
    </row>
    <row r="878" spans="2:2" ht="24.95" customHeight="1" x14ac:dyDescent="0.25">
      <c r="B878" s="92" t="str">
        <f>IF('Prod 1'!D877="","",'Prod 1'!D877)</f>
        <v/>
      </c>
    </row>
    <row r="879" spans="2:2" ht="24.95" customHeight="1" x14ac:dyDescent="0.25">
      <c r="B879" s="92" t="str">
        <f>IF('Prod 1'!D878="","",'Prod 1'!D878)</f>
        <v/>
      </c>
    </row>
    <row r="880" spans="2:2" ht="24.95" customHeight="1" x14ac:dyDescent="0.25">
      <c r="B880" s="92" t="str">
        <f>IF('Prod 1'!D879="","",'Prod 1'!D879)</f>
        <v/>
      </c>
    </row>
    <row r="881" spans="2:2" ht="24.95" customHeight="1" x14ac:dyDescent="0.25">
      <c r="B881" s="92" t="str">
        <f>IF('Prod 1'!D880="","",'Prod 1'!D880)</f>
        <v/>
      </c>
    </row>
    <row r="882" spans="2:2" ht="24.95" customHeight="1" x14ac:dyDescent="0.25">
      <c r="B882" s="92" t="str">
        <f>IF('Prod 1'!D881="","",'Prod 1'!D881)</f>
        <v/>
      </c>
    </row>
    <row r="883" spans="2:2" ht="24.95" customHeight="1" x14ac:dyDescent="0.25">
      <c r="B883" s="92" t="str">
        <f>IF('Prod 1'!D882="","",'Prod 1'!D882)</f>
        <v/>
      </c>
    </row>
    <row r="884" spans="2:2" ht="24.95" customHeight="1" x14ac:dyDescent="0.25">
      <c r="B884" s="92" t="str">
        <f>IF('Prod 1'!D883="","",'Prod 1'!D883)</f>
        <v/>
      </c>
    </row>
    <row r="885" spans="2:2" ht="24.95" customHeight="1" x14ac:dyDescent="0.25">
      <c r="B885" s="92" t="str">
        <f>IF('Prod 1'!D884="","",'Prod 1'!D884)</f>
        <v/>
      </c>
    </row>
    <row r="886" spans="2:2" ht="24.95" customHeight="1" x14ac:dyDescent="0.25">
      <c r="B886" s="92" t="str">
        <f>IF('Prod 1'!D885="","",'Prod 1'!D885)</f>
        <v/>
      </c>
    </row>
    <row r="887" spans="2:2" ht="24.95" customHeight="1" x14ac:dyDescent="0.25">
      <c r="B887" s="92" t="str">
        <f>IF('Prod 1'!D886="","",'Prod 1'!D886)</f>
        <v/>
      </c>
    </row>
    <row r="888" spans="2:2" ht="24.95" customHeight="1" x14ac:dyDescent="0.25">
      <c r="B888" s="92" t="str">
        <f>IF('Prod 1'!D887="","",'Prod 1'!D887)</f>
        <v/>
      </c>
    </row>
    <row r="889" spans="2:2" ht="24.95" customHeight="1" x14ac:dyDescent="0.25">
      <c r="B889" s="92" t="str">
        <f>IF('Prod 1'!D888="","",'Prod 1'!D888)</f>
        <v/>
      </c>
    </row>
    <row r="890" spans="2:2" ht="24.95" customHeight="1" x14ac:dyDescent="0.25">
      <c r="B890" s="92" t="str">
        <f>IF('Prod 1'!D889="","",'Prod 1'!D889)</f>
        <v/>
      </c>
    </row>
    <row r="891" spans="2:2" ht="24.95" customHeight="1" x14ac:dyDescent="0.25">
      <c r="B891" s="92" t="str">
        <f>IF('Prod 1'!D890="","",'Prod 1'!D890)</f>
        <v/>
      </c>
    </row>
    <row r="892" spans="2:2" ht="24.95" customHeight="1" x14ac:dyDescent="0.25">
      <c r="B892" s="92" t="str">
        <f>IF('Prod 1'!D891="","",'Prod 1'!D891)</f>
        <v/>
      </c>
    </row>
    <row r="893" spans="2:2" ht="24.95" customHeight="1" x14ac:dyDescent="0.25">
      <c r="B893" s="92" t="str">
        <f>IF('Prod 1'!D892="","",'Prod 1'!D892)</f>
        <v/>
      </c>
    </row>
    <row r="894" spans="2:2" ht="24.95" customHeight="1" x14ac:dyDescent="0.25">
      <c r="B894" s="92" t="str">
        <f>IF('Prod 1'!D893="","",'Prod 1'!D893)</f>
        <v/>
      </c>
    </row>
    <row r="895" spans="2:2" ht="24.95" customHeight="1" x14ac:dyDescent="0.25">
      <c r="B895" s="92" t="str">
        <f>IF('Prod 1'!D894="","",'Prod 1'!D894)</f>
        <v/>
      </c>
    </row>
    <row r="896" spans="2:2" ht="24.95" customHeight="1" x14ac:dyDescent="0.25">
      <c r="B896" s="92" t="str">
        <f>IF('Prod 1'!D895="","",'Prod 1'!D895)</f>
        <v/>
      </c>
    </row>
    <row r="897" spans="2:2" ht="24.95" customHeight="1" x14ac:dyDescent="0.25">
      <c r="B897" s="92" t="str">
        <f>IF('Prod 1'!D896="","",'Prod 1'!D896)</f>
        <v/>
      </c>
    </row>
    <row r="898" spans="2:2" ht="24.95" customHeight="1" x14ac:dyDescent="0.25">
      <c r="B898" s="92" t="str">
        <f>IF('Prod 1'!D897="","",'Prod 1'!D897)</f>
        <v/>
      </c>
    </row>
    <row r="899" spans="2:2" ht="24.95" customHeight="1" x14ac:dyDescent="0.25">
      <c r="B899" s="92" t="str">
        <f>IF('Prod 1'!D898="","",'Prod 1'!D898)</f>
        <v/>
      </c>
    </row>
    <row r="900" spans="2:2" ht="24.95" customHeight="1" x14ac:dyDescent="0.25">
      <c r="B900" s="92" t="str">
        <f>IF('Prod 1'!D899="","",'Prod 1'!D899)</f>
        <v/>
      </c>
    </row>
    <row r="901" spans="2:2" ht="24.95" customHeight="1" x14ac:dyDescent="0.25">
      <c r="B901" s="92" t="str">
        <f>IF('Prod 1'!D900="","",'Prod 1'!D900)</f>
        <v/>
      </c>
    </row>
    <row r="902" spans="2:2" ht="24.95" customHeight="1" x14ac:dyDescent="0.25">
      <c r="B902" s="92" t="str">
        <f>IF('Prod 1'!D901="","",'Prod 1'!D901)</f>
        <v/>
      </c>
    </row>
    <row r="903" spans="2:2" ht="24.95" customHeight="1" x14ac:dyDescent="0.25">
      <c r="B903" s="92" t="str">
        <f>IF('Prod 1'!D902="","",'Prod 1'!D902)</f>
        <v/>
      </c>
    </row>
    <row r="904" spans="2:2" ht="24.95" customHeight="1" x14ac:dyDescent="0.25">
      <c r="B904" s="92" t="str">
        <f>IF('Prod 1'!D903="","",'Prod 1'!D903)</f>
        <v/>
      </c>
    </row>
    <row r="905" spans="2:2" ht="24.95" customHeight="1" x14ac:dyDescent="0.25">
      <c r="B905" s="92" t="str">
        <f>IF('Prod 1'!D904="","",'Prod 1'!D904)</f>
        <v/>
      </c>
    </row>
    <row r="906" spans="2:2" ht="24.95" customHeight="1" x14ac:dyDescent="0.25">
      <c r="B906" s="92" t="str">
        <f>IF('Prod 1'!D905="","",'Prod 1'!D905)</f>
        <v/>
      </c>
    </row>
    <row r="907" spans="2:2" ht="24.95" customHeight="1" x14ac:dyDescent="0.25">
      <c r="B907" s="92" t="str">
        <f>IF('Prod 1'!D906="","",'Prod 1'!D906)</f>
        <v/>
      </c>
    </row>
    <row r="908" spans="2:2" ht="24.95" customHeight="1" x14ac:dyDescent="0.25">
      <c r="B908" s="92" t="str">
        <f>IF('Prod 1'!D907="","",'Prod 1'!D907)</f>
        <v/>
      </c>
    </row>
    <row r="909" spans="2:2" ht="24.95" customHeight="1" x14ac:dyDescent="0.25">
      <c r="B909" s="92" t="str">
        <f>IF('Prod 1'!D908="","",'Prod 1'!D908)</f>
        <v/>
      </c>
    </row>
    <row r="910" spans="2:2" ht="24.95" customHeight="1" x14ac:dyDescent="0.25">
      <c r="B910" s="92" t="str">
        <f>IF('Prod 1'!D909="","",'Prod 1'!D909)</f>
        <v/>
      </c>
    </row>
    <row r="911" spans="2:2" ht="24.95" customHeight="1" x14ac:dyDescent="0.25">
      <c r="B911" s="92" t="str">
        <f>IF('Prod 1'!D910="","",'Prod 1'!D910)</f>
        <v/>
      </c>
    </row>
    <row r="912" spans="2:2" ht="24.95" customHeight="1" x14ac:dyDescent="0.25">
      <c r="B912" s="92" t="str">
        <f>IF('Prod 1'!D911="","",'Prod 1'!D911)</f>
        <v/>
      </c>
    </row>
    <row r="913" spans="2:2" ht="24.95" customHeight="1" x14ac:dyDescent="0.25">
      <c r="B913" s="92" t="str">
        <f>IF('Prod 1'!D912="","",'Prod 1'!D912)</f>
        <v/>
      </c>
    </row>
    <row r="914" spans="2:2" ht="24.95" customHeight="1" x14ac:dyDescent="0.25">
      <c r="B914" s="92" t="str">
        <f>IF('Prod 1'!D913="","",'Prod 1'!D913)</f>
        <v/>
      </c>
    </row>
    <row r="915" spans="2:2" ht="24.95" customHeight="1" x14ac:dyDescent="0.25">
      <c r="B915" s="92" t="str">
        <f>IF('Prod 1'!D914="","",'Prod 1'!D914)</f>
        <v/>
      </c>
    </row>
    <row r="916" spans="2:2" ht="24.95" customHeight="1" x14ac:dyDescent="0.25">
      <c r="B916" s="92" t="str">
        <f>IF('Prod 1'!D915="","",'Prod 1'!D915)</f>
        <v/>
      </c>
    </row>
    <row r="917" spans="2:2" ht="24.95" customHeight="1" x14ac:dyDescent="0.25">
      <c r="B917" s="92" t="str">
        <f>IF('Prod 1'!D916="","",'Prod 1'!D916)</f>
        <v/>
      </c>
    </row>
    <row r="918" spans="2:2" ht="24.95" customHeight="1" x14ac:dyDescent="0.25">
      <c r="B918" s="92" t="str">
        <f>IF('Prod 1'!D917="","",'Prod 1'!D917)</f>
        <v/>
      </c>
    </row>
    <row r="919" spans="2:2" ht="24.95" customHeight="1" x14ac:dyDescent="0.25">
      <c r="B919" s="92" t="str">
        <f>IF('Prod 1'!D918="","",'Prod 1'!D918)</f>
        <v/>
      </c>
    </row>
    <row r="920" spans="2:2" ht="24.95" customHeight="1" x14ac:dyDescent="0.25">
      <c r="B920" s="92" t="str">
        <f>IF('Prod 1'!D919="","",'Prod 1'!D919)</f>
        <v/>
      </c>
    </row>
    <row r="921" spans="2:2" ht="24.95" customHeight="1" x14ac:dyDescent="0.25">
      <c r="B921" s="92" t="str">
        <f>IF('Prod 1'!D920="","",'Prod 1'!D920)</f>
        <v/>
      </c>
    </row>
    <row r="922" spans="2:2" ht="24.95" customHeight="1" x14ac:dyDescent="0.25">
      <c r="B922" s="92" t="str">
        <f>IF('Prod 1'!D921="","",'Prod 1'!D921)</f>
        <v/>
      </c>
    </row>
    <row r="923" spans="2:2" ht="24.95" customHeight="1" x14ac:dyDescent="0.25">
      <c r="B923" s="92" t="str">
        <f>IF('Prod 1'!D922="","",'Prod 1'!D922)</f>
        <v/>
      </c>
    </row>
    <row r="924" spans="2:2" ht="24.95" customHeight="1" x14ac:dyDescent="0.25">
      <c r="B924" s="92" t="str">
        <f>IF('Prod 1'!D923="","",'Prod 1'!D923)</f>
        <v/>
      </c>
    </row>
    <row r="925" spans="2:2" ht="24.95" customHeight="1" x14ac:dyDescent="0.25">
      <c r="B925" s="92" t="str">
        <f>IF('Prod 1'!D924="","",'Prod 1'!D924)</f>
        <v/>
      </c>
    </row>
    <row r="926" spans="2:2" ht="24.95" customHeight="1" x14ac:dyDescent="0.25">
      <c r="B926" s="92" t="str">
        <f>IF('Prod 1'!D925="","",'Prod 1'!D925)</f>
        <v/>
      </c>
    </row>
    <row r="927" spans="2:2" ht="24.95" customHeight="1" x14ac:dyDescent="0.25">
      <c r="B927" s="92" t="str">
        <f>IF('Prod 1'!D926="","",'Prod 1'!D926)</f>
        <v/>
      </c>
    </row>
    <row r="928" spans="2:2" ht="24.95" customHeight="1" x14ac:dyDescent="0.25">
      <c r="B928" s="92" t="str">
        <f>IF('Prod 1'!D927="","",'Prod 1'!D927)</f>
        <v/>
      </c>
    </row>
    <row r="929" spans="2:2" ht="24.95" customHeight="1" x14ac:dyDescent="0.25">
      <c r="B929" s="92" t="str">
        <f>IF('Prod 1'!D928="","",'Prod 1'!D928)</f>
        <v/>
      </c>
    </row>
    <row r="930" spans="2:2" ht="24.95" customHeight="1" x14ac:dyDescent="0.25">
      <c r="B930" s="92" t="str">
        <f>IF('Prod 1'!D929="","",'Prod 1'!D929)</f>
        <v/>
      </c>
    </row>
    <row r="931" spans="2:2" ht="24.95" customHeight="1" x14ac:dyDescent="0.25">
      <c r="B931" s="92" t="str">
        <f>IF('Prod 1'!D930="","",'Prod 1'!D930)</f>
        <v/>
      </c>
    </row>
    <row r="932" spans="2:2" ht="24.95" customHeight="1" x14ac:dyDescent="0.25">
      <c r="B932" s="92" t="str">
        <f>IF('Prod 1'!D931="","",'Prod 1'!D931)</f>
        <v/>
      </c>
    </row>
    <row r="933" spans="2:2" ht="24.95" customHeight="1" x14ac:dyDescent="0.25">
      <c r="B933" s="92" t="str">
        <f>IF('Prod 1'!D932="","",'Prod 1'!D932)</f>
        <v/>
      </c>
    </row>
    <row r="934" spans="2:2" ht="24.95" customHeight="1" x14ac:dyDescent="0.25">
      <c r="B934" s="92" t="str">
        <f>IF('Prod 1'!D933="","",'Prod 1'!D933)</f>
        <v/>
      </c>
    </row>
    <row r="935" spans="2:2" ht="24.95" customHeight="1" x14ac:dyDescent="0.25">
      <c r="B935" s="92" t="str">
        <f>IF('Prod 1'!D934="","",'Prod 1'!D934)</f>
        <v/>
      </c>
    </row>
    <row r="936" spans="2:2" ht="24.95" customHeight="1" x14ac:dyDescent="0.25">
      <c r="B936" s="92" t="str">
        <f>IF('Prod 1'!D935="","",'Prod 1'!D935)</f>
        <v/>
      </c>
    </row>
    <row r="937" spans="2:2" ht="24.95" customHeight="1" x14ac:dyDescent="0.25">
      <c r="B937" s="92" t="str">
        <f>IF('Prod 1'!D936="","",'Prod 1'!D936)</f>
        <v/>
      </c>
    </row>
    <row r="938" spans="2:2" ht="24.95" customHeight="1" x14ac:dyDescent="0.25">
      <c r="B938" s="92" t="str">
        <f>IF('Prod 1'!D937="","",'Prod 1'!D937)</f>
        <v/>
      </c>
    </row>
    <row r="939" spans="2:2" ht="24.95" customHeight="1" x14ac:dyDescent="0.25">
      <c r="B939" s="92" t="str">
        <f>IF('Prod 1'!D938="","",'Prod 1'!D938)</f>
        <v/>
      </c>
    </row>
    <row r="940" spans="2:2" ht="24.95" customHeight="1" x14ac:dyDescent="0.25">
      <c r="B940" s="92" t="str">
        <f>IF('Prod 1'!D939="","",'Prod 1'!D939)</f>
        <v/>
      </c>
    </row>
    <row r="941" spans="2:2" ht="24.95" customHeight="1" x14ac:dyDescent="0.25">
      <c r="B941" s="92" t="str">
        <f>IF('Prod 1'!D940="","",'Prod 1'!D940)</f>
        <v/>
      </c>
    </row>
    <row r="942" spans="2:2" ht="24.95" customHeight="1" x14ac:dyDescent="0.25">
      <c r="B942" s="92" t="str">
        <f>IF('Prod 1'!D941="","",'Prod 1'!D941)</f>
        <v/>
      </c>
    </row>
    <row r="943" spans="2:2" ht="24.95" customHeight="1" x14ac:dyDescent="0.25">
      <c r="B943" s="92" t="str">
        <f>IF('Prod 1'!D942="","",'Prod 1'!D942)</f>
        <v/>
      </c>
    </row>
    <row r="944" spans="2:2" ht="24.95" customHeight="1" x14ac:dyDescent="0.25">
      <c r="B944" s="92" t="str">
        <f>IF('Prod 1'!D943="","",'Prod 1'!D943)</f>
        <v/>
      </c>
    </row>
    <row r="945" spans="2:2" ht="24.95" customHeight="1" x14ac:dyDescent="0.25">
      <c r="B945" s="92" t="str">
        <f>IF('Prod 1'!D944="","",'Prod 1'!D944)</f>
        <v/>
      </c>
    </row>
    <row r="946" spans="2:2" ht="24.95" customHeight="1" x14ac:dyDescent="0.25">
      <c r="B946" s="92" t="str">
        <f>IF('Prod 1'!D945="","",'Prod 1'!D945)</f>
        <v/>
      </c>
    </row>
    <row r="947" spans="2:2" ht="24.95" customHeight="1" x14ac:dyDescent="0.25">
      <c r="B947" s="92" t="str">
        <f>IF('Prod 1'!D946="","",'Prod 1'!D946)</f>
        <v/>
      </c>
    </row>
    <row r="948" spans="2:2" ht="24.95" customHeight="1" x14ac:dyDescent="0.25">
      <c r="B948" s="92" t="str">
        <f>IF('Prod 1'!D947="","",'Prod 1'!D947)</f>
        <v/>
      </c>
    </row>
    <row r="949" spans="2:2" ht="24.95" customHeight="1" x14ac:dyDescent="0.25">
      <c r="B949" s="92" t="str">
        <f>IF('Prod 1'!D948="","",'Prod 1'!D948)</f>
        <v/>
      </c>
    </row>
    <row r="950" spans="2:2" ht="24.95" customHeight="1" x14ac:dyDescent="0.25">
      <c r="B950" s="92" t="str">
        <f>IF('Prod 1'!D949="","",'Prod 1'!D949)</f>
        <v/>
      </c>
    </row>
    <row r="951" spans="2:2" ht="24.95" customHeight="1" x14ac:dyDescent="0.25">
      <c r="B951" s="92" t="str">
        <f>IF('Prod 1'!D950="","",'Prod 1'!D950)</f>
        <v/>
      </c>
    </row>
    <row r="952" spans="2:2" ht="24.95" customHeight="1" x14ac:dyDescent="0.25">
      <c r="B952" s="92" t="str">
        <f>IF('Prod 1'!D951="","",'Prod 1'!D951)</f>
        <v/>
      </c>
    </row>
    <row r="953" spans="2:2" ht="24.95" customHeight="1" x14ac:dyDescent="0.25">
      <c r="B953" s="92" t="str">
        <f>IF('Prod 1'!D952="","",'Prod 1'!D952)</f>
        <v/>
      </c>
    </row>
    <row r="954" spans="2:2" ht="24.95" customHeight="1" x14ac:dyDescent="0.25">
      <c r="B954" s="92" t="str">
        <f>IF('Prod 1'!D953="","",'Prod 1'!D953)</f>
        <v/>
      </c>
    </row>
    <row r="955" spans="2:2" ht="24.95" customHeight="1" x14ac:dyDescent="0.25">
      <c r="B955" s="92" t="str">
        <f>IF('Prod 1'!D954="","",'Prod 1'!D954)</f>
        <v/>
      </c>
    </row>
    <row r="956" spans="2:2" ht="24.95" customHeight="1" x14ac:dyDescent="0.25">
      <c r="B956" s="92" t="str">
        <f>IF('Prod 1'!D955="","",'Prod 1'!D955)</f>
        <v/>
      </c>
    </row>
    <row r="957" spans="2:2" ht="24.95" customHeight="1" x14ac:dyDescent="0.25">
      <c r="B957" s="92" t="str">
        <f>IF('Prod 1'!D956="","",'Prod 1'!D956)</f>
        <v/>
      </c>
    </row>
    <row r="958" spans="2:2" ht="24.95" customHeight="1" x14ac:dyDescent="0.25">
      <c r="B958" s="92" t="str">
        <f>IF('Prod 1'!D957="","",'Prod 1'!D957)</f>
        <v/>
      </c>
    </row>
    <row r="959" spans="2:2" ht="24.95" customHeight="1" x14ac:dyDescent="0.25">
      <c r="B959" s="92" t="str">
        <f>IF('Prod 1'!D958="","",'Prod 1'!D958)</f>
        <v/>
      </c>
    </row>
    <row r="960" spans="2:2" ht="24.95" customHeight="1" x14ac:dyDescent="0.25">
      <c r="B960" s="92" t="str">
        <f>IF('Prod 1'!D959="","",'Prod 1'!D959)</f>
        <v/>
      </c>
    </row>
    <row r="961" spans="2:2" ht="24.95" customHeight="1" x14ac:dyDescent="0.25">
      <c r="B961" s="92" t="str">
        <f>IF('Prod 1'!D960="","",'Prod 1'!D960)</f>
        <v/>
      </c>
    </row>
    <row r="962" spans="2:2" ht="24.95" customHeight="1" x14ac:dyDescent="0.25">
      <c r="B962" s="92" t="str">
        <f>IF('Prod 1'!D961="","",'Prod 1'!D961)</f>
        <v/>
      </c>
    </row>
    <row r="963" spans="2:2" ht="24.95" customHeight="1" x14ac:dyDescent="0.25">
      <c r="B963" s="92" t="str">
        <f>IF('Prod 1'!D962="","",'Prod 1'!D962)</f>
        <v/>
      </c>
    </row>
    <row r="964" spans="2:2" ht="24.95" customHeight="1" x14ac:dyDescent="0.25">
      <c r="B964" s="92" t="str">
        <f>IF('Prod 1'!D963="","",'Prod 1'!D963)</f>
        <v/>
      </c>
    </row>
    <row r="965" spans="2:2" ht="24.95" customHeight="1" x14ac:dyDescent="0.25">
      <c r="B965" s="92" t="str">
        <f>IF('Prod 1'!D964="","",'Prod 1'!D964)</f>
        <v/>
      </c>
    </row>
    <row r="966" spans="2:2" ht="24.95" customHeight="1" x14ac:dyDescent="0.25">
      <c r="B966" s="92" t="str">
        <f>IF('Prod 1'!D965="","",'Prod 1'!D965)</f>
        <v/>
      </c>
    </row>
    <row r="967" spans="2:2" ht="24.95" customHeight="1" x14ac:dyDescent="0.25">
      <c r="B967" s="92" t="str">
        <f>IF('Prod 1'!D966="","",'Prod 1'!D966)</f>
        <v/>
      </c>
    </row>
    <row r="968" spans="2:2" ht="24.95" customHeight="1" x14ac:dyDescent="0.25">
      <c r="B968" s="92" t="str">
        <f>IF('Prod 1'!D967="","",'Prod 1'!D967)</f>
        <v/>
      </c>
    </row>
    <row r="969" spans="2:2" ht="24.95" customHeight="1" x14ac:dyDescent="0.25">
      <c r="B969" s="92" t="str">
        <f>IF('Prod 1'!D968="","",'Prod 1'!D968)</f>
        <v/>
      </c>
    </row>
    <row r="970" spans="2:2" ht="24.95" customHeight="1" x14ac:dyDescent="0.25">
      <c r="B970" s="92" t="str">
        <f>IF('Prod 1'!D969="","",'Prod 1'!D969)</f>
        <v/>
      </c>
    </row>
    <row r="971" spans="2:2" ht="24.95" customHeight="1" x14ac:dyDescent="0.25">
      <c r="B971" s="92" t="str">
        <f>IF('Prod 1'!D970="","",'Prod 1'!D970)</f>
        <v/>
      </c>
    </row>
    <row r="972" spans="2:2" ht="24.95" customHeight="1" x14ac:dyDescent="0.25">
      <c r="B972" s="92" t="str">
        <f>IF('Prod 1'!D971="","",'Prod 1'!D971)</f>
        <v/>
      </c>
    </row>
    <row r="973" spans="2:2" ht="24.95" customHeight="1" x14ac:dyDescent="0.25">
      <c r="B973" s="92" t="str">
        <f>IF('Prod 1'!D972="","",'Prod 1'!D972)</f>
        <v/>
      </c>
    </row>
    <row r="974" spans="2:2" ht="24.95" customHeight="1" x14ac:dyDescent="0.25">
      <c r="B974" s="92" t="str">
        <f>IF('Prod 1'!D973="","",'Prod 1'!D973)</f>
        <v/>
      </c>
    </row>
    <row r="975" spans="2:2" ht="24.95" customHeight="1" x14ac:dyDescent="0.25">
      <c r="B975" s="92" t="str">
        <f>IF('Prod 1'!D974="","",'Prod 1'!D974)</f>
        <v/>
      </c>
    </row>
    <row r="976" spans="2:2" ht="24.95" customHeight="1" x14ac:dyDescent="0.25">
      <c r="B976" s="92" t="str">
        <f>IF('Prod 1'!D975="","",'Prod 1'!D975)</f>
        <v/>
      </c>
    </row>
    <row r="977" spans="2:2" ht="24.95" customHeight="1" x14ac:dyDescent="0.25">
      <c r="B977" s="92" t="str">
        <f>IF('Prod 1'!D976="","",'Prod 1'!D976)</f>
        <v/>
      </c>
    </row>
    <row r="978" spans="2:2" ht="24.95" customHeight="1" x14ac:dyDescent="0.25">
      <c r="B978" s="92" t="str">
        <f>IF('Prod 1'!D977="","",'Prod 1'!D977)</f>
        <v/>
      </c>
    </row>
    <row r="979" spans="2:2" ht="24.95" customHeight="1" x14ac:dyDescent="0.25">
      <c r="B979" s="92" t="str">
        <f>IF('Prod 1'!D978="","",'Prod 1'!D978)</f>
        <v/>
      </c>
    </row>
    <row r="980" spans="2:2" ht="24.95" customHeight="1" x14ac:dyDescent="0.25">
      <c r="B980" s="92" t="str">
        <f>IF('Prod 1'!D979="","",'Prod 1'!D979)</f>
        <v/>
      </c>
    </row>
    <row r="981" spans="2:2" ht="24.95" customHeight="1" x14ac:dyDescent="0.25">
      <c r="B981" s="92" t="str">
        <f>IF('Prod 1'!D980="","",'Prod 1'!D980)</f>
        <v/>
      </c>
    </row>
    <row r="982" spans="2:2" ht="24.95" customHeight="1" x14ac:dyDescent="0.25">
      <c r="B982" s="92" t="str">
        <f>IF('Prod 1'!D981="","",'Prod 1'!D981)</f>
        <v/>
      </c>
    </row>
    <row r="983" spans="2:2" ht="24.95" customHeight="1" x14ac:dyDescent="0.25">
      <c r="B983" s="92" t="str">
        <f>IF('Prod 1'!D982="","",'Prod 1'!D982)</f>
        <v/>
      </c>
    </row>
    <row r="984" spans="2:2" ht="24.95" customHeight="1" x14ac:dyDescent="0.25">
      <c r="B984" s="92" t="str">
        <f>IF('Prod 1'!D983="","",'Prod 1'!D983)</f>
        <v/>
      </c>
    </row>
    <row r="985" spans="2:2" ht="24.95" customHeight="1" x14ac:dyDescent="0.25">
      <c r="B985" s="92" t="str">
        <f>IF('Prod 1'!D984="","",'Prod 1'!D984)</f>
        <v/>
      </c>
    </row>
    <row r="986" spans="2:2" ht="24.95" customHeight="1" x14ac:dyDescent="0.25">
      <c r="B986" s="92" t="str">
        <f>IF('Prod 1'!D985="","",'Prod 1'!D985)</f>
        <v/>
      </c>
    </row>
    <row r="987" spans="2:2" ht="24.95" customHeight="1" x14ac:dyDescent="0.25">
      <c r="B987" s="92" t="str">
        <f>IF('Prod 1'!D986="","",'Prod 1'!D986)</f>
        <v/>
      </c>
    </row>
    <row r="988" spans="2:2" ht="24.95" customHeight="1" x14ac:dyDescent="0.25">
      <c r="B988" s="92" t="str">
        <f>IF('Prod 1'!D987="","",'Prod 1'!D987)</f>
        <v/>
      </c>
    </row>
    <row r="989" spans="2:2" ht="24.95" customHeight="1" x14ac:dyDescent="0.25">
      <c r="B989" s="92" t="str">
        <f>IF('Prod 1'!D988="","",'Prod 1'!D988)</f>
        <v/>
      </c>
    </row>
    <row r="990" spans="2:2" ht="24.95" customHeight="1" x14ac:dyDescent="0.25">
      <c r="B990" s="92" t="str">
        <f>IF('Prod 1'!D989="","",'Prod 1'!D989)</f>
        <v/>
      </c>
    </row>
    <row r="991" spans="2:2" ht="24.95" customHeight="1" x14ac:dyDescent="0.25">
      <c r="B991" s="92" t="str">
        <f>IF('Prod 1'!D990="","",'Prod 1'!D990)</f>
        <v/>
      </c>
    </row>
    <row r="992" spans="2:2" ht="24.95" customHeight="1" x14ac:dyDescent="0.25">
      <c r="B992" s="92" t="str">
        <f>IF('Prod 1'!D991="","",'Prod 1'!D991)</f>
        <v/>
      </c>
    </row>
    <row r="993" spans="2:2" ht="24.95" customHeight="1" x14ac:dyDescent="0.25">
      <c r="B993" s="92" t="str">
        <f>IF('Prod 1'!D992="","",'Prod 1'!D992)</f>
        <v/>
      </c>
    </row>
    <row r="994" spans="2:2" ht="24.95" customHeight="1" x14ac:dyDescent="0.25">
      <c r="B994" s="92" t="str">
        <f>IF('Prod 1'!D993="","",'Prod 1'!D993)</f>
        <v/>
      </c>
    </row>
    <row r="995" spans="2:2" ht="24.95" customHeight="1" x14ac:dyDescent="0.25">
      <c r="B995" s="92" t="str">
        <f>IF('Prod 1'!D994="","",'Prod 1'!D994)</f>
        <v/>
      </c>
    </row>
    <row r="996" spans="2:2" ht="24.95" customHeight="1" x14ac:dyDescent="0.25">
      <c r="B996" s="92" t="str">
        <f>IF('Prod 1'!D995="","",'Prod 1'!D995)</f>
        <v/>
      </c>
    </row>
    <row r="997" spans="2:2" ht="24.95" customHeight="1" x14ac:dyDescent="0.25">
      <c r="B997" s="92" t="str">
        <f>IF('Prod 1'!D996="","",'Prod 1'!D996)</f>
        <v/>
      </c>
    </row>
    <row r="998" spans="2:2" ht="24.95" customHeight="1" x14ac:dyDescent="0.25">
      <c r="B998" s="92" t="str">
        <f>IF('Prod 1'!D997="","",'Prod 1'!D997)</f>
        <v/>
      </c>
    </row>
    <row r="999" spans="2:2" ht="24.95" customHeight="1" x14ac:dyDescent="0.25">
      <c r="B999" s="92" t="str">
        <f>IF('Prod 1'!D998="","",'Prod 1'!D998)</f>
        <v/>
      </c>
    </row>
    <row r="1000" spans="2:2" ht="24.95" customHeight="1" x14ac:dyDescent="0.25">
      <c r="B1000" s="92" t="str">
        <f>IF('Prod 1'!D999="","",'Prod 1'!D999)</f>
        <v/>
      </c>
    </row>
    <row r="1001" spans="2:2" ht="24.95" customHeight="1" x14ac:dyDescent="0.25">
      <c r="B1001" s="92" t="str">
        <f>IF('Prod 1'!D1000="","",'Prod 1'!D1000)</f>
        <v/>
      </c>
    </row>
    <row r="1002" spans="2:2" ht="24.95" customHeight="1" x14ac:dyDescent="0.25">
      <c r="B1002" s="92" t="str">
        <f>IF('Prod 1'!D1001="","",'Prod 1'!D1001)</f>
        <v/>
      </c>
    </row>
    <row r="1003" spans="2:2" ht="24.95" customHeight="1" x14ac:dyDescent="0.25">
      <c r="B1003" s="92" t="str">
        <f>IF('Prod 1'!D1002="","",'Prod 1'!D1002)</f>
        <v/>
      </c>
    </row>
    <row r="1004" spans="2:2" ht="24.95" customHeight="1" x14ac:dyDescent="0.25">
      <c r="B1004" s="92" t="str">
        <f>IF('Prod 1'!D1003="","",'Prod 1'!D1003)</f>
        <v/>
      </c>
    </row>
    <row r="1005" spans="2:2" ht="24.95" customHeight="1" x14ac:dyDescent="0.25">
      <c r="B1005" s="92" t="str">
        <f>IF('Prod 1'!D1004="","",'Prod 1'!D1004)</f>
        <v/>
      </c>
    </row>
  </sheetData>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FFC000"/>
  </sheetPr>
  <dimension ref="A1:V1003"/>
  <sheetViews>
    <sheetView showGridLines="0" workbookViewId="0">
      <selection activeCell="A8" sqref="A8"/>
    </sheetView>
  </sheetViews>
  <sheetFormatPr defaultColWidth="20.7109375" defaultRowHeight="24.95" customHeight="1" x14ac:dyDescent="0.25"/>
  <cols>
    <col min="1" max="1" width="6.7109375" style="106" customWidth="1"/>
    <col min="2" max="3" width="20.7109375" style="106"/>
    <col min="4" max="4" width="20.7109375" style="21"/>
    <col min="5" max="8" width="20.7109375" style="106"/>
    <col min="9" max="9" width="5.7109375" style="106" customWidth="1"/>
    <col min="10" max="13" width="20.7109375" style="106"/>
    <col min="14" max="15" width="20.7109375" style="21"/>
    <col min="16" max="16" width="5.7109375" style="21" customWidth="1"/>
    <col min="17" max="16384" width="20.7109375" style="21"/>
  </cols>
  <sheetData>
    <row r="1" spans="1:22" s="22" customFormat="1" ht="24.95" customHeight="1" x14ac:dyDescent="0.25">
      <c r="A1" s="107"/>
      <c r="B1" s="107"/>
      <c r="C1" s="107"/>
      <c r="D1" s="92"/>
      <c r="E1" s="107"/>
      <c r="F1" s="107"/>
      <c r="G1" s="107"/>
      <c r="H1" s="107"/>
      <c r="I1" s="107"/>
      <c r="J1" s="107"/>
      <c r="K1" s="107"/>
      <c r="L1" s="107"/>
      <c r="M1" s="107"/>
    </row>
    <row r="2" spans="1:22" s="24" customFormat="1" ht="24.95" customHeight="1" x14ac:dyDescent="0.25">
      <c r="A2" s="117"/>
      <c r="B2" s="116" t="s">
        <v>0</v>
      </c>
      <c r="C2" s="117"/>
      <c r="D2" s="115"/>
      <c r="E2" s="117"/>
      <c r="F2" s="117"/>
      <c r="G2" s="117"/>
      <c r="H2" s="117"/>
      <c r="I2" s="117"/>
      <c r="J2" s="117"/>
      <c r="K2" s="117"/>
      <c r="L2" s="117"/>
      <c r="M2" s="117"/>
    </row>
    <row r="4" spans="1:22" ht="24.95" customHeight="1" x14ac:dyDescent="0.25">
      <c r="B4" s="119">
        <f>E4</f>
        <v>800.00000001000001</v>
      </c>
      <c r="C4" s="2">
        <v>1E-8</v>
      </c>
      <c r="D4" s="92" t="str">
        <f>IF(DespF!D7="","",DespF!D7)</f>
        <v>Mensalidade Água</v>
      </c>
      <c r="E4" s="90">
        <f>IF(DespF!E7="","",DespF!E7+'BH (2)'!C4)</f>
        <v>800.00000001000001</v>
      </c>
      <c r="F4" s="90">
        <f t="shared" ref="F4:F9" si="0">IFERROR(IF(E4="","",LARGE($E$4:$E$503,I4)),0)</f>
        <v>2000.00000006</v>
      </c>
      <c r="G4" s="92" t="str">
        <f>IFERROR(VLOOKUP(F4,$B$4:$D$503,3,0),"")</f>
        <v>Aluguél</v>
      </c>
      <c r="H4" s="119">
        <f>F4</f>
        <v>2000.00000006</v>
      </c>
      <c r="I4" s="106">
        <v>1</v>
      </c>
      <c r="J4" s="119">
        <f>L4</f>
        <v>114.46000001100001</v>
      </c>
      <c r="K4" s="92" t="str">
        <f>IF('Prod 1'!D5="","",'Prod 1'!D5)</f>
        <v>Produto A</v>
      </c>
      <c r="L4" s="119">
        <f>IF('Prod 1'!I5="","",'Prod 1'!I5+'BH (2)'!C4)</f>
        <v>114.46000001100001</v>
      </c>
      <c r="M4" s="90">
        <f>IFERROR(IF(J4="","",LARGE($L$4:$L$503,I4)),0)</f>
        <v>230.00000003299999</v>
      </c>
      <c r="N4" s="92" t="str">
        <f>IFERROR(VLOOKUP(M4,$J$4:$K$503,2,0),"")</f>
        <v>Produto C</v>
      </c>
      <c r="O4" s="90">
        <f>M4</f>
        <v>230.00000003299999</v>
      </c>
      <c r="Q4" s="119">
        <f>S4</f>
        <v>170.00000001000001</v>
      </c>
      <c r="R4" s="92" t="str">
        <f>IF('Prod 1'!D5="","",'Prod 1'!D5)</f>
        <v>Produto A</v>
      </c>
      <c r="S4" s="119">
        <f>IF('Prod 1'!E5="","",'Prod 1'!E5+'BH (2)'!C4)</f>
        <v>170.00000001000001</v>
      </c>
      <c r="T4" s="90">
        <f>IFERROR(IF(Q4="","",LARGE($S$4:$S$503,I4)),0)</f>
        <v>480.00000003999997</v>
      </c>
      <c r="U4" s="92" t="str">
        <f>IFERROR(VLOOKUP(T4,$Q$4:$R$503,2,0),"")</f>
        <v>Produto D</v>
      </c>
      <c r="V4" s="90">
        <f>T4</f>
        <v>480.00000003999997</v>
      </c>
    </row>
    <row r="5" spans="1:22" ht="24.95" customHeight="1" x14ac:dyDescent="0.25">
      <c r="B5" s="119">
        <f t="shared" ref="B5:B68" si="1">E5</f>
        <v>1000.00000002</v>
      </c>
      <c r="C5" s="2">
        <v>2E-8</v>
      </c>
      <c r="D5" s="92" t="str">
        <f>IF(DespF!D8="","",DespF!D8)</f>
        <v>Mensalidade Energia</v>
      </c>
      <c r="E5" s="90">
        <f>IF(DespF!E8="","",DespF!E8+'BH (2)'!C5)</f>
        <v>1000.00000002</v>
      </c>
      <c r="F5" s="90">
        <f t="shared" si="0"/>
        <v>1000.00000002</v>
      </c>
      <c r="G5" s="92" t="str">
        <f t="shared" ref="G5:G9" si="2">IFERROR(VLOOKUP(F5,$B$4:$D$503,3,0),"")</f>
        <v>Mensalidade Energia</v>
      </c>
      <c r="H5" s="119">
        <f t="shared" ref="H5:H9" si="3">F5</f>
        <v>1000.00000002</v>
      </c>
      <c r="I5" s="106">
        <v>2</v>
      </c>
      <c r="J5" s="119">
        <f t="shared" ref="J5:J68" si="4">L5</f>
        <v>134.50000002199999</v>
      </c>
      <c r="K5" s="92" t="str">
        <f>IF('Prod 1'!D6="","",'Prod 1'!D6)</f>
        <v>Produto B</v>
      </c>
      <c r="L5" s="119">
        <f>IF('Prod 1'!I6="","",'Prod 1'!I6+'BH (2)'!C5)</f>
        <v>134.50000002199999</v>
      </c>
      <c r="M5" s="90">
        <f t="shared" ref="M5:M8" si="5">IFERROR(IF(J5="","",LARGE($L$4:$L$503,I5)),0)</f>
        <v>188.00000004399999</v>
      </c>
      <c r="N5" s="92" t="str">
        <f t="shared" ref="N5:N8" si="6">IFERROR(VLOOKUP(M5,$J$4:$K$503,2,0),"")</f>
        <v>Produto D</v>
      </c>
      <c r="O5" s="90">
        <f t="shared" ref="O5:O8" si="7">M5</f>
        <v>188.00000004399999</v>
      </c>
      <c r="Q5" s="119">
        <f t="shared" ref="Q5:Q68" si="8">S5</f>
        <v>250.00000001999999</v>
      </c>
      <c r="R5" s="92" t="str">
        <f>IF('Prod 1'!D6="","",'Prod 1'!D6)</f>
        <v>Produto B</v>
      </c>
      <c r="S5" s="119">
        <f>IF('Prod 1'!E6="","",'Prod 1'!E6+'BH (2)'!C5)</f>
        <v>250.00000001999999</v>
      </c>
      <c r="T5" s="90">
        <f t="shared" ref="T5:T8" si="9">IFERROR(IF(Q5="","",LARGE($S$4:$S$503,I5)),0)</f>
        <v>450.00000004999998</v>
      </c>
      <c r="U5" s="92" t="str">
        <f t="shared" ref="U5:U8" si="10">IFERROR(VLOOKUP(T5,$Q$4:$R$503,2,0),"")</f>
        <v>Produto E</v>
      </c>
      <c r="V5" s="90">
        <f t="shared" ref="V5:V8" si="11">T5</f>
        <v>450.00000004999998</v>
      </c>
    </row>
    <row r="6" spans="1:22" ht="24.95" customHeight="1" x14ac:dyDescent="0.25">
      <c r="B6" s="119">
        <f t="shared" si="1"/>
        <v>700.00000003000002</v>
      </c>
      <c r="C6" s="2">
        <v>2.9999999999999997E-8</v>
      </c>
      <c r="D6" s="92" t="str">
        <f>IF(DespF!D9="","",DespF!D9)</f>
        <v>Mensalidade Telefone</v>
      </c>
      <c r="E6" s="90">
        <f>IF(DespF!E9="","",DespF!E9+'BH (2)'!C6)</f>
        <v>700.00000003000002</v>
      </c>
      <c r="F6" s="90">
        <f t="shared" si="0"/>
        <v>800.00000005000004</v>
      </c>
      <c r="G6" s="92" t="str">
        <f t="shared" si="2"/>
        <v>Mensalidade Servidor</v>
      </c>
      <c r="H6" s="119">
        <f t="shared" si="3"/>
        <v>800.00000005000004</v>
      </c>
      <c r="I6" s="106">
        <v>3</v>
      </c>
      <c r="J6" s="119">
        <f t="shared" si="4"/>
        <v>230.00000003299999</v>
      </c>
      <c r="K6" s="92" t="str">
        <f>IF('Prod 1'!D7="","",'Prod 1'!D7)</f>
        <v>Produto C</v>
      </c>
      <c r="L6" s="119">
        <f>IF('Prod 1'!I7="","",'Prod 1'!I7+'BH (2)'!C6)</f>
        <v>230.00000003299999</v>
      </c>
      <c r="M6" s="90">
        <f t="shared" si="5"/>
        <v>134.50000002199999</v>
      </c>
      <c r="N6" s="92" t="str">
        <f t="shared" si="6"/>
        <v>Produto B</v>
      </c>
      <c r="O6" s="90">
        <f t="shared" si="7"/>
        <v>134.50000002199999</v>
      </c>
      <c r="Q6" s="119">
        <f t="shared" si="8"/>
        <v>350.00000003000002</v>
      </c>
      <c r="R6" s="92" t="str">
        <f>IF('Prod 1'!D7="","",'Prod 1'!D7)</f>
        <v>Produto C</v>
      </c>
      <c r="S6" s="119">
        <f>IF('Prod 1'!E7="","",'Prod 1'!E7+'BH (2)'!C6)</f>
        <v>350.00000003000002</v>
      </c>
      <c r="T6" s="90">
        <f t="shared" si="9"/>
        <v>350.00000003000002</v>
      </c>
      <c r="U6" s="92" t="str">
        <f t="shared" si="10"/>
        <v>Produto C</v>
      </c>
      <c r="V6" s="90">
        <f t="shared" si="11"/>
        <v>350.00000003000002</v>
      </c>
    </row>
    <row r="7" spans="1:22" ht="24.95" customHeight="1" x14ac:dyDescent="0.25">
      <c r="B7" s="119">
        <f t="shared" si="1"/>
        <v>300.00000003999997</v>
      </c>
      <c r="C7" s="2">
        <v>4.0000000000000001E-8</v>
      </c>
      <c r="D7" s="92" t="str">
        <f>IF(DespF!D10="","",DespF!D10)</f>
        <v>Mensalidade Internet</v>
      </c>
      <c r="E7" s="90">
        <f>IF(DespF!E10="","",DespF!E10+'BH (2)'!C7)</f>
        <v>300.00000003999997</v>
      </c>
      <c r="F7" s="90">
        <f t="shared" si="0"/>
        <v>800.00000001000001</v>
      </c>
      <c r="G7" s="92" t="str">
        <f t="shared" si="2"/>
        <v>Mensalidade Água</v>
      </c>
      <c r="H7" s="119">
        <f t="shared" si="3"/>
        <v>800.00000001000001</v>
      </c>
      <c r="I7" s="106">
        <v>4</v>
      </c>
      <c r="J7" s="119">
        <f t="shared" si="4"/>
        <v>188.00000004399999</v>
      </c>
      <c r="K7" s="92" t="str">
        <f>IF('Prod 1'!D8="","",'Prod 1'!D8)</f>
        <v>Produto D</v>
      </c>
      <c r="L7" s="119">
        <f>IF('Prod 1'!I8="","",'Prod 1'!I8+'BH (2)'!C7)</f>
        <v>188.00000004399999</v>
      </c>
      <c r="M7" s="90">
        <f t="shared" si="5"/>
        <v>114.46000001100001</v>
      </c>
      <c r="N7" s="92" t="str">
        <f t="shared" si="6"/>
        <v>Produto A</v>
      </c>
      <c r="O7" s="90">
        <f t="shared" si="7"/>
        <v>114.46000001100001</v>
      </c>
      <c r="Q7" s="119">
        <f t="shared" si="8"/>
        <v>480.00000003999997</v>
      </c>
      <c r="R7" s="92" t="str">
        <f>IF('Prod 1'!D8="","",'Prod 1'!D8)</f>
        <v>Produto D</v>
      </c>
      <c r="S7" s="119">
        <f>IF('Prod 1'!E8="","",'Prod 1'!E8+'BH (2)'!C7)</f>
        <v>480.00000003999997</v>
      </c>
      <c r="T7" s="90">
        <f t="shared" si="9"/>
        <v>250.00000001999999</v>
      </c>
      <c r="U7" s="92" t="str">
        <f t="shared" si="10"/>
        <v>Produto B</v>
      </c>
      <c r="V7" s="90">
        <f t="shared" si="11"/>
        <v>250.00000001999999</v>
      </c>
    </row>
    <row r="8" spans="1:22" ht="24.95" customHeight="1" x14ac:dyDescent="0.25">
      <c r="B8" s="119">
        <f t="shared" si="1"/>
        <v>800.00000005000004</v>
      </c>
      <c r="C8" s="2">
        <v>4.9999999999999998E-8</v>
      </c>
      <c r="D8" s="92" t="str">
        <f>IF(DespF!D11="","",DespF!D11)</f>
        <v>Mensalidade Servidor</v>
      </c>
      <c r="E8" s="90">
        <f>IF(DespF!E11="","",DespF!E11+'BH (2)'!C8)</f>
        <v>800.00000005000004</v>
      </c>
      <c r="F8" s="90">
        <f t="shared" si="0"/>
        <v>700.00000003000002</v>
      </c>
      <c r="G8" s="92" t="str">
        <f t="shared" si="2"/>
        <v>Mensalidade Telefone</v>
      </c>
      <c r="H8" s="119">
        <f t="shared" si="3"/>
        <v>700.00000003000002</v>
      </c>
      <c r="I8" s="106">
        <v>5</v>
      </c>
      <c r="J8" s="119">
        <f t="shared" si="4"/>
        <v>100.000000055</v>
      </c>
      <c r="K8" s="92" t="str">
        <f>IF('Prod 1'!D9="","",'Prod 1'!D9)</f>
        <v>Produto E</v>
      </c>
      <c r="L8" s="119">
        <f>IF('Prod 1'!I9="","",'Prod 1'!I9+'BH (2)'!C8)</f>
        <v>100.000000055</v>
      </c>
      <c r="M8" s="90">
        <f t="shared" si="5"/>
        <v>100.000000055</v>
      </c>
      <c r="N8" s="92" t="str">
        <f t="shared" si="6"/>
        <v>Produto E</v>
      </c>
      <c r="O8" s="90">
        <f t="shared" si="7"/>
        <v>100.000000055</v>
      </c>
      <c r="Q8" s="119">
        <f t="shared" si="8"/>
        <v>450.00000004999998</v>
      </c>
      <c r="R8" s="92" t="str">
        <f>IF('Prod 1'!D9="","",'Prod 1'!D9)</f>
        <v>Produto E</v>
      </c>
      <c r="S8" s="119">
        <f>IF('Prod 1'!E9="","",'Prod 1'!E9+'BH (2)'!C8)</f>
        <v>450.00000004999998</v>
      </c>
      <c r="T8" s="90">
        <f t="shared" si="9"/>
        <v>170.00000001000001</v>
      </c>
      <c r="U8" s="92" t="str">
        <f t="shared" si="10"/>
        <v>Produto A</v>
      </c>
      <c r="V8" s="90">
        <f t="shared" si="11"/>
        <v>170.00000001000001</v>
      </c>
    </row>
    <row r="9" spans="1:22" ht="24.95" customHeight="1" x14ac:dyDescent="0.25">
      <c r="B9" s="119">
        <f t="shared" si="1"/>
        <v>2000.00000006</v>
      </c>
      <c r="C9" s="2">
        <v>5.9999999999999995E-8</v>
      </c>
      <c r="D9" s="92" t="str">
        <f>IF(DespF!D12="","",DespF!D12)</f>
        <v>Aluguél</v>
      </c>
      <c r="E9" s="90">
        <f>IF(DespF!E12="","",DespF!E12+'BH (2)'!C9)</f>
        <v>2000.00000006</v>
      </c>
      <c r="F9" s="90">
        <f t="shared" si="0"/>
        <v>300.00000003999997</v>
      </c>
      <c r="G9" s="92" t="str">
        <f t="shared" si="2"/>
        <v>Mensalidade Internet</v>
      </c>
      <c r="H9" s="119">
        <f t="shared" si="3"/>
        <v>300.00000003999997</v>
      </c>
      <c r="I9" s="106">
        <v>6</v>
      </c>
      <c r="J9" s="119" t="str">
        <f t="shared" si="4"/>
        <v/>
      </c>
      <c r="K9" s="92" t="str">
        <f>IF('Prod 1'!D10="","",'Prod 1'!D10)</f>
        <v/>
      </c>
      <c r="L9" s="119" t="str">
        <f>IF('Prod 1'!I10="","",'Prod 1'!I10+'BH (2)'!C9)</f>
        <v/>
      </c>
      <c r="M9" s="59"/>
      <c r="N9" s="91"/>
      <c r="Q9" s="119" t="str">
        <f t="shared" si="8"/>
        <v/>
      </c>
      <c r="R9" s="92" t="str">
        <f>IF('Prod 1'!D10="","",'Prod 1'!D10)</f>
        <v/>
      </c>
      <c r="S9" s="119" t="str">
        <f>IF('Prod 1'!E10="","",'Prod 1'!E10+'BH (2)'!C9)</f>
        <v/>
      </c>
      <c r="T9" s="59"/>
      <c r="U9" s="91"/>
    </row>
    <row r="10" spans="1:22" ht="24.95" customHeight="1" x14ac:dyDescent="0.25">
      <c r="B10" s="119" t="str">
        <f t="shared" si="1"/>
        <v/>
      </c>
      <c r="C10" s="2">
        <v>7.0000000000000005E-8</v>
      </c>
      <c r="D10" s="92" t="str">
        <f>IF(DespF!D13="","",DespF!D13)</f>
        <v/>
      </c>
      <c r="E10" s="90" t="str">
        <f>IF(DespF!E13="","",DespF!E13+'BH (2)'!C10)</f>
        <v/>
      </c>
      <c r="F10" s="59"/>
      <c r="G10" s="21"/>
      <c r="I10" s="106">
        <v>7</v>
      </c>
      <c r="J10" s="119" t="str">
        <f t="shared" si="4"/>
        <v/>
      </c>
      <c r="K10" s="92" t="str">
        <f>IF('Prod 1'!D11="","",'Prod 1'!D11)</f>
        <v/>
      </c>
      <c r="L10" s="119" t="str">
        <f>IF('Prod 1'!I11="","",'Prod 1'!I11+'BH (2)'!C10)</f>
        <v/>
      </c>
      <c r="M10" s="59"/>
      <c r="N10" s="91"/>
      <c r="Q10" s="119" t="str">
        <f t="shared" si="8"/>
        <v/>
      </c>
      <c r="R10" s="92" t="str">
        <f>IF('Prod 1'!D11="","",'Prod 1'!D11)</f>
        <v/>
      </c>
      <c r="S10" s="119" t="str">
        <f>IF('Prod 1'!E11="","",'Prod 1'!E11+'BH (2)'!C10)</f>
        <v/>
      </c>
      <c r="T10" s="59"/>
      <c r="U10" s="91"/>
    </row>
    <row r="11" spans="1:22" ht="24.95" customHeight="1" x14ac:dyDescent="0.25">
      <c r="B11" s="119" t="str">
        <f t="shared" si="1"/>
        <v/>
      </c>
      <c r="C11" s="2">
        <v>8.0000000000000002E-8</v>
      </c>
      <c r="D11" s="92" t="str">
        <f>IF(DespF!D14="","",DespF!D14)</f>
        <v/>
      </c>
      <c r="E11" s="90" t="str">
        <f>IF(DespF!E14="","",DespF!E14+'BH (2)'!C11)</f>
        <v/>
      </c>
      <c r="F11" s="59"/>
      <c r="G11" s="21"/>
      <c r="I11" s="106">
        <v>8</v>
      </c>
      <c r="J11" s="119" t="str">
        <f t="shared" si="4"/>
        <v/>
      </c>
      <c r="K11" s="92" t="str">
        <f>IF('Prod 1'!D12="","",'Prod 1'!D12)</f>
        <v/>
      </c>
      <c r="L11" s="119" t="str">
        <f>IF('Prod 1'!I12="","",'Prod 1'!I12+'BH (2)'!C11)</f>
        <v/>
      </c>
      <c r="M11" s="59"/>
      <c r="N11" s="91"/>
      <c r="Q11" s="119" t="str">
        <f t="shared" si="8"/>
        <v/>
      </c>
      <c r="R11" s="92" t="str">
        <f>IF('Prod 1'!D12="","",'Prod 1'!D12)</f>
        <v/>
      </c>
      <c r="S11" s="119" t="str">
        <f>IF('Prod 1'!E12="","",'Prod 1'!E12+'BH (2)'!C11)</f>
        <v/>
      </c>
      <c r="T11" s="59"/>
      <c r="U11" s="91"/>
    </row>
    <row r="12" spans="1:22" ht="24.95" customHeight="1" x14ac:dyDescent="0.25">
      <c r="B12" s="119" t="str">
        <f t="shared" si="1"/>
        <v/>
      </c>
      <c r="C12" s="2">
        <v>8.9999999999999999E-8</v>
      </c>
      <c r="D12" s="92" t="str">
        <f>IF(DespF!D15="","",DespF!D15)</f>
        <v/>
      </c>
      <c r="E12" s="90" t="str">
        <f>IF(DespF!E15="","",DespF!E15+'BH (2)'!C12)</f>
        <v/>
      </c>
      <c r="F12" s="59"/>
      <c r="G12" s="21"/>
      <c r="I12" s="106">
        <v>9</v>
      </c>
      <c r="J12" s="119" t="str">
        <f t="shared" si="4"/>
        <v/>
      </c>
      <c r="K12" s="92" t="str">
        <f>IF('Prod 1'!D13="","",'Prod 1'!D13)</f>
        <v/>
      </c>
      <c r="L12" s="119" t="str">
        <f>IF('Prod 1'!I13="","",'Prod 1'!I13+'BH (2)'!C12)</f>
        <v/>
      </c>
      <c r="M12" s="59"/>
      <c r="N12" s="91"/>
      <c r="Q12" s="119" t="str">
        <f t="shared" si="8"/>
        <v/>
      </c>
      <c r="R12" s="92" t="str">
        <f>IF('Prod 1'!D13="","",'Prod 1'!D13)</f>
        <v/>
      </c>
      <c r="S12" s="119" t="str">
        <f>IF('Prod 1'!E13="","",'Prod 1'!E13+'BH (2)'!C12)</f>
        <v/>
      </c>
      <c r="T12" s="59"/>
      <c r="U12" s="91"/>
    </row>
    <row r="13" spans="1:22" ht="24.95" customHeight="1" x14ac:dyDescent="0.25">
      <c r="B13" s="119" t="str">
        <f t="shared" si="1"/>
        <v/>
      </c>
      <c r="C13" s="2">
        <v>9.9999999999999995E-8</v>
      </c>
      <c r="D13" s="92" t="str">
        <f>IF(DespF!D16="","",DespF!D16)</f>
        <v/>
      </c>
      <c r="E13" s="90" t="str">
        <f>IF(DespF!E16="","",DespF!E16+'BH (2)'!C13)</f>
        <v/>
      </c>
      <c r="F13" s="59"/>
      <c r="G13" s="21"/>
      <c r="I13" s="106">
        <v>10</v>
      </c>
      <c r="J13" s="119" t="str">
        <f t="shared" si="4"/>
        <v/>
      </c>
      <c r="K13" s="92" t="str">
        <f>IF('Prod 1'!D14="","",'Prod 1'!D14)</f>
        <v/>
      </c>
      <c r="L13" s="119" t="str">
        <f>IF('Prod 1'!I14="","",'Prod 1'!I14+'BH (2)'!C13)</f>
        <v/>
      </c>
      <c r="M13" s="59"/>
      <c r="N13" s="91"/>
      <c r="Q13" s="119" t="str">
        <f t="shared" si="8"/>
        <v/>
      </c>
      <c r="R13" s="92" t="str">
        <f>IF('Prod 1'!D14="","",'Prod 1'!D14)</f>
        <v/>
      </c>
      <c r="S13" s="119" t="str">
        <f>IF('Prod 1'!E14="","",'Prod 1'!E14+'BH (2)'!C13)</f>
        <v/>
      </c>
      <c r="T13" s="59"/>
      <c r="U13" s="91"/>
    </row>
    <row r="14" spans="1:22" ht="24.95" customHeight="1" x14ac:dyDescent="0.25">
      <c r="B14" s="119" t="str">
        <f t="shared" si="1"/>
        <v/>
      </c>
      <c r="C14" s="2">
        <v>1.1000000000000001E-7</v>
      </c>
      <c r="D14" s="92" t="str">
        <f>IF(DespF!D17="","",DespF!D17)</f>
        <v/>
      </c>
      <c r="E14" s="90" t="str">
        <f>IF(DespF!E17="","",DespF!E17+'BH (2)'!C14)</f>
        <v/>
      </c>
      <c r="F14" s="59"/>
      <c r="G14" s="21"/>
      <c r="I14" s="106">
        <v>11</v>
      </c>
      <c r="J14" s="119" t="str">
        <f t="shared" si="4"/>
        <v/>
      </c>
      <c r="K14" s="92" t="str">
        <f>IF('Prod 1'!D15="","",'Prod 1'!D15)</f>
        <v/>
      </c>
      <c r="L14" s="119" t="str">
        <f>IF('Prod 1'!I15="","",'Prod 1'!I15+'BH (2)'!C14)</f>
        <v/>
      </c>
      <c r="M14" s="59"/>
      <c r="N14" s="91"/>
      <c r="Q14" s="119" t="str">
        <f t="shared" si="8"/>
        <v/>
      </c>
      <c r="R14" s="92" t="str">
        <f>IF('Prod 1'!D15="","",'Prod 1'!D15)</f>
        <v/>
      </c>
      <c r="S14" s="119" t="str">
        <f>IF('Prod 1'!E15="","",'Prod 1'!E15+'BH (2)'!C14)</f>
        <v/>
      </c>
      <c r="T14" s="59"/>
      <c r="U14" s="91"/>
    </row>
    <row r="15" spans="1:22" ht="24.95" customHeight="1" x14ac:dyDescent="0.25">
      <c r="B15" s="119" t="str">
        <f t="shared" si="1"/>
        <v/>
      </c>
      <c r="C15" s="2">
        <v>1.1999999999999999E-7</v>
      </c>
      <c r="D15" s="92" t="str">
        <f>IF(DespF!D18="","",DespF!D18)</f>
        <v/>
      </c>
      <c r="E15" s="90" t="str">
        <f>IF(DespF!E18="","",DespF!E18+'BH (2)'!C15)</f>
        <v/>
      </c>
      <c r="F15" s="59"/>
      <c r="G15" s="21"/>
      <c r="I15" s="106">
        <v>12</v>
      </c>
      <c r="J15" s="119" t="str">
        <f t="shared" si="4"/>
        <v/>
      </c>
      <c r="K15" s="92" t="str">
        <f>IF('Prod 1'!D16="","",'Prod 1'!D16)</f>
        <v/>
      </c>
      <c r="L15" s="119" t="str">
        <f>IF('Prod 1'!I16="","",'Prod 1'!I16+'BH (2)'!C15)</f>
        <v/>
      </c>
      <c r="M15" s="59"/>
      <c r="N15" s="91"/>
      <c r="Q15" s="119" t="str">
        <f t="shared" si="8"/>
        <v/>
      </c>
      <c r="R15" s="92" t="str">
        <f>IF('Prod 1'!D16="","",'Prod 1'!D16)</f>
        <v/>
      </c>
      <c r="S15" s="119" t="str">
        <f>IF('Prod 1'!E16="","",'Prod 1'!E16+'BH (2)'!C15)</f>
        <v/>
      </c>
      <c r="T15" s="59"/>
      <c r="U15" s="91"/>
    </row>
    <row r="16" spans="1:22" ht="24.95" customHeight="1" x14ac:dyDescent="0.25">
      <c r="B16" s="119" t="str">
        <f t="shared" si="1"/>
        <v/>
      </c>
      <c r="C16" s="2">
        <v>1.3E-7</v>
      </c>
      <c r="D16" s="92" t="str">
        <f>IF(DespF!D19="","",DespF!D19)</f>
        <v/>
      </c>
      <c r="E16" s="90" t="str">
        <f>IF(DespF!E19="","",DespF!E19+'BH (2)'!C16)</f>
        <v/>
      </c>
      <c r="F16" s="59"/>
      <c r="G16" s="21"/>
      <c r="I16" s="106">
        <v>13</v>
      </c>
      <c r="J16" s="119" t="str">
        <f t="shared" si="4"/>
        <v/>
      </c>
      <c r="K16" s="92" t="str">
        <f>IF('Prod 1'!D17="","",'Prod 1'!D17)</f>
        <v/>
      </c>
      <c r="L16" s="119" t="str">
        <f>IF('Prod 1'!I17="","",'Prod 1'!I17+'BH (2)'!C16)</f>
        <v/>
      </c>
      <c r="M16" s="59"/>
      <c r="N16" s="91"/>
      <c r="Q16" s="119" t="str">
        <f t="shared" si="8"/>
        <v/>
      </c>
      <c r="R16" s="92" t="str">
        <f>IF('Prod 1'!D17="","",'Prod 1'!D17)</f>
        <v/>
      </c>
      <c r="S16" s="119" t="str">
        <f>IF('Prod 1'!E17="","",'Prod 1'!E17+'BH (2)'!C16)</f>
        <v/>
      </c>
      <c r="T16" s="59"/>
      <c r="U16" s="91"/>
    </row>
    <row r="17" spans="2:21" ht="24.95" customHeight="1" x14ac:dyDescent="0.25">
      <c r="B17" s="119" t="str">
        <f t="shared" si="1"/>
        <v/>
      </c>
      <c r="C17" s="2">
        <v>1.4000000000000001E-7</v>
      </c>
      <c r="D17" s="92" t="str">
        <f>IF(DespF!D20="","",DespF!D20)</f>
        <v/>
      </c>
      <c r="E17" s="90" t="str">
        <f>IF(DespF!E20="","",DespF!E20+'BH (2)'!C17)</f>
        <v/>
      </c>
      <c r="F17" s="59"/>
      <c r="G17" s="21"/>
      <c r="I17" s="106">
        <v>14</v>
      </c>
      <c r="J17" s="119" t="str">
        <f t="shared" si="4"/>
        <v/>
      </c>
      <c r="K17" s="92" t="str">
        <f>IF('Prod 1'!D18="","",'Prod 1'!D18)</f>
        <v/>
      </c>
      <c r="L17" s="119" t="str">
        <f>IF('Prod 1'!I18="","",'Prod 1'!I18+'BH (2)'!C17)</f>
        <v/>
      </c>
      <c r="M17" s="59"/>
      <c r="N17" s="91"/>
      <c r="Q17" s="119" t="str">
        <f t="shared" si="8"/>
        <v/>
      </c>
      <c r="R17" s="92" t="str">
        <f>IF('Prod 1'!D18="","",'Prod 1'!D18)</f>
        <v/>
      </c>
      <c r="S17" s="119" t="str">
        <f>IF('Prod 1'!E18="","",'Prod 1'!E18+'BH (2)'!C17)</f>
        <v/>
      </c>
      <c r="T17" s="59"/>
      <c r="U17" s="91"/>
    </row>
    <row r="18" spans="2:21" ht="24.95" customHeight="1" x14ac:dyDescent="0.25">
      <c r="B18" s="119" t="str">
        <f t="shared" si="1"/>
        <v/>
      </c>
      <c r="C18" s="2">
        <v>1.4999999999999999E-7</v>
      </c>
      <c r="D18" s="92" t="str">
        <f>IF(DespF!D21="","",DespF!D21)</f>
        <v/>
      </c>
      <c r="E18" s="90" t="str">
        <f>IF(DespF!E21="","",DespF!E21+'BH (2)'!C18)</f>
        <v/>
      </c>
      <c r="F18" s="59"/>
      <c r="G18" s="21"/>
      <c r="I18" s="106">
        <v>15</v>
      </c>
      <c r="J18" s="119" t="str">
        <f t="shared" si="4"/>
        <v/>
      </c>
      <c r="K18" s="92" t="str">
        <f>IF('Prod 1'!D19="","",'Prod 1'!D19)</f>
        <v/>
      </c>
      <c r="L18" s="119" t="str">
        <f>IF('Prod 1'!I19="","",'Prod 1'!I19+'BH (2)'!C18)</f>
        <v/>
      </c>
      <c r="M18" s="59"/>
      <c r="N18" s="91"/>
      <c r="Q18" s="119" t="str">
        <f t="shared" si="8"/>
        <v/>
      </c>
      <c r="R18" s="92" t="str">
        <f>IF('Prod 1'!D19="","",'Prod 1'!D19)</f>
        <v/>
      </c>
      <c r="S18" s="119" t="str">
        <f>IF('Prod 1'!E19="","",'Prod 1'!E19+'BH (2)'!C18)</f>
        <v/>
      </c>
      <c r="T18" s="59"/>
      <c r="U18" s="91"/>
    </row>
    <row r="19" spans="2:21" ht="24.95" customHeight="1" x14ac:dyDescent="0.25">
      <c r="B19" s="119" t="str">
        <f t="shared" si="1"/>
        <v/>
      </c>
      <c r="C19" s="2">
        <v>1.6E-7</v>
      </c>
      <c r="D19" s="92" t="str">
        <f>IF(DespF!D22="","",DespF!D22)</f>
        <v/>
      </c>
      <c r="E19" s="90" t="str">
        <f>IF(DespF!E22="","",DespF!E22+'BH (2)'!C19)</f>
        <v/>
      </c>
      <c r="F19" s="59"/>
      <c r="G19" s="21"/>
      <c r="I19" s="106">
        <v>16</v>
      </c>
      <c r="J19" s="119" t="str">
        <f t="shared" si="4"/>
        <v/>
      </c>
      <c r="K19" s="92" t="str">
        <f>IF('Prod 1'!D20="","",'Prod 1'!D20)</f>
        <v/>
      </c>
      <c r="L19" s="119" t="str">
        <f>IF('Prod 1'!I20="","",'Prod 1'!I20+'BH (2)'!C19)</f>
        <v/>
      </c>
      <c r="M19" s="59"/>
      <c r="N19" s="91"/>
      <c r="Q19" s="119" t="str">
        <f t="shared" si="8"/>
        <v/>
      </c>
      <c r="R19" s="92" t="str">
        <f>IF('Prod 1'!D20="","",'Prod 1'!D20)</f>
        <v/>
      </c>
      <c r="S19" s="119" t="str">
        <f>IF('Prod 1'!E20="","",'Prod 1'!E20+'BH (2)'!C19)</f>
        <v/>
      </c>
      <c r="T19" s="59"/>
      <c r="U19" s="91"/>
    </row>
    <row r="20" spans="2:21" ht="24.95" customHeight="1" x14ac:dyDescent="0.25">
      <c r="B20" s="119" t="str">
        <f t="shared" si="1"/>
        <v/>
      </c>
      <c r="C20" s="2">
        <v>1.6999999999999999E-7</v>
      </c>
      <c r="D20" s="92" t="str">
        <f>IF(DespF!D23="","",DespF!D23)</f>
        <v/>
      </c>
      <c r="E20" s="90" t="str">
        <f>IF(DespF!E23="","",DespF!E23+'BH (2)'!C20)</f>
        <v/>
      </c>
      <c r="F20" s="59"/>
      <c r="G20" s="21"/>
      <c r="I20" s="106">
        <v>17</v>
      </c>
      <c r="J20" s="119" t="str">
        <f t="shared" si="4"/>
        <v/>
      </c>
      <c r="K20" s="92" t="str">
        <f>IF('Prod 1'!D21="","",'Prod 1'!D21)</f>
        <v/>
      </c>
      <c r="L20" s="119" t="str">
        <f>IF('Prod 1'!I21="","",'Prod 1'!I21+'BH (2)'!C20)</f>
        <v/>
      </c>
      <c r="M20" s="59"/>
      <c r="N20" s="91"/>
      <c r="Q20" s="119" t="str">
        <f t="shared" si="8"/>
        <v/>
      </c>
      <c r="R20" s="92" t="str">
        <f>IF('Prod 1'!D21="","",'Prod 1'!D21)</f>
        <v/>
      </c>
      <c r="S20" s="119" t="str">
        <f>IF('Prod 1'!E21="","",'Prod 1'!E21+'BH (2)'!C20)</f>
        <v/>
      </c>
      <c r="T20" s="59"/>
      <c r="U20" s="91"/>
    </row>
    <row r="21" spans="2:21" ht="24.95" customHeight="1" x14ac:dyDescent="0.25">
      <c r="B21" s="119" t="str">
        <f t="shared" si="1"/>
        <v/>
      </c>
      <c r="C21" s="2">
        <v>1.8E-7</v>
      </c>
      <c r="D21" s="92" t="str">
        <f>IF(DespF!D24="","",DespF!D24)</f>
        <v/>
      </c>
      <c r="E21" s="90" t="str">
        <f>IF(DespF!E24="","",DespF!E24+'BH (2)'!C21)</f>
        <v/>
      </c>
      <c r="F21" s="59"/>
      <c r="G21" s="21"/>
      <c r="I21" s="106">
        <v>18</v>
      </c>
      <c r="J21" s="119" t="str">
        <f t="shared" si="4"/>
        <v/>
      </c>
      <c r="K21" s="92" t="str">
        <f>IF('Prod 1'!D22="","",'Prod 1'!D22)</f>
        <v/>
      </c>
      <c r="L21" s="119" t="str">
        <f>IF('Prod 1'!I22="","",'Prod 1'!I22+'BH (2)'!C21)</f>
        <v/>
      </c>
      <c r="M21" s="59"/>
      <c r="N21" s="91"/>
      <c r="Q21" s="119" t="str">
        <f t="shared" si="8"/>
        <v/>
      </c>
      <c r="R21" s="92" t="str">
        <f>IF('Prod 1'!D22="","",'Prod 1'!D22)</f>
        <v/>
      </c>
      <c r="S21" s="119" t="str">
        <f>IF('Prod 1'!E22="","",'Prod 1'!E22+'BH (2)'!C21)</f>
        <v/>
      </c>
      <c r="T21" s="59"/>
      <c r="U21" s="91"/>
    </row>
    <row r="22" spans="2:21" ht="24.95" customHeight="1" x14ac:dyDescent="0.25">
      <c r="B22" s="119" t="str">
        <f t="shared" si="1"/>
        <v/>
      </c>
      <c r="C22" s="2">
        <v>1.9000000000000001E-7</v>
      </c>
      <c r="D22" s="92" t="str">
        <f>IF(DespF!D25="","",DespF!D25)</f>
        <v/>
      </c>
      <c r="E22" s="90" t="str">
        <f>IF(DespF!E25="","",DespF!E25+'BH (2)'!C22)</f>
        <v/>
      </c>
      <c r="F22" s="59"/>
      <c r="G22" s="21"/>
      <c r="I22" s="106">
        <v>19</v>
      </c>
      <c r="J22" s="119" t="str">
        <f t="shared" si="4"/>
        <v/>
      </c>
      <c r="K22" s="92" t="str">
        <f>IF('Prod 1'!D23="","",'Prod 1'!D23)</f>
        <v/>
      </c>
      <c r="L22" s="119" t="str">
        <f>IF('Prod 1'!I23="","",'Prod 1'!I23+'BH (2)'!C22)</f>
        <v/>
      </c>
      <c r="M22" s="59"/>
      <c r="N22" s="91"/>
      <c r="Q22" s="119" t="str">
        <f t="shared" si="8"/>
        <v/>
      </c>
      <c r="R22" s="92" t="str">
        <f>IF('Prod 1'!D23="","",'Prod 1'!D23)</f>
        <v/>
      </c>
      <c r="S22" s="119" t="str">
        <f>IF('Prod 1'!E23="","",'Prod 1'!E23+'BH (2)'!C22)</f>
        <v/>
      </c>
      <c r="T22" s="59"/>
      <c r="U22" s="91"/>
    </row>
    <row r="23" spans="2:21" ht="24.95" customHeight="1" x14ac:dyDescent="0.25">
      <c r="B23" s="119" t="str">
        <f t="shared" si="1"/>
        <v/>
      </c>
      <c r="C23" s="2">
        <v>1.9999999999999999E-7</v>
      </c>
      <c r="D23" s="92" t="str">
        <f>IF(DespF!D26="","",DespF!D26)</f>
        <v/>
      </c>
      <c r="E23" s="90" t="str">
        <f>IF(DespF!E26="","",DespF!E26+'BH (2)'!C23)</f>
        <v/>
      </c>
      <c r="F23" s="59"/>
      <c r="G23" s="21"/>
      <c r="I23" s="106">
        <v>20</v>
      </c>
      <c r="J23" s="119" t="str">
        <f t="shared" si="4"/>
        <v/>
      </c>
      <c r="K23" s="92" t="str">
        <f>IF('Prod 1'!D24="","",'Prod 1'!D24)</f>
        <v/>
      </c>
      <c r="L23" s="119" t="str">
        <f>IF('Prod 1'!I24="","",'Prod 1'!I24+'BH (2)'!C23)</f>
        <v/>
      </c>
      <c r="M23" s="59"/>
      <c r="N23" s="91"/>
      <c r="Q23" s="119" t="str">
        <f t="shared" si="8"/>
        <v/>
      </c>
      <c r="R23" s="92" t="str">
        <f>IF('Prod 1'!D24="","",'Prod 1'!D24)</f>
        <v/>
      </c>
      <c r="S23" s="119" t="str">
        <f>IF('Prod 1'!E24="","",'Prod 1'!E24+'BH (2)'!C23)</f>
        <v/>
      </c>
      <c r="T23" s="59"/>
      <c r="U23" s="91"/>
    </row>
    <row r="24" spans="2:21" ht="24.95" customHeight="1" x14ac:dyDescent="0.25">
      <c r="B24" s="119" t="str">
        <f t="shared" si="1"/>
        <v/>
      </c>
      <c r="C24" s="2">
        <v>2.1E-7</v>
      </c>
      <c r="D24" s="92" t="str">
        <f>IF(DespF!D27="","",DespF!D27)</f>
        <v/>
      </c>
      <c r="E24" s="90" t="str">
        <f>IF(DespF!E27="","",DespF!E27+'BH (2)'!C24)</f>
        <v/>
      </c>
      <c r="F24" s="59"/>
      <c r="G24" s="21"/>
      <c r="I24" s="106">
        <v>21</v>
      </c>
      <c r="J24" s="119" t="str">
        <f t="shared" si="4"/>
        <v/>
      </c>
      <c r="K24" s="92" t="str">
        <f>IF('Prod 1'!D25="","",'Prod 1'!D25)</f>
        <v/>
      </c>
      <c r="L24" s="119" t="str">
        <f>IF('Prod 1'!I25="","",'Prod 1'!I25+'BH (2)'!C24)</f>
        <v/>
      </c>
      <c r="M24" s="59"/>
      <c r="N24" s="91"/>
      <c r="Q24" s="119" t="str">
        <f t="shared" si="8"/>
        <v/>
      </c>
      <c r="R24" s="92" t="str">
        <f>IF('Prod 1'!D25="","",'Prod 1'!D25)</f>
        <v/>
      </c>
      <c r="S24" s="119" t="str">
        <f>IF('Prod 1'!E25="","",'Prod 1'!E25+'BH (2)'!C24)</f>
        <v/>
      </c>
      <c r="T24" s="59"/>
      <c r="U24" s="91"/>
    </row>
    <row r="25" spans="2:21" ht="24.95" customHeight="1" x14ac:dyDescent="0.25">
      <c r="B25" s="119" t="str">
        <f t="shared" si="1"/>
        <v/>
      </c>
      <c r="C25" s="2">
        <v>2.2000000000000001E-7</v>
      </c>
      <c r="D25" s="92" t="str">
        <f>IF(DespF!D28="","",DespF!D28)</f>
        <v/>
      </c>
      <c r="E25" s="90" t="str">
        <f>IF(DespF!E28="","",DespF!E28+'BH (2)'!C25)</f>
        <v/>
      </c>
      <c r="F25" s="59"/>
      <c r="G25" s="21"/>
      <c r="I25" s="106">
        <v>22</v>
      </c>
      <c r="J25" s="119" t="str">
        <f t="shared" si="4"/>
        <v/>
      </c>
      <c r="K25" s="92" t="str">
        <f>IF('Prod 1'!D26="","",'Prod 1'!D26)</f>
        <v/>
      </c>
      <c r="L25" s="119" t="str">
        <f>IF('Prod 1'!I26="","",'Prod 1'!I26+'BH (2)'!C25)</f>
        <v/>
      </c>
      <c r="M25" s="59"/>
      <c r="N25" s="91"/>
      <c r="Q25" s="119" t="str">
        <f t="shared" si="8"/>
        <v/>
      </c>
      <c r="R25" s="92" t="str">
        <f>IF('Prod 1'!D26="","",'Prod 1'!D26)</f>
        <v/>
      </c>
      <c r="S25" s="119" t="str">
        <f>IF('Prod 1'!E26="","",'Prod 1'!E26+'BH (2)'!C25)</f>
        <v/>
      </c>
      <c r="T25" s="59"/>
      <c r="U25" s="91"/>
    </row>
    <row r="26" spans="2:21" ht="24.95" customHeight="1" x14ac:dyDescent="0.25">
      <c r="B26" s="119" t="str">
        <f t="shared" si="1"/>
        <v/>
      </c>
      <c r="C26" s="2">
        <v>2.2999999999999999E-7</v>
      </c>
      <c r="D26" s="92" t="str">
        <f>IF(DespF!D29="","",DespF!D29)</f>
        <v/>
      </c>
      <c r="E26" s="90" t="str">
        <f>IF(DespF!E29="","",DespF!E29+'BH (2)'!C26)</f>
        <v/>
      </c>
      <c r="F26" s="59"/>
      <c r="G26" s="21"/>
      <c r="I26" s="106">
        <v>23</v>
      </c>
      <c r="J26" s="119" t="str">
        <f t="shared" si="4"/>
        <v/>
      </c>
      <c r="K26" s="92" t="str">
        <f>IF('Prod 1'!D27="","",'Prod 1'!D27)</f>
        <v/>
      </c>
      <c r="L26" s="119" t="str">
        <f>IF('Prod 1'!I27="","",'Prod 1'!I27+'BH (2)'!C26)</f>
        <v/>
      </c>
      <c r="M26" s="59"/>
      <c r="N26" s="91"/>
      <c r="Q26" s="119" t="str">
        <f t="shared" si="8"/>
        <v/>
      </c>
      <c r="R26" s="92" t="str">
        <f>IF('Prod 1'!D27="","",'Prod 1'!D27)</f>
        <v/>
      </c>
      <c r="S26" s="119" t="str">
        <f>IF('Prod 1'!E27="","",'Prod 1'!E27+'BH (2)'!C26)</f>
        <v/>
      </c>
      <c r="T26" s="59"/>
      <c r="U26" s="91"/>
    </row>
    <row r="27" spans="2:21" ht="24.95" customHeight="1" x14ac:dyDescent="0.25">
      <c r="B27" s="119" t="str">
        <f t="shared" si="1"/>
        <v/>
      </c>
      <c r="C27" s="2">
        <v>2.3999999999999998E-7</v>
      </c>
      <c r="D27" s="92" t="str">
        <f>IF(DespF!D30="","",DespF!D30)</f>
        <v/>
      </c>
      <c r="E27" s="90" t="str">
        <f>IF(DespF!E30="","",DespF!E30+'BH (2)'!C27)</f>
        <v/>
      </c>
      <c r="F27" s="59"/>
      <c r="G27" s="21"/>
      <c r="I27" s="106">
        <v>24</v>
      </c>
      <c r="J27" s="119" t="str">
        <f t="shared" si="4"/>
        <v/>
      </c>
      <c r="K27" s="92" t="str">
        <f>IF('Prod 1'!D28="","",'Prod 1'!D28)</f>
        <v/>
      </c>
      <c r="L27" s="119" t="str">
        <f>IF('Prod 1'!I28="","",'Prod 1'!I28+'BH (2)'!C27)</f>
        <v/>
      </c>
      <c r="M27" s="59"/>
      <c r="N27" s="91"/>
      <c r="Q27" s="119" t="str">
        <f t="shared" si="8"/>
        <v/>
      </c>
      <c r="R27" s="92" t="str">
        <f>IF('Prod 1'!D28="","",'Prod 1'!D28)</f>
        <v/>
      </c>
      <c r="S27" s="119" t="str">
        <f>IF('Prod 1'!E28="","",'Prod 1'!E28+'BH (2)'!C27)</f>
        <v/>
      </c>
      <c r="T27" s="59"/>
      <c r="U27" s="91"/>
    </row>
    <row r="28" spans="2:21" ht="24.95" customHeight="1" x14ac:dyDescent="0.25">
      <c r="B28" s="119" t="str">
        <f t="shared" si="1"/>
        <v/>
      </c>
      <c r="C28" s="2">
        <v>2.4999999999999999E-7</v>
      </c>
      <c r="D28" s="92" t="str">
        <f>IF(DespF!D31="","",DespF!D31)</f>
        <v/>
      </c>
      <c r="E28" s="90" t="str">
        <f>IF(DespF!E31="","",DespF!E31+'BH (2)'!C28)</f>
        <v/>
      </c>
      <c r="F28" s="59"/>
      <c r="G28" s="21"/>
      <c r="I28" s="106">
        <v>25</v>
      </c>
      <c r="J28" s="119" t="str">
        <f t="shared" si="4"/>
        <v/>
      </c>
      <c r="K28" s="92" t="str">
        <f>IF('Prod 1'!D29="","",'Prod 1'!D29)</f>
        <v/>
      </c>
      <c r="L28" s="119" t="str">
        <f>IF('Prod 1'!I29="","",'Prod 1'!I29+'BH (2)'!C28)</f>
        <v/>
      </c>
      <c r="M28" s="59"/>
      <c r="N28" s="91"/>
      <c r="Q28" s="119" t="str">
        <f t="shared" si="8"/>
        <v/>
      </c>
      <c r="R28" s="92" t="str">
        <f>IF('Prod 1'!D29="","",'Prod 1'!D29)</f>
        <v/>
      </c>
      <c r="S28" s="119" t="str">
        <f>IF('Prod 1'!E29="","",'Prod 1'!E29+'BH (2)'!C28)</f>
        <v/>
      </c>
      <c r="T28" s="59"/>
      <c r="U28" s="91"/>
    </row>
    <row r="29" spans="2:21" ht="24.95" customHeight="1" x14ac:dyDescent="0.25">
      <c r="B29" s="119" t="str">
        <f t="shared" si="1"/>
        <v/>
      </c>
      <c r="C29" s="2">
        <v>2.6E-7</v>
      </c>
      <c r="D29" s="92" t="str">
        <f>IF(DespF!D32="","",DespF!D32)</f>
        <v/>
      </c>
      <c r="E29" s="90" t="str">
        <f>IF(DespF!E32="","",DespF!E32+'BH (2)'!C29)</f>
        <v/>
      </c>
      <c r="F29" s="59"/>
      <c r="G29" s="21"/>
      <c r="I29" s="106">
        <v>26</v>
      </c>
      <c r="J29" s="119" t="str">
        <f t="shared" si="4"/>
        <v/>
      </c>
      <c r="K29" s="92" t="str">
        <f>IF('Prod 1'!D30="","",'Prod 1'!D30)</f>
        <v/>
      </c>
      <c r="L29" s="119" t="str">
        <f>IF('Prod 1'!I30="","",'Prod 1'!I30+'BH (2)'!C29)</f>
        <v/>
      </c>
      <c r="M29" s="59"/>
      <c r="N29" s="91"/>
      <c r="Q29" s="119" t="str">
        <f t="shared" si="8"/>
        <v/>
      </c>
      <c r="R29" s="92" t="str">
        <f>IF('Prod 1'!D30="","",'Prod 1'!D30)</f>
        <v/>
      </c>
      <c r="S29" s="119" t="str">
        <f>IF('Prod 1'!E30="","",'Prod 1'!E30+'BH (2)'!C29)</f>
        <v/>
      </c>
      <c r="T29" s="59"/>
      <c r="U29" s="91"/>
    </row>
    <row r="30" spans="2:21" ht="24.95" customHeight="1" x14ac:dyDescent="0.25">
      <c r="B30" s="119" t="str">
        <f t="shared" si="1"/>
        <v/>
      </c>
      <c r="C30" s="2">
        <v>2.7000000000000001E-7</v>
      </c>
      <c r="D30" s="92" t="str">
        <f>IF(DespF!D33="","",DespF!D33)</f>
        <v/>
      </c>
      <c r="E30" s="90" t="str">
        <f>IF(DespF!E33="","",DespF!E33+'BH (2)'!C30)</f>
        <v/>
      </c>
      <c r="F30" s="59"/>
      <c r="G30" s="21"/>
      <c r="I30" s="106">
        <v>27</v>
      </c>
      <c r="J30" s="119" t="str">
        <f t="shared" si="4"/>
        <v/>
      </c>
      <c r="K30" s="92" t="str">
        <f>IF('Prod 1'!D31="","",'Prod 1'!D31)</f>
        <v/>
      </c>
      <c r="L30" s="119" t="str">
        <f>IF('Prod 1'!I31="","",'Prod 1'!I31+'BH (2)'!C30)</f>
        <v/>
      </c>
      <c r="M30" s="59"/>
      <c r="N30" s="91"/>
      <c r="Q30" s="119" t="str">
        <f t="shared" si="8"/>
        <v/>
      </c>
      <c r="R30" s="92" t="str">
        <f>IF('Prod 1'!D31="","",'Prod 1'!D31)</f>
        <v/>
      </c>
      <c r="S30" s="119" t="str">
        <f>IF('Prod 1'!E31="","",'Prod 1'!E31+'BH (2)'!C30)</f>
        <v/>
      </c>
      <c r="T30" s="59"/>
      <c r="U30" s="91"/>
    </row>
    <row r="31" spans="2:21" ht="24.95" customHeight="1" x14ac:dyDescent="0.25">
      <c r="B31" s="119" t="str">
        <f t="shared" si="1"/>
        <v/>
      </c>
      <c r="C31" s="2">
        <v>2.8000000000000002E-7</v>
      </c>
      <c r="D31" s="92" t="str">
        <f>IF(DespF!D34="","",DespF!D34)</f>
        <v/>
      </c>
      <c r="E31" s="90" t="str">
        <f>IF(DespF!E34="","",DespF!E34+'BH (2)'!C31)</f>
        <v/>
      </c>
      <c r="F31" s="59"/>
      <c r="G31" s="21"/>
      <c r="I31" s="106">
        <v>28</v>
      </c>
      <c r="J31" s="119" t="str">
        <f t="shared" si="4"/>
        <v/>
      </c>
      <c r="K31" s="92" t="str">
        <f>IF('Prod 1'!D32="","",'Prod 1'!D32)</f>
        <v/>
      </c>
      <c r="L31" s="119" t="str">
        <f>IF('Prod 1'!I32="","",'Prod 1'!I32+'BH (2)'!C31)</f>
        <v/>
      </c>
      <c r="M31" s="59"/>
      <c r="N31" s="91"/>
      <c r="Q31" s="119" t="str">
        <f t="shared" si="8"/>
        <v/>
      </c>
      <c r="R31" s="92" t="str">
        <f>IF('Prod 1'!D32="","",'Prod 1'!D32)</f>
        <v/>
      </c>
      <c r="S31" s="119" t="str">
        <f>IF('Prod 1'!E32="","",'Prod 1'!E32+'BH (2)'!C31)</f>
        <v/>
      </c>
      <c r="T31" s="59"/>
      <c r="U31" s="91"/>
    </row>
    <row r="32" spans="2:21" ht="24.95" customHeight="1" x14ac:dyDescent="0.25">
      <c r="B32" s="119" t="str">
        <f t="shared" si="1"/>
        <v/>
      </c>
      <c r="C32" s="2">
        <v>2.8999999999999998E-7</v>
      </c>
      <c r="D32" s="92" t="str">
        <f>IF(DespF!D35="","",DespF!D35)</f>
        <v/>
      </c>
      <c r="E32" s="90" t="str">
        <f>IF(DespF!E35="","",DespF!E35+'BH (2)'!C32)</f>
        <v/>
      </c>
      <c r="F32" s="59"/>
      <c r="G32" s="21"/>
      <c r="I32" s="106">
        <v>29</v>
      </c>
      <c r="J32" s="119" t="str">
        <f t="shared" si="4"/>
        <v/>
      </c>
      <c r="K32" s="92" t="str">
        <f>IF('Prod 1'!D33="","",'Prod 1'!D33)</f>
        <v/>
      </c>
      <c r="L32" s="119" t="str">
        <f>IF('Prod 1'!I33="","",'Prod 1'!I33+'BH (2)'!C32)</f>
        <v/>
      </c>
      <c r="M32" s="59"/>
      <c r="N32" s="91"/>
      <c r="Q32" s="119" t="str">
        <f t="shared" si="8"/>
        <v/>
      </c>
      <c r="R32" s="92" t="str">
        <f>IF('Prod 1'!D33="","",'Prod 1'!D33)</f>
        <v/>
      </c>
      <c r="S32" s="119" t="str">
        <f>IF('Prod 1'!E33="","",'Prod 1'!E33+'BH (2)'!C32)</f>
        <v/>
      </c>
      <c r="T32" s="59"/>
      <c r="U32" s="91"/>
    </row>
    <row r="33" spans="2:21" ht="24.95" customHeight="1" x14ac:dyDescent="0.25">
      <c r="B33" s="119" t="str">
        <f t="shared" si="1"/>
        <v/>
      </c>
      <c r="C33" s="2">
        <v>2.9999999999999999E-7</v>
      </c>
      <c r="D33" s="92" t="str">
        <f>IF(DespF!D36="","",DespF!D36)</f>
        <v/>
      </c>
      <c r="E33" s="90" t="str">
        <f>IF(DespF!E36="","",DespF!E36+'BH (2)'!C33)</f>
        <v/>
      </c>
      <c r="F33" s="59"/>
      <c r="G33" s="21"/>
      <c r="I33" s="106">
        <v>30</v>
      </c>
      <c r="J33" s="119" t="str">
        <f t="shared" si="4"/>
        <v/>
      </c>
      <c r="K33" s="92" t="str">
        <f>IF('Prod 1'!D34="","",'Prod 1'!D34)</f>
        <v/>
      </c>
      <c r="L33" s="119" t="str">
        <f>IF('Prod 1'!I34="","",'Prod 1'!I34+'BH (2)'!C33)</f>
        <v/>
      </c>
      <c r="M33" s="59"/>
      <c r="N33" s="91"/>
      <c r="Q33" s="119" t="str">
        <f t="shared" si="8"/>
        <v/>
      </c>
      <c r="R33" s="92" t="str">
        <f>IF('Prod 1'!D34="","",'Prod 1'!D34)</f>
        <v/>
      </c>
      <c r="S33" s="119" t="str">
        <f>IF('Prod 1'!E34="","",'Prod 1'!E34+'BH (2)'!C33)</f>
        <v/>
      </c>
      <c r="T33" s="59"/>
      <c r="U33" s="91"/>
    </row>
    <row r="34" spans="2:21" ht="24.95" customHeight="1" x14ac:dyDescent="0.25">
      <c r="B34" s="119" t="str">
        <f t="shared" si="1"/>
        <v/>
      </c>
      <c r="C34" s="2">
        <v>3.1E-7</v>
      </c>
      <c r="D34" s="92" t="str">
        <f>IF(DespF!D37="","",DespF!D37)</f>
        <v/>
      </c>
      <c r="E34" s="90" t="str">
        <f>IF(DespF!E37="","",DespF!E37+'BH (2)'!C34)</f>
        <v/>
      </c>
      <c r="F34" s="59"/>
      <c r="G34" s="21"/>
      <c r="I34" s="106">
        <v>31</v>
      </c>
      <c r="J34" s="119" t="str">
        <f t="shared" si="4"/>
        <v/>
      </c>
      <c r="K34" s="92" t="str">
        <f>IF('Prod 1'!D35="","",'Prod 1'!D35)</f>
        <v/>
      </c>
      <c r="L34" s="119" t="str">
        <f>IF('Prod 1'!I35="","",'Prod 1'!I35+'BH (2)'!C34)</f>
        <v/>
      </c>
      <c r="M34" s="59"/>
      <c r="N34" s="91"/>
      <c r="Q34" s="119" t="str">
        <f t="shared" si="8"/>
        <v/>
      </c>
      <c r="R34" s="92" t="str">
        <f>IF('Prod 1'!D35="","",'Prod 1'!D35)</f>
        <v/>
      </c>
      <c r="S34" s="119" t="str">
        <f>IF('Prod 1'!E35="","",'Prod 1'!E35+'BH (2)'!C34)</f>
        <v/>
      </c>
      <c r="T34" s="59"/>
      <c r="U34" s="91"/>
    </row>
    <row r="35" spans="2:21" ht="24.95" customHeight="1" x14ac:dyDescent="0.25">
      <c r="B35" s="119" t="str">
        <f t="shared" si="1"/>
        <v/>
      </c>
      <c r="C35" s="2">
        <v>3.2000000000000001E-7</v>
      </c>
      <c r="D35" s="92" t="str">
        <f>IF(DespF!D38="","",DespF!D38)</f>
        <v/>
      </c>
      <c r="E35" s="90" t="str">
        <f>IF(DespF!E38="","",DespF!E38+'BH (2)'!C35)</f>
        <v/>
      </c>
      <c r="F35" s="59"/>
      <c r="G35" s="21"/>
      <c r="I35" s="106">
        <v>32</v>
      </c>
      <c r="J35" s="119" t="str">
        <f t="shared" si="4"/>
        <v/>
      </c>
      <c r="K35" s="92" t="str">
        <f>IF('Prod 1'!D36="","",'Prod 1'!D36)</f>
        <v/>
      </c>
      <c r="L35" s="119" t="str">
        <f>IF('Prod 1'!I36="","",'Prod 1'!I36+'BH (2)'!C35)</f>
        <v/>
      </c>
      <c r="M35" s="59"/>
      <c r="N35" s="91"/>
      <c r="Q35" s="119" t="str">
        <f t="shared" si="8"/>
        <v/>
      </c>
      <c r="R35" s="92" t="str">
        <f>IF('Prod 1'!D36="","",'Prod 1'!D36)</f>
        <v/>
      </c>
      <c r="S35" s="119" t="str">
        <f>IF('Prod 1'!E36="","",'Prod 1'!E36+'BH (2)'!C35)</f>
        <v/>
      </c>
      <c r="T35" s="59"/>
      <c r="U35" s="91"/>
    </row>
    <row r="36" spans="2:21" ht="24.95" customHeight="1" x14ac:dyDescent="0.25">
      <c r="B36" s="119" t="str">
        <f t="shared" si="1"/>
        <v/>
      </c>
      <c r="C36" s="2">
        <v>3.3000000000000002E-7</v>
      </c>
      <c r="D36" s="92" t="str">
        <f>IF(DespF!D39="","",DespF!D39)</f>
        <v/>
      </c>
      <c r="E36" s="90" t="str">
        <f>IF(DespF!E39="","",DespF!E39+'BH (2)'!C36)</f>
        <v/>
      </c>
      <c r="F36" s="59"/>
      <c r="G36" s="21"/>
      <c r="I36" s="106">
        <v>33</v>
      </c>
      <c r="J36" s="119" t="str">
        <f t="shared" si="4"/>
        <v/>
      </c>
      <c r="K36" s="92" t="str">
        <f>IF('Prod 1'!D37="","",'Prod 1'!D37)</f>
        <v/>
      </c>
      <c r="L36" s="119" t="str">
        <f>IF('Prod 1'!I37="","",'Prod 1'!I37+'BH (2)'!C36)</f>
        <v/>
      </c>
      <c r="M36" s="59"/>
      <c r="N36" s="91"/>
      <c r="Q36" s="119" t="str">
        <f t="shared" si="8"/>
        <v/>
      </c>
      <c r="R36" s="92" t="str">
        <f>IF('Prod 1'!D37="","",'Prod 1'!D37)</f>
        <v/>
      </c>
      <c r="S36" s="119" t="str">
        <f>IF('Prod 1'!E37="","",'Prod 1'!E37+'BH (2)'!C36)</f>
        <v/>
      </c>
      <c r="T36" s="59"/>
      <c r="U36" s="91"/>
    </row>
    <row r="37" spans="2:21" ht="24.95" customHeight="1" x14ac:dyDescent="0.25">
      <c r="B37" s="119" t="str">
        <f t="shared" si="1"/>
        <v/>
      </c>
      <c r="C37" s="2">
        <v>3.3999999999999997E-7</v>
      </c>
      <c r="D37" s="92" t="str">
        <f>IF(DespF!D40="","",DespF!D40)</f>
        <v/>
      </c>
      <c r="E37" s="90" t="str">
        <f>IF(DespF!E40="","",DespF!E40+'BH (2)'!C37)</f>
        <v/>
      </c>
      <c r="F37" s="59"/>
      <c r="G37" s="21"/>
      <c r="I37" s="106">
        <v>34</v>
      </c>
      <c r="J37" s="119" t="str">
        <f t="shared" si="4"/>
        <v/>
      </c>
      <c r="K37" s="92" t="str">
        <f>IF('Prod 1'!D38="","",'Prod 1'!D38)</f>
        <v/>
      </c>
      <c r="L37" s="119" t="str">
        <f>IF('Prod 1'!I38="","",'Prod 1'!I38+'BH (2)'!C37)</f>
        <v/>
      </c>
      <c r="M37" s="59"/>
      <c r="N37" s="91"/>
      <c r="Q37" s="119" t="str">
        <f t="shared" si="8"/>
        <v/>
      </c>
      <c r="R37" s="92" t="str">
        <f>IF('Prod 1'!D38="","",'Prod 1'!D38)</f>
        <v/>
      </c>
      <c r="S37" s="119" t="str">
        <f>IF('Prod 1'!E38="","",'Prod 1'!E38+'BH (2)'!C37)</f>
        <v/>
      </c>
      <c r="T37" s="59"/>
      <c r="U37" s="91"/>
    </row>
    <row r="38" spans="2:21" ht="24.95" customHeight="1" x14ac:dyDescent="0.25">
      <c r="B38" s="119" t="str">
        <f t="shared" si="1"/>
        <v/>
      </c>
      <c r="C38" s="2">
        <v>3.4999999999999998E-7</v>
      </c>
      <c r="D38" s="92" t="str">
        <f>IF(DespF!D41="","",DespF!D41)</f>
        <v/>
      </c>
      <c r="E38" s="90" t="str">
        <f>IF(DespF!E41="","",DespF!E41+'BH (2)'!C38)</f>
        <v/>
      </c>
      <c r="F38" s="59"/>
      <c r="G38" s="21"/>
      <c r="I38" s="106">
        <v>35</v>
      </c>
      <c r="J38" s="119" t="str">
        <f t="shared" si="4"/>
        <v/>
      </c>
      <c r="K38" s="92" t="str">
        <f>IF('Prod 1'!D39="","",'Prod 1'!D39)</f>
        <v/>
      </c>
      <c r="L38" s="119" t="str">
        <f>IF('Prod 1'!I39="","",'Prod 1'!I39+'BH (2)'!C38)</f>
        <v/>
      </c>
      <c r="M38" s="59"/>
      <c r="N38" s="91"/>
      <c r="Q38" s="119" t="str">
        <f t="shared" si="8"/>
        <v/>
      </c>
      <c r="R38" s="92" t="str">
        <f>IF('Prod 1'!D39="","",'Prod 1'!D39)</f>
        <v/>
      </c>
      <c r="S38" s="119" t="str">
        <f>IF('Prod 1'!E39="","",'Prod 1'!E39+'BH (2)'!C38)</f>
        <v/>
      </c>
      <c r="T38" s="59"/>
      <c r="U38" s="91"/>
    </row>
    <row r="39" spans="2:21" ht="24.95" customHeight="1" x14ac:dyDescent="0.25">
      <c r="B39" s="119" t="str">
        <f t="shared" si="1"/>
        <v/>
      </c>
      <c r="C39" s="2">
        <v>3.5999999999999999E-7</v>
      </c>
      <c r="D39" s="92" t="str">
        <f>IF(DespF!D42="","",DespF!D42)</f>
        <v/>
      </c>
      <c r="E39" s="90" t="str">
        <f>IF(DespF!E42="","",DespF!E42+'BH (2)'!C39)</f>
        <v/>
      </c>
      <c r="F39" s="59"/>
      <c r="G39" s="21"/>
      <c r="I39" s="106">
        <v>36</v>
      </c>
      <c r="J39" s="119" t="str">
        <f t="shared" si="4"/>
        <v/>
      </c>
      <c r="K39" s="92" t="str">
        <f>IF('Prod 1'!D40="","",'Prod 1'!D40)</f>
        <v/>
      </c>
      <c r="L39" s="119" t="str">
        <f>IF('Prod 1'!I40="","",'Prod 1'!I40+'BH (2)'!C39)</f>
        <v/>
      </c>
      <c r="M39" s="59"/>
      <c r="N39" s="91"/>
      <c r="Q39" s="119" t="str">
        <f t="shared" si="8"/>
        <v/>
      </c>
      <c r="R39" s="92" t="str">
        <f>IF('Prod 1'!D40="","",'Prod 1'!D40)</f>
        <v/>
      </c>
      <c r="S39" s="119" t="str">
        <f>IF('Prod 1'!E40="","",'Prod 1'!E40+'BH (2)'!C39)</f>
        <v/>
      </c>
      <c r="T39" s="59"/>
      <c r="U39" s="91"/>
    </row>
    <row r="40" spans="2:21" ht="24.95" customHeight="1" x14ac:dyDescent="0.25">
      <c r="B40" s="119" t="str">
        <f t="shared" si="1"/>
        <v/>
      </c>
      <c r="C40" s="2">
        <v>3.7E-7</v>
      </c>
      <c r="D40" s="92" t="str">
        <f>IF(DespF!D43="","",DespF!D43)</f>
        <v/>
      </c>
      <c r="E40" s="90" t="str">
        <f>IF(DespF!E43="","",DespF!E43+'BH (2)'!C40)</f>
        <v/>
      </c>
      <c r="F40" s="59"/>
      <c r="G40" s="21"/>
      <c r="I40" s="106">
        <v>37</v>
      </c>
      <c r="J40" s="119" t="str">
        <f t="shared" si="4"/>
        <v/>
      </c>
      <c r="K40" s="92" t="str">
        <f>IF('Prod 1'!D41="","",'Prod 1'!D41)</f>
        <v/>
      </c>
      <c r="L40" s="119" t="str">
        <f>IF('Prod 1'!I41="","",'Prod 1'!I41+'BH (2)'!C40)</f>
        <v/>
      </c>
      <c r="M40" s="59"/>
      <c r="N40" s="91"/>
      <c r="Q40" s="119" t="str">
        <f t="shared" si="8"/>
        <v/>
      </c>
      <c r="R40" s="92" t="str">
        <f>IF('Prod 1'!D41="","",'Prod 1'!D41)</f>
        <v/>
      </c>
      <c r="S40" s="119" t="str">
        <f>IF('Prod 1'!E41="","",'Prod 1'!E41+'BH (2)'!C40)</f>
        <v/>
      </c>
      <c r="T40" s="59"/>
      <c r="U40" s="91"/>
    </row>
    <row r="41" spans="2:21" ht="24.95" customHeight="1" x14ac:dyDescent="0.25">
      <c r="B41" s="119" t="str">
        <f t="shared" si="1"/>
        <v/>
      </c>
      <c r="C41" s="2">
        <v>3.8000000000000001E-7</v>
      </c>
      <c r="D41" s="92" t="str">
        <f>IF(DespF!D44="","",DespF!D44)</f>
        <v/>
      </c>
      <c r="E41" s="90" t="str">
        <f>IF(DespF!E44="","",DespF!E44+'BH (2)'!C41)</f>
        <v/>
      </c>
      <c r="F41" s="59"/>
      <c r="G41" s="21"/>
      <c r="I41" s="106">
        <v>38</v>
      </c>
      <c r="J41" s="119" t="str">
        <f t="shared" si="4"/>
        <v/>
      </c>
      <c r="K41" s="92" t="str">
        <f>IF('Prod 1'!D42="","",'Prod 1'!D42)</f>
        <v/>
      </c>
      <c r="L41" s="119" t="str">
        <f>IF('Prod 1'!I42="","",'Prod 1'!I42+'BH (2)'!C41)</f>
        <v/>
      </c>
      <c r="M41" s="59"/>
      <c r="N41" s="91"/>
      <c r="Q41" s="119" t="str">
        <f t="shared" si="8"/>
        <v/>
      </c>
      <c r="R41" s="92" t="str">
        <f>IF('Prod 1'!D42="","",'Prod 1'!D42)</f>
        <v/>
      </c>
      <c r="S41" s="119" t="str">
        <f>IF('Prod 1'!E42="","",'Prod 1'!E42+'BH (2)'!C41)</f>
        <v/>
      </c>
      <c r="T41" s="59"/>
      <c r="U41" s="91"/>
    </row>
    <row r="42" spans="2:21" ht="24.95" customHeight="1" x14ac:dyDescent="0.25">
      <c r="B42" s="119" t="str">
        <f t="shared" si="1"/>
        <v/>
      </c>
      <c r="C42" s="2">
        <v>3.9000000000000002E-7</v>
      </c>
      <c r="D42" s="92" t="str">
        <f>IF(DespF!D45="","",DespF!D45)</f>
        <v/>
      </c>
      <c r="E42" s="90" t="str">
        <f>IF(DespF!E45="","",DespF!E45+'BH (2)'!C42)</f>
        <v/>
      </c>
      <c r="F42" s="59"/>
      <c r="G42" s="21"/>
      <c r="I42" s="106">
        <v>39</v>
      </c>
      <c r="J42" s="119" t="str">
        <f t="shared" si="4"/>
        <v/>
      </c>
      <c r="K42" s="92" t="str">
        <f>IF('Prod 1'!D43="","",'Prod 1'!D43)</f>
        <v/>
      </c>
      <c r="L42" s="119" t="str">
        <f>IF('Prod 1'!I43="","",'Prod 1'!I43+'BH (2)'!C42)</f>
        <v/>
      </c>
      <c r="M42" s="59"/>
      <c r="N42" s="91"/>
      <c r="Q42" s="119" t="str">
        <f t="shared" si="8"/>
        <v/>
      </c>
      <c r="R42" s="92" t="str">
        <f>IF('Prod 1'!D43="","",'Prod 1'!D43)</f>
        <v/>
      </c>
      <c r="S42" s="119" t="str">
        <f>IF('Prod 1'!E43="","",'Prod 1'!E43+'BH (2)'!C42)</f>
        <v/>
      </c>
      <c r="T42" s="59"/>
      <c r="U42" s="91"/>
    </row>
    <row r="43" spans="2:21" ht="24.95" customHeight="1" x14ac:dyDescent="0.25">
      <c r="B43" s="119" t="str">
        <f t="shared" si="1"/>
        <v/>
      </c>
      <c r="C43" s="2">
        <v>3.9999999999999998E-7</v>
      </c>
      <c r="D43" s="92" t="str">
        <f>IF(DespF!D46="","",DespF!D46)</f>
        <v/>
      </c>
      <c r="E43" s="90" t="str">
        <f>IF(DespF!E46="","",DespF!E46+'BH (2)'!C43)</f>
        <v/>
      </c>
      <c r="F43" s="59"/>
      <c r="G43" s="21"/>
      <c r="I43" s="106">
        <v>40</v>
      </c>
      <c r="J43" s="119" t="str">
        <f t="shared" si="4"/>
        <v/>
      </c>
      <c r="K43" s="92" t="str">
        <f>IF('Prod 1'!D44="","",'Prod 1'!D44)</f>
        <v/>
      </c>
      <c r="L43" s="119" t="str">
        <f>IF('Prod 1'!I44="","",'Prod 1'!I44+'BH (2)'!C43)</f>
        <v/>
      </c>
      <c r="M43" s="59"/>
      <c r="N43" s="91"/>
      <c r="Q43" s="119" t="str">
        <f t="shared" si="8"/>
        <v/>
      </c>
      <c r="R43" s="92" t="str">
        <f>IF('Prod 1'!D44="","",'Prod 1'!D44)</f>
        <v/>
      </c>
      <c r="S43" s="119" t="str">
        <f>IF('Prod 1'!E44="","",'Prod 1'!E44+'BH (2)'!C43)</f>
        <v/>
      </c>
      <c r="T43" s="59"/>
      <c r="U43" s="91"/>
    </row>
    <row r="44" spans="2:21" ht="24.95" customHeight="1" x14ac:dyDescent="0.25">
      <c r="B44" s="119" t="str">
        <f t="shared" si="1"/>
        <v/>
      </c>
      <c r="C44" s="2">
        <v>4.0999999999999999E-7</v>
      </c>
      <c r="D44" s="92" t="str">
        <f>IF(DespF!D47="","",DespF!D47)</f>
        <v/>
      </c>
      <c r="E44" s="90" t="str">
        <f>IF(DespF!E47="","",DespF!E47+'BH (2)'!C44)</f>
        <v/>
      </c>
      <c r="F44" s="59"/>
      <c r="G44" s="21"/>
      <c r="I44" s="106">
        <v>41</v>
      </c>
      <c r="J44" s="119" t="str">
        <f t="shared" si="4"/>
        <v/>
      </c>
      <c r="K44" s="92" t="str">
        <f>IF('Prod 1'!D45="","",'Prod 1'!D45)</f>
        <v/>
      </c>
      <c r="L44" s="119" t="str">
        <f>IF('Prod 1'!I45="","",'Prod 1'!I45+'BH (2)'!C44)</f>
        <v/>
      </c>
      <c r="M44" s="59"/>
      <c r="N44" s="91"/>
      <c r="Q44" s="119" t="str">
        <f t="shared" si="8"/>
        <v/>
      </c>
      <c r="R44" s="92" t="str">
        <f>IF('Prod 1'!D45="","",'Prod 1'!D45)</f>
        <v/>
      </c>
      <c r="S44" s="119" t="str">
        <f>IF('Prod 1'!E45="","",'Prod 1'!E45+'BH (2)'!C44)</f>
        <v/>
      </c>
      <c r="T44" s="59"/>
      <c r="U44" s="91"/>
    </row>
    <row r="45" spans="2:21" ht="24.95" customHeight="1" x14ac:dyDescent="0.25">
      <c r="B45" s="119" t="str">
        <f t="shared" si="1"/>
        <v/>
      </c>
      <c r="C45" s="2">
        <v>4.2E-7</v>
      </c>
      <c r="D45" s="92" t="str">
        <f>IF(DespF!D48="","",DespF!D48)</f>
        <v/>
      </c>
      <c r="E45" s="90" t="str">
        <f>IF(DespF!E48="","",DespF!E48+'BH (2)'!C45)</f>
        <v/>
      </c>
      <c r="F45" s="59"/>
      <c r="G45" s="21"/>
      <c r="I45" s="106">
        <v>42</v>
      </c>
      <c r="J45" s="119" t="str">
        <f t="shared" si="4"/>
        <v/>
      </c>
      <c r="K45" s="92" t="str">
        <f>IF('Prod 1'!D46="","",'Prod 1'!D46)</f>
        <v/>
      </c>
      <c r="L45" s="119" t="str">
        <f>IF('Prod 1'!I46="","",'Prod 1'!I46+'BH (2)'!C45)</f>
        <v/>
      </c>
      <c r="M45" s="59"/>
      <c r="N45" s="91"/>
      <c r="Q45" s="119" t="str">
        <f t="shared" si="8"/>
        <v/>
      </c>
      <c r="R45" s="92" t="str">
        <f>IF('Prod 1'!D46="","",'Prod 1'!D46)</f>
        <v/>
      </c>
      <c r="S45" s="119" t="str">
        <f>IF('Prod 1'!E46="","",'Prod 1'!E46+'BH (2)'!C45)</f>
        <v/>
      </c>
      <c r="T45" s="59"/>
      <c r="U45" s="91"/>
    </row>
    <row r="46" spans="2:21" ht="24.95" customHeight="1" x14ac:dyDescent="0.25">
      <c r="B46" s="119" t="str">
        <f t="shared" si="1"/>
        <v/>
      </c>
      <c r="C46" s="2">
        <v>4.3000000000000001E-7</v>
      </c>
      <c r="D46" s="92" t="str">
        <f>IF(DespF!D49="","",DespF!D49)</f>
        <v/>
      </c>
      <c r="E46" s="90" t="str">
        <f>IF(DespF!E49="","",DespF!E49+'BH (2)'!C46)</f>
        <v/>
      </c>
      <c r="F46" s="59"/>
      <c r="G46" s="21"/>
      <c r="I46" s="106">
        <v>43</v>
      </c>
      <c r="J46" s="119" t="str">
        <f t="shared" si="4"/>
        <v/>
      </c>
      <c r="K46" s="92" t="str">
        <f>IF('Prod 1'!D47="","",'Prod 1'!D47)</f>
        <v/>
      </c>
      <c r="L46" s="119" t="str">
        <f>IF('Prod 1'!I47="","",'Prod 1'!I47+'BH (2)'!C46)</f>
        <v/>
      </c>
      <c r="M46" s="59"/>
      <c r="N46" s="91"/>
      <c r="Q46" s="119" t="str">
        <f t="shared" si="8"/>
        <v/>
      </c>
      <c r="R46" s="92" t="str">
        <f>IF('Prod 1'!D47="","",'Prod 1'!D47)</f>
        <v/>
      </c>
      <c r="S46" s="119" t="str">
        <f>IF('Prod 1'!E47="","",'Prod 1'!E47+'BH (2)'!C46)</f>
        <v/>
      </c>
      <c r="T46" s="59"/>
      <c r="U46" s="91"/>
    </row>
    <row r="47" spans="2:21" ht="24.95" customHeight="1" x14ac:dyDescent="0.25">
      <c r="B47" s="119" t="str">
        <f t="shared" si="1"/>
        <v/>
      </c>
      <c r="C47" s="2">
        <v>4.4000000000000002E-7</v>
      </c>
      <c r="D47" s="92" t="str">
        <f>IF(DespF!D50="","",DespF!D50)</f>
        <v/>
      </c>
      <c r="E47" s="90" t="str">
        <f>IF(DespF!E50="","",DespF!E50+'BH (2)'!C47)</f>
        <v/>
      </c>
      <c r="F47" s="59"/>
      <c r="G47" s="21"/>
      <c r="I47" s="106">
        <v>44</v>
      </c>
      <c r="J47" s="119" t="str">
        <f t="shared" si="4"/>
        <v/>
      </c>
      <c r="K47" s="92" t="str">
        <f>IF('Prod 1'!D48="","",'Prod 1'!D48)</f>
        <v/>
      </c>
      <c r="L47" s="119" t="str">
        <f>IF('Prod 1'!I48="","",'Prod 1'!I48+'BH (2)'!C47)</f>
        <v/>
      </c>
      <c r="M47" s="59"/>
      <c r="N47" s="91"/>
      <c r="Q47" s="119" t="str">
        <f t="shared" si="8"/>
        <v/>
      </c>
      <c r="R47" s="92" t="str">
        <f>IF('Prod 1'!D48="","",'Prod 1'!D48)</f>
        <v/>
      </c>
      <c r="S47" s="119" t="str">
        <f>IF('Prod 1'!E48="","",'Prod 1'!E48+'BH (2)'!C47)</f>
        <v/>
      </c>
      <c r="T47" s="59"/>
      <c r="U47" s="91"/>
    </row>
    <row r="48" spans="2:21" ht="24.95" customHeight="1" x14ac:dyDescent="0.25">
      <c r="B48" s="119" t="str">
        <f t="shared" si="1"/>
        <v/>
      </c>
      <c r="C48" s="2">
        <v>4.4999999999999998E-7</v>
      </c>
      <c r="D48" s="92" t="str">
        <f>IF(DespF!D51="","",DespF!D51)</f>
        <v/>
      </c>
      <c r="E48" s="90" t="str">
        <f>IF(DespF!E51="","",DespF!E51+'BH (2)'!C48)</f>
        <v/>
      </c>
      <c r="F48" s="59"/>
      <c r="G48" s="21"/>
      <c r="I48" s="106">
        <v>45</v>
      </c>
      <c r="J48" s="119" t="str">
        <f t="shared" si="4"/>
        <v/>
      </c>
      <c r="K48" s="92" t="str">
        <f>IF('Prod 1'!D49="","",'Prod 1'!D49)</f>
        <v/>
      </c>
      <c r="L48" s="119" t="str">
        <f>IF('Prod 1'!I49="","",'Prod 1'!I49+'BH (2)'!C48)</f>
        <v/>
      </c>
      <c r="M48" s="59"/>
      <c r="N48" s="91"/>
      <c r="Q48" s="119" t="str">
        <f t="shared" si="8"/>
        <v/>
      </c>
      <c r="R48" s="92" t="str">
        <f>IF('Prod 1'!D49="","",'Prod 1'!D49)</f>
        <v/>
      </c>
      <c r="S48" s="119" t="str">
        <f>IF('Prod 1'!E49="","",'Prod 1'!E49+'BH (2)'!C48)</f>
        <v/>
      </c>
      <c r="T48" s="59"/>
      <c r="U48" s="91"/>
    </row>
    <row r="49" spans="2:21" ht="24.95" customHeight="1" x14ac:dyDescent="0.25">
      <c r="B49" s="119" t="str">
        <f t="shared" si="1"/>
        <v/>
      </c>
      <c r="C49" s="2">
        <v>4.5999999999999999E-7</v>
      </c>
      <c r="D49" s="92" t="str">
        <f>IF(DespF!D52="","",DespF!D52)</f>
        <v/>
      </c>
      <c r="E49" s="90" t="str">
        <f>IF(DespF!E52="","",DespF!E52+'BH (2)'!C49)</f>
        <v/>
      </c>
      <c r="F49" s="59"/>
      <c r="G49" s="21"/>
      <c r="I49" s="106">
        <v>46</v>
      </c>
      <c r="J49" s="119" t="str">
        <f t="shared" si="4"/>
        <v/>
      </c>
      <c r="K49" s="92" t="str">
        <f>IF('Prod 1'!D50="","",'Prod 1'!D50)</f>
        <v/>
      </c>
      <c r="L49" s="119" t="str">
        <f>IF('Prod 1'!I50="","",'Prod 1'!I50+'BH (2)'!C49)</f>
        <v/>
      </c>
      <c r="M49" s="59"/>
      <c r="N49" s="91"/>
      <c r="Q49" s="119" t="str">
        <f t="shared" si="8"/>
        <v/>
      </c>
      <c r="R49" s="92" t="str">
        <f>IF('Prod 1'!D50="","",'Prod 1'!D50)</f>
        <v/>
      </c>
      <c r="S49" s="119" t="str">
        <f>IF('Prod 1'!E50="","",'Prod 1'!E50+'BH (2)'!C49)</f>
        <v/>
      </c>
      <c r="T49" s="59"/>
      <c r="U49" s="91"/>
    </row>
    <row r="50" spans="2:21" ht="24.95" customHeight="1" x14ac:dyDescent="0.25">
      <c r="B50" s="119" t="str">
        <f t="shared" si="1"/>
        <v/>
      </c>
      <c r="C50" s="2">
        <v>4.7E-7</v>
      </c>
      <c r="D50" s="92" t="str">
        <f>IF(DespF!D53="","",DespF!D53)</f>
        <v/>
      </c>
      <c r="E50" s="90" t="str">
        <f>IF(DespF!E53="","",DespF!E53+'BH (2)'!C50)</f>
        <v/>
      </c>
      <c r="F50" s="59"/>
      <c r="G50" s="21"/>
      <c r="I50" s="106">
        <v>47</v>
      </c>
      <c r="J50" s="119" t="str">
        <f t="shared" si="4"/>
        <v/>
      </c>
      <c r="K50" s="92" t="str">
        <f>IF('Prod 1'!D51="","",'Prod 1'!D51)</f>
        <v/>
      </c>
      <c r="L50" s="119" t="str">
        <f>IF('Prod 1'!I51="","",'Prod 1'!I51+'BH (2)'!C50)</f>
        <v/>
      </c>
      <c r="M50" s="59"/>
      <c r="N50" s="91"/>
      <c r="Q50" s="119" t="str">
        <f t="shared" si="8"/>
        <v/>
      </c>
      <c r="R50" s="92" t="str">
        <f>IF('Prod 1'!D51="","",'Prod 1'!D51)</f>
        <v/>
      </c>
      <c r="S50" s="119" t="str">
        <f>IF('Prod 1'!E51="","",'Prod 1'!E51+'BH (2)'!C50)</f>
        <v/>
      </c>
      <c r="T50" s="59"/>
      <c r="U50" s="91"/>
    </row>
    <row r="51" spans="2:21" ht="24.95" customHeight="1" x14ac:dyDescent="0.25">
      <c r="B51" s="119" t="str">
        <f t="shared" si="1"/>
        <v/>
      </c>
      <c r="C51" s="2">
        <v>4.7999999999999996E-7</v>
      </c>
      <c r="D51" s="92" t="str">
        <f>IF(DespF!D54="","",DespF!D54)</f>
        <v/>
      </c>
      <c r="E51" s="90" t="str">
        <f>IF(DespF!E54="","",DespF!E54+'BH (2)'!C51)</f>
        <v/>
      </c>
      <c r="F51" s="59"/>
      <c r="G51" s="21"/>
      <c r="I51" s="106">
        <v>48</v>
      </c>
      <c r="J51" s="119" t="str">
        <f t="shared" si="4"/>
        <v/>
      </c>
      <c r="K51" s="92" t="str">
        <f>IF('Prod 1'!D52="","",'Prod 1'!D52)</f>
        <v/>
      </c>
      <c r="L51" s="119" t="str">
        <f>IF('Prod 1'!I52="","",'Prod 1'!I52+'BH (2)'!C51)</f>
        <v/>
      </c>
      <c r="M51" s="59"/>
      <c r="N51" s="91"/>
      <c r="Q51" s="119" t="str">
        <f t="shared" si="8"/>
        <v/>
      </c>
      <c r="R51" s="92" t="str">
        <f>IF('Prod 1'!D52="","",'Prod 1'!D52)</f>
        <v/>
      </c>
      <c r="S51" s="119" t="str">
        <f>IF('Prod 1'!E52="","",'Prod 1'!E52+'BH (2)'!C51)</f>
        <v/>
      </c>
      <c r="T51" s="59"/>
      <c r="U51" s="91"/>
    </row>
    <row r="52" spans="2:21" ht="24.95" customHeight="1" x14ac:dyDescent="0.25">
      <c r="B52" s="119" t="str">
        <f t="shared" si="1"/>
        <v/>
      </c>
      <c r="C52" s="2">
        <v>4.8999999999999997E-7</v>
      </c>
      <c r="D52" s="92" t="str">
        <f>IF(DespF!D55="","",DespF!D55)</f>
        <v/>
      </c>
      <c r="E52" s="90" t="str">
        <f>IF(DespF!E55="","",DespF!E55+'BH (2)'!C52)</f>
        <v/>
      </c>
      <c r="F52" s="59"/>
      <c r="G52" s="21"/>
      <c r="I52" s="106">
        <v>49</v>
      </c>
      <c r="J52" s="119" t="str">
        <f t="shared" si="4"/>
        <v/>
      </c>
      <c r="K52" s="92" t="str">
        <f>IF('Prod 1'!D53="","",'Prod 1'!D53)</f>
        <v/>
      </c>
      <c r="L52" s="119" t="str">
        <f>IF('Prod 1'!I53="","",'Prod 1'!I53+'BH (2)'!C52)</f>
        <v/>
      </c>
      <c r="M52" s="59"/>
      <c r="N52" s="91"/>
      <c r="Q52" s="119" t="str">
        <f t="shared" si="8"/>
        <v/>
      </c>
      <c r="R52" s="92" t="str">
        <f>IF('Prod 1'!D53="","",'Prod 1'!D53)</f>
        <v/>
      </c>
      <c r="S52" s="119" t="str">
        <f>IF('Prod 1'!E53="","",'Prod 1'!E53+'BH (2)'!C52)</f>
        <v/>
      </c>
      <c r="T52" s="59"/>
      <c r="U52" s="91"/>
    </row>
    <row r="53" spans="2:21" ht="24.95" customHeight="1" x14ac:dyDescent="0.25">
      <c r="B53" s="119" t="str">
        <f t="shared" si="1"/>
        <v/>
      </c>
      <c r="C53" s="2">
        <v>4.9999999999999998E-7</v>
      </c>
      <c r="D53" s="92" t="str">
        <f>IF(DespF!D56="","",DespF!D56)</f>
        <v/>
      </c>
      <c r="E53" s="90" t="str">
        <f>IF(DespF!E56="","",DespF!E56+'BH (2)'!C53)</f>
        <v/>
      </c>
      <c r="F53" s="59"/>
      <c r="G53" s="21"/>
      <c r="I53" s="106">
        <v>50</v>
      </c>
      <c r="J53" s="119" t="str">
        <f t="shared" si="4"/>
        <v/>
      </c>
      <c r="K53" s="92" t="str">
        <f>IF('Prod 1'!D54="","",'Prod 1'!D54)</f>
        <v/>
      </c>
      <c r="L53" s="119" t="str">
        <f>IF('Prod 1'!I54="","",'Prod 1'!I54+'BH (2)'!C53)</f>
        <v/>
      </c>
      <c r="M53" s="59"/>
      <c r="N53" s="91"/>
      <c r="Q53" s="119" t="str">
        <f t="shared" si="8"/>
        <v/>
      </c>
      <c r="R53" s="92" t="str">
        <f>IF('Prod 1'!D54="","",'Prod 1'!D54)</f>
        <v/>
      </c>
      <c r="S53" s="119" t="str">
        <f>IF('Prod 1'!E54="","",'Prod 1'!E54+'BH (2)'!C53)</f>
        <v/>
      </c>
      <c r="T53" s="59"/>
      <c r="U53" s="91"/>
    </row>
    <row r="54" spans="2:21" ht="24.95" customHeight="1" x14ac:dyDescent="0.25">
      <c r="B54" s="119" t="str">
        <f t="shared" si="1"/>
        <v/>
      </c>
      <c r="C54" s="2">
        <v>5.0999999999999999E-7</v>
      </c>
      <c r="D54" s="92" t="str">
        <f>IF(DespF!D57="","",DespF!D57)</f>
        <v/>
      </c>
      <c r="E54" s="90" t="str">
        <f>IF(DespF!E57="","",DespF!E57+'BH (2)'!C54)</f>
        <v/>
      </c>
      <c r="F54" s="59"/>
      <c r="G54" s="21"/>
      <c r="I54" s="106">
        <v>51</v>
      </c>
      <c r="J54" s="119" t="str">
        <f t="shared" si="4"/>
        <v/>
      </c>
      <c r="K54" s="92" t="str">
        <f>IF('Prod 1'!D55="","",'Prod 1'!D55)</f>
        <v/>
      </c>
      <c r="L54" s="119" t="str">
        <f>IF('Prod 1'!I55="","",'Prod 1'!I55+'BH (2)'!C54)</f>
        <v/>
      </c>
      <c r="M54" s="59"/>
      <c r="N54" s="91"/>
      <c r="Q54" s="119" t="str">
        <f t="shared" si="8"/>
        <v/>
      </c>
      <c r="R54" s="92" t="str">
        <f>IF('Prod 1'!D55="","",'Prod 1'!D55)</f>
        <v/>
      </c>
      <c r="S54" s="119" t="str">
        <f>IF('Prod 1'!E55="","",'Prod 1'!E55+'BH (2)'!C54)</f>
        <v/>
      </c>
      <c r="T54" s="59"/>
      <c r="U54" s="91"/>
    </row>
    <row r="55" spans="2:21" ht="24.95" customHeight="1" x14ac:dyDescent="0.25">
      <c r="B55" s="119" t="str">
        <f t="shared" si="1"/>
        <v/>
      </c>
      <c r="C55" s="2">
        <v>5.2E-7</v>
      </c>
      <c r="D55" s="92" t="str">
        <f>IF(DespF!D58="","",DespF!D58)</f>
        <v/>
      </c>
      <c r="E55" s="90" t="str">
        <f>IF(DespF!E58="","",DespF!E58+'BH (2)'!C55)</f>
        <v/>
      </c>
      <c r="F55" s="59"/>
      <c r="G55" s="21"/>
      <c r="I55" s="106">
        <v>52</v>
      </c>
      <c r="J55" s="119" t="str">
        <f t="shared" si="4"/>
        <v/>
      </c>
      <c r="K55" s="92" t="str">
        <f>IF('Prod 1'!D56="","",'Prod 1'!D56)</f>
        <v/>
      </c>
      <c r="L55" s="119" t="str">
        <f>IF('Prod 1'!I56="","",'Prod 1'!I56+'BH (2)'!C55)</f>
        <v/>
      </c>
      <c r="M55" s="59"/>
      <c r="N55" s="91"/>
      <c r="Q55" s="119" t="str">
        <f t="shared" si="8"/>
        <v/>
      </c>
      <c r="R55" s="92" t="str">
        <f>IF('Prod 1'!D56="","",'Prod 1'!D56)</f>
        <v/>
      </c>
      <c r="S55" s="119" t="str">
        <f>IF('Prod 1'!E56="","",'Prod 1'!E56+'BH (2)'!C55)</f>
        <v/>
      </c>
      <c r="T55" s="59"/>
      <c r="U55" s="91"/>
    </row>
    <row r="56" spans="2:21" ht="24.95" customHeight="1" x14ac:dyDescent="0.25">
      <c r="B56" s="119" t="str">
        <f t="shared" si="1"/>
        <v/>
      </c>
      <c r="C56" s="2">
        <v>5.3000000000000001E-7</v>
      </c>
      <c r="D56" s="92" t="str">
        <f>IF(DespF!D59="","",DespF!D59)</f>
        <v/>
      </c>
      <c r="E56" s="90" t="str">
        <f>IF(DespF!E59="","",DespF!E59+'BH (2)'!C56)</f>
        <v/>
      </c>
      <c r="F56" s="59"/>
      <c r="G56" s="21"/>
      <c r="I56" s="106">
        <v>53</v>
      </c>
      <c r="J56" s="119" t="str">
        <f t="shared" si="4"/>
        <v/>
      </c>
      <c r="K56" s="92" t="str">
        <f>IF('Prod 1'!D57="","",'Prod 1'!D57)</f>
        <v/>
      </c>
      <c r="L56" s="119" t="str">
        <f>IF('Prod 1'!I57="","",'Prod 1'!I57+'BH (2)'!C56)</f>
        <v/>
      </c>
      <c r="M56" s="59"/>
      <c r="N56" s="91"/>
      <c r="Q56" s="119" t="str">
        <f t="shared" si="8"/>
        <v/>
      </c>
      <c r="R56" s="92" t="str">
        <f>IF('Prod 1'!D57="","",'Prod 1'!D57)</f>
        <v/>
      </c>
      <c r="S56" s="119" t="str">
        <f>IF('Prod 1'!E57="","",'Prod 1'!E57+'BH (2)'!C56)</f>
        <v/>
      </c>
      <c r="T56" s="59"/>
      <c r="U56" s="91"/>
    </row>
    <row r="57" spans="2:21" ht="24.95" customHeight="1" x14ac:dyDescent="0.25">
      <c r="B57" s="119" t="str">
        <f t="shared" si="1"/>
        <v/>
      </c>
      <c r="C57" s="2">
        <v>5.4000000000000002E-7</v>
      </c>
      <c r="D57" s="92" t="str">
        <f>IF(DespF!D60="","",DespF!D60)</f>
        <v/>
      </c>
      <c r="E57" s="90" t="str">
        <f>IF(DespF!E60="","",DespF!E60+'BH (2)'!C57)</f>
        <v/>
      </c>
      <c r="F57" s="59"/>
      <c r="G57" s="21"/>
      <c r="I57" s="106">
        <v>54</v>
      </c>
      <c r="J57" s="119" t="str">
        <f t="shared" si="4"/>
        <v/>
      </c>
      <c r="K57" s="92" t="str">
        <f>IF('Prod 1'!D58="","",'Prod 1'!D58)</f>
        <v/>
      </c>
      <c r="L57" s="119" t="str">
        <f>IF('Prod 1'!I58="","",'Prod 1'!I58+'BH (2)'!C57)</f>
        <v/>
      </c>
      <c r="M57" s="59"/>
      <c r="N57" s="91"/>
      <c r="Q57" s="119" t="str">
        <f t="shared" si="8"/>
        <v/>
      </c>
      <c r="R57" s="92" t="str">
        <f>IF('Prod 1'!D58="","",'Prod 1'!D58)</f>
        <v/>
      </c>
      <c r="S57" s="119" t="str">
        <f>IF('Prod 1'!E58="","",'Prod 1'!E58+'BH (2)'!C57)</f>
        <v/>
      </c>
      <c r="T57" s="59"/>
      <c r="U57" s="91"/>
    </row>
    <row r="58" spans="2:21" ht="24.95" customHeight="1" x14ac:dyDescent="0.25">
      <c r="B58" s="119" t="str">
        <f t="shared" si="1"/>
        <v/>
      </c>
      <c r="C58" s="2">
        <v>5.5000000000000003E-7</v>
      </c>
      <c r="D58" s="92" t="str">
        <f>IF(DespF!D61="","",DespF!D61)</f>
        <v/>
      </c>
      <c r="E58" s="90" t="str">
        <f>IF(DespF!E61="","",DespF!E61+'BH (2)'!C58)</f>
        <v/>
      </c>
      <c r="F58" s="59"/>
      <c r="G58" s="21"/>
      <c r="I58" s="106">
        <v>55</v>
      </c>
      <c r="J58" s="119" t="str">
        <f t="shared" si="4"/>
        <v/>
      </c>
      <c r="K58" s="92" t="str">
        <f>IF('Prod 1'!D59="","",'Prod 1'!D59)</f>
        <v/>
      </c>
      <c r="L58" s="119" t="str">
        <f>IF('Prod 1'!I59="","",'Prod 1'!I59+'BH (2)'!C58)</f>
        <v/>
      </c>
      <c r="M58" s="59"/>
      <c r="N58" s="91"/>
      <c r="Q58" s="119" t="str">
        <f t="shared" si="8"/>
        <v/>
      </c>
      <c r="R58" s="92" t="str">
        <f>IF('Prod 1'!D59="","",'Prod 1'!D59)</f>
        <v/>
      </c>
      <c r="S58" s="119" t="str">
        <f>IF('Prod 1'!E59="","",'Prod 1'!E59+'BH (2)'!C58)</f>
        <v/>
      </c>
      <c r="T58" s="59"/>
      <c r="U58" s="91"/>
    </row>
    <row r="59" spans="2:21" ht="24.95" customHeight="1" x14ac:dyDescent="0.25">
      <c r="B59" s="119" t="str">
        <f t="shared" si="1"/>
        <v/>
      </c>
      <c r="C59" s="2">
        <v>5.6000000000000004E-7</v>
      </c>
      <c r="D59" s="92" t="str">
        <f>IF(DespF!D62="","",DespF!D62)</f>
        <v/>
      </c>
      <c r="E59" s="90" t="str">
        <f>IF(DespF!E62="","",DespF!E62+'BH (2)'!C59)</f>
        <v/>
      </c>
      <c r="F59" s="59"/>
      <c r="G59" s="21"/>
      <c r="I59" s="106">
        <v>56</v>
      </c>
      <c r="J59" s="119" t="str">
        <f t="shared" si="4"/>
        <v/>
      </c>
      <c r="K59" s="92" t="str">
        <f>IF('Prod 1'!D60="","",'Prod 1'!D60)</f>
        <v/>
      </c>
      <c r="L59" s="119" t="str">
        <f>IF('Prod 1'!I60="","",'Prod 1'!I60+'BH (2)'!C59)</f>
        <v/>
      </c>
      <c r="M59" s="59"/>
      <c r="N59" s="91"/>
      <c r="Q59" s="119" t="str">
        <f t="shared" si="8"/>
        <v/>
      </c>
      <c r="R59" s="92" t="str">
        <f>IF('Prod 1'!D60="","",'Prod 1'!D60)</f>
        <v/>
      </c>
      <c r="S59" s="119" t="str">
        <f>IF('Prod 1'!E60="","",'Prod 1'!E60+'BH (2)'!C59)</f>
        <v/>
      </c>
      <c r="T59" s="59"/>
      <c r="U59" s="91"/>
    </row>
    <row r="60" spans="2:21" ht="24.95" customHeight="1" x14ac:dyDescent="0.25">
      <c r="B60" s="119" t="str">
        <f t="shared" si="1"/>
        <v/>
      </c>
      <c r="C60" s="2">
        <v>5.7000000000000005E-7</v>
      </c>
      <c r="D60" s="92" t="str">
        <f>IF(DespF!D63="","",DespF!D63)</f>
        <v/>
      </c>
      <c r="E60" s="90" t="str">
        <f>IF(DespF!E63="","",DespF!E63+'BH (2)'!C60)</f>
        <v/>
      </c>
      <c r="F60" s="59"/>
      <c r="G60" s="21"/>
      <c r="I60" s="106">
        <v>57</v>
      </c>
      <c r="J60" s="119" t="str">
        <f t="shared" si="4"/>
        <v/>
      </c>
      <c r="K60" s="92" t="str">
        <f>IF('Prod 1'!D61="","",'Prod 1'!D61)</f>
        <v/>
      </c>
      <c r="L60" s="119" t="str">
        <f>IF('Prod 1'!I61="","",'Prod 1'!I61+'BH (2)'!C60)</f>
        <v/>
      </c>
      <c r="M60" s="59"/>
      <c r="N60" s="91"/>
      <c r="Q60" s="119" t="str">
        <f t="shared" si="8"/>
        <v/>
      </c>
      <c r="R60" s="92" t="str">
        <f>IF('Prod 1'!D61="","",'Prod 1'!D61)</f>
        <v/>
      </c>
      <c r="S60" s="119" t="str">
        <f>IF('Prod 1'!E61="","",'Prod 1'!E61+'BH (2)'!C60)</f>
        <v/>
      </c>
      <c r="T60" s="59"/>
      <c r="U60" s="91"/>
    </row>
    <row r="61" spans="2:21" ht="24.95" customHeight="1" x14ac:dyDescent="0.25">
      <c r="B61" s="119" t="str">
        <f t="shared" si="1"/>
        <v/>
      </c>
      <c r="C61" s="2">
        <v>5.7999999999999995E-7</v>
      </c>
      <c r="D61" s="92" t="str">
        <f>IF(DespF!D64="","",DespF!D64)</f>
        <v/>
      </c>
      <c r="E61" s="90" t="str">
        <f>IF(DespF!E64="","",DespF!E64+'BH (2)'!C61)</f>
        <v/>
      </c>
      <c r="F61" s="59"/>
      <c r="G61" s="21"/>
      <c r="I61" s="106">
        <v>58</v>
      </c>
      <c r="J61" s="119" t="str">
        <f t="shared" si="4"/>
        <v/>
      </c>
      <c r="K61" s="92" t="str">
        <f>IF('Prod 1'!D62="","",'Prod 1'!D62)</f>
        <v/>
      </c>
      <c r="L61" s="119" t="str">
        <f>IF('Prod 1'!I62="","",'Prod 1'!I62+'BH (2)'!C61)</f>
        <v/>
      </c>
      <c r="M61" s="59"/>
      <c r="N61" s="91"/>
      <c r="Q61" s="119" t="str">
        <f t="shared" si="8"/>
        <v/>
      </c>
      <c r="R61" s="92" t="str">
        <f>IF('Prod 1'!D62="","",'Prod 1'!D62)</f>
        <v/>
      </c>
      <c r="S61" s="119" t="str">
        <f>IF('Prod 1'!E62="","",'Prod 1'!E62+'BH (2)'!C61)</f>
        <v/>
      </c>
      <c r="T61" s="59"/>
      <c r="U61" s="91"/>
    </row>
    <row r="62" spans="2:21" ht="24.95" customHeight="1" x14ac:dyDescent="0.25">
      <c r="B62" s="119" t="str">
        <f t="shared" si="1"/>
        <v/>
      </c>
      <c r="C62" s="2">
        <v>5.8999999999999996E-7</v>
      </c>
      <c r="D62" s="92" t="str">
        <f>IF(DespF!D65="","",DespF!D65)</f>
        <v/>
      </c>
      <c r="E62" s="90" t="str">
        <f>IF(DespF!E65="","",DespF!E65+'BH (2)'!C62)</f>
        <v/>
      </c>
      <c r="F62" s="59"/>
      <c r="G62" s="21"/>
      <c r="I62" s="106">
        <v>59</v>
      </c>
      <c r="J62" s="119" t="str">
        <f t="shared" si="4"/>
        <v/>
      </c>
      <c r="K62" s="92" t="str">
        <f>IF('Prod 1'!D63="","",'Prod 1'!D63)</f>
        <v/>
      </c>
      <c r="L62" s="119" t="str">
        <f>IF('Prod 1'!I63="","",'Prod 1'!I63+'BH (2)'!C62)</f>
        <v/>
      </c>
      <c r="M62" s="59"/>
      <c r="N62" s="91"/>
      <c r="Q62" s="119" t="str">
        <f t="shared" si="8"/>
        <v/>
      </c>
      <c r="R62" s="92" t="str">
        <f>IF('Prod 1'!D63="","",'Prod 1'!D63)</f>
        <v/>
      </c>
      <c r="S62" s="119" t="str">
        <f>IF('Prod 1'!E63="","",'Prod 1'!E63+'BH (2)'!C62)</f>
        <v/>
      </c>
      <c r="T62" s="59"/>
      <c r="U62" s="91"/>
    </row>
    <row r="63" spans="2:21" ht="24.95" customHeight="1" x14ac:dyDescent="0.25">
      <c r="B63" s="119" t="str">
        <f t="shared" si="1"/>
        <v/>
      </c>
      <c r="C63" s="2">
        <v>5.9999999999999997E-7</v>
      </c>
      <c r="D63" s="92" t="str">
        <f>IF(DespF!D66="","",DespF!D66)</f>
        <v/>
      </c>
      <c r="E63" s="90" t="str">
        <f>IF(DespF!E66="","",DespF!E66+'BH (2)'!C63)</f>
        <v/>
      </c>
      <c r="F63" s="59"/>
      <c r="G63" s="21"/>
      <c r="I63" s="106">
        <v>60</v>
      </c>
      <c r="J63" s="119" t="str">
        <f t="shared" si="4"/>
        <v/>
      </c>
      <c r="K63" s="92" t="str">
        <f>IF('Prod 1'!D64="","",'Prod 1'!D64)</f>
        <v/>
      </c>
      <c r="L63" s="119" t="str">
        <f>IF('Prod 1'!I64="","",'Prod 1'!I64+'BH (2)'!C63)</f>
        <v/>
      </c>
      <c r="M63" s="59"/>
      <c r="N63" s="91"/>
      <c r="Q63" s="119" t="str">
        <f t="shared" si="8"/>
        <v/>
      </c>
      <c r="R63" s="92" t="str">
        <f>IF('Prod 1'!D64="","",'Prod 1'!D64)</f>
        <v/>
      </c>
      <c r="S63" s="119" t="str">
        <f>IF('Prod 1'!E64="","",'Prod 1'!E64+'BH (2)'!C63)</f>
        <v/>
      </c>
      <c r="T63" s="59"/>
      <c r="U63" s="91"/>
    </row>
    <row r="64" spans="2:21" ht="24.95" customHeight="1" x14ac:dyDescent="0.25">
      <c r="B64" s="119" t="str">
        <f t="shared" si="1"/>
        <v/>
      </c>
      <c r="C64" s="2">
        <v>6.0999999999999998E-7</v>
      </c>
      <c r="D64" s="92" t="str">
        <f>IF(DespF!D67="","",DespF!D67)</f>
        <v/>
      </c>
      <c r="E64" s="90" t="str">
        <f>IF(DespF!E67="","",DespF!E67+'BH (2)'!C64)</f>
        <v/>
      </c>
      <c r="F64" s="59"/>
      <c r="G64" s="21"/>
      <c r="I64" s="106">
        <v>61</v>
      </c>
      <c r="J64" s="119" t="str">
        <f t="shared" si="4"/>
        <v/>
      </c>
      <c r="K64" s="92" t="str">
        <f>IF('Prod 1'!D65="","",'Prod 1'!D65)</f>
        <v/>
      </c>
      <c r="L64" s="119" t="str">
        <f>IF('Prod 1'!I65="","",'Prod 1'!I65+'BH (2)'!C64)</f>
        <v/>
      </c>
      <c r="M64" s="59"/>
      <c r="N64" s="91"/>
      <c r="Q64" s="119" t="str">
        <f t="shared" si="8"/>
        <v/>
      </c>
      <c r="R64" s="92" t="str">
        <f>IF('Prod 1'!D65="","",'Prod 1'!D65)</f>
        <v/>
      </c>
      <c r="S64" s="119" t="str">
        <f>IF('Prod 1'!E65="","",'Prod 1'!E65+'BH (2)'!C64)</f>
        <v/>
      </c>
      <c r="T64" s="59"/>
      <c r="U64" s="91"/>
    </row>
    <row r="65" spans="2:21" ht="24.95" customHeight="1" x14ac:dyDescent="0.25">
      <c r="B65" s="119" t="str">
        <f t="shared" si="1"/>
        <v/>
      </c>
      <c r="C65" s="2">
        <v>6.1999999999999999E-7</v>
      </c>
      <c r="D65" s="92" t="str">
        <f>IF(DespF!D68="","",DespF!D68)</f>
        <v/>
      </c>
      <c r="E65" s="90" t="str">
        <f>IF(DespF!E68="","",DespF!E68+'BH (2)'!C65)</f>
        <v/>
      </c>
      <c r="F65" s="59"/>
      <c r="G65" s="21"/>
      <c r="I65" s="106">
        <v>62</v>
      </c>
      <c r="J65" s="119" t="str">
        <f t="shared" si="4"/>
        <v/>
      </c>
      <c r="K65" s="92" t="str">
        <f>IF('Prod 1'!D66="","",'Prod 1'!D66)</f>
        <v/>
      </c>
      <c r="L65" s="119" t="str">
        <f>IF('Prod 1'!I66="","",'Prod 1'!I66+'BH (2)'!C65)</f>
        <v/>
      </c>
      <c r="M65" s="59"/>
      <c r="N65" s="91"/>
      <c r="Q65" s="119" t="str">
        <f t="shared" si="8"/>
        <v/>
      </c>
      <c r="R65" s="92" t="str">
        <f>IF('Prod 1'!D66="","",'Prod 1'!D66)</f>
        <v/>
      </c>
      <c r="S65" s="119" t="str">
        <f>IF('Prod 1'!E66="","",'Prod 1'!E66+'BH (2)'!C65)</f>
        <v/>
      </c>
      <c r="T65" s="59"/>
      <c r="U65" s="91"/>
    </row>
    <row r="66" spans="2:21" ht="24.95" customHeight="1" x14ac:dyDescent="0.25">
      <c r="B66" s="119" t="str">
        <f t="shared" si="1"/>
        <v/>
      </c>
      <c r="C66" s="2">
        <v>6.3E-7</v>
      </c>
      <c r="D66" s="92" t="str">
        <f>IF(DespF!D69="","",DespF!D69)</f>
        <v/>
      </c>
      <c r="E66" s="90" t="str">
        <f>IF(DespF!E69="","",DespF!E69+'BH (2)'!C66)</f>
        <v/>
      </c>
      <c r="F66" s="59"/>
      <c r="G66" s="21"/>
      <c r="I66" s="106">
        <v>63</v>
      </c>
      <c r="J66" s="119" t="str">
        <f t="shared" si="4"/>
        <v/>
      </c>
      <c r="K66" s="92" t="str">
        <f>IF('Prod 1'!D67="","",'Prod 1'!D67)</f>
        <v/>
      </c>
      <c r="L66" s="119" t="str">
        <f>IF('Prod 1'!I67="","",'Prod 1'!I67+'BH (2)'!C66)</f>
        <v/>
      </c>
      <c r="M66" s="59"/>
      <c r="N66" s="91"/>
      <c r="Q66" s="119" t="str">
        <f t="shared" si="8"/>
        <v/>
      </c>
      <c r="R66" s="92" t="str">
        <f>IF('Prod 1'!D67="","",'Prod 1'!D67)</f>
        <v/>
      </c>
      <c r="S66" s="119" t="str">
        <f>IF('Prod 1'!E67="","",'Prod 1'!E67+'BH (2)'!C66)</f>
        <v/>
      </c>
      <c r="T66" s="59"/>
      <c r="U66" s="91"/>
    </row>
    <row r="67" spans="2:21" ht="24.95" customHeight="1" x14ac:dyDescent="0.25">
      <c r="B67" s="119" t="str">
        <f t="shared" si="1"/>
        <v/>
      </c>
      <c r="C67" s="2">
        <v>6.4000000000000001E-7</v>
      </c>
      <c r="D67" s="92" t="str">
        <f>IF(DespF!D70="","",DespF!D70)</f>
        <v/>
      </c>
      <c r="E67" s="90" t="str">
        <f>IF(DespF!E70="","",DespF!E70+'BH (2)'!C67)</f>
        <v/>
      </c>
      <c r="F67" s="59"/>
      <c r="G67" s="21"/>
      <c r="I67" s="106">
        <v>64</v>
      </c>
      <c r="J67" s="119" t="str">
        <f t="shared" si="4"/>
        <v/>
      </c>
      <c r="K67" s="92" t="str">
        <f>IF('Prod 1'!D68="","",'Prod 1'!D68)</f>
        <v/>
      </c>
      <c r="L67" s="119" t="str">
        <f>IF('Prod 1'!I68="","",'Prod 1'!I68+'BH (2)'!C67)</f>
        <v/>
      </c>
      <c r="M67" s="59"/>
      <c r="N67" s="91"/>
      <c r="Q67" s="119" t="str">
        <f t="shared" si="8"/>
        <v/>
      </c>
      <c r="R67" s="92" t="str">
        <f>IF('Prod 1'!D68="","",'Prod 1'!D68)</f>
        <v/>
      </c>
      <c r="S67" s="119" t="str">
        <f>IF('Prod 1'!E68="","",'Prod 1'!E68+'BH (2)'!C67)</f>
        <v/>
      </c>
      <c r="T67" s="59"/>
      <c r="U67" s="91"/>
    </row>
    <row r="68" spans="2:21" ht="24.95" customHeight="1" x14ac:dyDescent="0.25">
      <c r="B68" s="119" t="str">
        <f t="shared" si="1"/>
        <v/>
      </c>
      <c r="C68" s="2">
        <v>6.5000000000000002E-7</v>
      </c>
      <c r="D68" s="92" t="str">
        <f>IF(DespF!D71="","",DespF!D71)</f>
        <v/>
      </c>
      <c r="E68" s="90" t="str">
        <f>IF(DespF!E71="","",DespF!E71+'BH (2)'!C68)</f>
        <v/>
      </c>
      <c r="F68" s="59"/>
      <c r="G68" s="21"/>
      <c r="I68" s="106">
        <v>65</v>
      </c>
      <c r="J68" s="119" t="str">
        <f t="shared" si="4"/>
        <v/>
      </c>
      <c r="K68" s="92" t="str">
        <f>IF('Prod 1'!D69="","",'Prod 1'!D69)</f>
        <v/>
      </c>
      <c r="L68" s="119" t="str">
        <f>IF('Prod 1'!I69="","",'Prod 1'!I69+'BH (2)'!C68)</f>
        <v/>
      </c>
      <c r="M68" s="59"/>
      <c r="N68" s="91"/>
      <c r="Q68" s="119" t="str">
        <f t="shared" si="8"/>
        <v/>
      </c>
      <c r="R68" s="92" t="str">
        <f>IF('Prod 1'!D69="","",'Prod 1'!D69)</f>
        <v/>
      </c>
      <c r="S68" s="119" t="str">
        <f>IF('Prod 1'!E69="","",'Prod 1'!E69+'BH (2)'!C68)</f>
        <v/>
      </c>
      <c r="T68" s="59"/>
      <c r="U68" s="91"/>
    </row>
    <row r="69" spans="2:21" ht="24.95" customHeight="1" x14ac:dyDescent="0.25">
      <c r="B69" s="119" t="str">
        <f t="shared" ref="B69:B132" si="12">E69</f>
        <v/>
      </c>
      <c r="C69" s="2">
        <v>6.6000000000000003E-7</v>
      </c>
      <c r="D69" s="92" t="str">
        <f>IF(DespF!D72="","",DespF!D72)</f>
        <v/>
      </c>
      <c r="E69" s="90" t="str">
        <f>IF(DespF!E72="","",DespF!E72+'BH (2)'!C69)</f>
        <v/>
      </c>
      <c r="F69" s="59"/>
      <c r="G69" s="21"/>
      <c r="I69" s="106">
        <v>66</v>
      </c>
      <c r="J69" s="119" t="str">
        <f t="shared" ref="J69:J132" si="13">L69</f>
        <v/>
      </c>
      <c r="K69" s="92" t="str">
        <f>IF('Prod 1'!D70="","",'Prod 1'!D70)</f>
        <v/>
      </c>
      <c r="L69" s="119" t="str">
        <f>IF('Prod 1'!I70="","",'Prod 1'!I70+'BH (2)'!C69)</f>
        <v/>
      </c>
      <c r="M69" s="59"/>
      <c r="N69" s="91"/>
      <c r="Q69" s="119" t="str">
        <f t="shared" ref="Q69:Q132" si="14">S69</f>
        <v/>
      </c>
      <c r="R69" s="92" t="str">
        <f>IF('Prod 1'!D70="","",'Prod 1'!D70)</f>
        <v/>
      </c>
      <c r="S69" s="119" t="str">
        <f>IF('Prod 1'!E70="","",'Prod 1'!E70+'BH (2)'!C69)</f>
        <v/>
      </c>
      <c r="T69" s="59"/>
      <c r="U69" s="91"/>
    </row>
    <row r="70" spans="2:21" ht="24.95" customHeight="1" x14ac:dyDescent="0.25">
      <c r="B70" s="119" t="str">
        <f t="shared" si="12"/>
        <v/>
      </c>
      <c r="C70" s="2">
        <v>6.7000000000000004E-7</v>
      </c>
      <c r="D70" s="92" t="str">
        <f>IF(DespF!D73="","",DespF!D73)</f>
        <v/>
      </c>
      <c r="E70" s="90" t="str">
        <f>IF(DespF!E73="","",DespF!E73+'BH (2)'!C70)</f>
        <v/>
      </c>
      <c r="F70" s="59"/>
      <c r="G70" s="21"/>
      <c r="I70" s="106">
        <v>67</v>
      </c>
      <c r="J70" s="119" t="str">
        <f t="shared" si="13"/>
        <v/>
      </c>
      <c r="K70" s="92" t="str">
        <f>IF('Prod 1'!D71="","",'Prod 1'!D71)</f>
        <v/>
      </c>
      <c r="L70" s="119" t="str">
        <f>IF('Prod 1'!I71="","",'Prod 1'!I71+'BH (2)'!C70)</f>
        <v/>
      </c>
      <c r="M70" s="59"/>
      <c r="N70" s="91"/>
      <c r="Q70" s="119" t="str">
        <f t="shared" si="14"/>
        <v/>
      </c>
      <c r="R70" s="92" t="str">
        <f>IF('Prod 1'!D71="","",'Prod 1'!D71)</f>
        <v/>
      </c>
      <c r="S70" s="119" t="str">
        <f>IF('Prod 1'!E71="","",'Prod 1'!E71+'BH (2)'!C70)</f>
        <v/>
      </c>
      <c r="T70" s="59"/>
      <c r="U70" s="91"/>
    </row>
    <row r="71" spans="2:21" ht="24.95" customHeight="1" x14ac:dyDescent="0.25">
      <c r="B71" s="119" t="str">
        <f t="shared" si="12"/>
        <v/>
      </c>
      <c r="C71" s="2">
        <v>6.7999999999999995E-7</v>
      </c>
      <c r="D71" s="92" t="str">
        <f>IF(DespF!D74="","",DespF!D74)</f>
        <v/>
      </c>
      <c r="E71" s="90" t="str">
        <f>IF(DespF!E74="","",DespF!E74+'BH (2)'!C71)</f>
        <v/>
      </c>
      <c r="F71" s="59"/>
      <c r="G71" s="21"/>
      <c r="I71" s="106">
        <v>68</v>
      </c>
      <c r="J71" s="119" t="str">
        <f t="shared" si="13"/>
        <v/>
      </c>
      <c r="K71" s="92" t="str">
        <f>IF('Prod 1'!D72="","",'Prod 1'!D72)</f>
        <v/>
      </c>
      <c r="L71" s="119" t="str">
        <f>IF('Prod 1'!I72="","",'Prod 1'!I72+'BH (2)'!C71)</f>
        <v/>
      </c>
      <c r="M71" s="59"/>
      <c r="N71" s="91"/>
      <c r="Q71" s="119" t="str">
        <f t="shared" si="14"/>
        <v/>
      </c>
      <c r="R71" s="92" t="str">
        <f>IF('Prod 1'!D72="","",'Prod 1'!D72)</f>
        <v/>
      </c>
      <c r="S71" s="119" t="str">
        <f>IF('Prod 1'!E72="","",'Prod 1'!E72+'BH (2)'!C71)</f>
        <v/>
      </c>
      <c r="T71" s="59"/>
      <c r="U71" s="91"/>
    </row>
    <row r="72" spans="2:21" ht="24.95" customHeight="1" x14ac:dyDescent="0.25">
      <c r="B72" s="119" t="str">
        <f t="shared" si="12"/>
        <v/>
      </c>
      <c r="C72" s="2">
        <v>6.8999999999999996E-7</v>
      </c>
      <c r="D72" s="92" t="str">
        <f>IF(DespF!D75="","",DespF!D75)</f>
        <v/>
      </c>
      <c r="E72" s="90" t="str">
        <f>IF(DespF!E75="","",DespF!E75+'BH (2)'!C72)</f>
        <v/>
      </c>
      <c r="F72" s="59"/>
      <c r="G72" s="21"/>
      <c r="I72" s="106">
        <v>69</v>
      </c>
      <c r="J72" s="119" t="str">
        <f t="shared" si="13"/>
        <v/>
      </c>
      <c r="K72" s="92" t="str">
        <f>IF('Prod 1'!D73="","",'Prod 1'!D73)</f>
        <v/>
      </c>
      <c r="L72" s="119" t="str">
        <f>IF('Prod 1'!I73="","",'Prod 1'!I73+'BH (2)'!C72)</f>
        <v/>
      </c>
      <c r="M72" s="59"/>
      <c r="N72" s="91"/>
      <c r="Q72" s="119" t="str">
        <f t="shared" si="14"/>
        <v/>
      </c>
      <c r="R72" s="92" t="str">
        <f>IF('Prod 1'!D73="","",'Prod 1'!D73)</f>
        <v/>
      </c>
      <c r="S72" s="119" t="str">
        <f>IF('Prod 1'!E73="","",'Prod 1'!E73+'BH (2)'!C72)</f>
        <v/>
      </c>
      <c r="T72" s="59"/>
      <c r="U72" s="91"/>
    </row>
    <row r="73" spans="2:21" ht="24.95" customHeight="1" x14ac:dyDescent="0.25">
      <c r="B73" s="119" t="str">
        <f t="shared" si="12"/>
        <v/>
      </c>
      <c r="C73" s="2">
        <v>6.9999999999999997E-7</v>
      </c>
      <c r="D73" s="92" t="str">
        <f>IF(DespF!D76="","",DespF!D76)</f>
        <v/>
      </c>
      <c r="E73" s="90" t="str">
        <f>IF(DespF!E76="","",DespF!E76+'BH (2)'!C73)</f>
        <v/>
      </c>
      <c r="F73" s="59"/>
      <c r="G73" s="21"/>
      <c r="I73" s="106">
        <v>70</v>
      </c>
      <c r="J73" s="119" t="str">
        <f t="shared" si="13"/>
        <v/>
      </c>
      <c r="K73" s="92" t="str">
        <f>IF('Prod 1'!D74="","",'Prod 1'!D74)</f>
        <v/>
      </c>
      <c r="L73" s="119" t="str">
        <f>IF('Prod 1'!I74="","",'Prod 1'!I74+'BH (2)'!C73)</f>
        <v/>
      </c>
      <c r="M73" s="59"/>
      <c r="N73" s="91"/>
      <c r="Q73" s="119" t="str">
        <f t="shared" si="14"/>
        <v/>
      </c>
      <c r="R73" s="92" t="str">
        <f>IF('Prod 1'!D74="","",'Prod 1'!D74)</f>
        <v/>
      </c>
      <c r="S73" s="119" t="str">
        <f>IF('Prod 1'!E74="","",'Prod 1'!E74+'BH (2)'!C73)</f>
        <v/>
      </c>
      <c r="T73" s="59"/>
      <c r="U73" s="91"/>
    </row>
    <row r="74" spans="2:21" ht="24.95" customHeight="1" x14ac:dyDescent="0.25">
      <c r="B74" s="119" t="str">
        <f t="shared" si="12"/>
        <v/>
      </c>
      <c r="C74" s="2">
        <v>7.0999999999999998E-7</v>
      </c>
      <c r="D74" s="92" t="str">
        <f>IF(DespF!D77="","",DespF!D77)</f>
        <v/>
      </c>
      <c r="E74" s="90" t="str">
        <f>IF(DespF!E77="","",DespF!E77+'BH (2)'!C74)</f>
        <v/>
      </c>
      <c r="F74" s="59"/>
      <c r="G74" s="21"/>
      <c r="I74" s="106">
        <v>71</v>
      </c>
      <c r="J74" s="119" t="str">
        <f t="shared" si="13"/>
        <v/>
      </c>
      <c r="K74" s="92" t="str">
        <f>IF('Prod 1'!D75="","",'Prod 1'!D75)</f>
        <v/>
      </c>
      <c r="L74" s="119" t="str">
        <f>IF('Prod 1'!I75="","",'Prod 1'!I75+'BH (2)'!C74)</f>
        <v/>
      </c>
      <c r="M74" s="59"/>
      <c r="N74" s="91"/>
      <c r="Q74" s="119" t="str">
        <f t="shared" si="14"/>
        <v/>
      </c>
      <c r="R74" s="92" t="str">
        <f>IF('Prod 1'!D75="","",'Prod 1'!D75)</f>
        <v/>
      </c>
      <c r="S74" s="119" t="str">
        <f>IF('Prod 1'!E75="","",'Prod 1'!E75+'BH (2)'!C74)</f>
        <v/>
      </c>
      <c r="T74" s="59"/>
      <c r="U74" s="91"/>
    </row>
    <row r="75" spans="2:21" ht="24.95" customHeight="1" x14ac:dyDescent="0.25">
      <c r="B75" s="119" t="str">
        <f t="shared" si="12"/>
        <v/>
      </c>
      <c r="C75" s="2">
        <v>7.1999999999999999E-7</v>
      </c>
      <c r="D75" s="92" t="str">
        <f>IF(DespF!D78="","",DespF!D78)</f>
        <v/>
      </c>
      <c r="E75" s="90" t="str">
        <f>IF(DespF!E78="","",DespF!E78+'BH (2)'!C75)</f>
        <v/>
      </c>
      <c r="F75" s="59"/>
      <c r="G75" s="21"/>
      <c r="I75" s="106">
        <v>72</v>
      </c>
      <c r="J75" s="119" t="str">
        <f t="shared" si="13"/>
        <v/>
      </c>
      <c r="K75" s="92" t="str">
        <f>IF('Prod 1'!D76="","",'Prod 1'!D76)</f>
        <v/>
      </c>
      <c r="L75" s="119" t="str">
        <f>IF('Prod 1'!I76="","",'Prod 1'!I76+'BH (2)'!C75)</f>
        <v/>
      </c>
      <c r="M75" s="59"/>
      <c r="N75" s="91"/>
      <c r="Q75" s="119" t="str">
        <f t="shared" si="14"/>
        <v/>
      </c>
      <c r="R75" s="92" t="str">
        <f>IF('Prod 1'!D76="","",'Prod 1'!D76)</f>
        <v/>
      </c>
      <c r="S75" s="119" t="str">
        <f>IF('Prod 1'!E76="","",'Prod 1'!E76+'BH (2)'!C75)</f>
        <v/>
      </c>
      <c r="T75" s="59"/>
      <c r="U75" s="91"/>
    </row>
    <row r="76" spans="2:21" ht="24.95" customHeight="1" x14ac:dyDescent="0.25">
      <c r="B76" s="119" t="str">
        <f t="shared" si="12"/>
        <v/>
      </c>
      <c r="C76" s="2">
        <v>7.3E-7</v>
      </c>
      <c r="D76" s="92" t="str">
        <f>IF(DespF!D79="","",DespF!D79)</f>
        <v/>
      </c>
      <c r="E76" s="90" t="str">
        <f>IF(DespF!E79="","",DespF!E79+'BH (2)'!C76)</f>
        <v/>
      </c>
      <c r="F76" s="59"/>
      <c r="G76" s="21"/>
      <c r="I76" s="106">
        <v>73</v>
      </c>
      <c r="J76" s="119" t="str">
        <f t="shared" si="13"/>
        <v/>
      </c>
      <c r="K76" s="92" t="str">
        <f>IF('Prod 1'!D77="","",'Prod 1'!D77)</f>
        <v/>
      </c>
      <c r="L76" s="119" t="str">
        <f>IF('Prod 1'!I77="","",'Prod 1'!I77+'BH (2)'!C76)</f>
        <v/>
      </c>
      <c r="M76" s="59"/>
      <c r="N76" s="91"/>
      <c r="Q76" s="119" t="str">
        <f t="shared" si="14"/>
        <v/>
      </c>
      <c r="R76" s="92" t="str">
        <f>IF('Prod 1'!D77="","",'Prod 1'!D77)</f>
        <v/>
      </c>
      <c r="S76" s="119" t="str">
        <f>IF('Prod 1'!E77="","",'Prod 1'!E77+'BH (2)'!C76)</f>
        <v/>
      </c>
      <c r="T76" s="59"/>
      <c r="U76" s="91"/>
    </row>
    <row r="77" spans="2:21" ht="24.95" customHeight="1" x14ac:dyDescent="0.25">
      <c r="B77" s="119" t="str">
        <f t="shared" si="12"/>
        <v/>
      </c>
      <c r="C77" s="2">
        <v>7.4000000000000001E-7</v>
      </c>
      <c r="D77" s="92" t="str">
        <f>IF(DespF!D80="","",DespF!D80)</f>
        <v/>
      </c>
      <c r="E77" s="90" t="str">
        <f>IF(DespF!E80="","",DespF!E80+'BH (2)'!C77)</f>
        <v/>
      </c>
      <c r="F77" s="59"/>
      <c r="G77" s="21"/>
      <c r="I77" s="106">
        <v>74</v>
      </c>
      <c r="J77" s="119" t="str">
        <f t="shared" si="13"/>
        <v/>
      </c>
      <c r="K77" s="92" t="str">
        <f>IF('Prod 1'!D78="","",'Prod 1'!D78)</f>
        <v/>
      </c>
      <c r="L77" s="119" t="str">
        <f>IF('Prod 1'!I78="","",'Prod 1'!I78+'BH (2)'!C77)</f>
        <v/>
      </c>
      <c r="M77" s="59"/>
      <c r="N77" s="91"/>
      <c r="Q77" s="119" t="str">
        <f t="shared" si="14"/>
        <v/>
      </c>
      <c r="R77" s="92" t="str">
        <f>IF('Prod 1'!D78="","",'Prod 1'!D78)</f>
        <v/>
      </c>
      <c r="S77" s="119" t="str">
        <f>IF('Prod 1'!E78="","",'Prod 1'!E78+'BH (2)'!C77)</f>
        <v/>
      </c>
      <c r="T77" s="59"/>
      <c r="U77" s="91"/>
    </row>
    <row r="78" spans="2:21" ht="24.95" customHeight="1" x14ac:dyDescent="0.25">
      <c r="B78" s="119" t="str">
        <f t="shared" si="12"/>
        <v/>
      </c>
      <c r="C78" s="2">
        <v>7.5000000000000002E-7</v>
      </c>
      <c r="D78" s="92" t="str">
        <f>IF(DespF!D81="","",DespF!D81)</f>
        <v/>
      </c>
      <c r="E78" s="90" t="str">
        <f>IF(DespF!E81="","",DespF!E81+'BH (2)'!C78)</f>
        <v/>
      </c>
      <c r="F78" s="59"/>
      <c r="G78" s="21"/>
      <c r="I78" s="106">
        <v>75</v>
      </c>
      <c r="J78" s="119" t="str">
        <f t="shared" si="13"/>
        <v/>
      </c>
      <c r="K78" s="92" t="str">
        <f>IF('Prod 1'!D79="","",'Prod 1'!D79)</f>
        <v/>
      </c>
      <c r="L78" s="119" t="str">
        <f>IF('Prod 1'!I79="","",'Prod 1'!I79+'BH (2)'!C78)</f>
        <v/>
      </c>
      <c r="M78" s="59"/>
      <c r="N78" s="91"/>
      <c r="Q78" s="119" t="str">
        <f t="shared" si="14"/>
        <v/>
      </c>
      <c r="R78" s="92" t="str">
        <f>IF('Prod 1'!D79="","",'Prod 1'!D79)</f>
        <v/>
      </c>
      <c r="S78" s="119" t="str">
        <f>IF('Prod 1'!E79="","",'Prod 1'!E79+'BH (2)'!C78)</f>
        <v/>
      </c>
      <c r="T78" s="59"/>
      <c r="U78" s="91"/>
    </row>
    <row r="79" spans="2:21" ht="24.95" customHeight="1" x14ac:dyDescent="0.25">
      <c r="B79" s="119" t="str">
        <f t="shared" si="12"/>
        <v/>
      </c>
      <c r="C79" s="2">
        <v>7.6000000000000003E-7</v>
      </c>
      <c r="D79" s="92" t="str">
        <f>IF(DespF!D82="","",DespF!D82)</f>
        <v/>
      </c>
      <c r="E79" s="90" t="str">
        <f>IF(DespF!E82="","",DespF!E82+'BH (2)'!C79)</f>
        <v/>
      </c>
      <c r="F79" s="59"/>
      <c r="G79" s="21"/>
      <c r="I79" s="106">
        <v>76</v>
      </c>
      <c r="J79" s="119" t="str">
        <f t="shared" si="13"/>
        <v/>
      </c>
      <c r="K79" s="92" t="str">
        <f>IF('Prod 1'!D80="","",'Prod 1'!D80)</f>
        <v/>
      </c>
      <c r="L79" s="119" t="str">
        <f>IF('Prod 1'!I80="","",'Prod 1'!I80+'BH (2)'!C79)</f>
        <v/>
      </c>
      <c r="M79" s="59"/>
      <c r="N79" s="91"/>
      <c r="Q79" s="119" t="str">
        <f t="shared" si="14"/>
        <v/>
      </c>
      <c r="R79" s="92" t="str">
        <f>IF('Prod 1'!D80="","",'Prod 1'!D80)</f>
        <v/>
      </c>
      <c r="S79" s="119" t="str">
        <f>IF('Prod 1'!E80="","",'Prod 1'!E80+'BH (2)'!C79)</f>
        <v/>
      </c>
      <c r="T79" s="59"/>
      <c r="U79" s="91"/>
    </row>
    <row r="80" spans="2:21" ht="24.95" customHeight="1" x14ac:dyDescent="0.25">
      <c r="B80" s="119" t="str">
        <f t="shared" si="12"/>
        <v/>
      </c>
      <c r="C80" s="2">
        <v>7.7000000000000004E-7</v>
      </c>
      <c r="D80" s="92" t="str">
        <f>IF(DespF!D83="","",DespF!D83)</f>
        <v/>
      </c>
      <c r="E80" s="90" t="str">
        <f>IF(DespF!E83="","",DespF!E83+'BH (2)'!C80)</f>
        <v/>
      </c>
      <c r="F80" s="59"/>
      <c r="G80" s="21"/>
      <c r="I80" s="106">
        <v>77</v>
      </c>
      <c r="J80" s="119" t="str">
        <f t="shared" si="13"/>
        <v/>
      </c>
      <c r="K80" s="92" t="str">
        <f>IF('Prod 1'!D81="","",'Prod 1'!D81)</f>
        <v/>
      </c>
      <c r="L80" s="119" t="str">
        <f>IF('Prod 1'!I81="","",'Prod 1'!I81+'BH (2)'!C80)</f>
        <v/>
      </c>
      <c r="M80" s="59"/>
      <c r="N80" s="91"/>
      <c r="Q80" s="119" t="str">
        <f t="shared" si="14"/>
        <v/>
      </c>
      <c r="R80" s="92" t="str">
        <f>IF('Prod 1'!D81="","",'Prod 1'!D81)</f>
        <v/>
      </c>
      <c r="S80" s="119" t="str">
        <f>IF('Prod 1'!E81="","",'Prod 1'!E81+'BH (2)'!C80)</f>
        <v/>
      </c>
      <c r="T80" s="59"/>
      <c r="U80" s="91"/>
    </row>
    <row r="81" spans="2:21" ht="24.95" customHeight="1" x14ac:dyDescent="0.25">
      <c r="B81" s="119" t="str">
        <f t="shared" si="12"/>
        <v/>
      </c>
      <c r="C81" s="2">
        <v>7.8000000000000005E-7</v>
      </c>
      <c r="D81" s="92" t="str">
        <f>IF(DespF!D84="","",DespF!D84)</f>
        <v/>
      </c>
      <c r="E81" s="90" t="str">
        <f>IF(DespF!E84="","",DespF!E84+'BH (2)'!C81)</f>
        <v/>
      </c>
      <c r="F81" s="59"/>
      <c r="G81" s="21"/>
      <c r="I81" s="106">
        <v>78</v>
      </c>
      <c r="J81" s="119" t="str">
        <f t="shared" si="13"/>
        <v/>
      </c>
      <c r="K81" s="92" t="str">
        <f>IF('Prod 1'!D82="","",'Prod 1'!D82)</f>
        <v/>
      </c>
      <c r="L81" s="119" t="str">
        <f>IF('Prod 1'!I82="","",'Prod 1'!I82+'BH (2)'!C81)</f>
        <v/>
      </c>
      <c r="M81" s="59"/>
      <c r="N81" s="91"/>
      <c r="Q81" s="119" t="str">
        <f t="shared" si="14"/>
        <v/>
      </c>
      <c r="R81" s="92" t="str">
        <f>IF('Prod 1'!D82="","",'Prod 1'!D82)</f>
        <v/>
      </c>
      <c r="S81" s="119" t="str">
        <f>IF('Prod 1'!E82="","",'Prod 1'!E82+'BH (2)'!C81)</f>
        <v/>
      </c>
      <c r="T81" s="59"/>
      <c r="U81" s="91"/>
    </row>
    <row r="82" spans="2:21" ht="24.95" customHeight="1" x14ac:dyDescent="0.25">
      <c r="B82" s="119" t="str">
        <f t="shared" si="12"/>
        <v/>
      </c>
      <c r="C82" s="2">
        <v>7.8999999999999995E-7</v>
      </c>
      <c r="D82" s="92" t="str">
        <f>IF(DespF!D85="","",DespF!D85)</f>
        <v/>
      </c>
      <c r="E82" s="90" t="str">
        <f>IF(DespF!E85="","",DespF!E85+'BH (2)'!C82)</f>
        <v/>
      </c>
      <c r="F82" s="59"/>
      <c r="G82" s="21"/>
      <c r="I82" s="106">
        <v>79</v>
      </c>
      <c r="J82" s="119" t="str">
        <f t="shared" si="13"/>
        <v/>
      </c>
      <c r="K82" s="92" t="str">
        <f>IF('Prod 1'!D83="","",'Prod 1'!D83)</f>
        <v/>
      </c>
      <c r="L82" s="119" t="str">
        <f>IF('Prod 1'!I83="","",'Prod 1'!I83+'BH (2)'!C82)</f>
        <v/>
      </c>
      <c r="M82" s="59"/>
      <c r="N82" s="91"/>
      <c r="Q82" s="119" t="str">
        <f t="shared" si="14"/>
        <v/>
      </c>
      <c r="R82" s="92" t="str">
        <f>IF('Prod 1'!D83="","",'Prod 1'!D83)</f>
        <v/>
      </c>
      <c r="S82" s="119" t="str">
        <f>IF('Prod 1'!E83="","",'Prod 1'!E83+'BH (2)'!C82)</f>
        <v/>
      </c>
      <c r="T82" s="59"/>
      <c r="U82" s="91"/>
    </row>
    <row r="83" spans="2:21" ht="24.95" customHeight="1" x14ac:dyDescent="0.25">
      <c r="B83" s="119" t="str">
        <f t="shared" si="12"/>
        <v/>
      </c>
      <c r="C83" s="2">
        <v>7.9999999999999996E-7</v>
      </c>
      <c r="D83" s="92" t="str">
        <f>IF(DespF!D86="","",DespF!D86)</f>
        <v/>
      </c>
      <c r="E83" s="90" t="str">
        <f>IF(DespF!E86="","",DespF!E86+'BH (2)'!C83)</f>
        <v/>
      </c>
      <c r="F83" s="59"/>
      <c r="G83" s="21"/>
      <c r="I83" s="106">
        <v>80</v>
      </c>
      <c r="J83" s="119" t="str">
        <f t="shared" si="13"/>
        <v/>
      </c>
      <c r="K83" s="92" t="str">
        <f>IF('Prod 1'!D84="","",'Prod 1'!D84)</f>
        <v/>
      </c>
      <c r="L83" s="119" t="str">
        <f>IF('Prod 1'!I84="","",'Prod 1'!I84+'BH (2)'!C83)</f>
        <v/>
      </c>
      <c r="M83" s="59"/>
      <c r="N83" s="91"/>
      <c r="Q83" s="119" t="str">
        <f t="shared" si="14"/>
        <v/>
      </c>
      <c r="R83" s="92" t="str">
        <f>IF('Prod 1'!D84="","",'Prod 1'!D84)</f>
        <v/>
      </c>
      <c r="S83" s="119" t="str">
        <f>IF('Prod 1'!E84="","",'Prod 1'!E84+'BH (2)'!C83)</f>
        <v/>
      </c>
      <c r="T83" s="59"/>
      <c r="U83" s="91"/>
    </row>
    <row r="84" spans="2:21" ht="24.95" customHeight="1" x14ac:dyDescent="0.25">
      <c r="B84" s="119" t="str">
        <f t="shared" si="12"/>
        <v/>
      </c>
      <c r="C84" s="2">
        <v>8.0999999999999997E-7</v>
      </c>
      <c r="D84" s="92" t="str">
        <f>IF(DespF!D87="","",DespF!D87)</f>
        <v/>
      </c>
      <c r="E84" s="90" t="str">
        <f>IF(DespF!E87="","",DespF!E87+'BH (2)'!C84)</f>
        <v/>
      </c>
      <c r="F84" s="59"/>
      <c r="G84" s="21"/>
      <c r="I84" s="106">
        <v>81</v>
      </c>
      <c r="J84" s="119" t="str">
        <f t="shared" si="13"/>
        <v/>
      </c>
      <c r="K84" s="92" t="str">
        <f>IF('Prod 1'!D85="","",'Prod 1'!D85)</f>
        <v/>
      </c>
      <c r="L84" s="119" t="str">
        <f>IF('Prod 1'!I85="","",'Prod 1'!I85+'BH (2)'!C84)</f>
        <v/>
      </c>
      <c r="M84" s="59"/>
      <c r="N84" s="91"/>
      <c r="Q84" s="119" t="str">
        <f t="shared" si="14"/>
        <v/>
      </c>
      <c r="R84" s="92" t="str">
        <f>IF('Prod 1'!D85="","",'Prod 1'!D85)</f>
        <v/>
      </c>
      <c r="S84" s="119" t="str">
        <f>IF('Prod 1'!E85="","",'Prod 1'!E85+'BH (2)'!C84)</f>
        <v/>
      </c>
      <c r="T84" s="59"/>
      <c r="U84" s="91"/>
    </row>
    <row r="85" spans="2:21" ht="24.95" customHeight="1" x14ac:dyDescent="0.25">
      <c r="B85" s="119" t="str">
        <f t="shared" si="12"/>
        <v/>
      </c>
      <c r="C85" s="2">
        <v>8.1999999999999998E-7</v>
      </c>
      <c r="D85" s="92" t="str">
        <f>IF(DespF!D88="","",DespF!D88)</f>
        <v/>
      </c>
      <c r="E85" s="90" t="str">
        <f>IF(DespF!E88="","",DespF!E88+'BH (2)'!C85)</f>
        <v/>
      </c>
      <c r="F85" s="59"/>
      <c r="G85" s="21"/>
      <c r="I85" s="106">
        <v>82</v>
      </c>
      <c r="J85" s="119" t="str">
        <f t="shared" si="13"/>
        <v/>
      </c>
      <c r="K85" s="92" t="str">
        <f>IF('Prod 1'!D86="","",'Prod 1'!D86)</f>
        <v/>
      </c>
      <c r="L85" s="119" t="str">
        <f>IF('Prod 1'!I86="","",'Prod 1'!I86+'BH (2)'!C85)</f>
        <v/>
      </c>
      <c r="M85" s="59"/>
      <c r="N85" s="91"/>
      <c r="Q85" s="119" t="str">
        <f t="shared" si="14"/>
        <v/>
      </c>
      <c r="R85" s="92" t="str">
        <f>IF('Prod 1'!D86="","",'Prod 1'!D86)</f>
        <v/>
      </c>
      <c r="S85" s="119" t="str">
        <f>IF('Prod 1'!E86="","",'Prod 1'!E86+'BH (2)'!C85)</f>
        <v/>
      </c>
      <c r="T85" s="59"/>
      <c r="U85" s="91"/>
    </row>
    <row r="86" spans="2:21" ht="24.95" customHeight="1" x14ac:dyDescent="0.25">
      <c r="B86" s="119" t="str">
        <f t="shared" si="12"/>
        <v/>
      </c>
      <c r="C86" s="2">
        <v>8.2999999999999999E-7</v>
      </c>
      <c r="D86" s="92" t="str">
        <f>IF(DespF!D89="","",DespF!D89)</f>
        <v/>
      </c>
      <c r="E86" s="90" t="str">
        <f>IF(DespF!E89="","",DespF!E89+'BH (2)'!C86)</f>
        <v/>
      </c>
      <c r="F86" s="59"/>
      <c r="G86" s="21"/>
      <c r="I86" s="106">
        <v>83</v>
      </c>
      <c r="J86" s="119" t="str">
        <f t="shared" si="13"/>
        <v/>
      </c>
      <c r="K86" s="92" t="str">
        <f>IF('Prod 1'!D87="","",'Prod 1'!D87)</f>
        <v/>
      </c>
      <c r="L86" s="119" t="str">
        <f>IF('Prod 1'!I87="","",'Prod 1'!I87+'BH (2)'!C86)</f>
        <v/>
      </c>
      <c r="M86" s="59"/>
      <c r="N86" s="91"/>
      <c r="Q86" s="119" t="str">
        <f t="shared" si="14"/>
        <v/>
      </c>
      <c r="R86" s="92" t="str">
        <f>IF('Prod 1'!D87="","",'Prod 1'!D87)</f>
        <v/>
      </c>
      <c r="S86" s="119" t="str">
        <f>IF('Prod 1'!E87="","",'Prod 1'!E87+'BH (2)'!C86)</f>
        <v/>
      </c>
      <c r="T86" s="59"/>
      <c r="U86" s="91"/>
    </row>
    <row r="87" spans="2:21" ht="24.95" customHeight="1" x14ac:dyDescent="0.25">
      <c r="B87" s="119" t="str">
        <f t="shared" si="12"/>
        <v/>
      </c>
      <c r="C87" s="2">
        <v>8.4E-7</v>
      </c>
      <c r="D87" s="92" t="str">
        <f>IF(DespF!D90="","",DespF!D90)</f>
        <v/>
      </c>
      <c r="E87" s="90" t="str">
        <f>IF(DespF!E90="","",DespF!E90+'BH (2)'!C87)</f>
        <v/>
      </c>
      <c r="F87" s="59"/>
      <c r="G87" s="21"/>
      <c r="I87" s="106">
        <v>84</v>
      </c>
      <c r="J87" s="119" t="str">
        <f t="shared" si="13"/>
        <v/>
      </c>
      <c r="K87" s="92" t="str">
        <f>IF('Prod 1'!D88="","",'Prod 1'!D88)</f>
        <v/>
      </c>
      <c r="L87" s="119" t="str">
        <f>IF('Prod 1'!I88="","",'Prod 1'!I88+'BH (2)'!C87)</f>
        <v/>
      </c>
      <c r="M87" s="59"/>
      <c r="N87" s="91"/>
      <c r="Q87" s="119" t="str">
        <f t="shared" si="14"/>
        <v/>
      </c>
      <c r="R87" s="92" t="str">
        <f>IF('Prod 1'!D88="","",'Prod 1'!D88)</f>
        <v/>
      </c>
      <c r="S87" s="119" t="str">
        <f>IF('Prod 1'!E88="","",'Prod 1'!E88+'BH (2)'!C87)</f>
        <v/>
      </c>
      <c r="T87" s="59"/>
      <c r="U87" s="91"/>
    </row>
    <row r="88" spans="2:21" ht="24.95" customHeight="1" x14ac:dyDescent="0.25">
      <c r="B88" s="119" t="str">
        <f t="shared" si="12"/>
        <v/>
      </c>
      <c r="C88" s="2">
        <v>8.5000000000000001E-7</v>
      </c>
      <c r="D88" s="92" t="str">
        <f>IF(DespF!D91="","",DespF!D91)</f>
        <v/>
      </c>
      <c r="E88" s="90" t="str">
        <f>IF(DespF!E91="","",DespF!E91+'BH (2)'!C88)</f>
        <v/>
      </c>
      <c r="F88" s="59"/>
      <c r="G88" s="21"/>
      <c r="I88" s="106">
        <v>85</v>
      </c>
      <c r="J88" s="119" t="str">
        <f t="shared" si="13"/>
        <v/>
      </c>
      <c r="K88" s="92" t="str">
        <f>IF('Prod 1'!D89="","",'Prod 1'!D89)</f>
        <v/>
      </c>
      <c r="L88" s="119" t="str">
        <f>IF('Prod 1'!I89="","",'Prod 1'!I89+'BH (2)'!C88)</f>
        <v/>
      </c>
      <c r="M88" s="59"/>
      <c r="N88" s="91"/>
      <c r="Q88" s="119" t="str">
        <f t="shared" si="14"/>
        <v/>
      </c>
      <c r="R88" s="92" t="str">
        <f>IF('Prod 1'!D89="","",'Prod 1'!D89)</f>
        <v/>
      </c>
      <c r="S88" s="119" t="str">
        <f>IF('Prod 1'!E89="","",'Prod 1'!E89+'BH (2)'!C88)</f>
        <v/>
      </c>
      <c r="T88" s="59"/>
      <c r="U88" s="91"/>
    </row>
    <row r="89" spans="2:21" ht="24.95" customHeight="1" x14ac:dyDescent="0.25">
      <c r="B89" s="119" t="str">
        <f t="shared" si="12"/>
        <v/>
      </c>
      <c r="C89" s="2">
        <v>8.6000000000000002E-7</v>
      </c>
      <c r="D89" s="92" t="str">
        <f>IF(DespF!D92="","",DespF!D92)</f>
        <v/>
      </c>
      <c r="E89" s="90" t="str">
        <f>IF(DespF!E92="","",DespF!E92+'BH (2)'!C89)</f>
        <v/>
      </c>
      <c r="F89" s="59"/>
      <c r="G89" s="21"/>
      <c r="I89" s="106">
        <v>86</v>
      </c>
      <c r="J89" s="119" t="str">
        <f t="shared" si="13"/>
        <v/>
      </c>
      <c r="K89" s="92" t="str">
        <f>IF('Prod 1'!D90="","",'Prod 1'!D90)</f>
        <v/>
      </c>
      <c r="L89" s="119" t="str">
        <f>IF('Prod 1'!I90="","",'Prod 1'!I90+'BH (2)'!C89)</f>
        <v/>
      </c>
      <c r="M89" s="59"/>
      <c r="N89" s="91"/>
      <c r="Q89" s="119" t="str">
        <f t="shared" si="14"/>
        <v/>
      </c>
      <c r="R89" s="92" t="str">
        <f>IF('Prod 1'!D90="","",'Prod 1'!D90)</f>
        <v/>
      </c>
      <c r="S89" s="119" t="str">
        <f>IF('Prod 1'!E90="","",'Prod 1'!E90+'BH (2)'!C89)</f>
        <v/>
      </c>
      <c r="T89" s="59"/>
      <c r="U89" s="91"/>
    </row>
    <row r="90" spans="2:21" ht="24.95" customHeight="1" x14ac:dyDescent="0.25">
      <c r="B90" s="119" t="str">
        <f t="shared" si="12"/>
        <v/>
      </c>
      <c r="C90" s="2">
        <v>8.7000000000000003E-7</v>
      </c>
      <c r="D90" s="92" t="str">
        <f>IF(DespF!D93="","",DespF!D93)</f>
        <v/>
      </c>
      <c r="E90" s="90" t="str">
        <f>IF(DespF!E93="","",DespF!E93+'BH (2)'!C90)</f>
        <v/>
      </c>
      <c r="F90" s="59"/>
      <c r="G90" s="21"/>
      <c r="I90" s="106">
        <v>87</v>
      </c>
      <c r="J90" s="119" t="str">
        <f t="shared" si="13"/>
        <v/>
      </c>
      <c r="K90" s="92" t="str">
        <f>IF('Prod 1'!D91="","",'Prod 1'!D91)</f>
        <v/>
      </c>
      <c r="L90" s="119" t="str">
        <f>IF('Prod 1'!I91="","",'Prod 1'!I91+'BH (2)'!C90)</f>
        <v/>
      </c>
      <c r="M90" s="59"/>
      <c r="N90" s="91"/>
      <c r="Q90" s="119" t="str">
        <f t="shared" si="14"/>
        <v/>
      </c>
      <c r="R90" s="92" t="str">
        <f>IF('Prod 1'!D91="","",'Prod 1'!D91)</f>
        <v/>
      </c>
      <c r="S90" s="119" t="str">
        <f>IF('Prod 1'!E91="","",'Prod 1'!E91+'BH (2)'!C90)</f>
        <v/>
      </c>
      <c r="T90" s="59"/>
      <c r="U90" s="91"/>
    </row>
    <row r="91" spans="2:21" ht="24.95" customHeight="1" x14ac:dyDescent="0.25">
      <c r="B91" s="119" t="str">
        <f t="shared" si="12"/>
        <v/>
      </c>
      <c r="C91" s="2">
        <v>8.8000000000000004E-7</v>
      </c>
      <c r="D91" s="92" t="str">
        <f>IF(DespF!D94="","",DespF!D94)</f>
        <v/>
      </c>
      <c r="E91" s="90" t="str">
        <f>IF(DespF!E94="","",DespF!E94+'BH (2)'!C91)</f>
        <v/>
      </c>
      <c r="F91" s="59"/>
      <c r="G91" s="21"/>
      <c r="I91" s="106">
        <v>88</v>
      </c>
      <c r="J91" s="119" t="str">
        <f t="shared" si="13"/>
        <v/>
      </c>
      <c r="K91" s="92" t="str">
        <f>IF('Prod 1'!D92="","",'Prod 1'!D92)</f>
        <v/>
      </c>
      <c r="L91" s="119" t="str">
        <f>IF('Prod 1'!I92="","",'Prod 1'!I92+'BH (2)'!C91)</f>
        <v/>
      </c>
      <c r="M91" s="59"/>
      <c r="N91" s="91"/>
      <c r="Q91" s="119" t="str">
        <f t="shared" si="14"/>
        <v/>
      </c>
      <c r="R91" s="92" t="str">
        <f>IF('Prod 1'!D92="","",'Prod 1'!D92)</f>
        <v/>
      </c>
      <c r="S91" s="119" t="str">
        <f>IF('Prod 1'!E92="","",'Prod 1'!E92+'BH (2)'!C91)</f>
        <v/>
      </c>
      <c r="T91" s="59"/>
      <c r="U91" s="91"/>
    </row>
    <row r="92" spans="2:21" ht="24.95" customHeight="1" x14ac:dyDescent="0.25">
      <c r="B92" s="119" t="str">
        <f t="shared" si="12"/>
        <v/>
      </c>
      <c r="C92" s="2">
        <v>8.8999999999999995E-7</v>
      </c>
      <c r="D92" s="92" t="str">
        <f>IF(DespF!D95="","",DespF!D95)</f>
        <v/>
      </c>
      <c r="E92" s="90" t="str">
        <f>IF(DespF!E95="","",DespF!E95+'BH (2)'!C92)</f>
        <v/>
      </c>
      <c r="F92" s="59"/>
      <c r="G92" s="21"/>
      <c r="I92" s="106">
        <v>89</v>
      </c>
      <c r="J92" s="119" t="str">
        <f t="shared" si="13"/>
        <v/>
      </c>
      <c r="K92" s="92" t="str">
        <f>IF('Prod 1'!D93="","",'Prod 1'!D93)</f>
        <v/>
      </c>
      <c r="L92" s="119" t="str">
        <f>IF('Prod 1'!I93="","",'Prod 1'!I93+'BH (2)'!C92)</f>
        <v/>
      </c>
      <c r="M92" s="59"/>
      <c r="N92" s="91"/>
      <c r="Q92" s="119" t="str">
        <f t="shared" si="14"/>
        <v/>
      </c>
      <c r="R92" s="92" t="str">
        <f>IF('Prod 1'!D93="","",'Prod 1'!D93)</f>
        <v/>
      </c>
      <c r="S92" s="119" t="str">
        <f>IF('Prod 1'!E93="","",'Prod 1'!E93+'BH (2)'!C92)</f>
        <v/>
      </c>
      <c r="T92" s="59"/>
      <c r="U92" s="91"/>
    </row>
    <row r="93" spans="2:21" ht="24.95" customHeight="1" x14ac:dyDescent="0.25">
      <c r="B93" s="119" t="str">
        <f t="shared" si="12"/>
        <v/>
      </c>
      <c r="C93" s="2">
        <v>8.9999999999999996E-7</v>
      </c>
      <c r="D93" s="92" t="str">
        <f>IF(DespF!D96="","",DespF!D96)</f>
        <v/>
      </c>
      <c r="E93" s="90" t="str">
        <f>IF(DespF!E96="","",DespF!E96+'BH (2)'!C93)</f>
        <v/>
      </c>
      <c r="F93" s="59"/>
      <c r="G93" s="21"/>
      <c r="I93" s="106">
        <v>90</v>
      </c>
      <c r="J93" s="119" t="str">
        <f t="shared" si="13"/>
        <v/>
      </c>
      <c r="K93" s="92" t="str">
        <f>IF('Prod 1'!D94="","",'Prod 1'!D94)</f>
        <v/>
      </c>
      <c r="L93" s="119" t="str">
        <f>IF('Prod 1'!I94="","",'Prod 1'!I94+'BH (2)'!C93)</f>
        <v/>
      </c>
      <c r="M93" s="59"/>
      <c r="N93" s="91"/>
      <c r="Q93" s="119" t="str">
        <f t="shared" si="14"/>
        <v/>
      </c>
      <c r="R93" s="92" t="str">
        <f>IF('Prod 1'!D94="","",'Prod 1'!D94)</f>
        <v/>
      </c>
      <c r="S93" s="119" t="str">
        <f>IF('Prod 1'!E94="","",'Prod 1'!E94+'BH (2)'!C93)</f>
        <v/>
      </c>
      <c r="T93" s="59"/>
      <c r="U93" s="91"/>
    </row>
    <row r="94" spans="2:21" ht="24.95" customHeight="1" x14ac:dyDescent="0.25">
      <c r="B94" s="119" t="str">
        <f t="shared" si="12"/>
        <v/>
      </c>
      <c r="C94" s="2">
        <v>9.0999999999999997E-7</v>
      </c>
      <c r="D94" s="92" t="str">
        <f>IF(DespF!D97="","",DespF!D97)</f>
        <v/>
      </c>
      <c r="E94" s="90" t="str">
        <f>IF(DespF!E97="","",DespF!E97+'BH (2)'!C94)</f>
        <v/>
      </c>
      <c r="F94" s="59"/>
      <c r="G94" s="21"/>
      <c r="I94" s="106">
        <v>91</v>
      </c>
      <c r="J94" s="119" t="str">
        <f t="shared" si="13"/>
        <v/>
      </c>
      <c r="K94" s="92" t="str">
        <f>IF('Prod 1'!D95="","",'Prod 1'!D95)</f>
        <v/>
      </c>
      <c r="L94" s="119" t="str">
        <f>IF('Prod 1'!I95="","",'Prod 1'!I95+'BH (2)'!C94)</f>
        <v/>
      </c>
      <c r="M94" s="59"/>
      <c r="N94" s="91"/>
      <c r="Q94" s="119" t="str">
        <f t="shared" si="14"/>
        <v/>
      </c>
      <c r="R94" s="92" t="str">
        <f>IF('Prod 1'!D95="","",'Prod 1'!D95)</f>
        <v/>
      </c>
      <c r="S94" s="119" t="str">
        <f>IF('Prod 1'!E95="","",'Prod 1'!E95+'BH (2)'!C94)</f>
        <v/>
      </c>
      <c r="T94" s="59"/>
      <c r="U94" s="91"/>
    </row>
    <row r="95" spans="2:21" ht="24.95" customHeight="1" x14ac:dyDescent="0.25">
      <c r="B95" s="119" t="str">
        <f t="shared" si="12"/>
        <v/>
      </c>
      <c r="C95" s="2">
        <v>9.1999999999999998E-7</v>
      </c>
      <c r="D95" s="92" t="str">
        <f>IF(DespF!D98="","",DespF!D98)</f>
        <v/>
      </c>
      <c r="E95" s="90" t="str">
        <f>IF(DespF!E98="","",DespF!E98+'BH (2)'!C95)</f>
        <v/>
      </c>
      <c r="F95" s="59"/>
      <c r="G95" s="21"/>
      <c r="I95" s="106">
        <v>92</v>
      </c>
      <c r="J95" s="119" t="str">
        <f t="shared" si="13"/>
        <v/>
      </c>
      <c r="K95" s="92" t="str">
        <f>IF('Prod 1'!D96="","",'Prod 1'!D96)</f>
        <v/>
      </c>
      <c r="L95" s="119" t="str">
        <f>IF('Prod 1'!I96="","",'Prod 1'!I96+'BH (2)'!C95)</f>
        <v/>
      </c>
      <c r="M95" s="59"/>
      <c r="N95" s="91"/>
      <c r="Q95" s="119" t="str">
        <f t="shared" si="14"/>
        <v/>
      </c>
      <c r="R95" s="92" t="str">
        <f>IF('Prod 1'!D96="","",'Prod 1'!D96)</f>
        <v/>
      </c>
      <c r="S95" s="119" t="str">
        <f>IF('Prod 1'!E96="","",'Prod 1'!E96+'BH (2)'!C95)</f>
        <v/>
      </c>
      <c r="T95" s="59"/>
      <c r="U95" s="91"/>
    </row>
    <row r="96" spans="2:21" ht="24.95" customHeight="1" x14ac:dyDescent="0.25">
      <c r="B96" s="119" t="str">
        <f t="shared" si="12"/>
        <v/>
      </c>
      <c r="C96" s="2">
        <v>9.2999999999999999E-7</v>
      </c>
      <c r="D96" s="92" t="str">
        <f>IF(DespF!D99="","",DespF!D99)</f>
        <v/>
      </c>
      <c r="E96" s="90" t="str">
        <f>IF(DespF!E99="","",DespF!E99+'BH (2)'!C96)</f>
        <v/>
      </c>
      <c r="F96" s="59"/>
      <c r="G96" s="21"/>
      <c r="I96" s="106">
        <v>93</v>
      </c>
      <c r="J96" s="119" t="str">
        <f t="shared" si="13"/>
        <v/>
      </c>
      <c r="K96" s="92" t="str">
        <f>IF('Prod 1'!D97="","",'Prod 1'!D97)</f>
        <v/>
      </c>
      <c r="L96" s="119" t="str">
        <f>IF('Prod 1'!I97="","",'Prod 1'!I97+'BH (2)'!C96)</f>
        <v/>
      </c>
      <c r="M96" s="59"/>
      <c r="N96" s="91"/>
      <c r="Q96" s="119" t="str">
        <f t="shared" si="14"/>
        <v/>
      </c>
      <c r="R96" s="92" t="str">
        <f>IF('Prod 1'!D97="","",'Prod 1'!D97)</f>
        <v/>
      </c>
      <c r="S96" s="119" t="str">
        <f>IF('Prod 1'!E97="","",'Prod 1'!E97+'BH (2)'!C96)</f>
        <v/>
      </c>
      <c r="T96" s="59"/>
      <c r="U96" s="91"/>
    </row>
    <row r="97" spans="2:21" ht="24.95" customHeight="1" x14ac:dyDescent="0.25">
      <c r="B97" s="119" t="str">
        <f t="shared" si="12"/>
        <v/>
      </c>
      <c r="C97" s="2">
        <v>9.4E-7</v>
      </c>
      <c r="D97" s="92" t="str">
        <f>IF(DespF!D100="","",DespF!D100)</f>
        <v/>
      </c>
      <c r="E97" s="90" t="str">
        <f>IF(DespF!E100="","",DespF!E100+'BH (2)'!C97)</f>
        <v/>
      </c>
      <c r="F97" s="59"/>
      <c r="G97" s="21"/>
      <c r="I97" s="106">
        <v>94</v>
      </c>
      <c r="J97" s="119" t="str">
        <f t="shared" si="13"/>
        <v/>
      </c>
      <c r="K97" s="92" t="str">
        <f>IF('Prod 1'!D98="","",'Prod 1'!D98)</f>
        <v/>
      </c>
      <c r="L97" s="119" t="str">
        <f>IF('Prod 1'!I98="","",'Prod 1'!I98+'BH (2)'!C97)</f>
        <v/>
      </c>
      <c r="M97" s="59"/>
      <c r="N97" s="91"/>
      <c r="Q97" s="119" t="str">
        <f t="shared" si="14"/>
        <v/>
      </c>
      <c r="R97" s="92" t="str">
        <f>IF('Prod 1'!D98="","",'Prod 1'!D98)</f>
        <v/>
      </c>
      <c r="S97" s="119" t="str">
        <f>IF('Prod 1'!E98="","",'Prod 1'!E98+'BH (2)'!C97)</f>
        <v/>
      </c>
      <c r="T97" s="59"/>
      <c r="U97" s="91"/>
    </row>
    <row r="98" spans="2:21" ht="24.95" customHeight="1" x14ac:dyDescent="0.25">
      <c r="B98" s="119" t="str">
        <f t="shared" si="12"/>
        <v/>
      </c>
      <c r="C98" s="2">
        <v>9.5000000000000001E-7</v>
      </c>
      <c r="D98" s="92" t="str">
        <f>IF(DespF!D101="","",DespF!D101)</f>
        <v/>
      </c>
      <c r="E98" s="90" t="str">
        <f>IF(DespF!E101="","",DespF!E101+'BH (2)'!C98)</f>
        <v/>
      </c>
      <c r="F98" s="59"/>
      <c r="G98" s="21"/>
      <c r="I98" s="106">
        <v>95</v>
      </c>
      <c r="J98" s="119" t="str">
        <f t="shared" si="13"/>
        <v/>
      </c>
      <c r="K98" s="92" t="str">
        <f>IF('Prod 1'!D99="","",'Prod 1'!D99)</f>
        <v/>
      </c>
      <c r="L98" s="119" t="str">
        <f>IF('Prod 1'!I99="","",'Prod 1'!I99+'BH (2)'!C98)</f>
        <v/>
      </c>
      <c r="M98" s="59"/>
      <c r="N98" s="91"/>
      <c r="Q98" s="119" t="str">
        <f t="shared" si="14"/>
        <v/>
      </c>
      <c r="R98" s="92" t="str">
        <f>IF('Prod 1'!D99="","",'Prod 1'!D99)</f>
        <v/>
      </c>
      <c r="S98" s="119" t="str">
        <f>IF('Prod 1'!E99="","",'Prod 1'!E99+'BH (2)'!C98)</f>
        <v/>
      </c>
      <c r="T98" s="59"/>
      <c r="U98" s="91"/>
    </row>
    <row r="99" spans="2:21" ht="24.95" customHeight="1" x14ac:dyDescent="0.25">
      <c r="B99" s="119" t="str">
        <f t="shared" si="12"/>
        <v/>
      </c>
      <c r="C99" s="2">
        <v>9.5999999999999991E-7</v>
      </c>
      <c r="D99" s="92" t="str">
        <f>IF(DespF!D102="","",DespF!D102)</f>
        <v/>
      </c>
      <c r="E99" s="90" t="str">
        <f>IF(DespF!E102="","",DespF!E102+'BH (2)'!C99)</f>
        <v/>
      </c>
      <c r="F99" s="59"/>
      <c r="G99" s="21"/>
      <c r="I99" s="106">
        <v>96</v>
      </c>
      <c r="J99" s="119" t="str">
        <f t="shared" si="13"/>
        <v/>
      </c>
      <c r="K99" s="92" t="str">
        <f>IF('Prod 1'!D100="","",'Prod 1'!D100)</f>
        <v/>
      </c>
      <c r="L99" s="119" t="str">
        <f>IF('Prod 1'!I100="","",'Prod 1'!I100+'BH (2)'!C99)</f>
        <v/>
      </c>
      <c r="M99" s="59"/>
      <c r="N99" s="91"/>
      <c r="Q99" s="119" t="str">
        <f t="shared" si="14"/>
        <v/>
      </c>
      <c r="R99" s="92" t="str">
        <f>IF('Prod 1'!D100="","",'Prod 1'!D100)</f>
        <v/>
      </c>
      <c r="S99" s="119" t="str">
        <f>IF('Prod 1'!E100="","",'Prod 1'!E100+'BH (2)'!C99)</f>
        <v/>
      </c>
      <c r="T99" s="59"/>
      <c r="U99" s="91"/>
    </row>
    <row r="100" spans="2:21" ht="24.95" customHeight="1" x14ac:dyDescent="0.25">
      <c r="B100" s="119" t="str">
        <f t="shared" si="12"/>
        <v/>
      </c>
      <c r="C100" s="2">
        <v>9.7000000000000003E-7</v>
      </c>
      <c r="D100" s="92" t="str">
        <f>IF(DespF!D103="","",DespF!D103)</f>
        <v/>
      </c>
      <c r="E100" s="90" t="str">
        <f>IF(DespF!E103="","",DespF!E103+'BH (2)'!C100)</f>
        <v/>
      </c>
      <c r="F100" s="59"/>
      <c r="G100" s="21"/>
      <c r="I100" s="106">
        <v>97</v>
      </c>
      <c r="J100" s="119" t="str">
        <f t="shared" si="13"/>
        <v/>
      </c>
      <c r="K100" s="92" t="str">
        <f>IF('Prod 1'!D101="","",'Prod 1'!D101)</f>
        <v/>
      </c>
      <c r="L100" s="119" t="str">
        <f>IF('Prod 1'!I101="","",'Prod 1'!I101+'BH (2)'!C100)</f>
        <v/>
      </c>
      <c r="M100" s="59"/>
      <c r="N100" s="91"/>
      <c r="Q100" s="119" t="str">
        <f t="shared" si="14"/>
        <v/>
      </c>
      <c r="R100" s="92" t="str">
        <f>IF('Prod 1'!D101="","",'Prod 1'!D101)</f>
        <v/>
      </c>
      <c r="S100" s="119" t="str">
        <f>IF('Prod 1'!E101="","",'Prod 1'!E101+'BH (2)'!C100)</f>
        <v/>
      </c>
      <c r="T100" s="59"/>
      <c r="U100" s="91"/>
    </row>
    <row r="101" spans="2:21" ht="24.95" customHeight="1" x14ac:dyDescent="0.25">
      <c r="B101" s="119" t="str">
        <f t="shared" si="12"/>
        <v/>
      </c>
      <c r="C101" s="2">
        <v>9.7999999999999993E-7</v>
      </c>
      <c r="D101" s="92" t="str">
        <f>IF(DespF!D104="","",DespF!D104)</f>
        <v/>
      </c>
      <c r="E101" s="90" t="str">
        <f>IF(DespF!E104="","",DespF!E104+'BH (2)'!C101)</f>
        <v/>
      </c>
      <c r="F101" s="59"/>
      <c r="G101" s="21"/>
      <c r="I101" s="106">
        <v>98</v>
      </c>
      <c r="J101" s="119" t="str">
        <f t="shared" si="13"/>
        <v/>
      </c>
      <c r="K101" s="92" t="str">
        <f>IF('Prod 1'!D102="","",'Prod 1'!D102)</f>
        <v/>
      </c>
      <c r="L101" s="119" t="str">
        <f>IF('Prod 1'!I102="","",'Prod 1'!I102+'BH (2)'!C101)</f>
        <v/>
      </c>
      <c r="M101" s="59"/>
      <c r="N101" s="91"/>
      <c r="Q101" s="119" t="str">
        <f t="shared" si="14"/>
        <v/>
      </c>
      <c r="R101" s="92" t="str">
        <f>IF('Prod 1'!D102="","",'Prod 1'!D102)</f>
        <v/>
      </c>
      <c r="S101" s="119" t="str">
        <f>IF('Prod 1'!E102="","",'Prod 1'!E102+'BH (2)'!C101)</f>
        <v/>
      </c>
      <c r="T101" s="59"/>
      <c r="U101" s="91"/>
    </row>
    <row r="102" spans="2:21" ht="24.95" customHeight="1" x14ac:dyDescent="0.25">
      <c r="B102" s="119" t="str">
        <f t="shared" si="12"/>
        <v/>
      </c>
      <c r="C102" s="2">
        <v>9.9000000000000005E-7</v>
      </c>
      <c r="D102" s="92" t="str">
        <f>IF(DespF!D105="","",DespF!D105)</f>
        <v/>
      </c>
      <c r="E102" s="90" t="str">
        <f>IF(DespF!E105="","",DespF!E105+'BH (2)'!C102)</f>
        <v/>
      </c>
      <c r="F102" s="59"/>
      <c r="G102" s="21"/>
      <c r="I102" s="106">
        <v>99</v>
      </c>
      <c r="J102" s="119" t="str">
        <f t="shared" si="13"/>
        <v/>
      </c>
      <c r="K102" s="92" t="str">
        <f>IF('Prod 1'!D103="","",'Prod 1'!D103)</f>
        <v/>
      </c>
      <c r="L102" s="119" t="str">
        <f>IF('Prod 1'!I103="","",'Prod 1'!I103+'BH (2)'!C102)</f>
        <v/>
      </c>
      <c r="M102" s="59"/>
      <c r="N102" s="91"/>
      <c r="Q102" s="119" t="str">
        <f t="shared" si="14"/>
        <v/>
      </c>
      <c r="R102" s="92" t="str">
        <f>IF('Prod 1'!D103="","",'Prod 1'!D103)</f>
        <v/>
      </c>
      <c r="S102" s="119" t="str">
        <f>IF('Prod 1'!E103="","",'Prod 1'!E103+'BH (2)'!C102)</f>
        <v/>
      </c>
      <c r="T102" s="59"/>
      <c r="U102" s="91"/>
    </row>
    <row r="103" spans="2:21" ht="24.95" customHeight="1" x14ac:dyDescent="0.25">
      <c r="B103" s="119" t="str">
        <f t="shared" si="12"/>
        <v/>
      </c>
      <c r="C103" s="2">
        <v>9.9999999999999995E-7</v>
      </c>
      <c r="D103" s="92" t="str">
        <f>IF(DespF!D106="","",DespF!D106)</f>
        <v/>
      </c>
      <c r="E103" s="90" t="str">
        <f>IF(DespF!E106="","",DespF!E106+'BH (2)'!C103)</f>
        <v/>
      </c>
      <c r="F103" s="59"/>
      <c r="G103" s="21"/>
      <c r="I103" s="106">
        <v>100</v>
      </c>
      <c r="J103" s="119" t="str">
        <f t="shared" si="13"/>
        <v/>
      </c>
      <c r="K103" s="92" t="str">
        <f>IF('Prod 1'!D104="","",'Prod 1'!D104)</f>
        <v/>
      </c>
      <c r="L103" s="119" t="str">
        <f>IF('Prod 1'!I104="","",'Prod 1'!I104+'BH (2)'!C103)</f>
        <v/>
      </c>
      <c r="M103" s="59"/>
      <c r="N103" s="91"/>
      <c r="Q103" s="119" t="str">
        <f t="shared" si="14"/>
        <v/>
      </c>
      <c r="R103" s="92" t="str">
        <f>IF('Prod 1'!D104="","",'Prod 1'!D104)</f>
        <v/>
      </c>
      <c r="S103" s="119" t="str">
        <f>IF('Prod 1'!E104="","",'Prod 1'!E104+'BH (2)'!C103)</f>
        <v/>
      </c>
      <c r="T103" s="59"/>
      <c r="U103" s="91"/>
    </row>
    <row r="104" spans="2:21" ht="24.95" customHeight="1" x14ac:dyDescent="0.25">
      <c r="B104" s="119" t="str">
        <f t="shared" si="12"/>
        <v/>
      </c>
      <c r="C104" s="2">
        <v>1.0100000000000001E-6</v>
      </c>
      <c r="D104" s="92" t="str">
        <f>IF(DespF!D107="","",DespF!D107)</f>
        <v/>
      </c>
      <c r="E104" s="90" t="str">
        <f>IF(DespF!E107="","",DespF!E107+'BH (2)'!C104)</f>
        <v/>
      </c>
      <c r="F104" s="59"/>
      <c r="G104" s="21"/>
      <c r="I104" s="106">
        <v>101</v>
      </c>
      <c r="J104" s="119" t="str">
        <f t="shared" si="13"/>
        <v/>
      </c>
      <c r="K104" s="92" t="str">
        <f>IF('Prod 1'!D105="","",'Prod 1'!D105)</f>
        <v/>
      </c>
      <c r="L104" s="119" t="str">
        <f>IF('Prod 1'!I105="","",'Prod 1'!I105+'BH (2)'!C104)</f>
        <v/>
      </c>
      <c r="M104" s="59"/>
      <c r="N104" s="91"/>
      <c r="Q104" s="119" t="str">
        <f t="shared" si="14"/>
        <v/>
      </c>
      <c r="R104" s="92" t="str">
        <f>IF('Prod 1'!D105="","",'Prod 1'!D105)</f>
        <v/>
      </c>
      <c r="S104" s="119" t="str">
        <f>IF('Prod 1'!E105="","",'Prod 1'!E105+'BH (2)'!C104)</f>
        <v/>
      </c>
      <c r="T104" s="59"/>
      <c r="U104" s="91"/>
    </row>
    <row r="105" spans="2:21" ht="24.95" customHeight="1" x14ac:dyDescent="0.25">
      <c r="B105" s="119" t="str">
        <f t="shared" si="12"/>
        <v/>
      </c>
      <c r="C105" s="2">
        <v>1.02E-6</v>
      </c>
      <c r="D105" s="92" t="str">
        <f>IF(DespF!D108="","",DespF!D108)</f>
        <v/>
      </c>
      <c r="E105" s="90" t="str">
        <f>IF(DespF!E108="","",DespF!E108+'BH (2)'!C105)</f>
        <v/>
      </c>
      <c r="F105" s="59"/>
      <c r="G105" s="21"/>
      <c r="I105" s="106">
        <v>102</v>
      </c>
      <c r="J105" s="119" t="str">
        <f t="shared" si="13"/>
        <v/>
      </c>
      <c r="K105" s="92" t="str">
        <f>IF('Prod 1'!D106="","",'Prod 1'!D106)</f>
        <v/>
      </c>
      <c r="L105" s="119" t="str">
        <f>IF('Prod 1'!I106="","",'Prod 1'!I106+'BH (2)'!C105)</f>
        <v/>
      </c>
      <c r="M105" s="59"/>
      <c r="N105" s="91"/>
      <c r="Q105" s="119" t="str">
        <f t="shared" si="14"/>
        <v/>
      </c>
      <c r="R105" s="92" t="str">
        <f>IF('Prod 1'!D106="","",'Prod 1'!D106)</f>
        <v/>
      </c>
      <c r="S105" s="119" t="str">
        <f>IF('Prod 1'!E106="","",'Prod 1'!E106+'BH (2)'!C105)</f>
        <v/>
      </c>
      <c r="T105" s="59"/>
      <c r="U105" s="91"/>
    </row>
    <row r="106" spans="2:21" ht="24.95" customHeight="1" x14ac:dyDescent="0.25">
      <c r="B106" s="119" t="str">
        <f t="shared" si="12"/>
        <v/>
      </c>
      <c r="C106" s="2">
        <v>1.0300000000000001E-6</v>
      </c>
      <c r="D106" s="92" t="str">
        <f>IF(DespF!D109="","",DespF!D109)</f>
        <v/>
      </c>
      <c r="E106" s="90" t="str">
        <f>IF(DespF!E109="","",DespF!E109+'BH (2)'!C106)</f>
        <v/>
      </c>
      <c r="F106" s="59"/>
      <c r="G106" s="21"/>
      <c r="I106" s="106">
        <v>103</v>
      </c>
      <c r="J106" s="119" t="str">
        <f t="shared" si="13"/>
        <v/>
      </c>
      <c r="K106" s="92" t="str">
        <f>IF('Prod 1'!D107="","",'Prod 1'!D107)</f>
        <v/>
      </c>
      <c r="L106" s="119" t="str">
        <f>IF('Prod 1'!I107="","",'Prod 1'!I107+'BH (2)'!C106)</f>
        <v/>
      </c>
      <c r="M106" s="59"/>
      <c r="N106" s="91"/>
      <c r="Q106" s="119" t="str">
        <f t="shared" si="14"/>
        <v/>
      </c>
      <c r="R106" s="92" t="str">
        <f>IF('Prod 1'!D107="","",'Prod 1'!D107)</f>
        <v/>
      </c>
      <c r="S106" s="119" t="str">
        <f>IF('Prod 1'!E107="","",'Prod 1'!E107+'BH (2)'!C106)</f>
        <v/>
      </c>
      <c r="T106" s="59"/>
      <c r="U106" s="91"/>
    </row>
    <row r="107" spans="2:21" ht="24.95" customHeight="1" x14ac:dyDescent="0.25">
      <c r="B107" s="119" t="str">
        <f t="shared" si="12"/>
        <v/>
      </c>
      <c r="C107" s="2">
        <v>1.04E-6</v>
      </c>
      <c r="D107" s="92" t="str">
        <f>IF(DespF!D110="","",DespF!D110)</f>
        <v/>
      </c>
      <c r="E107" s="90" t="str">
        <f>IF(DespF!E110="","",DespF!E110+'BH (2)'!C107)</f>
        <v/>
      </c>
      <c r="F107" s="59"/>
      <c r="G107" s="21"/>
      <c r="I107" s="106">
        <v>104</v>
      </c>
      <c r="J107" s="119" t="str">
        <f t="shared" si="13"/>
        <v/>
      </c>
      <c r="K107" s="92" t="str">
        <f>IF('Prod 1'!D108="","",'Prod 1'!D108)</f>
        <v/>
      </c>
      <c r="L107" s="119" t="str">
        <f>IF('Prod 1'!I108="","",'Prod 1'!I108+'BH (2)'!C107)</f>
        <v/>
      </c>
      <c r="M107" s="59"/>
      <c r="N107" s="91"/>
      <c r="Q107" s="119" t="str">
        <f t="shared" si="14"/>
        <v/>
      </c>
      <c r="R107" s="92" t="str">
        <f>IF('Prod 1'!D108="","",'Prod 1'!D108)</f>
        <v/>
      </c>
      <c r="S107" s="119" t="str">
        <f>IF('Prod 1'!E108="","",'Prod 1'!E108+'BH (2)'!C107)</f>
        <v/>
      </c>
      <c r="T107" s="59"/>
      <c r="U107" s="91"/>
    </row>
    <row r="108" spans="2:21" ht="24.95" customHeight="1" x14ac:dyDescent="0.25">
      <c r="B108" s="119" t="str">
        <f t="shared" si="12"/>
        <v/>
      </c>
      <c r="C108" s="2">
        <v>1.0499999999999999E-6</v>
      </c>
      <c r="D108" s="92" t="str">
        <f>IF(DespF!D111="","",DespF!D111)</f>
        <v/>
      </c>
      <c r="E108" s="90" t="str">
        <f>IF(DespF!E111="","",DespF!E111+'BH (2)'!C108)</f>
        <v/>
      </c>
      <c r="F108" s="59"/>
      <c r="G108" s="21"/>
      <c r="I108" s="106">
        <v>105</v>
      </c>
      <c r="J108" s="119" t="str">
        <f t="shared" si="13"/>
        <v/>
      </c>
      <c r="K108" s="92" t="str">
        <f>IF('Prod 1'!D109="","",'Prod 1'!D109)</f>
        <v/>
      </c>
      <c r="L108" s="119" t="str">
        <f>IF('Prod 1'!I109="","",'Prod 1'!I109+'BH (2)'!C108)</f>
        <v/>
      </c>
      <c r="M108" s="59"/>
      <c r="N108" s="91"/>
      <c r="Q108" s="119" t="str">
        <f t="shared" si="14"/>
        <v/>
      </c>
      <c r="R108" s="92" t="str">
        <f>IF('Prod 1'!D109="","",'Prod 1'!D109)</f>
        <v/>
      </c>
      <c r="S108" s="119" t="str">
        <f>IF('Prod 1'!E109="","",'Prod 1'!E109+'BH (2)'!C108)</f>
        <v/>
      </c>
      <c r="T108" s="59"/>
      <c r="U108" s="91"/>
    </row>
    <row r="109" spans="2:21" ht="24.95" customHeight="1" x14ac:dyDescent="0.25">
      <c r="B109" s="119" t="str">
        <f t="shared" si="12"/>
        <v/>
      </c>
      <c r="C109" s="2">
        <v>1.06E-6</v>
      </c>
      <c r="D109" s="92" t="str">
        <f>IF(DespF!D112="","",DespF!D112)</f>
        <v/>
      </c>
      <c r="E109" s="90" t="str">
        <f>IF(DespF!E112="","",DespF!E112+'BH (2)'!C109)</f>
        <v/>
      </c>
      <c r="F109" s="59"/>
      <c r="G109" s="21"/>
      <c r="I109" s="106">
        <v>106</v>
      </c>
      <c r="J109" s="119" t="str">
        <f t="shared" si="13"/>
        <v/>
      </c>
      <c r="K109" s="92" t="str">
        <f>IF('Prod 1'!D110="","",'Prod 1'!D110)</f>
        <v/>
      </c>
      <c r="L109" s="119" t="str">
        <f>IF('Prod 1'!I110="","",'Prod 1'!I110+'BH (2)'!C109)</f>
        <v/>
      </c>
      <c r="M109" s="59"/>
      <c r="N109" s="91"/>
      <c r="Q109" s="119" t="str">
        <f t="shared" si="14"/>
        <v/>
      </c>
      <c r="R109" s="92" t="str">
        <f>IF('Prod 1'!D110="","",'Prod 1'!D110)</f>
        <v/>
      </c>
      <c r="S109" s="119" t="str">
        <f>IF('Prod 1'!E110="","",'Prod 1'!E110+'BH (2)'!C109)</f>
        <v/>
      </c>
      <c r="T109" s="59"/>
      <c r="U109" s="91"/>
    </row>
    <row r="110" spans="2:21" ht="24.95" customHeight="1" x14ac:dyDescent="0.25">
      <c r="B110" s="119" t="str">
        <f t="shared" si="12"/>
        <v/>
      </c>
      <c r="C110" s="2">
        <v>1.0699999999999999E-6</v>
      </c>
      <c r="D110" s="92" t="str">
        <f>IF(DespF!D113="","",DespF!D113)</f>
        <v/>
      </c>
      <c r="E110" s="90" t="str">
        <f>IF(DespF!E113="","",DespF!E113+'BH (2)'!C110)</f>
        <v/>
      </c>
      <c r="F110" s="59"/>
      <c r="G110" s="21"/>
      <c r="I110" s="106">
        <v>107</v>
      </c>
      <c r="J110" s="119" t="str">
        <f t="shared" si="13"/>
        <v/>
      </c>
      <c r="K110" s="92" t="str">
        <f>IF('Prod 1'!D111="","",'Prod 1'!D111)</f>
        <v/>
      </c>
      <c r="L110" s="119" t="str">
        <f>IF('Prod 1'!I111="","",'Prod 1'!I111+'BH (2)'!C110)</f>
        <v/>
      </c>
      <c r="M110" s="59"/>
      <c r="N110" s="91"/>
      <c r="Q110" s="119" t="str">
        <f t="shared" si="14"/>
        <v/>
      </c>
      <c r="R110" s="92" t="str">
        <f>IF('Prod 1'!D111="","",'Prod 1'!D111)</f>
        <v/>
      </c>
      <c r="S110" s="119" t="str">
        <f>IF('Prod 1'!E111="","",'Prod 1'!E111+'BH (2)'!C110)</f>
        <v/>
      </c>
      <c r="T110" s="59"/>
      <c r="U110" s="91"/>
    </row>
    <row r="111" spans="2:21" ht="24.95" customHeight="1" x14ac:dyDescent="0.25">
      <c r="B111" s="119" t="str">
        <f t="shared" si="12"/>
        <v/>
      </c>
      <c r="C111" s="2">
        <v>1.08E-6</v>
      </c>
      <c r="D111" s="92" t="str">
        <f>IF(DespF!D114="","",DespF!D114)</f>
        <v/>
      </c>
      <c r="E111" s="90" t="str">
        <f>IF(DespF!E114="","",DespF!E114+'BH (2)'!C111)</f>
        <v/>
      </c>
      <c r="F111" s="59"/>
      <c r="G111" s="21"/>
      <c r="I111" s="106">
        <v>108</v>
      </c>
      <c r="J111" s="119" t="str">
        <f t="shared" si="13"/>
        <v/>
      </c>
      <c r="K111" s="92" t="str">
        <f>IF('Prod 1'!D112="","",'Prod 1'!D112)</f>
        <v/>
      </c>
      <c r="L111" s="119" t="str">
        <f>IF('Prod 1'!I112="","",'Prod 1'!I112+'BH (2)'!C111)</f>
        <v/>
      </c>
      <c r="M111" s="59"/>
      <c r="N111" s="91"/>
      <c r="Q111" s="119" t="str">
        <f t="shared" si="14"/>
        <v/>
      </c>
      <c r="R111" s="92" t="str">
        <f>IF('Prod 1'!D112="","",'Prod 1'!D112)</f>
        <v/>
      </c>
      <c r="S111" s="119" t="str">
        <f>IF('Prod 1'!E112="","",'Prod 1'!E112+'BH (2)'!C111)</f>
        <v/>
      </c>
      <c r="T111" s="59"/>
      <c r="U111" s="91"/>
    </row>
    <row r="112" spans="2:21" ht="24.95" customHeight="1" x14ac:dyDescent="0.25">
      <c r="B112" s="119" t="str">
        <f t="shared" si="12"/>
        <v/>
      </c>
      <c r="C112" s="2">
        <v>1.0899999999999999E-6</v>
      </c>
      <c r="D112" s="92" t="str">
        <f>IF(DespF!D115="","",DespF!D115)</f>
        <v/>
      </c>
      <c r="E112" s="90" t="str">
        <f>IF(DespF!E115="","",DespF!E115+'BH (2)'!C112)</f>
        <v/>
      </c>
      <c r="F112" s="59"/>
      <c r="G112" s="21"/>
      <c r="I112" s="106">
        <v>109</v>
      </c>
      <c r="J112" s="119" t="str">
        <f t="shared" si="13"/>
        <v/>
      </c>
      <c r="K112" s="92" t="str">
        <f>IF('Prod 1'!D113="","",'Prod 1'!D113)</f>
        <v/>
      </c>
      <c r="L112" s="119" t="str">
        <f>IF('Prod 1'!I113="","",'Prod 1'!I113+'BH (2)'!C112)</f>
        <v/>
      </c>
      <c r="M112" s="59"/>
      <c r="N112" s="91"/>
      <c r="Q112" s="119" t="str">
        <f t="shared" si="14"/>
        <v/>
      </c>
      <c r="R112" s="92" t="str">
        <f>IF('Prod 1'!D113="","",'Prod 1'!D113)</f>
        <v/>
      </c>
      <c r="S112" s="119" t="str">
        <f>IF('Prod 1'!E113="","",'Prod 1'!E113+'BH (2)'!C112)</f>
        <v/>
      </c>
      <c r="T112" s="59"/>
      <c r="U112" s="91"/>
    </row>
    <row r="113" spans="2:21" ht="24.95" customHeight="1" x14ac:dyDescent="0.25">
      <c r="B113" s="119" t="str">
        <f t="shared" si="12"/>
        <v/>
      </c>
      <c r="C113" s="2">
        <v>1.1000000000000001E-6</v>
      </c>
      <c r="D113" s="92" t="str">
        <f>IF(DespF!D116="","",DespF!D116)</f>
        <v/>
      </c>
      <c r="E113" s="90" t="str">
        <f>IF(DespF!E116="","",DespF!E116+'BH (2)'!C113)</f>
        <v/>
      </c>
      <c r="F113" s="59"/>
      <c r="G113" s="21"/>
      <c r="I113" s="106">
        <v>110</v>
      </c>
      <c r="J113" s="119" t="str">
        <f t="shared" si="13"/>
        <v/>
      </c>
      <c r="K113" s="92" t="str">
        <f>IF('Prod 1'!D114="","",'Prod 1'!D114)</f>
        <v/>
      </c>
      <c r="L113" s="119" t="str">
        <f>IF('Prod 1'!I114="","",'Prod 1'!I114+'BH (2)'!C113)</f>
        <v/>
      </c>
      <c r="M113" s="59"/>
      <c r="N113" s="91"/>
      <c r="Q113" s="119" t="str">
        <f t="shared" si="14"/>
        <v/>
      </c>
      <c r="R113" s="92" t="str">
        <f>IF('Prod 1'!D114="","",'Prod 1'!D114)</f>
        <v/>
      </c>
      <c r="S113" s="119" t="str">
        <f>IF('Prod 1'!E114="","",'Prod 1'!E114+'BH (2)'!C113)</f>
        <v/>
      </c>
      <c r="T113" s="59"/>
      <c r="U113" s="91"/>
    </row>
    <row r="114" spans="2:21" ht="24.95" customHeight="1" x14ac:dyDescent="0.25">
      <c r="B114" s="119" t="str">
        <f t="shared" si="12"/>
        <v/>
      </c>
      <c r="C114" s="2">
        <v>1.11E-6</v>
      </c>
      <c r="D114" s="92" t="str">
        <f>IF(DespF!D117="","",DespF!D117)</f>
        <v/>
      </c>
      <c r="E114" s="90" t="str">
        <f>IF(DespF!E117="","",DespF!E117+'BH (2)'!C114)</f>
        <v/>
      </c>
      <c r="F114" s="59"/>
      <c r="G114" s="21"/>
      <c r="I114" s="106">
        <v>111</v>
      </c>
      <c r="J114" s="119" t="str">
        <f t="shared" si="13"/>
        <v/>
      </c>
      <c r="K114" s="92" t="str">
        <f>IF('Prod 1'!D115="","",'Prod 1'!D115)</f>
        <v/>
      </c>
      <c r="L114" s="119" t="str">
        <f>IF('Prod 1'!I115="","",'Prod 1'!I115+'BH (2)'!C114)</f>
        <v/>
      </c>
      <c r="M114" s="59"/>
      <c r="N114" s="91"/>
      <c r="Q114" s="119" t="str">
        <f t="shared" si="14"/>
        <v/>
      </c>
      <c r="R114" s="92" t="str">
        <f>IF('Prod 1'!D115="","",'Prod 1'!D115)</f>
        <v/>
      </c>
      <c r="S114" s="119" t="str">
        <f>IF('Prod 1'!E115="","",'Prod 1'!E115+'BH (2)'!C114)</f>
        <v/>
      </c>
      <c r="T114" s="59"/>
      <c r="U114" s="91"/>
    </row>
    <row r="115" spans="2:21" ht="24.95" customHeight="1" x14ac:dyDescent="0.25">
      <c r="B115" s="119" t="str">
        <f t="shared" si="12"/>
        <v/>
      </c>
      <c r="C115" s="2">
        <v>1.1200000000000001E-6</v>
      </c>
      <c r="D115" s="92" t="str">
        <f>IF(DespF!D118="","",DespF!D118)</f>
        <v/>
      </c>
      <c r="E115" s="90" t="str">
        <f>IF(DespF!E118="","",DespF!E118+'BH (2)'!C115)</f>
        <v/>
      </c>
      <c r="F115" s="59"/>
      <c r="G115" s="21"/>
      <c r="I115" s="106">
        <v>112</v>
      </c>
      <c r="J115" s="119" t="str">
        <f t="shared" si="13"/>
        <v/>
      </c>
      <c r="K115" s="92" t="str">
        <f>IF('Prod 1'!D116="","",'Prod 1'!D116)</f>
        <v/>
      </c>
      <c r="L115" s="119" t="str">
        <f>IF('Prod 1'!I116="","",'Prod 1'!I116+'BH (2)'!C115)</f>
        <v/>
      </c>
      <c r="M115" s="59"/>
      <c r="N115" s="91"/>
      <c r="Q115" s="119" t="str">
        <f t="shared" si="14"/>
        <v/>
      </c>
      <c r="R115" s="92" t="str">
        <f>IF('Prod 1'!D116="","",'Prod 1'!D116)</f>
        <v/>
      </c>
      <c r="S115" s="119" t="str">
        <f>IF('Prod 1'!E116="","",'Prod 1'!E116+'BH (2)'!C115)</f>
        <v/>
      </c>
      <c r="T115" s="59"/>
      <c r="U115" s="91"/>
    </row>
    <row r="116" spans="2:21" ht="24.95" customHeight="1" x14ac:dyDescent="0.25">
      <c r="B116" s="119" t="str">
        <f t="shared" si="12"/>
        <v/>
      </c>
      <c r="C116" s="2">
        <v>1.13E-6</v>
      </c>
      <c r="D116" s="92" t="str">
        <f>IF(DespF!D119="","",DespF!D119)</f>
        <v/>
      </c>
      <c r="E116" s="90" t="str">
        <f>IF(DespF!E119="","",DespF!E119+'BH (2)'!C116)</f>
        <v/>
      </c>
      <c r="F116" s="59"/>
      <c r="G116" s="21"/>
      <c r="I116" s="106">
        <v>113</v>
      </c>
      <c r="J116" s="119" t="str">
        <f t="shared" si="13"/>
        <v/>
      </c>
      <c r="K116" s="92" t="str">
        <f>IF('Prod 1'!D117="","",'Prod 1'!D117)</f>
        <v/>
      </c>
      <c r="L116" s="119" t="str">
        <f>IF('Prod 1'!I117="","",'Prod 1'!I117+'BH (2)'!C116)</f>
        <v/>
      </c>
      <c r="M116" s="59"/>
      <c r="N116" s="91"/>
      <c r="Q116" s="119" t="str">
        <f t="shared" si="14"/>
        <v/>
      </c>
      <c r="R116" s="92" t="str">
        <f>IF('Prod 1'!D117="","",'Prod 1'!D117)</f>
        <v/>
      </c>
      <c r="S116" s="119" t="str">
        <f>IF('Prod 1'!E117="","",'Prod 1'!E117+'BH (2)'!C116)</f>
        <v/>
      </c>
      <c r="T116" s="59"/>
      <c r="U116" s="91"/>
    </row>
    <row r="117" spans="2:21" ht="24.95" customHeight="1" x14ac:dyDescent="0.25">
      <c r="B117" s="119" t="str">
        <f t="shared" si="12"/>
        <v/>
      </c>
      <c r="C117" s="2">
        <v>1.1400000000000001E-6</v>
      </c>
      <c r="D117" s="92" t="str">
        <f>IF(DespF!D120="","",DespF!D120)</f>
        <v/>
      </c>
      <c r="E117" s="90" t="str">
        <f>IF(DespF!E120="","",DespF!E120+'BH (2)'!C117)</f>
        <v/>
      </c>
      <c r="F117" s="59"/>
      <c r="G117" s="21"/>
      <c r="I117" s="106">
        <v>114</v>
      </c>
      <c r="J117" s="119" t="str">
        <f t="shared" si="13"/>
        <v/>
      </c>
      <c r="K117" s="92" t="str">
        <f>IF('Prod 1'!D118="","",'Prod 1'!D118)</f>
        <v/>
      </c>
      <c r="L117" s="119" t="str">
        <f>IF('Prod 1'!I118="","",'Prod 1'!I118+'BH (2)'!C117)</f>
        <v/>
      </c>
      <c r="M117" s="59"/>
      <c r="N117" s="91"/>
      <c r="Q117" s="119" t="str">
        <f t="shared" si="14"/>
        <v/>
      </c>
      <c r="R117" s="92" t="str">
        <f>IF('Prod 1'!D118="","",'Prod 1'!D118)</f>
        <v/>
      </c>
      <c r="S117" s="119" t="str">
        <f>IF('Prod 1'!E118="","",'Prod 1'!E118+'BH (2)'!C117)</f>
        <v/>
      </c>
      <c r="T117" s="59"/>
      <c r="U117" s="91"/>
    </row>
    <row r="118" spans="2:21" ht="24.95" customHeight="1" x14ac:dyDescent="0.25">
      <c r="B118" s="119" t="str">
        <f t="shared" si="12"/>
        <v/>
      </c>
      <c r="C118" s="2">
        <v>1.15E-6</v>
      </c>
      <c r="D118" s="92" t="str">
        <f>IF(DespF!D121="","",DespF!D121)</f>
        <v/>
      </c>
      <c r="E118" s="90" t="str">
        <f>IF(DespF!E121="","",DespF!E121+'BH (2)'!C118)</f>
        <v/>
      </c>
      <c r="F118" s="59"/>
      <c r="G118" s="21"/>
      <c r="I118" s="106">
        <v>115</v>
      </c>
      <c r="J118" s="119" t="str">
        <f t="shared" si="13"/>
        <v/>
      </c>
      <c r="K118" s="92" t="str">
        <f>IF('Prod 1'!D119="","",'Prod 1'!D119)</f>
        <v/>
      </c>
      <c r="L118" s="119" t="str">
        <f>IF('Prod 1'!I119="","",'Prod 1'!I119+'BH (2)'!C118)</f>
        <v/>
      </c>
      <c r="M118" s="59"/>
      <c r="N118" s="91"/>
      <c r="Q118" s="119" t="str">
        <f t="shared" si="14"/>
        <v/>
      </c>
      <c r="R118" s="92" t="str">
        <f>IF('Prod 1'!D119="","",'Prod 1'!D119)</f>
        <v/>
      </c>
      <c r="S118" s="119" t="str">
        <f>IF('Prod 1'!E119="","",'Prod 1'!E119+'BH (2)'!C118)</f>
        <v/>
      </c>
      <c r="T118" s="59"/>
      <c r="U118" s="91"/>
    </row>
    <row r="119" spans="2:21" ht="24.95" customHeight="1" x14ac:dyDescent="0.25">
      <c r="B119" s="119" t="str">
        <f t="shared" si="12"/>
        <v/>
      </c>
      <c r="C119" s="2">
        <v>1.1599999999999999E-6</v>
      </c>
      <c r="D119" s="92" t="str">
        <f>IF(DespF!D122="","",DespF!D122)</f>
        <v/>
      </c>
      <c r="E119" s="90" t="str">
        <f>IF(DespF!E122="","",DespF!E122+'BH (2)'!C119)</f>
        <v/>
      </c>
      <c r="F119" s="59"/>
      <c r="G119" s="21"/>
      <c r="I119" s="106">
        <v>116</v>
      </c>
      <c r="J119" s="119" t="str">
        <f t="shared" si="13"/>
        <v/>
      </c>
      <c r="K119" s="92" t="str">
        <f>IF('Prod 1'!D120="","",'Prod 1'!D120)</f>
        <v/>
      </c>
      <c r="L119" s="119" t="str">
        <f>IF('Prod 1'!I120="","",'Prod 1'!I120+'BH (2)'!C119)</f>
        <v/>
      </c>
      <c r="M119" s="59"/>
      <c r="N119" s="91"/>
      <c r="Q119" s="119" t="str">
        <f t="shared" si="14"/>
        <v/>
      </c>
      <c r="R119" s="92" t="str">
        <f>IF('Prod 1'!D120="","",'Prod 1'!D120)</f>
        <v/>
      </c>
      <c r="S119" s="119" t="str">
        <f>IF('Prod 1'!E120="","",'Prod 1'!E120+'BH (2)'!C119)</f>
        <v/>
      </c>
      <c r="T119" s="59"/>
      <c r="U119" s="91"/>
    </row>
    <row r="120" spans="2:21" ht="24.95" customHeight="1" x14ac:dyDescent="0.25">
      <c r="B120" s="119" t="str">
        <f t="shared" si="12"/>
        <v/>
      </c>
      <c r="C120" s="2">
        <v>1.17E-6</v>
      </c>
      <c r="D120" s="92" t="str">
        <f>IF(DespF!D123="","",DespF!D123)</f>
        <v/>
      </c>
      <c r="E120" s="90" t="str">
        <f>IF(DespF!E123="","",DespF!E123+'BH (2)'!C120)</f>
        <v/>
      </c>
      <c r="F120" s="59"/>
      <c r="G120" s="21"/>
      <c r="I120" s="106">
        <v>117</v>
      </c>
      <c r="J120" s="119" t="str">
        <f t="shared" si="13"/>
        <v/>
      </c>
      <c r="K120" s="92" t="str">
        <f>IF('Prod 1'!D121="","",'Prod 1'!D121)</f>
        <v/>
      </c>
      <c r="L120" s="119" t="str">
        <f>IF('Prod 1'!I121="","",'Prod 1'!I121+'BH (2)'!C120)</f>
        <v/>
      </c>
      <c r="M120" s="59"/>
      <c r="N120" s="91"/>
      <c r="Q120" s="119" t="str">
        <f t="shared" si="14"/>
        <v/>
      </c>
      <c r="R120" s="92" t="str">
        <f>IF('Prod 1'!D121="","",'Prod 1'!D121)</f>
        <v/>
      </c>
      <c r="S120" s="119" t="str">
        <f>IF('Prod 1'!E121="","",'Prod 1'!E121+'BH (2)'!C120)</f>
        <v/>
      </c>
      <c r="T120" s="59"/>
      <c r="U120" s="91"/>
    </row>
    <row r="121" spans="2:21" ht="24.95" customHeight="1" x14ac:dyDescent="0.25">
      <c r="B121" s="119" t="str">
        <f t="shared" si="12"/>
        <v/>
      </c>
      <c r="C121" s="2">
        <v>1.1799999999999999E-6</v>
      </c>
      <c r="D121" s="92" t="str">
        <f>IF(DespF!D124="","",DespF!D124)</f>
        <v/>
      </c>
      <c r="E121" s="90" t="str">
        <f>IF(DespF!E124="","",DespF!E124+'BH (2)'!C121)</f>
        <v/>
      </c>
      <c r="F121" s="59"/>
      <c r="G121" s="21"/>
      <c r="I121" s="106">
        <v>118</v>
      </c>
      <c r="J121" s="119" t="str">
        <f t="shared" si="13"/>
        <v/>
      </c>
      <c r="K121" s="92" t="str">
        <f>IF('Prod 1'!D122="","",'Prod 1'!D122)</f>
        <v/>
      </c>
      <c r="L121" s="119" t="str">
        <f>IF('Prod 1'!I122="","",'Prod 1'!I122+'BH (2)'!C121)</f>
        <v/>
      </c>
      <c r="M121" s="59"/>
      <c r="N121" s="91"/>
      <c r="Q121" s="119" t="str">
        <f t="shared" si="14"/>
        <v/>
      </c>
      <c r="R121" s="92" t="str">
        <f>IF('Prod 1'!D122="","",'Prod 1'!D122)</f>
        <v/>
      </c>
      <c r="S121" s="119" t="str">
        <f>IF('Prod 1'!E122="","",'Prod 1'!E122+'BH (2)'!C121)</f>
        <v/>
      </c>
      <c r="T121" s="59"/>
      <c r="U121" s="91"/>
    </row>
    <row r="122" spans="2:21" ht="24.95" customHeight="1" x14ac:dyDescent="0.25">
      <c r="B122" s="119" t="str">
        <f t="shared" si="12"/>
        <v/>
      </c>
      <c r="C122" s="2">
        <v>1.19E-6</v>
      </c>
      <c r="D122" s="92" t="str">
        <f>IF(DespF!D125="","",DespF!D125)</f>
        <v/>
      </c>
      <c r="E122" s="90" t="str">
        <f>IF(DespF!E125="","",DespF!E125+'BH (2)'!C122)</f>
        <v/>
      </c>
      <c r="F122" s="59"/>
      <c r="G122" s="21"/>
      <c r="I122" s="106">
        <v>119</v>
      </c>
      <c r="J122" s="119" t="str">
        <f t="shared" si="13"/>
        <v/>
      </c>
      <c r="K122" s="92" t="str">
        <f>IF('Prod 1'!D123="","",'Prod 1'!D123)</f>
        <v/>
      </c>
      <c r="L122" s="119" t="str">
        <f>IF('Prod 1'!I123="","",'Prod 1'!I123+'BH (2)'!C122)</f>
        <v/>
      </c>
      <c r="M122" s="59"/>
      <c r="N122" s="91"/>
      <c r="Q122" s="119" t="str">
        <f t="shared" si="14"/>
        <v/>
      </c>
      <c r="R122" s="92" t="str">
        <f>IF('Prod 1'!D123="","",'Prod 1'!D123)</f>
        <v/>
      </c>
      <c r="S122" s="119" t="str">
        <f>IF('Prod 1'!E123="","",'Prod 1'!E123+'BH (2)'!C122)</f>
        <v/>
      </c>
      <c r="T122" s="59"/>
      <c r="U122" s="91"/>
    </row>
    <row r="123" spans="2:21" ht="24.95" customHeight="1" x14ac:dyDescent="0.25">
      <c r="B123" s="119" t="str">
        <f t="shared" si="12"/>
        <v/>
      </c>
      <c r="C123" s="2">
        <v>1.1999999999999999E-6</v>
      </c>
      <c r="D123" s="92" t="str">
        <f>IF(DespF!D126="","",DespF!D126)</f>
        <v/>
      </c>
      <c r="E123" s="90" t="str">
        <f>IF(DespF!E126="","",DespF!E126+'BH (2)'!C123)</f>
        <v/>
      </c>
      <c r="F123" s="59"/>
      <c r="G123" s="21"/>
      <c r="I123" s="106">
        <v>120</v>
      </c>
      <c r="J123" s="119" t="str">
        <f t="shared" si="13"/>
        <v/>
      </c>
      <c r="K123" s="92" t="str">
        <f>IF('Prod 1'!D124="","",'Prod 1'!D124)</f>
        <v/>
      </c>
      <c r="L123" s="119" t="str">
        <f>IF('Prod 1'!I124="","",'Prod 1'!I124+'BH (2)'!C123)</f>
        <v/>
      </c>
      <c r="M123" s="59"/>
      <c r="N123" s="91"/>
      <c r="Q123" s="119" t="str">
        <f t="shared" si="14"/>
        <v/>
      </c>
      <c r="R123" s="92" t="str">
        <f>IF('Prod 1'!D124="","",'Prod 1'!D124)</f>
        <v/>
      </c>
      <c r="S123" s="119" t="str">
        <f>IF('Prod 1'!E124="","",'Prod 1'!E124+'BH (2)'!C123)</f>
        <v/>
      </c>
      <c r="T123" s="59"/>
      <c r="U123" s="91"/>
    </row>
    <row r="124" spans="2:21" ht="24.95" customHeight="1" x14ac:dyDescent="0.25">
      <c r="B124" s="119" t="str">
        <f t="shared" si="12"/>
        <v/>
      </c>
      <c r="C124" s="2">
        <v>1.2100000000000001E-6</v>
      </c>
      <c r="D124" s="92" t="str">
        <f>IF(DespF!D127="","",DespF!D127)</f>
        <v/>
      </c>
      <c r="E124" s="90" t="str">
        <f>IF(DespF!E127="","",DespF!E127+'BH (2)'!C124)</f>
        <v/>
      </c>
      <c r="F124" s="59"/>
      <c r="G124" s="21"/>
      <c r="I124" s="106">
        <v>121</v>
      </c>
      <c r="J124" s="119" t="str">
        <f t="shared" si="13"/>
        <v/>
      </c>
      <c r="K124" s="92" t="str">
        <f>IF('Prod 1'!D125="","",'Prod 1'!D125)</f>
        <v/>
      </c>
      <c r="L124" s="119" t="str">
        <f>IF('Prod 1'!I125="","",'Prod 1'!I125+'BH (2)'!C124)</f>
        <v/>
      </c>
      <c r="M124" s="59"/>
      <c r="N124" s="91"/>
      <c r="Q124" s="119" t="str">
        <f t="shared" si="14"/>
        <v/>
      </c>
      <c r="R124" s="92" t="str">
        <f>IF('Prod 1'!D125="","",'Prod 1'!D125)</f>
        <v/>
      </c>
      <c r="S124" s="119" t="str">
        <f>IF('Prod 1'!E125="","",'Prod 1'!E125+'BH (2)'!C124)</f>
        <v/>
      </c>
      <c r="T124" s="59"/>
      <c r="U124" s="91"/>
    </row>
    <row r="125" spans="2:21" ht="24.95" customHeight="1" x14ac:dyDescent="0.25">
      <c r="B125" s="119" t="str">
        <f t="shared" si="12"/>
        <v/>
      </c>
      <c r="C125" s="2">
        <v>1.22E-6</v>
      </c>
      <c r="D125" s="92" t="str">
        <f>IF(DespF!D128="","",DespF!D128)</f>
        <v/>
      </c>
      <c r="E125" s="90" t="str">
        <f>IF(DespF!E128="","",DespF!E128+'BH (2)'!C125)</f>
        <v/>
      </c>
      <c r="F125" s="59"/>
      <c r="G125" s="21"/>
      <c r="I125" s="106">
        <v>122</v>
      </c>
      <c r="J125" s="119" t="str">
        <f t="shared" si="13"/>
        <v/>
      </c>
      <c r="K125" s="92" t="str">
        <f>IF('Prod 1'!D126="","",'Prod 1'!D126)</f>
        <v/>
      </c>
      <c r="L125" s="119" t="str">
        <f>IF('Prod 1'!I126="","",'Prod 1'!I126+'BH (2)'!C125)</f>
        <v/>
      </c>
      <c r="M125" s="59"/>
      <c r="N125" s="91"/>
      <c r="Q125" s="119" t="str">
        <f t="shared" si="14"/>
        <v/>
      </c>
      <c r="R125" s="92" t="str">
        <f>IF('Prod 1'!D126="","",'Prod 1'!D126)</f>
        <v/>
      </c>
      <c r="S125" s="119" t="str">
        <f>IF('Prod 1'!E126="","",'Prod 1'!E126+'BH (2)'!C125)</f>
        <v/>
      </c>
      <c r="T125" s="59"/>
      <c r="U125" s="91"/>
    </row>
    <row r="126" spans="2:21" ht="24.95" customHeight="1" x14ac:dyDescent="0.25">
      <c r="B126" s="119" t="str">
        <f t="shared" si="12"/>
        <v/>
      </c>
      <c r="C126" s="2">
        <v>1.2300000000000001E-6</v>
      </c>
      <c r="D126" s="92" t="str">
        <f>IF(DespF!D129="","",DespF!D129)</f>
        <v/>
      </c>
      <c r="E126" s="90" t="str">
        <f>IF(DespF!E129="","",DespF!E129+'BH (2)'!C126)</f>
        <v/>
      </c>
      <c r="F126" s="59"/>
      <c r="G126" s="21"/>
      <c r="I126" s="106">
        <v>123</v>
      </c>
      <c r="J126" s="119" t="str">
        <f t="shared" si="13"/>
        <v/>
      </c>
      <c r="K126" s="92" t="str">
        <f>IF('Prod 1'!D127="","",'Prod 1'!D127)</f>
        <v/>
      </c>
      <c r="L126" s="119" t="str">
        <f>IF('Prod 1'!I127="","",'Prod 1'!I127+'BH (2)'!C126)</f>
        <v/>
      </c>
      <c r="M126" s="59"/>
      <c r="N126" s="91"/>
      <c r="Q126" s="119" t="str">
        <f t="shared" si="14"/>
        <v/>
      </c>
      <c r="R126" s="92" t="str">
        <f>IF('Prod 1'!D127="","",'Prod 1'!D127)</f>
        <v/>
      </c>
      <c r="S126" s="119" t="str">
        <f>IF('Prod 1'!E127="","",'Prod 1'!E127+'BH (2)'!C126)</f>
        <v/>
      </c>
      <c r="T126" s="59"/>
      <c r="U126" s="91"/>
    </row>
    <row r="127" spans="2:21" ht="24.95" customHeight="1" x14ac:dyDescent="0.25">
      <c r="B127" s="119" t="str">
        <f t="shared" si="12"/>
        <v/>
      </c>
      <c r="C127" s="2">
        <v>1.24E-6</v>
      </c>
      <c r="D127" s="92" t="str">
        <f>IF(DespF!D130="","",DespF!D130)</f>
        <v/>
      </c>
      <c r="E127" s="90" t="str">
        <f>IF(DespF!E130="","",DespF!E130+'BH (2)'!C127)</f>
        <v/>
      </c>
      <c r="F127" s="59"/>
      <c r="G127" s="21"/>
      <c r="I127" s="106">
        <v>124</v>
      </c>
      <c r="J127" s="119" t="str">
        <f t="shared" si="13"/>
        <v/>
      </c>
      <c r="K127" s="92" t="str">
        <f>IF('Prod 1'!D128="","",'Prod 1'!D128)</f>
        <v/>
      </c>
      <c r="L127" s="119" t="str">
        <f>IF('Prod 1'!I128="","",'Prod 1'!I128+'BH (2)'!C127)</f>
        <v/>
      </c>
      <c r="M127" s="59"/>
      <c r="N127" s="91"/>
      <c r="Q127" s="119" t="str">
        <f t="shared" si="14"/>
        <v/>
      </c>
      <c r="R127" s="92" t="str">
        <f>IF('Prod 1'!D128="","",'Prod 1'!D128)</f>
        <v/>
      </c>
      <c r="S127" s="119" t="str">
        <f>IF('Prod 1'!E128="","",'Prod 1'!E128+'BH (2)'!C127)</f>
        <v/>
      </c>
      <c r="T127" s="59"/>
      <c r="U127" s="91"/>
    </row>
    <row r="128" spans="2:21" ht="24.95" customHeight="1" x14ac:dyDescent="0.25">
      <c r="B128" s="119" t="str">
        <f t="shared" si="12"/>
        <v/>
      </c>
      <c r="C128" s="2">
        <v>1.2500000000000001E-6</v>
      </c>
      <c r="D128" s="92" t="str">
        <f>IF(DespF!D131="","",DespF!D131)</f>
        <v/>
      </c>
      <c r="E128" s="90" t="str">
        <f>IF(DespF!E131="","",DespF!E131+'BH (2)'!C128)</f>
        <v/>
      </c>
      <c r="F128" s="59"/>
      <c r="G128" s="21"/>
      <c r="I128" s="106">
        <v>125</v>
      </c>
      <c r="J128" s="119" t="str">
        <f t="shared" si="13"/>
        <v/>
      </c>
      <c r="K128" s="92" t="str">
        <f>IF('Prod 1'!D129="","",'Prod 1'!D129)</f>
        <v/>
      </c>
      <c r="L128" s="119" t="str">
        <f>IF('Prod 1'!I129="","",'Prod 1'!I129+'BH (2)'!C128)</f>
        <v/>
      </c>
      <c r="M128" s="59"/>
      <c r="N128" s="91"/>
      <c r="Q128" s="119" t="str">
        <f t="shared" si="14"/>
        <v/>
      </c>
      <c r="R128" s="92" t="str">
        <f>IF('Prod 1'!D129="","",'Prod 1'!D129)</f>
        <v/>
      </c>
      <c r="S128" s="119" t="str">
        <f>IF('Prod 1'!E129="","",'Prod 1'!E129+'BH (2)'!C128)</f>
        <v/>
      </c>
      <c r="T128" s="59"/>
      <c r="U128" s="91"/>
    </row>
    <row r="129" spans="2:21" ht="24.95" customHeight="1" x14ac:dyDescent="0.25">
      <c r="B129" s="119" t="str">
        <f t="shared" si="12"/>
        <v/>
      </c>
      <c r="C129" s="2">
        <v>1.26E-6</v>
      </c>
      <c r="D129" s="92" t="str">
        <f>IF(DespF!D132="","",DespF!D132)</f>
        <v/>
      </c>
      <c r="E129" s="90" t="str">
        <f>IF(DespF!E132="","",DespF!E132+'BH (2)'!C129)</f>
        <v/>
      </c>
      <c r="F129" s="59"/>
      <c r="G129" s="21"/>
      <c r="I129" s="106">
        <v>126</v>
      </c>
      <c r="J129" s="119" t="str">
        <f t="shared" si="13"/>
        <v/>
      </c>
      <c r="K129" s="92" t="str">
        <f>IF('Prod 1'!D130="","",'Prod 1'!D130)</f>
        <v/>
      </c>
      <c r="L129" s="119" t="str">
        <f>IF('Prod 1'!I130="","",'Prod 1'!I130+'BH (2)'!C129)</f>
        <v/>
      </c>
      <c r="M129" s="59"/>
      <c r="N129" s="91"/>
      <c r="Q129" s="119" t="str">
        <f t="shared" si="14"/>
        <v/>
      </c>
      <c r="R129" s="92" t="str">
        <f>IF('Prod 1'!D130="","",'Prod 1'!D130)</f>
        <v/>
      </c>
      <c r="S129" s="119" t="str">
        <f>IF('Prod 1'!E130="","",'Prod 1'!E130+'BH (2)'!C129)</f>
        <v/>
      </c>
      <c r="T129" s="59"/>
      <c r="U129" s="91"/>
    </row>
    <row r="130" spans="2:21" ht="24.95" customHeight="1" x14ac:dyDescent="0.25">
      <c r="B130" s="119" t="str">
        <f t="shared" si="12"/>
        <v/>
      </c>
      <c r="C130" s="2">
        <v>1.2699999999999999E-6</v>
      </c>
      <c r="D130" s="92" t="str">
        <f>IF(DespF!D133="","",DespF!D133)</f>
        <v/>
      </c>
      <c r="E130" s="90" t="str">
        <f>IF(DespF!E133="","",DespF!E133+'BH (2)'!C130)</f>
        <v/>
      </c>
      <c r="F130" s="59"/>
      <c r="G130" s="21"/>
      <c r="I130" s="106">
        <v>127</v>
      </c>
      <c r="J130" s="119" t="str">
        <f t="shared" si="13"/>
        <v/>
      </c>
      <c r="K130" s="92" t="str">
        <f>IF('Prod 1'!D131="","",'Prod 1'!D131)</f>
        <v/>
      </c>
      <c r="L130" s="119" t="str">
        <f>IF('Prod 1'!I131="","",'Prod 1'!I131+'BH (2)'!C130)</f>
        <v/>
      </c>
      <c r="M130" s="59"/>
      <c r="N130" s="91"/>
      <c r="Q130" s="119" t="str">
        <f t="shared" si="14"/>
        <v/>
      </c>
      <c r="R130" s="92" t="str">
        <f>IF('Prod 1'!D131="","",'Prod 1'!D131)</f>
        <v/>
      </c>
      <c r="S130" s="119" t="str">
        <f>IF('Prod 1'!E131="","",'Prod 1'!E131+'BH (2)'!C130)</f>
        <v/>
      </c>
      <c r="T130" s="59"/>
      <c r="U130" s="91"/>
    </row>
    <row r="131" spans="2:21" ht="24.95" customHeight="1" x14ac:dyDescent="0.25">
      <c r="B131" s="119" t="str">
        <f t="shared" si="12"/>
        <v/>
      </c>
      <c r="C131" s="2">
        <v>1.28E-6</v>
      </c>
      <c r="D131" s="92" t="str">
        <f>IF(DespF!D134="","",DespF!D134)</f>
        <v/>
      </c>
      <c r="E131" s="90" t="str">
        <f>IF(DespF!E134="","",DespF!E134+'BH (2)'!C131)</f>
        <v/>
      </c>
      <c r="F131" s="59"/>
      <c r="G131" s="21"/>
      <c r="I131" s="106">
        <v>128</v>
      </c>
      <c r="J131" s="119" t="str">
        <f t="shared" si="13"/>
        <v/>
      </c>
      <c r="K131" s="92" t="str">
        <f>IF('Prod 1'!D132="","",'Prod 1'!D132)</f>
        <v/>
      </c>
      <c r="L131" s="119" t="str">
        <f>IF('Prod 1'!I132="","",'Prod 1'!I132+'BH (2)'!C131)</f>
        <v/>
      </c>
      <c r="M131" s="59"/>
      <c r="N131" s="91"/>
      <c r="Q131" s="119" t="str">
        <f t="shared" si="14"/>
        <v/>
      </c>
      <c r="R131" s="92" t="str">
        <f>IF('Prod 1'!D132="","",'Prod 1'!D132)</f>
        <v/>
      </c>
      <c r="S131" s="119" t="str">
        <f>IF('Prod 1'!E132="","",'Prod 1'!E132+'BH (2)'!C131)</f>
        <v/>
      </c>
      <c r="T131" s="59"/>
      <c r="U131" s="91"/>
    </row>
    <row r="132" spans="2:21" ht="24.95" customHeight="1" x14ac:dyDescent="0.25">
      <c r="B132" s="119" t="str">
        <f t="shared" si="12"/>
        <v/>
      </c>
      <c r="C132" s="2">
        <v>1.2899999999999999E-6</v>
      </c>
      <c r="D132" s="92" t="str">
        <f>IF(DespF!D135="","",DespF!D135)</f>
        <v/>
      </c>
      <c r="E132" s="90" t="str">
        <f>IF(DespF!E135="","",DespF!E135+'BH (2)'!C132)</f>
        <v/>
      </c>
      <c r="F132" s="59"/>
      <c r="G132" s="21"/>
      <c r="I132" s="106">
        <v>129</v>
      </c>
      <c r="J132" s="119" t="str">
        <f t="shared" si="13"/>
        <v/>
      </c>
      <c r="K132" s="92" t="str">
        <f>IF('Prod 1'!D133="","",'Prod 1'!D133)</f>
        <v/>
      </c>
      <c r="L132" s="119" t="str">
        <f>IF('Prod 1'!I133="","",'Prod 1'!I133+'BH (2)'!C132)</f>
        <v/>
      </c>
      <c r="M132" s="59"/>
      <c r="N132" s="91"/>
      <c r="Q132" s="119" t="str">
        <f t="shared" si="14"/>
        <v/>
      </c>
      <c r="R132" s="92" t="str">
        <f>IF('Prod 1'!D133="","",'Prod 1'!D133)</f>
        <v/>
      </c>
      <c r="S132" s="119" t="str">
        <f>IF('Prod 1'!E133="","",'Prod 1'!E133+'BH (2)'!C132)</f>
        <v/>
      </c>
      <c r="T132" s="59"/>
      <c r="U132" s="91"/>
    </row>
    <row r="133" spans="2:21" ht="24.95" customHeight="1" x14ac:dyDescent="0.25">
      <c r="B133" s="119" t="str">
        <f t="shared" ref="B133:B196" si="15">E133</f>
        <v/>
      </c>
      <c r="C133" s="2">
        <v>1.3E-6</v>
      </c>
      <c r="D133" s="92" t="str">
        <f>IF(DespF!D136="","",DespF!D136)</f>
        <v/>
      </c>
      <c r="E133" s="90" t="str">
        <f>IF(DespF!E136="","",DespF!E136+'BH (2)'!C133)</f>
        <v/>
      </c>
      <c r="F133" s="59"/>
      <c r="G133" s="21"/>
      <c r="I133" s="106">
        <v>130</v>
      </c>
      <c r="J133" s="119" t="str">
        <f t="shared" ref="J133:J196" si="16">L133</f>
        <v/>
      </c>
      <c r="K133" s="92" t="str">
        <f>IF('Prod 1'!D134="","",'Prod 1'!D134)</f>
        <v/>
      </c>
      <c r="L133" s="119" t="str">
        <f>IF('Prod 1'!I134="","",'Prod 1'!I134+'BH (2)'!C133)</f>
        <v/>
      </c>
      <c r="M133" s="59"/>
      <c r="N133" s="91"/>
      <c r="Q133" s="119" t="str">
        <f t="shared" ref="Q133:Q196" si="17">S133</f>
        <v/>
      </c>
      <c r="R133" s="92" t="str">
        <f>IF('Prod 1'!D134="","",'Prod 1'!D134)</f>
        <v/>
      </c>
      <c r="S133" s="119" t="str">
        <f>IF('Prod 1'!E134="","",'Prod 1'!E134+'BH (2)'!C133)</f>
        <v/>
      </c>
      <c r="T133" s="59"/>
      <c r="U133" s="91"/>
    </row>
    <row r="134" spans="2:21" ht="24.95" customHeight="1" x14ac:dyDescent="0.25">
      <c r="B134" s="119" t="str">
        <f t="shared" si="15"/>
        <v/>
      </c>
      <c r="C134" s="2">
        <v>1.31E-6</v>
      </c>
      <c r="D134" s="92" t="str">
        <f>IF(DespF!D137="","",DespF!D137)</f>
        <v/>
      </c>
      <c r="E134" s="90" t="str">
        <f>IF(DespF!E137="","",DespF!E137+'BH (2)'!C134)</f>
        <v/>
      </c>
      <c r="F134" s="59"/>
      <c r="G134" s="21"/>
      <c r="I134" s="106">
        <v>131</v>
      </c>
      <c r="J134" s="119" t="str">
        <f t="shared" si="16"/>
        <v/>
      </c>
      <c r="K134" s="92" t="str">
        <f>IF('Prod 1'!D135="","",'Prod 1'!D135)</f>
        <v/>
      </c>
      <c r="L134" s="119" t="str">
        <f>IF('Prod 1'!I135="","",'Prod 1'!I135+'BH (2)'!C134)</f>
        <v/>
      </c>
      <c r="M134" s="59"/>
      <c r="N134" s="91"/>
      <c r="Q134" s="119" t="str">
        <f t="shared" si="17"/>
        <v/>
      </c>
      <c r="R134" s="92" t="str">
        <f>IF('Prod 1'!D135="","",'Prod 1'!D135)</f>
        <v/>
      </c>
      <c r="S134" s="119" t="str">
        <f>IF('Prod 1'!E135="","",'Prod 1'!E135+'BH (2)'!C134)</f>
        <v/>
      </c>
      <c r="T134" s="59"/>
      <c r="U134" s="91"/>
    </row>
    <row r="135" spans="2:21" ht="24.95" customHeight="1" x14ac:dyDescent="0.25">
      <c r="B135" s="119" t="str">
        <f t="shared" si="15"/>
        <v/>
      </c>
      <c r="C135" s="2">
        <v>1.3200000000000001E-6</v>
      </c>
      <c r="D135" s="92" t="str">
        <f>IF(DespF!D138="","",DespF!D138)</f>
        <v/>
      </c>
      <c r="E135" s="90" t="str">
        <f>IF(DespF!E138="","",DespF!E138+'BH (2)'!C135)</f>
        <v/>
      </c>
      <c r="F135" s="59"/>
      <c r="G135" s="21"/>
      <c r="I135" s="106">
        <v>132</v>
      </c>
      <c r="J135" s="119" t="str">
        <f t="shared" si="16"/>
        <v/>
      </c>
      <c r="K135" s="92" t="str">
        <f>IF('Prod 1'!D136="","",'Prod 1'!D136)</f>
        <v/>
      </c>
      <c r="L135" s="119" t="str">
        <f>IF('Prod 1'!I136="","",'Prod 1'!I136+'BH (2)'!C135)</f>
        <v/>
      </c>
      <c r="M135" s="59"/>
      <c r="N135" s="91"/>
      <c r="Q135" s="119" t="str">
        <f t="shared" si="17"/>
        <v/>
      </c>
      <c r="R135" s="92" t="str">
        <f>IF('Prod 1'!D136="","",'Prod 1'!D136)</f>
        <v/>
      </c>
      <c r="S135" s="119" t="str">
        <f>IF('Prod 1'!E136="","",'Prod 1'!E136+'BH (2)'!C135)</f>
        <v/>
      </c>
      <c r="T135" s="59"/>
      <c r="U135" s="91"/>
    </row>
    <row r="136" spans="2:21" ht="24.95" customHeight="1" x14ac:dyDescent="0.25">
      <c r="B136" s="119" t="str">
        <f t="shared" si="15"/>
        <v/>
      </c>
      <c r="C136" s="2">
        <v>1.33E-6</v>
      </c>
      <c r="D136" s="92" t="str">
        <f>IF(DespF!D139="","",DespF!D139)</f>
        <v/>
      </c>
      <c r="E136" s="90" t="str">
        <f>IF(DespF!E139="","",DespF!E139+'BH (2)'!C136)</f>
        <v/>
      </c>
      <c r="F136" s="59"/>
      <c r="G136" s="21"/>
      <c r="I136" s="106">
        <v>133</v>
      </c>
      <c r="J136" s="119" t="str">
        <f t="shared" si="16"/>
        <v/>
      </c>
      <c r="K136" s="92" t="str">
        <f>IF('Prod 1'!D137="","",'Prod 1'!D137)</f>
        <v/>
      </c>
      <c r="L136" s="119" t="str">
        <f>IF('Prod 1'!I137="","",'Prod 1'!I137+'BH (2)'!C136)</f>
        <v/>
      </c>
      <c r="M136" s="59"/>
      <c r="N136" s="91"/>
      <c r="Q136" s="119" t="str">
        <f t="shared" si="17"/>
        <v/>
      </c>
      <c r="R136" s="92" t="str">
        <f>IF('Prod 1'!D137="","",'Prod 1'!D137)</f>
        <v/>
      </c>
      <c r="S136" s="119" t="str">
        <f>IF('Prod 1'!E137="","",'Prod 1'!E137+'BH (2)'!C136)</f>
        <v/>
      </c>
      <c r="T136" s="59"/>
      <c r="U136" s="91"/>
    </row>
    <row r="137" spans="2:21" ht="24.95" customHeight="1" x14ac:dyDescent="0.25">
      <c r="B137" s="119" t="str">
        <f t="shared" si="15"/>
        <v/>
      </c>
      <c r="C137" s="2">
        <v>1.3400000000000001E-6</v>
      </c>
      <c r="D137" s="92" t="str">
        <f>IF(DespF!D140="","",DespF!D140)</f>
        <v/>
      </c>
      <c r="E137" s="90" t="str">
        <f>IF(DespF!E140="","",DespF!E140+'BH (2)'!C137)</f>
        <v/>
      </c>
      <c r="F137" s="59"/>
      <c r="G137" s="21"/>
      <c r="I137" s="106">
        <v>134</v>
      </c>
      <c r="J137" s="119" t="str">
        <f t="shared" si="16"/>
        <v/>
      </c>
      <c r="K137" s="92" t="str">
        <f>IF('Prod 1'!D138="","",'Prod 1'!D138)</f>
        <v/>
      </c>
      <c r="L137" s="119" t="str">
        <f>IF('Prod 1'!I138="","",'Prod 1'!I138+'BH (2)'!C137)</f>
        <v/>
      </c>
      <c r="M137" s="59"/>
      <c r="N137" s="91"/>
      <c r="Q137" s="119" t="str">
        <f t="shared" si="17"/>
        <v/>
      </c>
      <c r="R137" s="92" t="str">
        <f>IF('Prod 1'!D138="","",'Prod 1'!D138)</f>
        <v/>
      </c>
      <c r="S137" s="119" t="str">
        <f>IF('Prod 1'!E138="","",'Prod 1'!E138+'BH (2)'!C137)</f>
        <v/>
      </c>
      <c r="T137" s="59"/>
      <c r="U137" s="91"/>
    </row>
    <row r="138" spans="2:21" ht="24.95" customHeight="1" x14ac:dyDescent="0.25">
      <c r="B138" s="119" t="str">
        <f t="shared" si="15"/>
        <v/>
      </c>
      <c r="C138" s="2">
        <v>1.35E-6</v>
      </c>
      <c r="D138" s="92" t="str">
        <f>IF(DespF!D141="","",DespF!D141)</f>
        <v/>
      </c>
      <c r="E138" s="90" t="str">
        <f>IF(DespF!E141="","",DespF!E141+'BH (2)'!C138)</f>
        <v/>
      </c>
      <c r="F138" s="59"/>
      <c r="G138" s="21"/>
      <c r="I138" s="106">
        <v>135</v>
      </c>
      <c r="J138" s="119" t="str">
        <f t="shared" si="16"/>
        <v/>
      </c>
      <c r="K138" s="92" t="str">
        <f>IF('Prod 1'!D139="","",'Prod 1'!D139)</f>
        <v/>
      </c>
      <c r="L138" s="119" t="str">
        <f>IF('Prod 1'!I139="","",'Prod 1'!I139+'BH (2)'!C138)</f>
        <v/>
      </c>
      <c r="M138" s="59"/>
      <c r="N138" s="91"/>
      <c r="Q138" s="119" t="str">
        <f t="shared" si="17"/>
        <v/>
      </c>
      <c r="R138" s="92" t="str">
        <f>IF('Prod 1'!D139="","",'Prod 1'!D139)</f>
        <v/>
      </c>
      <c r="S138" s="119" t="str">
        <f>IF('Prod 1'!E139="","",'Prod 1'!E139+'BH (2)'!C138)</f>
        <v/>
      </c>
      <c r="T138" s="59"/>
      <c r="U138" s="91"/>
    </row>
    <row r="139" spans="2:21" ht="24.95" customHeight="1" x14ac:dyDescent="0.25">
      <c r="B139" s="119" t="str">
        <f t="shared" si="15"/>
        <v/>
      </c>
      <c r="C139" s="2">
        <v>1.3599999999999999E-6</v>
      </c>
      <c r="D139" s="92" t="str">
        <f>IF(DespF!D142="","",DespF!D142)</f>
        <v/>
      </c>
      <c r="E139" s="90" t="str">
        <f>IF(DespF!E142="","",DespF!E142+'BH (2)'!C139)</f>
        <v/>
      </c>
      <c r="F139" s="59"/>
      <c r="G139" s="21"/>
      <c r="I139" s="106">
        <v>136</v>
      </c>
      <c r="J139" s="119" t="str">
        <f t="shared" si="16"/>
        <v/>
      </c>
      <c r="K139" s="92" t="str">
        <f>IF('Prod 1'!D140="","",'Prod 1'!D140)</f>
        <v/>
      </c>
      <c r="L139" s="119" t="str">
        <f>IF('Prod 1'!I140="","",'Prod 1'!I140+'BH (2)'!C139)</f>
        <v/>
      </c>
      <c r="M139" s="59"/>
      <c r="N139" s="91"/>
      <c r="Q139" s="119" t="str">
        <f t="shared" si="17"/>
        <v/>
      </c>
      <c r="R139" s="92" t="str">
        <f>IF('Prod 1'!D140="","",'Prod 1'!D140)</f>
        <v/>
      </c>
      <c r="S139" s="119" t="str">
        <f>IF('Prod 1'!E140="","",'Prod 1'!E140+'BH (2)'!C139)</f>
        <v/>
      </c>
      <c r="T139" s="59"/>
      <c r="U139" s="91"/>
    </row>
    <row r="140" spans="2:21" ht="24.95" customHeight="1" x14ac:dyDescent="0.25">
      <c r="B140" s="119" t="str">
        <f t="shared" si="15"/>
        <v/>
      </c>
      <c r="C140" s="2">
        <v>1.37E-6</v>
      </c>
      <c r="D140" s="92" t="str">
        <f>IF(DespF!D143="","",DespF!D143)</f>
        <v/>
      </c>
      <c r="E140" s="90" t="str">
        <f>IF(DespF!E143="","",DespF!E143+'BH (2)'!C140)</f>
        <v/>
      </c>
      <c r="F140" s="59"/>
      <c r="G140" s="21"/>
      <c r="I140" s="106">
        <v>137</v>
      </c>
      <c r="J140" s="119" t="str">
        <f t="shared" si="16"/>
        <v/>
      </c>
      <c r="K140" s="92" t="str">
        <f>IF('Prod 1'!D141="","",'Prod 1'!D141)</f>
        <v/>
      </c>
      <c r="L140" s="119" t="str">
        <f>IF('Prod 1'!I141="","",'Prod 1'!I141+'BH (2)'!C140)</f>
        <v/>
      </c>
      <c r="M140" s="59"/>
      <c r="N140" s="91"/>
      <c r="Q140" s="119" t="str">
        <f t="shared" si="17"/>
        <v/>
      </c>
      <c r="R140" s="92" t="str">
        <f>IF('Prod 1'!D141="","",'Prod 1'!D141)</f>
        <v/>
      </c>
      <c r="S140" s="119" t="str">
        <f>IF('Prod 1'!E141="","",'Prod 1'!E141+'BH (2)'!C140)</f>
        <v/>
      </c>
      <c r="T140" s="59"/>
      <c r="U140" s="91"/>
    </row>
    <row r="141" spans="2:21" ht="24.95" customHeight="1" x14ac:dyDescent="0.25">
      <c r="B141" s="119" t="str">
        <f t="shared" si="15"/>
        <v/>
      </c>
      <c r="C141" s="2">
        <v>1.3799999999999999E-6</v>
      </c>
      <c r="D141" s="92" t="str">
        <f>IF(DespF!D144="","",DespF!D144)</f>
        <v/>
      </c>
      <c r="E141" s="90" t="str">
        <f>IF(DespF!E144="","",DespF!E144+'BH (2)'!C141)</f>
        <v/>
      </c>
      <c r="F141" s="59"/>
      <c r="G141" s="21"/>
      <c r="I141" s="106">
        <v>138</v>
      </c>
      <c r="J141" s="119" t="str">
        <f t="shared" si="16"/>
        <v/>
      </c>
      <c r="K141" s="92" t="str">
        <f>IF('Prod 1'!D142="","",'Prod 1'!D142)</f>
        <v/>
      </c>
      <c r="L141" s="119" t="str">
        <f>IF('Prod 1'!I142="","",'Prod 1'!I142+'BH (2)'!C141)</f>
        <v/>
      </c>
      <c r="M141" s="59"/>
      <c r="N141" s="91"/>
      <c r="Q141" s="119" t="str">
        <f t="shared" si="17"/>
        <v/>
      </c>
      <c r="R141" s="92" t="str">
        <f>IF('Prod 1'!D142="","",'Prod 1'!D142)</f>
        <v/>
      </c>
      <c r="S141" s="119" t="str">
        <f>IF('Prod 1'!E142="","",'Prod 1'!E142+'BH (2)'!C141)</f>
        <v/>
      </c>
      <c r="T141" s="59"/>
      <c r="U141" s="91"/>
    </row>
    <row r="142" spans="2:21" ht="24.95" customHeight="1" x14ac:dyDescent="0.25">
      <c r="B142" s="119" t="str">
        <f t="shared" si="15"/>
        <v/>
      </c>
      <c r="C142" s="2">
        <v>1.39E-6</v>
      </c>
      <c r="D142" s="92" t="str">
        <f>IF(DespF!D145="","",DespF!D145)</f>
        <v/>
      </c>
      <c r="E142" s="90" t="str">
        <f>IF(DespF!E145="","",DespF!E145+'BH (2)'!C142)</f>
        <v/>
      </c>
      <c r="F142" s="59"/>
      <c r="G142" s="21"/>
      <c r="I142" s="106">
        <v>139</v>
      </c>
      <c r="J142" s="119" t="str">
        <f t="shared" si="16"/>
        <v/>
      </c>
      <c r="K142" s="92" t="str">
        <f>IF('Prod 1'!D143="","",'Prod 1'!D143)</f>
        <v/>
      </c>
      <c r="L142" s="119" t="str">
        <f>IF('Prod 1'!I143="","",'Prod 1'!I143+'BH (2)'!C142)</f>
        <v/>
      </c>
      <c r="M142" s="59"/>
      <c r="N142" s="91"/>
      <c r="Q142" s="119" t="str">
        <f t="shared" si="17"/>
        <v/>
      </c>
      <c r="R142" s="92" t="str">
        <f>IF('Prod 1'!D143="","",'Prod 1'!D143)</f>
        <v/>
      </c>
      <c r="S142" s="119" t="str">
        <f>IF('Prod 1'!E143="","",'Prod 1'!E143+'BH (2)'!C142)</f>
        <v/>
      </c>
      <c r="T142" s="59"/>
      <c r="U142" s="91"/>
    </row>
    <row r="143" spans="2:21" ht="24.95" customHeight="1" x14ac:dyDescent="0.25">
      <c r="B143" s="119" t="str">
        <f t="shared" si="15"/>
        <v/>
      </c>
      <c r="C143" s="2">
        <v>1.3999999999999999E-6</v>
      </c>
      <c r="D143" s="92" t="str">
        <f>IF(DespF!D146="","",DespF!D146)</f>
        <v/>
      </c>
      <c r="E143" s="90" t="str">
        <f>IF(DespF!E146="","",DespF!E146+'BH (2)'!C143)</f>
        <v/>
      </c>
      <c r="F143" s="59"/>
      <c r="G143" s="21"/>
      <c r="I143" s="106">
        <v>140</v>
      </c>
      <c r="J143" s="119" t="str">
        <f t="shared" si="16"/>
        <v/>
      </c>
      <c r="K143" s="92" t="str">
        <f>IF('Prod 1'!D144="","",'Prod 1'!D144)</f>
        <v/>
      </c>
      <c r="L143" s="119" t="str">
        <f>IF('Prod 1'!I144="","",'Prod 1'!I144+'BH (2)'!C143)</f>
        <v/>
      </c>
      <c r="M143" s="59"/>
      <c r="N143" s="91"/>
      <c r="Q143" s="119" t="str">
        <f t="shared" si="17"/>
        <v/>
      </c>
      <c r="R143" s="92" t="str">
        <f>IF('Prod 1'!D144="","",'Prod 1'!D144)</f>
        <v/>
      </c>
      <c r="S143" s="119" t="str">
        <f>IF('Prod 1'!E144="","",'Prod 1'!E144+'BH (2)'!C143)</f>
        <v/>
      </c>
      <c r="T143" s="59"/>
      <c r="U143" s="91"/>
    </row>
    <row r="144" spans="2:21" ht="24.95" customHeight="1" x14ac:dyDescent="0.25">
      <c r="B144" s="119" t="str">
        <f t="shared" si="15"/>
        <v/>
      </c>
      <c r="C144" s="2">
        <v>1.4100000000000001E-6</v>
      </c>
      <c r="D144" s="92" t="str">
        <f>IF(DespF!D147="","",DespF!D147)</f>
        <v/>
      </c>
      <c r="E144" s="90" t="str">
        <f>IF(DespF!E147="","",DespF!E147+'BH (2)'!C144)</f>
        <v/>
      </c>
      <c r="F144" s="59"/>
      <c r="G144" s="21"/>
      <c r="I144" s="106">
        <v>141</v>
      </c>
      <c r="J144" s="119" t="str">
        <f t="shared" si="16"/>
        <v/>
      </c>
      <c r="K144" s="92" t="str">
        <f>IF('Prod 1'!D145="","",'Prod 1'!D145)</f>
        <v/>
      </c>
      <c r="L144" s="119" t="str">
        <f>IF('Prod 1'!I145="","",'Prod 1'!I145+'BH (2)'!C144)</f>
        <v/>
      </c>
      <c r="M144" s="59"/>
      <c r="N144" s="91"/>
      <c r="Q144" s="119" t="str">
        <f t="shared" si="17"/>
        <v/>
      </c>
      <c r="R144" s="92" t="str">
        <f>IF('Prod 1'!D145="","",'Prod 1'!D145)</f>
        <v/>
      </c>
      <c r="S144" s="119" t="str">
        <f>IF('Prod 1'!E145="","",'Prod 1'!E145+'BH (2)'!C144)</f>
        <v/>
      </c>
      <c r="T144" s="59"/>
      <c r="U144" s="91"/>
    </row>
    <row r="145" spans="2:21" ht="24.95" customHeight="1" x14ac:dyDescent="0.25">
      <c r="B145" s="119" t="str">
        <f t="shared" si="15"/>
        <v/>
      </c>
      <c r="C145" s="2">
        <v>1.42E-6</v>
      </c>
      <c r="D145" s="92" t="str">
        <f>IF(DespF!D148="","",DespF!D148)</f>
        <v/>
      </c>
      <c r="E145" s="90" t="str">
        <f>IF(DespF!E148="","",DespF!E148+'BH (2)'!C145)</f>
        <v/>
      </c>
      <c r="F145" s="59"/>
      <c r="G145" s="21"/>
      <c r="I145" s="106">
        <v>142</v>
      </c>
      <c r="J145" s="119" t="str">
        <f t="shared" si="16"/>
        <v/>
      </c>
      <c r="K145" s="92" t="str">
        <f>IF('Prod 1'!D146="","",'Prod 1'!D146)</f>
        <v/>
      </c>
      <c r="L145" s="119" t="str">
        <f>IF('Prod 1'!I146="","",'Prod 1'!I146+'BH (2)'!C145)</f>
        <v/>
      </c>
      <c r="M145" s="59"/>
      <c r="N145" s="91"/>
      <c r="Q145" s="119" t="str">
        <f t="shared" si="17"/>
        <v/>
      </c>
      <c r="R145" s="92" t="str">
        <f>IF('Prod 1'!D146="","",'Prod 1'!D146)</f>
        <v/>
      </c>
      <c r="S145" s="119" t="str">
        <f>IF('Prod 1'!E146="","",'Prod 1'!E146+'BH (2)'!C145)</f>
        <v/>
      </c>
      <c r="T145" s="59"/>
      <c r="U145" s="91"/>
    </row>
    <row r="146" spans="2:21" ht="24.95" customHeight="1" x14ac:dyDescent="0.25">
      <c r="B146" s="119" t="str">
        <f t="shared" si="15"/>
        <v/>
      </c>
      <c r="C146" s="2">
        <v>1.4300000000000001E-6</v>
      </c>
      <c r="D146" s="92" t="str">
        <f>IF(DespF!D149="","",DespF!D149)</f>
        <v/>
      </c>
      <c r="E146" s="90" t="str">
        <f>IF(DespF!E149="","",DespF!E149+'BH (2)'!C146)</f>
        <v/>
      </c>
      <c r="F146" s="59"/>
      <c r="G146" s="21"/>
      <c r="I146" s="106">
        <v>143</v>
      </c>
      <c r="J146" s="119" t="str">
        <f t="shared" si="16"/>
        <v/>
      </c>
      <c r="K146" s="92" t="str">
        <f>IF('Prod 1'!D147="","",'Prod 1'!D147)</f>
        <v/>
      </c>
      <c r="L146" s="119" t="str">
        <f>IF('Prod 1'!I147="","",'Prod 1'!I147+'BH (2)'!C146)</f>
        <v/>
      </c>
      <c r="M146" s="59"/>
      <c r="N146" s="91"/>
      <c r="Q146" s="119" t="str">
        <f t="shared" si="17"/>
        <v/>
      </c>
      <c r="R146" s="92" t="str">
        <f>IF('Prod 1'!D147="","",'Prod 1'!D147)</f>
        <v/>
      </c>
      <c r="S146" s="119" t="str">
        <f>IF('Prod 1'!E147="","",'Prod 1'!E147+'BH (2)'!C146)</f>
        <v/>
      </c>
      <c r="T146" s="59"/>
      <c r="U146" s="91"/>
    </row>
    <row r="147" spans="2:21" ht="24.95" customHeight="1" x14ac:dyDescent="0.25">
      <c r="B147" s="119" t="str">
        <f t="shared" si="15"/>
        <v/>
      </c>
      <c r="C147" s="2">
        <v>1.44E-6</v>
      </c>
      <c r="D147" s="92" t="str">
        <f>IF(DespF!D150="","",DespF!D150)</f>
        <v/>
      </c>
      <c r="E147" s="90" t="str">
        <f>IF(DespF!E150="","",DespF!E150+'BH (2)'!C147)</f>
        <v/>
      </c>
      <c r="F147" s="59"/>
      <c r="G147" s="21"/>
      <c r="I147" s="106">
        <v>144</v>
      </c>
      <c r="J147" s="119" t="str">
        <f t="shared" si="16"/>
        <v/>
      </c>
      <c r="K147" s="92" t="str">
        <f>IF('Prod 1'!D148="","",'Prod 1'!D148)</f>
        <v/>
      </c>
      <c r="L147" s="119" t="str">
        <f>IF('Prod 1'!I148="","",'Prod 1'!I148+'BH (2)'!C147)</f>
        <v/>
      </c>
      <c r="M147" s="59"/>
      <c r="N147" s="91"/>
      <c r="Q147" s="119" t="str">
        <f t="shared" si="17"/>
        <v/>
      </c>
      <c r="R147" s="92" t="str">
        <f>IF('Prod 1'!D148="","",'Prod 1'!D148)</f>
        <v/>
      </c>
      <c r="S147" s="119" t="str">
        <f>IF('Prod 1'!E148="","",'Prod 1'!E148+'BH (2)'!C147)</f>
        <v/>
      </c>
      <c r="T147" s="59"/>
      <c r="U147" s="91"/>
    </row>
    <row r="148" spans="2:21" ht="24.95" customHeight="1" x14ac:dyDescent="0.25">
      <c r="B148" s="119" t="str">
        <f t="shared" si="15"/>
        <v/>
      </c>
      <c r="C148" s="2">
        <v>1.4500000000000001E-6</v>
      </c>
      <c r="D148" s="92" t="str">
        <f>IF(DespF!D151="","",DespF!D151)</f>
        <v/>
      </c>
      <c r="E148" s="90" t="str">
        <f>IF(DespF!E151="","",DespF!E151+'BH (2)'!C148)</f>
        <v/>
      </c>
      <c r="F148" s="59"/>
      <c r="G148" s="21"/>
      <c r="I148" s="106">
        <v>145</v>
      </c>
      <c r="J148" s="119" t="str">
        <f t="shared" si="16"/>
        <v/>
      </c>
      <c r="K148" s="92" t="str">
        <f>IF('Prod 1'!D149="","",'Prod 1'!D149)</f>
        <v/>
      </c>
      <c r="L148" s="119" t="str">
        <f>IF('Prod 1'!I149="","",'Prod 1'!I149+'BH (2)'!C148)</f>
        <v/>
      </c>
      <c r="M148" s="59"/>
      <c r="N148" s="91"/>
      <c r="Q148" s="119" t="str">
        <f t="shared" si="17"/>
        <v/>
      </c>
      <c r="R148" s="92" t="str">
        <f>IF('Prod 1'!D149="","",'Prod 1'!D149)</f>
        <v/>
      </c>
      <c r="S148" s="119" t="str">
        <f>IF('Prod 1'!E149="","",'Prod 1'!E149+'BH (2)'!C148)</f>
        <v/>
      </c>
      <c r="T148" s="59"/>
      <c r="U148" s="91"/>
    </row>
    <row r="149" spans="2:21" ht="24.95" customHeight="1" x14ac:dyDescent="0.25">
      <c r="B149" s="119" t="str">
        <f t="shared" si="15"/>
        <v/>
      </c>
      <c r="C149" s="2">
        <v>1.46E-6</v>
      </c>
      <c r="D149" s="92" t="str">
        <f>IF(DespF!D152="","",DespF!D152)</f>
        <v/>
      </c>
      <c r="E149" s="90" t="str">
        <f>IF(DespF!E152="","",DespF!E152+'BH (2)'!C149)</f>
        <v/>
      </c>
      <c r="F149" s="59"/>
      <c r="G149" s="21"/>
      <c r="I149" s="106">
        <v>146</v>
      </c>
      <c r="J149" s="119" t="str">
        <f t="shared" si="16"/>
        <v/>
      </c>
      <c r="K149" s="92" t="str">
        <f>IF('Prod 1'!D150="","",'Prod 1'!D150)</f>
        <v/>
      </c>
      <c r="L149" s="119" t="str">
        <f>IF('Prod 1'!I150="","",'Prod 1'!I150+'BH (2)'!C149)</f>
        <v/>
      </c>
      <c r="M149" s="59"/>
      <c r="N149" s="91"/>
      <c r="Q149" s="119" t="str">
        <f t="shared" si="17"/>
        <v/>
      </c>
      <c r="R149" s="92" t="str">
        <f>IF('Prod 1'!D150="","",'Prod 1'!D150)</f>
        <v/>
      </c>
      <c r="S149" s="119" t="str">
        <f>IF('Prod 1'!E150="","",'Prod 1'!E150+'BH (2)'!C149)</f>
        <v/>
      </c>
      <c r="T149" s="59"/>
      <c r="U149" s="91"/>
    </row>
    <row r="150" spans="2:21" ht="24.95" customHeight="1" x14ac:dyDescent="0.25">
      <c r="B150" s="119" t="str">
        <f t="shared" si="15"/>
        <v/>
      </c>
      <c r="C150" s="2">
        <v>1.4699999999999999E-6</v>
      </c>
      <c r="D150" s="92" t="str">
        <f>IF(DespF!D153="","",DespF!D153)</f>
        <v/>
      </c>
      <c r="E150" s="90" t="str">
        <f>IF(DespF!E153="","",DespF!E153+'BH (2)'!C150)</f>
        <v/>
      </c>
      <c r="F150" s="59"/>
      <c r="G150" s="21"/>
      <c r="I150" s="106">
        <v>147</v>
      </c>
      <c r="J150" s="119" t="str">
        <f t="shared" si="16"/>
        <v/>
      </c>
      <c r="K150" s="92" t="str">
        <f>IF('Prod 1'!D151="","",'Prod 1'!D151)</f>
        <v/>
      </c>
      <c r="L150" s="119" t="str">
        <f>IF('Prod 1'!I151="","",'Prod 1'!I151+'BH (2)'!C150)</f>
        <v/>
      </c>
      <c r="M150" s="59"/>
      <c r="N150" s="91"/>
      <c r="Q150" s="119" t="str">
        <f t="shared" si="17"/>
        <v/>
      </c>
      <c r="R150" s="92" t="str">
        <f>IF('Prod 1'!D151="","",'Prod 1'!D151)</f>
        <v/>
      </c>
      <c r="S150" s="119" t="str">
        <f>IF('Prod 1'!E151="","",'Prod 1'!E151+'BH (2)'!C150)</f>
        <v/>
      </c>
      <c r="T150" s="59"/>
      <c r="U150" s="91"/>
    </row>
    <row r="151" spans="2:21" ht="24.95" customHeight="1" x14ac:dyDescent="0.25">
      <c r="B151" s="119" t="str">
        <f t="shared" si="15"/>
        <v/>
      </c>
      <c r="C151" s="2">
        <v>1.48E-6</v>
      </c>
      <c r="D151" s="92" t="str">
        <f>IF(DespF!D154="","",DespF!D154)</f>
        <v/>
      </c>
      <c r="E151" s="90" t="str">
        <f>IF(DespF!E154="","",DespF!E154+'BH (2)'!C151)</f>
        <v/>
      </c>
      <c r="F151" s="59"/>
      <c r="G151" s="21"/>
      <c r="I151" s="106">
        <v>148</v>
      </c>
      <c r="J151" s="119" t="str">
        <f t="shared" si="16"/>
        <v/>
      </c>
      <c r="K151" s="92" t="str">
        <f>IF('Prod 1'!D152="","",'Prod 1'!D152)</f>
        <v/>
      </c>
      <c r="L151" s="119" t="str">
        <f>IF('Prod 1'!I152="","",'Prod 1'!I152+'BH (2)'!C151)</f>
        <v/>
      </c>
      <c r="M151" s="59"/>
      <c r="N151" s="91"/>
      <c r="Q151" s="119" t="str">
        <f t="shared" si="17"/>
        <v/>
      </c>
      <c r="R151" s="92" t="str">
        <f>IF('Prod 1'!D152="","",'Prod 1'!D152)</f>
        <v/>
      </c>
      <c r="S151" s="119" t="str">
        <f>IF('Prod 1'!E152="","",'Prod 1'!E152+'BH (2)'!C151)</f>
        <v/>
      </c>
      <c r="T151" s="59"/>
      <c r="U151" s="91"/>
    </row>
    <row r="152" spans="2:21" ht="24.95" customHeight="1" x14ac:dyDescent="0.25">
      <c r="B152" s="119" t="str">
        <f t="shared" si="15"/>
        <v/>
      </c>
      <c r="C152" s="2">
        <v>1.4899999999999999E-6</v>
      </c>
      <c r="D152" s="92" t="str">
        <f>IF(DespF!D155="","",DespF!D155)</f>
        <v/>
      </c>
      <c r="E152" s="90" t="str">
        <f>IF(DespF!E155="","",DespF!E155+'BH (2)'!C152)</f>
        <v/>
      </c>
      <c r="F152" s="59"/>
      <c r="G152" s="21"/>
      <c r="I152" s="106">
        <v>149</v>
      </c>
      <c r="J152" s="119" t="str">
        <f t="shared" si="16"/>
        <v/>
      </c>
      <c r="K152" s="92" t="str">
        <f>IF('Prod 1'!D153="","",'Prod 1'!D153)</f>
        <v/>
      </c>
      <c r="L152" s="119" t="str">
        <f>IF('Prod 1'!I153="","",'Prod 1'!I153+'BH (2)'!C152)</f>
        <v/>
      </c>
      <c r="M152" s="59"/>
      <c r="N152" s="91"/>
      <c r="Q152" s="119" t="str">
        <f t="shared" si="17"/>
        <v/>
      </c>
      <c r="R152" s="92" t="str">
        <f>IF('Prod 1'!D153="","",'Prod 1'!D153)</f>
        <v/>
      </c>
      <c r="S152" s="119" t="str">
        <f>IF('Prod 1'!E153="","",'Prod 1'!E153+'BH (2)'!C152)</f>
        <v/>
      </c>
      <c r="T152" s="59"/>
      <c r="U152" s="91"/>
    </row>
    <row r="153" spans="2:21" ht="24.95" customHeight="1" x14ac:dyDescent="0.25">
      <c r="B153" s="119" t="str">
        <f t="shared" si="15"/>
        <v/>
      </c>
      <c r="C153" s="2">
        <v>1.5E-6</v>
      </c>
      <c r="D153" s="92" t="str">
        <f>IF(DespF!D156="","",DespF!D156)</f>
        <v/>
      </c>
      <c r="E153" s="90" t="str">
        <f>IF(DespF!E156="","",DespF!E156+'BH (2)'!C153)</f>
        <v/>
      </c>
      <c r="F153" s="59"/>
      <c r="G153" s="21"/>
      <c r="I153" s="106">
        <v>150</v>
      </c>
      <c r="J153" s="119" t="str">
        <f t="shared" si="16"/>
        <v/>
      </c>
      <c r="K153" s="92" t="str">
        <f>IF('Prod 1'!D154="","",'Prod 1'!D154)</f>
        <v/>
      </c>
      <c r="L153" s="119" t="str">
        <f>IF('Prod 1'!I154="","",'Prod 1'!I154+'BH (2)'!C153)</f>
        <v/>
      </c>
      <c r="M153" s="59"/>
      <c r="N153" s="91"/>
      <c r="Q153" s="119" t="str">
        <f t="shared" si="17"/>
        <v/>
      </c>
      <c r="R153" s="92" t="str">
        <f>IF('Prod 1'!D154="","",'Prod 1'!D154)</f>
        <v/>
      </c>
      <c r="S153" s="119" t="str">
        <f>IF('Prod 1'!E154="","",'Prod 1'!E154+'BH (2)'!C153)</f>
        <v/>
      </c>
      <c r="T153" s="59"/>
      <c r="U153" s="91"/>
    </row>
    <row r="154" spans="2:21" ht="24.95" customHeight="1" x14ac:dyDescent="0.25">
      <c r="B154" s="119" t="str">
        <f t="shared" si="15"/>
        <v/>
      </c>
      <c r="C154" s="2">
        <v>1.5099999999999999E-6</v>
      </c>
      <c r="D154" s="92" t="str">
        <f>IF(DespF!D157="","",DespF!D157)</f>
        <v/>
      </c>
      <c r="E154" s="90" t="str">
        <f>IF(DespF!E157="","",DespF!E157+'BH (2)'!C154)</f>
        <v/>
      </c>
      <c r="F154" s="59"/>
      <c r="G154" s="21"/>
      <c r="I154" s="106">
        <v>151</v>
      </c>
      <c r="J154" s="119" t="str">
        <f t="shared" si="16"/>
        <v/>
      </c>
      <c r="K154" s="92" t="str">
        <f>IF('Prod 1'!D155="","",'Prod 1'!D155)</f>
        <v/>
      </c>
      <c r="L154" s="119" t="str">
        <f>IF('Prod 1'!I155="","",'Prod 1'!I155+'BH (2)'!C154)</f>
        <v/>
      </c>
      <c r="M154" s="59"/>
      <c r="N154" s="91"/>
      <c r="Q154" s="119" t="str">
        <f t="shared" si="17"/>
        <v/>
      </c>
      <c r="R154" s="92" t="str">
        <f>IF('Prod 1'!D155="","",'Prod 1'!D155)</f>
        <v/>
      </c>
      <c r="S154" s="119" t="str">
        <f>IF('Prod 1'!E155="","",'Prod 1'!E155+'BH (2)'!C154)</f>
        <v/>
      </c>
      <c r="T154" s="59"/>
      <c r="U154" s="91"/>
    </row>
    <row r="155" spans="2:21" ht="24.95" customHeight="1" x14ac:dyDescent="0.25">
      <c r="B155" s="119" t="str">
        <f t="shared" si="15"/>
        <v/>
      </c>
      <c r="C155" s="2">
        <v>1.5200000000000001E-6</v>
      </c>
      <c r="D155" s="92" t="str">
        <f>IF(DespF!D158="","",DespF!D158)</f>
        <v/>
      </c>
      <c r="E155" s="90" t="str">
        <f>IF(DespF!E158="","",DespF!E158+'BH (2)'!C155)</f>
        <v/>
      </c>
      <c r="F155" s="59"/>
      <c r="G155" s="21"/>
      <c r="I155" s="106">
        <v>152</v>
      </c>
      <c r="J155" s="119" t="str">
        <f t="shared" si="16"/>
        <v/>
      </c>
      <c r="K155" s="92" t="str">
        <f>IF('Prod 1'!D156="","",'Prod 1'!D156)</f>
        <v/>
      </c>
      <c r="L155" s="119" t="str">
        <f>IF('Prod 1'!I156="","",'Prod 1'!I156+'BH (2)'!C155)</f>
        <v/>
      </c>
      <c r="M155" s="59"/>
      <c r="N155" s="91"/>
      <c r="Q155" s="119" t="str">
        <f t="shared" si="17"/>
        <v/>
      </c>
      <c r="R155" s="92" t="str">
        <f>IF('Prod 1'!D156="","",'Prod 1'!D156)</f>
        <v/>
      </c>
      <c r="S155" s="119" t="str">
        <f>IF('Prod 1'!E156="","",'Prod 1'!E156+'BH (2)'!C155)</f>
        <v/>
      </c>
      <c r="T155" s="59"/>
      <c r="U155" s="91"/>
    </row>
    <row r="156" spans="2:21" ht="24.95" customHeight="1" x14ac:dyDescent="0.25">
      <c r="B156" s="119" t="str">
        <f t="shared" si="15"/>
        <v/>
      </c>
      <c r="C156" s="2">
        <v>1.53E-6</v>
      </c>
      <c r="D156" s="92" t="str">
        <f>IF(DespF!D159="","",DespF!D159)</f>
        <v/>
      </c>
      <c r="E156" s="90" t="str">
        <f>IF(DespF!E159="","",DespF!E159+'BH (2)'!C156)</f>
        <v/>
      </c>
      <c r="F156" s="59"/>
      <c r="G156" s="21"/>
      <c r="I156" s="106">
        <v>153</v>
      </c>
      <c r="J156" s="119" t="str">
        <f t="shared" si="16"/>
        <v/>
      </c>
      <c r="K156" s="92" t="str">
        <f>IF('Prod 1'!D157="","",'Prod 1'!D157)</f>
        <v/>
      </c>
      <c r="L156" s="119" t="str">
        <f>IF('Prod 1'!I157="","",'Prod 1'!I157+'BH (2)'!C156)</f>
        <v/>
      </c>
      <c r="M156" s="59"/>
      <c r="N156" s="91"/>
      <c r="Q156" s="119" t="str">
        <f t="shared" si="17"/>
        <v/>
      </c>
      <c r="R156" s="92" t="str">
        <f>IF('Prod 1'!D157="","",'Prod 1'!D157)</f>
        <v/>
      </c>
      <c r="S156" s="119" t="str">
        <f>IF('Prod 1'!E157="","",'Prod 1'!E157+'BH (2)'!C156)</f>
        <v/>
      </c>
      <c r="T156" s="59"/>
      <c r="U156" s="91"/>
    </row>
    <row r="157" spans="2:21" ht="24.95" customHeight="1" x14ac:dyDescent="0.25">
      <c r="B157" s="119" t="str">
        <f t="shared" si="15"/>
        <v/>
      </c>
      <c r="C157" s="2">
        <v>1.5400000000000001E-6</v>
      </c>
      <c r="D157" s="92" t="str">
        <f>IF(DespF!D160="","",DespF!D160)</f>
        <v/>
      </c>
      <c r="E157" s="90" t="str">
        <f>IF(DespF!E160="","",DespF!E160+'BH (2)'!C157)</f>
        <v/>
      </c>
      <c r="F157" s="59"/>
      <c r="G157" s="21"/>
      <c r="I157" s="106">
        <v>154</v>
      </c>
      <c r="J157" s="119" t="str">
        <f t="shared" si="16"/>
        <v/>
      </c>
      <c r="K157" s="92" t="str">
        <f>IF('Prod 1'!D158="","",'Prod 1'!D158)</f>
        <v/>
      </c>
      <c r="L157" s="119" t="str">
        <f>IF('Prod 1'!I158="","",'Prod 1'!I158+'BH (2)'!C157)</f>
        <v/>
      </c>
      <c r="M157" s="59"/>
      <c r="N157" s="91"/>
      <c r="Q157" s="119" t="str">
        <f t="shared" si="17"/>
        <v/>
      </c>
      <c r="R157" s="92" t="str">
        <f>IF('Prod 1'!D158="","",'Prod 1'!D158)</f>
        <v/>
      </c>
      <c r="S157" s="119" t="str">
        <f>IF('Prod 1'!E158="","",'Prod 1'!E158+'BH (2)'!C157)</f>
        <v/>
      </c>
      <c r="T157" s="59"/>
      <c r="U157" s="91"/>
    </row>
    <row r="158" spans="2:21" ht="24.95" customHeight="1" x14ac:dyDescent="0.25">
      <c r="B158" s="119" t="str">
        <f t="shared" si="15"/>
        <v/>
      </c>
      <c r="C158" s="2">
        <v>1.55E-6</v>
      </c>
      <c r="D158" s="92" t="str">
        <f>IF(DespF!D161="","",DespF!D161)</f>
        <v/>
      </c>
      <c r="E158" s="90" t="str">
        <f>IF(DespF!E161="","",DespF!E161+'BH (2)'!C158)</f>
        <v/>
      </c>
      <c r="F158" s="59"/>
      <c r="G158" s="21"/>
      <c r="I158" s="106">
        <v>155</v>
      </c>
      <c r="J158" s="119" t="str">
        <f t="shared" si="16"/>
        <v/>
      </c>
      <c r="K158" s="92" t="str">
        <f>IF('Prod 1'!D159="","",'Prod 1'!D159)</f>
        <v/>
      </c>
      <c r="L158" s="119" t="str">
        <f>IF('Prod 1'!I159="","",'Prod 1'!I159+'BH (2)'!C158)</f>
        <v/>
      </c>
      <c r="M158" s="59"/>
      <c r="N158" s="91"/>
      <c r="Q158" s="119" t="str">
        <f t="shared" si="17"/>
        <v/>
      </c>
      <c r="R158" s="92" t="str">
        <f>IF('Prod 1'!D159="","",'Prod 1'!D159)</f>
        <v/>
      </c>
      <c r="S158" s="119" t="str">
        <f>IF('Prod 1'!E159="","",'Prod 1'!E159+'BH (2)'!C158)</f>
        <v/>
      </c>
      <c r="T158" s="59"/>
      <c r="U158" s="91"/>
    </row>
    <row r="159" spans="2:21" ht="24.95" customHeight="1" x14ac:dyDescent="0.25">
      <c r="B159" s="119" t="str">
        <f t="shared" si="15"/>
        <v/>
      </c>
      <c r="C159" s="2">
        <v>1.5600000000000001E-6</v>
      </c>
      <c r="D159" s="92" t="str">
        <f>IF(DespF!D162="","",DespF!D162)</f>
        <v/>
      </c>
      <c r="E159" s="90" t="str">
        <f>IF(DespF!E162="","",DespF!E162+'BH (2)'!C159)</f>
        <v/>
      </c>
      <c r="F159" s="59"/>
      <c r="G159" s="21"/>
      <c r="I159" s="106">
        <v>156</v>
      </c>
      <c r="J159" s="119" t="str">
        <f t="shared" si="16"/>
        <v/>
      </c>
      <c r="K159" s="92" t="str">
        <f>IF('Prod 1'!D160="","",'Prod 1'!D160)</f>
        <v/>
      </c>
      <c r="L159" s="119" t="str">
        <f>IF('Prod 1'!I160="","",'Prod 1'!I160+'BH (2)'!C159)</f>
        <v/>
      </c>
      <c r="M159" s="59"/>
      <c r="N159" s="91"/>
      <c r="Q159" s="119" t="str">
        <f t="shared" si="17"/>
        <v/>
      </c>
      <c r="R159" s="92" t="str">
        <f>IF('Prod 1'!D160="","",'Prod 1'!D160)</f>
        <v/>
      </c>
      <c r="S159" s="119" t="str">
        <f>IF('Prod 1'!E160="","",'Prod 1'!E160+'BH (2)'!C159)</f>
        <v/>
      </c>
      <c r="T159" s="59"/>
      <c r="U159" s="91"/>
    </row>
    <row r="160" spans="2:21" ht="24.95" customHeight="1" x14ac:dyDescent="0.25">
      <c r="B160" s="119" t="str">
        <f t="shared" si="15"/>
        <v/>
      </c>
      <c r="C160" s="2">
        <v>1.57E-6</v>
      </c>
      <c r="D160" s="92" t="str">
        <f>IF(DespF!D163="","",DespF!D163)</f>
        <v/>
      </c>
      <c r="E160" s="90" t="str">
        <f>IF(DespF!E163="","",DespF!E163+'BH (2)'!C160)</f>
        <v/>
      </c>
      <c r="F160" s="59"/>
      <c r="G160" s="21"/>
      <c r="I160" s="106">
        <v>157</v>
      </c>
      <c r="J160" s="119" t="str">
        <f t="shared" si="16"/>
        <v/>
      </c>
      <c r="K160" s="92" t="str">
        <f>IF('Prod 1'!D161="","",'Prod 1'!D161)</f>
        <v/>
      </c>
      <c r="L160" s="119" t="str">
        <f>IF('Prod 1'!I161="","",'Prod 1'!I161+'BH (2)'!C160)</f>
        <v/>
      </c>
      <c r="M160" s="59"/>
      <c r="N160" s="91"/>
      <c r="Q160" s="119" t="str">
        <f t="shared" si="17"/>
        <v/>
      </c>
      <c r="R160" s="92" t="str">
        <f>IF('Prod 1'!D161="","",'Prod 1'!D161)</f>
        <v/>
      </c>
      <c r="S160" s="119" t="str">
        <f>IF('Prod 1'!E161="","",'Prod 1'!E161+'BH (2)'!C160)</f>
        <v/>
      </c>
      <c r="T160" s="59"/>
      <c r="U160" s="91"/>
    </row>
    <row r="161" spans="2:21" ht="24.95" customHeight="1" x14ac:dyDescent="0.25">
      <c r="B161" s="119" t="str">
        <f t="shared" si="15"/>
        <v/>
      </c>
      <c r="C161" s="2">
        <v>1.5799999999999999E-6</v>
      </c>
      <c r="D161" s="92" t="str">
        <f>IF(DespF!D164="","",DespF!D164)</f>
        <v/>
      </c>
      <c r="E161" s="90" t="str">
        <f>IF(DespF!E164="","",DespF!E164+'BH (2)'!C161)</f>
        <v/>
      </c>
      <c r="F161" s="59"/>
      <c r="G161" s="21"/>
      <c r="I161" s="106">
        <v>158</v>
      </c>
      <c r="J161" s="119" t="str">
        <f t="shared" si="16"/>
        <v/>
      </c>
      <c r="K161" s="92" t="str">
        <f>IF('Prod 1'!D162="","",'Prod 1'!D162)</f>
        <v/>
      </c>
      <c r="L161" s="119" t="str">
        <f>IF('Prod 1'!I162="","",'Prod 1'!I162+'BH (2)'!C161)</f>
        <v/>
      </c>
      <c r="M161" s="59"/>
      <c r="N161" s="91"/>
      <c r="Q161" s="119" t="str">
        <f t="shared" si="17"/>
        <v/>
      </c>
      <c r="R161" s="92" t="str">
        <f>IF('Prod 1'!D162="","",'Prod 1'!D162)</f>
        <v/>
      </c>
      <c r="S161" s="119" t="str">
        <f>IF('Prod 1'!E162="","",'Prod 1'!E162+'BH (2)'!C161)</f>
        <v/>
      </c>
      <c r="T161" s="59"/>
      <c r="U161" s="91"/>
    </row>
    <row r="162" spans="2:21" ht="24.95" customHeight="1" x14ac:dyDescent="0.25">
      <c r="B162" s="119" t="str">
        <f t="shared" si="15"/>
        <v/>
      </c>
      <c r="C162" s="2">
        <v>1.59E-6</v>
      </c>
      <c r="D162" s="92" t="str">
        <f>IF(DespF!D165="","",DespF!D165)</f>
        <v/>
      </c>
      <c r="E162" s="90" t="str">
        <f>IF(DespF!E165="","",DespF!E165+'BH (2)'!C162)</f>
        <v/>
      </c>
      <c r="F162" s="59"/>
      <c r="G162" s="21"/>
      <c r="I162" s="106">
        <v>159</v>
      </c>
      <c r="J162" s="119" t="str">
        <f t="shared" si="16"/>
        <v/>
      </c>
      <c r="K162" s="92" t="str">
        <f>IF('Prod 1'!D163="","",'Prod 1'!D163)</f>
        <v/>
      </c>
      <c r="L162" s="119" t="str">
        <f>IF('Prod 1'!I163="","",'Prod 1'!I163+'BH (2)'!C162)</f>
        <v/>
      </c>
      <c r="M162" s="59"/>
      <c r="N162" s="91"/>
      <c r="Q162" s="119" t="str">
        <f t="shared" si="17"/>
        <v/>
      </c>
      <c r="R162" s="92" t="str">
        <f>IF('Prod 1'!D163="","",'Prod 1'!D163)</f>
        <v/>
      </c>
      <c r="S162" s="119" t="str">
        <f>IF('Prod 1'!E163="","",'Prod 1'!E163+'BH (2)'!C162)</f>
        <v/>
      </c>
      <c r="T162" s="59"/>
      <c r="U162" s="91"/>
    </row>
    <row r="163" spans="2:21" ht="24.95" customHeight="1" x14ac:dyDescent="0.25">
      <c r="B163" s="119" t="str">
        <f t="shared" si="15"/>
        <v/>
      </c>
      <c r="C163" s="2">
        <v>1.5999999999999999E-6</v>
      </c>
      <c r="D163" s="92" t="str">
        <f>IF(DespF!D166="","",DespF!D166)</f>
        <v/>
      </c>
      <c r="E163" s="90" t="str">
        <f>IF(DespF!E166="","",DespF!E166+'BH (2)'!C163)</f>
        <v/>
      </c>
      <c r="F163" s="59"/>
      <c r="G163" s="21"/>
      <c r="I163" s="106">
        <v>160</v>
      </c>
      <c r="J163" s="119" t="str">
        <f t="shared" si="16"/>
        <v/>
      </c>
      <c r="K163" s="92" t="str">
        <f>IF('Prod 1'!D164="","",'Prod 1'!D164)</f>
        <v/>
      </c>
      <c r="L163" s="119" t="str">
        <f>IF('Prod 1'!I164="","",'Prod 1'!I164+'BH (2)'!C163)</f>
        <v/>
      </c>
      <c r="M163" s="59"/>
      <c r="N163" s="91"/>
      <c r="Q163" s="119" t="str">
        <f t="shared" si="17"/>
        <v/>
      </c>
      <c r="R163" s="92" t="str">
        <f>IF('Prod 1'!D164="","",'Prod 1'!D164)</f>
        <v/>
      </c>
      <c r="S163" s="119" t="str">
        <f>IF('Prod 1'!E164="","",'Prod 1'!E164+'BH (2)'!C163)</f>
        <v/>
      </c>
      <c r="T163" s="59"/>
      <c r="U163" s="91"/>
    </row>
    <row r="164" spans="2:21" ht="24.95" customHeight="1" x14ac:dyDescent="0.25">
      <c r="B164" s="119" t="str">
        <f t="shared" si="15"/>
        <v/>
      </c>
      <c r="C164" s="2">
        <v>1.61E-6</v>
      </c>
      <c r="D164" s="92" t="str">
        <f>IF(DespF!D167="","",DespF!D167)</f>
        <v/>
      </c>
      <c r="E164" s="90" t="str">
        <f>IF(DespF!E167="","",DespF!E167+'BH (2)'!C164)</f>
        <v/>
      </c>
      <c r="F164" s="59"/>
      <c r="G164" s="21"/>
      <c r="I164" s="106">
        <v>161</v>
      </c>
      <c r="J164" s="119" t="str">
        <f t="shared" si="16"/>
        <v/>
      </c>
      <c r="K164" s="92" t="str">
        <f>IF('Prod 1'!D165="","",'Prod 1'!D165)</f>
        <v/>
      </c>
      <c r="L164" s="119" t="str">
        <f>IF('Prod 1'!I165="","",'Prod 1'!I165+'BH (2)'!C164)</f>
        <v/>
      </c>
      <c r="M164" s="59"/>
      <c r="N164" s="91"/>
      <c r="Q164" s="119" t="str">
        <f t="shared" si="17"/>
        <v/>
      </c>
      <c r="R164" s="92" t="str">
        <f>IF('Prod 1'!D165="","",'Prod 1'!D165)</f>
        <v/>
      </c>
      <c r="S164" s="119" t="str">
        <f>IF('Prod 1'!E165="","",'Prod 1'!E165+'BH (2)'!C164)</f>
        <v/>
      </c>
      <c r="T164" s="59"/>
      <c r="U164" s="91"/>
    </row>
    <row r="165" spans="2:21" ht="24.95" customHeight="1" x14ac:dyDescent="0.25">
      <c r="B165" s="119" t="str">
        <f t="shared" si="15"/>
        <v/>
      </c>
      <c r="C165" s="2">
        <v>1.6199999999999999E-6</v>
      </c>
      <c r="D165" s="92" t="str">
        <f>IF(DespF!D168="","",DespF!D168)</f>
        <v/>
      </c>
      <c r="E165" s="90" t="str">
        <f>IF(DespF!E168="","",DespF!E168+'BH (2)'!C165)</f>
        <v/>
      </c>
      <c r="F165" s="59"/>
      <c r="G165" s="21"/>
      <c r="I165" s="106">
        <v>162</v>
      </c>
      <c r="J165" s="119" t="str">
        <f t="shared" si="16"/>
        <v/>
      </c>
      <c r="K165" s="92" t="str">
        <f>IF('Prod 1'!D166="","",'Prod 1'!D166)</f>
        <v/>
      </c>
      <c r="L165" s="119" t="str">
        <f>IF('Prod 1'!I166="","",'Prod 1'!I166+'BH (2)'!C165)</f>
        <v/>
      </c>
      <c r="M165" s="59"/>
      <c r="N165" s="91"/>
      <c r="Q165" s="119" t="str">
        <f t="shared" si="17"/>
        <v/>
      </c>
      <c r="R165" s="92" t="str">
        <f>IF('Prod 1'!D166="","",'Prod 1'!D166)</f>
        <v/>
      </c>
      <c r="S165" s="119" t="str">
        <f>IF('Prod 1'!E166="","",'Prod 1'!E166+'BH (2)'!C165)</f>
        <v/>
      </c>
      <c r="T165" s="59"/>
      <c r="U165" s="91"/>
    </row>
    <row r="166" spans="2:21" ht="24.95" customHeight="1" x14ac:dyDescent="0.25">
      <c r="B166" s="119" t="str">
        <f t="shared" si="15"/>
        <v/>
      </c>
      <c r="C166" s="2">
        <v>1.6300000000000001E-6</v>
      </c>
      <c r="D166" s="92" t="str">
        <f>IF(DespF!D169="","",DespF!D169)</f>
        <v/>
      </c>
      <c r="E166" s="90" t="str">
        <f>IF(DespF!E169="","",DespF!E169+'BH (2)'!C166)</f>
        <v/>
      </c>
      <c r="F166" s="59"/>
      <c r="G166" s="21"/>
      <c r="I166" s="106">
        <v>163</v>
      </c>
      <c r="J166" s="119" t="str">
        <f t="shared" si="16"/>
        <v/>
      </c>
      <c r="K166" s="92" t="str">
        <f>IF('Prod 1'!D167="","",'Prod 1'!D167)</f>
        <v/>
      </c>
      <c r="L166" s="119" t="str">
        <f>IF('Prod 1'!I167="","",'Prod 1'!I167+'BH (2)'!C166)</f>
        <v/>
      </c>
      <c r="M166" s="59"/>
      <c r="N166" s="91"/>
      <c r="Q166" s="119" t="str">
        <f t="shared" si="17"/>
        <v/>
      </c>
      <c r="R166" s="92" t="str">
        <f>IF('Prod 1'!D167="","",'Prod 1'!D167)</f>
        <v/>
      </c>
      <c r="S166" s="119" t="str">
        <f>IF('Prod 1'!E167="","",'Prod 1'!E167+'BH (2)'!C166)</f>
        <v/>
      </c>
      <c r="T166" s="59"/>
      <c r="U166" s="91"/>
    </row>
    <row r="167" spans="2:21" ht="24.95" customHeight="1" x14ac:dyDescent="0.25">
      <c r="B167" s="119" t="str">
        <f t="shared" si="15"/>
        <v/>
      </c>
      <c r="C167" s="2">
        <v>1.64E-6</v>
      </c>
      <c r="D167" s="92" t="str">
        <f>IF(DespF!D170="","",DespF!D170)</f>
        <v/>
      </c>
      <c r="E167" s="90" t="str">
        <f>IF(DespF!E170="","",DespF!E170+'BH (2)'!C167)</f>
        <v/>
      </c>
      <c r="F167" s="59"/>
      <c r="G167" s="21"/>
      <c r="I167" s="106">
        <v>164</v>
      </c>
      <c r="J167" s="119" t="str">
        <f t="shared" si="16"/>
        <v/>
      </c>
      <c r="K167" s="92" t="str">
        <f>IF('Prod 1'!D168="","",'Prod 1'!D168)</f>
        <v/>
      </c>
      <c r="L167" s="119" t="str">
        <f>IF('Prod 1'!I168="","",'Prod 1'!I168+'BH (2)'!C167)</f>
        <v/>
      </c>
      <c r="M167" s="59"/>
      <c r="N167" s="91"/>
      <c r="Q167" s="119" t="str">
        <f t="shared" si="17"/>
        <v/>
      </c>
      <c r="R167" s="92" t="str">
        <f>IF('Prod 1'!D168="","",'Prod 1'!D168)</f>
        <v/>
      </c>
      <c r="S167" s="119" t="str">
        <f>IF('Prod 1'!E168="","",'Prod 1'!E168+'BH (2)'!C167)</f>
        <v/>
      </c>
      <c r="T167" s="59"/>
      <c r="U167" s="91"/>
    </row>
    <row r="168" spans="2:21" ht="24.95" customHeight="1" x14ac:dyDescent="0.25">
      <c r="B168" s="119" t="str">
        <f t="shared" si="15"/>
        <v/>
      </c>
      <c r="C168" s="2">
        <v>1.6500000000000001E-6</v>
      </c>
      <c r="D168" s="92" t="str">
        <f>IF(DespF!D171="","",DespF!D171)</f>
        <v/>
      </c>
      <c r="E168" s="90" t="str">
        <f>IF(DespF!E171="","",DespF!E171+'BH (2)'!C168)</f>
        <v/>
      </c>
      <c r="F168" s="59"/>
      <c r="G168" s="21"/>
      <c r="I168" s="106">
        <v>165</v>
      </c>
      <c r="J168" s="119" t="str">
        <f t="shared" si="16"/>
        <v/>
      </c>
      <c r="K168" s="92" t="str">
        <f>IF('Prod 1'!D169="","",'Prod 1'!D169)</f>
        <v/>
      </c>
      <c r="L168" s="119" t="str">
        <f>IF('Prod 1'!I169="","",'Prod 1'!I169+'BH (2)'!C168)</f>
        <v/>
      </c>
      <c r="M168" s="59"/>
      <c r="N168" s="91"/>
      <c r="Q168" s="119" t="str">
        <f t="shared" si="17"/>
        <v/>
      </c>
      <c r="R168" s="92" t="str">
        <f>IF('Prod 1'!D169="","",'Prod 1'!D169)</f>
        <v/>
      </c>
      <c r="S168" s="119" t="str">
        <f>IF('Prod 1'!E169="","",'Prod 1'!E169+'BH (2)'!C168)</f>
        <v/>
      </c>
      <c r="T168" s="59"/>
      <c r="U168" s="91"/>
    </row>
    <row r="169" spans="2:21" ht="24.95" customHeight="1" x14ac:dyDescent="0.25">
      <c r="B169" s="119" t="str">
        <f t="shared" si="15"/>
        <v/>
      </c>
      <c r="C169" s="2">
        <v>1.66E-6</v>
      </c>
      <c r="D169" s="92" t="str">
        <f>IF(DespF!D172="","",DespF!D172)</f>
        <v/>
      </c>
      <c r="E169" s="90" t="str">
        <f>IF(DespF!E172="","",DespF!E172+'BH (2)'!C169)</f>
        <v/>
      </c>
      <c r="F169" s="59"/>
      <c r="G169" s="21"/>
      <c r="I169" s="106">
        <v>166</v>
      </c>
      <c r="J169" s="119" t="str">
        <f t="shared" si="16"/>
        <v/>
      </c>
      <c r="K169" s="92" t="str">
        <f>IF('Prod 1'!D170="","",'Prod 1'!D170)</f>
        <v/>
      </c>
      <c r="L169" s="119" t="str">
        <f>IF('Prod 1'!I170="","",'Prod 1'!I170+'BH (2)'!C169)</f>
        <v/>
      </c>
      <c r="M169" s="59"/>
      <c r="N169" s="91"/>
      <c r="Q169" s="119" t="str">
        <f t="shared" si="17"/>
        <v/>
      </c>
      <c r="R169" s="92" t="str">
        <f>IF('Prod 1'!D170="","",'Prod 1'!D170)</f>
        <v/>
      </c>
      <c r="S169" s="119" t="str">
        <f>IF('Prod 1'!E170="","",'Prod 1'!E170+'BH (2)'!C169)</f>
        <v/>
      </c>
      <c r="T169" s="59"/>
      <c r="U169" s="91"/>
    </row>
    <row r="170" spans="2:21" ht="24.95" customHeight="1" x14ac:dyDescent="0.25">
      <c r="B170" s="119" t="str">
        <f t="shared" si="15"/>
        <v/>
      </c>
      <c r="C170" s="2">
        <v>1.6700000000000001E-6</v>
      </c>
      <c r="D170" s="92" t="str">
        <f>IF(DespF!D173="","",DespF!D173)</f>
        <v/>
      </c>
      <c r="E170" s="90" t="str">
        <f>IF(DespF!E173="","",DespF!E173+'BH (2)'!C170)</f>
        <v/>
      </c>
      <c r="F170" s="59"/>
      <c r="G170" s="21"/>
      <c r="I170" s="106">
        <v>167</v>
      </c>
      <c r="J170" s="119" t="str">
        <f t="shared" si="16"/>
        <v/>
      </c>
      <c r="K170" s="92" t="str">
        <f>IF('Prod 1'!D171="","",'Prod 1'!D171)</f>
        <v/>
      </c>
      <c r="L170" s="119" t="str">
        <f>IF('Prod 1'!I171="","",'Prod 1'!I171+'BH (2)'!C170)</f>
        <v/>
      </c>
      <c r="M170" s="59"/>
      <c r="N170" s="91"/>
      <c r="Q170" s="119" t="str">
        <f t="shared" si="17"/>
        <v/>
      </c>
      <c r="R170" s="92" t="str">
        <f>IF('Prod 1'!D171="","",'Prod 1'!D171)</f>
        <v/>
      </c>
      <c r="S170" s="119" t="str">
        <f>IF('Prod 1'!E171="","",'Prod 1'!E171+'BH (2)'!C170)</f>
        <v/>
      </c>
      <c r="T170" s="59"/>
      <c r="U170" s="91"/>
    </row>
    <row r="171" spans="2:21" ht="24.95" customHeight="1" x14ac:dyDescent="0.25">
      <c r="B171" s="119" t="str">
        <f t="shared" si="15"/>
        <v/>
      </c>
      <c r="C171" s="2">
        <v>1.68E-6</v>
      </c>
      <c r="D171" s="92" t="str">
        <f>IF(DespF!D174="","",DespF!D174)</f>
        <v/>
      </c>
      <c r="E171" s="90" t="str">
        <f>IF(DespF!E174="","",DespF!E174+'BH (2)'!C171)</f>
        <v/>
      </c>
      <c r="F171" s="59"/>
      <c r="G171" s="21"/>
      <c r="I171" s="106">
        <v>168</v>
      </c>
      <c r="J171" s="119" t="str">
        <f t="shared" si="16"/>
        <v/>
      </c>
      <c r="K171" s="92" t="str">
        <f>IF('Prod 1'!D172="","",'Prod 1'!D172)</f>
        <v/>
      </c>
      <c r="L171" s="119" t="str">
        <f>IF('Prod 1'!I172="","",'Prod 1'!I172+'BH (2)'!C171)</f>
        <v/>
      </c>
      <c r="M171" s="59"/>
      <c r="N171" s="91"/>
      <c r="Q171" s="119" t="str">
        <f t="shared" si="17"/>
        <v/>
      </c>
      <c r="R171" s="92" t="str">
        <f>IF('Prod 1'!D172="","",'Prod 1'!D172)</f>
        <v/>
      </c>
      <c r="S171" s="119" t="str">
        <f>IF('Prod 1'!E172="","",'Prod 1'!E172+'BH (2)'!C171)</f>
        <v/>
      </c>
      <c r="T171" s="59"/>
      <c r="U171" s="91"/>
    </row>
    <row r="172" spans="2:21" ht="24.95" customHeight="1" x14ac:dyDescent="0.25">
      <c r="B172" s="119" t="str">
        <f t="shared" si="15"/>
        <v/>
      </c>
      <c r="C172" s="2">
        <v>1.6899999999999999E-6</v>
      </c>
      <c r="D172" s="92" t="str">
        <f>IF(DespF!D175="","",DespF!D175)</f>
        <v/>
      </c>
      <c r="E172" s="90" t="str">
        <f>IF(DespF!E175="","",DespF!E175+'BH (2)'!C172)</f>
        <v/>
      </c>
      <c r="F172" s="59"/>
      <c r="G172" s="21"/>
      <c r="I172" s="106">
        <v>169</v>
      </c>
      <c r="J172" s="119" t="str">
        <f t="shared" si="16"/>
        <v/>
      </c>
      <c r="K172" s="92" t="str">
        <f>IF('Prod 1'!D173="","",'Prod 1'!D173)</f>
        <v/>
      </c>
      <c r="L172" s="119" t="str">
        <f>IF('Prod 1'!I173="","",'Prod 1'!I173+'BH (2)'!C172)</f>
        <v/>
      </c>
      <c r="M172" s="59"/>
      <c r="N172" s="91"/>
      <c r="Q172" s="119" t="str">
        <f t="shared" si="17"/>
        <v/>
      </c>
      <c r="R172" s="92" t="str">
        <f>IF('Prod 1'!D173="","",'Prod 1'!D173)</f>
        <v/>
      </c>
      <c r="S172" s="119" t="str">
        <f>IF('Prod 1'!E173="","",'Prod 1'!E173+'BH (2)'!C172)</f>
        <v/>
      </c>
      <c r="T172" s="59"/>
      <c r="U172" s="91"/>
    </row>
    <row r="173" spans="2:21" ht="24.95" customHeight="1" x14ac:dyDescent="0.25">
      <c r="B173" s="119" t="str">
        <f t="shared" si="15"/>
        <v/>
      </c>
      <c r="C173" s="2">
        <v>1.7E-6</v>
      </c>
      <c r="D173" s="92" t="str">
        <f>IF(DespF!D176="","",DespF!D176)</f>
        <v/>
      </c>
      <c r="E173" s="90" t="str">
        <f>IF(DespF!E176="","",DespF!E176+'BH (2)'!C173)</f>
        <v/>
      </c>
      <c r="F173" s="59"/>
      <c r="G173" s="21"/>
      <c r="I173" s="106">
        <v>170</v>
      </c>
      <c r="J173" s="119" t="str">
        <f t="shared" si="16"/>
        <v/>
      </c>
      <c r="K173" s="92" t="str">
        <f>IF('Prod 1'!D174="","",'Prod 1'!D174)</f>
        <v/>
      </c>
      <c r="L173" s="119" t="str">
        <f>IF('Prod 1'!I174="","",'Prod 1'!I174+'BH (2)'!C173)</f>
        <v/>
      </c>
      <c r="M173" s="59"/>
      <c r="N173" s="91"/>
      <c r="Q173" s="119" t="str">
        <f t="shared" si="17"/>
        <v/>
      </c>
      <c r="R173" s="92" t="str">
        <f>IF('Prod 1'!D174="","",'Prod 1'!D174)</f>
        <v/>
      </c>
      <c r="S173" s="119" t="str">
        <f>IF('Prod 1'!E174="","",'Prod 1'!E174+'BH (2)'!C173)</f>
        <v/>
      </c>
      <c r="T173" s="59"/>
      <c r="U173" s="91"/>
    </row>
    <row r="174" spans="2:21" ht="24.95" customHeight="1" x14ac:dyDescent="0.25">
      <c r="B174" s="119" t="str">
        <f t="shared" si="15"/>
        <v/>
      </c>
      <c r="C174" s="2">
        <v>1.7099999999999999E-6</v>
      </c>
      <c r="D174" s="92" t="str">
        <f>IF(DespF!D177="","",DespF!D177)</f>
        <v/>
      </c>
      <c r="E174" s="90" t="str">
        <f>IF(DespF!E177="","",DespF!E177+'BH (2)'!C174)</f>
        <v/>
      </c>
      <c r="F174" s="59"/>
      <c r="G174" s="21"/>
      <c r="I174" s="106">
        <v>171</v>
      </c>
      <c r="J174" s="119" t="str">
        <f t="shared" si="16"/>
        <v/>
      </c>
      <c r="K174" s="92" t="str">
        <f>IF('Prod 1'!D175="","",'Prod 1'!D175)</f>
        <v/>
      </c>
      <c r="L174" s="119" t="str">
        <f>IF('Prod 1'!I175="","",'Prod 1'!I175+'BH (2)'!C174)</f>
        <v/>
      </c>
      <c r="M174" s="59"/>
      <c r="N174" s="91"/>
      <c r="Q174" s="119" t="str">
        <f t="shared" si="17"/>
        <v/>
      </c>
      <c r="R174" s="92" t="str">
        <f>IF('Prod 1'!D175="","",'Prod 1'!D175)</f>
        <v/>
      </c>
      <c r="S174" s="119" t="str">
        <f>IF('Prod 1'!E175="","",'Prod 1'!E175+'BH (2)'!C174)</f>
        <v/>
      </c>
      <c r="T174" s="59"/>
      <c r="U174" s="91"/>
    </row>
    <row r="175" spans="2:21" ht="24.95" customHeight="1" x14ac:dyDescent="0.25">
      <c r="B175" s="119" t="str">
        <f t="shared" si="15"/>
        <v/>
      </c>
      <c r="C175" s="2">
        <v>1.72E-6</v>
      </c>
      <c r="D175" s="92" t="str">
        <f>IF(DespF!D178="","",DespF!D178)</f>
        <v/>
      </c>
      <c r="E175" s="90" t="str">
        <f>IF(DespF!E178="","",DespF!E178+'BH (2)'!C175)</f>
        <v/>
      </c>
      <c r="F175" s="59"/>
      <c r="G175" s="21"/>
      <c r="I175" s="106">
        <v>172</v>
      </c>
      <c r="J175" s="119" t="str">
        <f t="shared" si="16"/>
        <v/>
      </c>
      <c r="K175" s="92" t="str">
        <f>IF('Prod 1'!D176="","",'Prod 1'!D176)</f>
        <v/>
      </c>
      <c r="L175" s="119" t="str">
        <f>IF('Prod 1'!I176="","",'Prod 1'!I176+'BH (2)'!C175)</f>
        <v/>
      </c>
      <c r="M175" s="59"/>
      <c r="N175" s="91"/>
      <c r="Q175" s="119" t="str">
        <f t="shared" si="17"/>
        <v/>
      </c>
      <c r="R175" s="92" t="str">
        <f>IF('Prod 1'!D176="","",'Prod 1'!D176)</f>
        <v/>
      </c>
      <c r="S175" s="119" t="str">
        <f>IF('Prod 1'!E176="","",'Prod 1'!E176+'BH (2)'!C175)</f>
        <v/>
      </c>
      <c r="T175" s="59"/>
      <c r="U175" s="91"/>
    </row>
    <row r="176" spans="2:21" ht="24.95" customHeight="1" x14ac:dyDescent="0.25">
      <c r="B176" s="119" t="str">
        <f t="shared" si="15"/>
        <v/>
      </c>
      <c r="C176" s="2">
        <v>1.73E-6</v>
      </c>
      <c r="D176" s="92" t="str">
        <f>IF(DespF!D179="","",DespF!D179)</f>
        <v/>
      </c>
      <c r="E176" s="90" t="str">
        <f>IF(DespF!E179="","",DespF!E179+'BH (2)'!C176)</f>
        <v/>
      </c>
      <c r="F176" s="59"/>
      <c r="G176" s="21"/>
      <c r="I176" s="106">
        <v>173</v>
      </c>
      <c r="J176" s="119" t="str">
        <f t="shared" si="16"/>
        <v/>
      </c>
      <c r="K176" s="92" t="str">
        <f>IF('Prod 1'!D177="","",'Prod 1'!D177)</f>
        <v/>
      </c>
      <c r="L176" s="119" t="str">
        <f>IF('Prod 1'!I177="","",'Prod 1'!I177+'BH (2)'!C176)</f>
        <v/>
      </c>
      <c r="M176" s="59"/>
      <c r="N176" s="91"/>
      <c r="Q176" s="119" t="str">
        <f t="shared" si="17"/>
        <v/>
      </c>
      <c r="R176" s="92" t="str">
        <f>IF('Prod 1'!D177="","",'Prod 1'!D177)</f>
        <v/>
      </c>
      <c r="S176" s="119" t="str">
        <f>IF('Prod 1'!E177="","",'Prod 1'!E177+'BH (2)'!C176)</f>
        <v/>
      </c>
      <c r="T176" s="59"/>
      <c r="U176" s="91"/>
    </row>
    <row r="177" spans="2:21" ht="24.95" customHeight="1" x14ac:dyDescent="0.25">
      <c r="B177" s="119" t="str">
        <f t="shared" si="15"/>
        <v/>
      </c>
      <c r="C177" s="2">
        <v>1.7400000000000001E-6</v>
      </c>
      <c r="D177" s="92" t="str">
        <f>IF(DespF!D180="","",DespF!D180)</f>
        <v/>
      </c>
      <c r="E177" s="90" t="str">
        <f>IF(DespF!E180="","",DespF!E180+'BH (2)'!C177)</f>
        <v/>
      </c>
      <c r="F177" s="59"/>
      <c r="G177" s="21"/>
      <c r="I177" s="106">
        <v>174</v>
      </c>
      <c r="J177" s="119" t="str">
        <f t="shared" si="16"/>
        <v/>
      </c>
      <c r="K177" s="92" t="str">
        <f>IF('Prod 1'!D178="","",'Prod 1'!D178)</f>
        <v/>
      </c>
      <c r="L177" s="119" t="str">
        <f>IF('Prod 1'!I178="","",'Prod 1'!I178+'BH (2)'!C177)</f>
        <v/>
      </c>
      <c r="M177" s="59"/>
      <c r="N177" s="91"/>
      <c r="Q177" s="119" t="str">
        <f t="shared" si="17"/>
        <v/>
      </c>
      <c r="R177" s="92" t="str">
        <f>IF('Prod 1'!D178="","",'Prod 1'!D178)</f>
        <v/>
      </c>
      <c r="S177" s="119" t="str">
        <f>IF('Prod 1'!E178="","",'Prod 1'!E178+'BH (2)'!C177)</f>
        <v/>
      </c>
      <c r="T177" s="59"/>
      <c r="U177" s="91"/>
    </row>
    <row r="178" spans="2:21" ht="24.95" customHeight="1" x14ac:dyDescent="0.25">
      <c r="B178" s="119" t="str">
        <f t="shared" si="15"/>
        <v/>
      </c>
      <c r="C178" s="2">
        <v>1.75E-6</v>
      </c>
      <c r="D178" s="92" t="str">
        <f>IF(DespF!D181="","",DespF!D181)</f>
        <v/>
      </c>
      <c r="E178" s="90" t="str">
        <f>IF(DespF!E181="","",DespF!E181+'BH (2)'!C178)</f>
        <v/>
      </c>
      <c r="F178" s="59"/>
      <c r="G178" s="21"/>
      <c r="I178" s="106">
        <v>175</v>
      </c>
      <c r="J178" s="119" t="str">
        <f t="shared" si="16"/>
        <v/>
      </c>
      <c r="K178" s="92" t="str">
        <f>IF('Prod 1'!D179="","",'Prod 1'!D179)</f>
        <v/>
      </c>
      <c r="L178" s="119" t="str">
        <f>IF('Prod 1'!I179="","",'Prod 1'!I179+'BH (2)'!C178)</f>
        <v/>
      </c>
      <c r="M178" s="59"/>
      <c r="N178" s="91"/>
      <c r="Q178" s="119" t="str">
        <f t="shared" si="17"/>
        <v/>
      </c>
      <c r="R178" s="92" t="str">
        <f>IF('Prod 1'!D179="","",'Prod 1'!D179)</f>
        <v/>
      </c>
      <c r="S178" s="119" t="str">
        <f>IF('Prod 1'!E179="","",'Prod 1'!E179+'BH (2)'!C178)</f>
        <v/>
      </c>
      <c r="T178" s="59"/>
      <c r="U178" s="91"/>
    </row>
    <row r="179" spans="2:21" ht="24.95" customHeight="1" x14ac:dyDescent="0.25">
      <c r="B179" s="119" t="str">
        <f t="shared" si="15"/>
        <v/>
      </c>
      <c r="C179" s="2">
        <v>1.7600000000000001E-6</v>
      </c>
      <c r="D179" s="92" t="str">
        <f>IF(DespF!D182="","",DespF!D182)</f>
        <v/>
      </c>
      <c r="E179" s="90" t="str">
        <f>IF(DespF!E182="","",DespF!E182+'BH (2)'!C179)</f>
        <v/>
      </c>
      <c r="F179" s="59"/>
      <c r="G179" s="21"/>
      <c r="I179" s="106">
        <v>176</v>
      </c>
      <c r="J179" s="119" t="str">
        <f t="shared" si="16"/>
        <v/>
      </c>
      <c r="K179" s="92" t="str">
        <f>IF('Prod 1'!D180="","",'Prod 1'!D180)</f>
        <v/>
      </c>
      <c r="L179" s="119" t="str">
        <f>IF('Prod 1'!I180="","",'Prod 1'!I180+'BH (2)'!C179)</f>
        <v/>
      </c>
      <c r="M179" s="59"/>
      <c r="N179" s="91"/>
      <c r="Q179" s="119" t="str">
        <f t="shared" si="17"/>
        <v/>
      </c>
      <c r="R179" s="92" t="str">
        <f>IF('Prod 1'!D180="","",'Prod 1'!D180)</f>
        <v/>
      </c>
      <c r="S179" s="119" t="str">
        <f>IF('Prod 1'!E180="","",'Prod 1'!E180+'BH (2)'!C179)</f>
        <v/>
      </c>
      <c r="T179" s="59"/>
      <c r="U179" s="91"/>
    </row>
    <row r="180" spans="2:21" ht="24.95" customHeight="1" x14ac:dyDescent="0.25">
      <c r="B180" s="119" t="str">
        <f t="shared" si="15"/>
        <v/>
      </c>
      <c r="C180" s="2">
        <v>1.77E-6</v>
      </c>
      <c r="D180" s="92" t="str">
        <f>IF(DespF!D183="","",DespF!D183)</f>
        <v/>
      </c>
      <c r="E180" s="90" t="str">
        <f>IF(DespF!E183="","",DespF!E183+'BH (2)'!C180)</f>
        <v/>
      </c>
      <c r="F180" s="59"/>
      <c r="G180" s="21"/>
      <c r="I180" s="106">
        <v>177</v>
      </c>
      <c r="J180" s="119" t="str">
        <f t="shared" si="16"/>
        <v/>
      </c>
      <c r="K180" s="92" t="str">
        <f>IF('Prod 1'!D181="","",'Prod 1'!D181)</f>
        <v/>
      </c>
      <c r="L180" s="119" t="str">
        <f>IF('Prod 1'!I181="","",'Prod 1'!I181+'BH (2)'!C180)</f>
        <v/>
      </c>
      <c r="M180" s="59"/>
      <c r="N180" s="91"/>
      <c r="Q180" s="119" t="str">
        <f t="shared" si="17"/>
        <v/>
      </c>
      <c r="R180" s="92" t="str">
        <f>IF('Prod 1'!D181="","",'Prod 1'!D181)</f>
        <v/>
      </c>
      <c r="S180" s="119" t="str">
        <f>IF('Prod 1'!E181="","",'Prod 1'!E181+'BH (2)'!C180)</f>
        <v/>
      </c>
      <c r="T180" s="59"/>
      <c r="U180" s="91"/>
    </row>
    <row r="181" spans="2:21" ht="24.95" customHeight="1" x14ac:dyDescent="0.25">
      <c r="B181" s="119" t="str">
        <f t="shared" si="15"/>
        <v/>
      </c>
      <c r="C181" s="2">
        <v>1.7799999999999999E-6</v>
      </c>
      <c r="D181" s="92" t="str">
        <f>IF(DespF!D184="","",DespF!D184)</f>
        <v/>
      </c>
      <c r="E181" s="90" t="str">
        <f>IF(DespF!E184="","",DespF!E184+'BH (2)'!C181)</f>
        <v/>
      </c>
      <c r="F181" s="59"/>
      <c r="G181" s="21"/>
      <c r="I181" s="106">
        <v>178</v>
      </c>
      <c r="J181" s="119" t="str">
        <f t="shared" si="16"/>
        <v/>
      </c>
      <c r="K181" s="92" t="str">
        <f>IF('Prod 1'!D182="","",'Prod 1'!D182)</f>
        <v/>
      </c>
      <c r="L181" s="119" t="str">
        <f>IF('Prod 1'!I182="","",'Prod 1'!I182+'BH (2)'!C181)</f>
        <v/>
      </c>
      <c r="M181" s="59"/>
      <c r="N181" s="91"/>
      <c r="Q181" s="119" t="str">
        <f t="shared" si="17"/>
        <v/>
      </c>
      <c r="R181" s="92" t="str">
        <f>IF('Prod 1'!D182="","",'Prod 1'!D182)</f>
        <v/>
      </c>
      <c r="S181" s="119" t="str">
        <f>IF('Prod 1'!E182="","",'Prod 1'!E182+'BH (2)'!C181)</f>
        <v/>
      </c>
      <c r="T181" s="59"/>
      <c r="U181" s="91"/>
    </row>
    <row r="182" spans="2:21" ht="24.95" customHeight="1" x14ac:dyDescent="0.25">
      <c r="B182" s="119" t="str">
        <f t="shared" si="15"/>
        <v/>
      </c>
      <c r="C182" s="2">
        <v>1.79E-6</v>
      </c>
      <c r="D182" s="92" t="str">
        <f>IF(DespF!D185="","",DespF!D185)</f>
        <v/>
      </c>
      <c r="E182" s="90" t="str">
        <f>IF(DespF!E185="","",DespF!E185+'BH (2)'!C182)</f>
        <v/>
      </c>
      <c r="F182" s="59"/>
      <c r="G182" s="21"/>
      <c r="I182" s="106">
        <v>179</v>
      </c>
      <c r="J182" s="119" t="str">
        <f t="shared" si="16"/>
        <v/>
      </c>
      <c r="K182" s="92" t="str">
        <f>IF('Prod 1'!D183="","",'Prod 1'!D183)</f>
        <v/>
      </c>
      <c r="L182" s="119" t="str">
        <f>IF('Prod 1'!I183="","",'Prod 1'!I183+'BH (2)'!C182)</f>
        <v/>
      </c>
      <c r="M182" s="59"/>
      <c r="N182" s="91"/>
      <c r="Q182" s="119" t="str">
        <f t="shared" si="17"/>
        <v/>
      </c>
      <c r="R182" s="92" t="str">
        <f>IF('Prod 1'!D183="","",'Prod 1'!D183)</f>
        <v/>
      </c>
      <c r="S182" s="119" t="str">
        <f>IF('Prod 1'!E183="","",'Prod 1'!E183+'BH (2)'!C182)</f>
        <v/>
      </c>
      <c r="T182" s="59"/>
      <c r="U182" s="91"/>
    </row>
    <row r="183" spans="2:21" ht="24.95" customHeight="1" x14ac:dyDescent="0.25">
      <c r="B183" s="119" t="str">
        <f t="shared" si="15"/>
        <v/>
      </c>
      <c r="C183" s="2">
        <v>1.7999999999999999E-6</v>
      </c>
      <c r="D183" s="92" t="str">
        <f>IF(DespF!D186="","",DespF!D186)</f>
        <v/>
      </c>
      <c r="E183" s="90" t="str">
        <f>IF(DespF!E186="","",DespF!E186+'BH (2)'!C183)</f>
        <v/>
      </c>
      <c r="F183" s="59"/>
      <c r="G183" s="21"/>
      <c r="I183" s="106">
        <v>180</v>
      </c>
      <c r="J183" s="119" t="str">
        <f t="shared" si="16"/>
        <v/>
      </c>
      <c r="K183" s="92" t="str">
        <f>IF('Prod 1'!D184="","",'Prod 1'!D184)</f>
        <v/>
      </c>
      <c r="L183" s="119" t="str">
        <f>IF('Prod 1'!I184="","",'Prod 1'!I184+'BH (2)'!C183)</f>
        <v/>
      </c>
      <c r="M183" s="59"/>
      <c r="N183" s="91"/>
      <c r="Q183" s="119" t="str">
        <f t="shared" si="17"/>
        <v/>
      </c>
      <c r="R183" s="92" t="str">
        <f>IF('Prod 1'!D184="","",'Prod 1'!D184)</f>
        <v/>
      </c>
      <c r="S183" s="119" t="str">
        <f>IF('Prod 1'!E184="","",'Prod 1'!E184+'BH (2)'!C183)</f>
        <v/>
      </c>
      <c r="T183" s="59"/>
      <c r="U183" s="91"/>
    </row>
    <row r="184" spans="2:21" ht="24.95" customHeight="1" x14ac:dyDescent="0.25">
      <c r="B184" s="119" t="str">
        <f t="shared" si="15"/>
        <v/>
      </c>
      <c r="C184" s="2">
        <v>1.81E-6</v>
      </c>
      <c r="D184" s="92" t="str">
        <f>IF(DespF!D187="","",DespF!D187)</f>
        <v/>
      </c>
      <c r="E184" s="90" t="str">
        <f>IF(DespF!E187="","",DespF!E187+'BH (2)'!C184)</f>
        <v/>
      </c>
      <c r="F184" s="59"/>
      <c r="G184" s="21"/>
      <c r="I184" s="106">
        <v>181</v>
      </c>
      <c r="J184" s="119" t="str">
        <f t="shared" si="16"/>
        <v/>
      </c>
      <c r="K184" s="92" t="str">
        <f>IF('Prod 1'!D185="","",'Prod 1'!D185)</f>
        <v/>
      </c>
      <c r="L184" s="119" t="str">
        <f>IF('Prod 1'!I185="","",'Prod 1'!I185+'BH (2)'!C184)</f>
        <v/>
      </c>
      <c r="M184" s="59"/>
      <c r="N184" s="91"/>
      <c r="Q184" s="119" t="str">
        <f t="shared" si="17"/>
        <v/>
      </c>
      <c r="R184" s="92" t="str">
        <f>IF('Prod 1'!D185="","",'Prod 1'!D185)</f>
        <v/>
      </c>
      <c r="S184" s="119" t="str">
        <f>IF('Prod 1'!E185="","",'Prod 1'!E185+'BH (2)'!C184)</f>
        <v/>
      </c>
      <c r="T184" s="59"/>
      <c r="U184" s="91"/>
    </row>
    <row r="185" spans="2:21" ht="24.95" customHeight="1" x14ac:dyDescent="0.25">
      <c r="B185" s="119" t="str">
        <f t="shared" si="15"/>
        <v/>
      </c>
      <c r="C185" s="2">
        <v>1.8199999999999999E-6</v>
      </c>
      <c r="D185" s="92" t="str">
        <f>IF(DespF!D188="","",DespF!D188)</f>
        <v/>
      </c>
      <c r="E185" s="90" t="str">
        <f>IF(DespF!E188="","",DespF!E188+'BH (2)'!C185)</f>
        <v/>
      </c>
      <c r="F185" s="59"/>
      <c r="G185" s="21"/>
      <c r="I185" s="106">
        <v>182</v>
      </c>
      <c r="J185" s="119" t="str">
        <f t="shared" si="16"/>
        <v/>
      </c>
      <c r="K185" s="92" t="str">
        <f>IF('Prod 1'!D186="","",'Prod 1'!D186)</f>
        <v/>
      </c>
      <c r="L185" s="119" t="str">
        <f>IF('Prod 1'!I186="","",'Prod 1'!I186+'BH (2)'!C185)</f>
        <v/>
      </c>
      <c r="M185" s="59"/>
      <c r="N185" s="91"/>
      <c r="Q185" s="119" t="str">
        <f t="shared" si="17"/>
        <v/>
      </c>
      <c r="R185" s="92" t="str">
        <f>IF('Prod 1'!D186="","",'Prod 1'!D186)</f>
        <v/>
      </c>
      <c r="S185" s="119" t="str">
        <f>IF('Prod 1'!E186="","",'Prod 1'!E186+'BH (2)'!C185)</f>
        <v/>
      </c>
      <c r="T185" s="59"/>
      <c r="U185" s="91"/>
    </row>
    <row r="186" spans="2:21" ht="24.95" customHeight="1" x14ac:dyDescent="0.25">
      <c r="B186" s="119" t="str">
        <f t="shared" si="15"/>
        <v/>
      </c>
      <c r="C186" s="2">
        <v>1.8300000000000001E-6</v>
      </c>
      <c r="D186" s="92" t="str">
        <f>IF(DespF!D189="","",DespF!D189)</f>
        <v/>
      </c>
      <c r="E186" s="90" t="str">
        <f>IF(DespF!E189="","",DespF!E189+'BH (2)'!C186)</f>
        <v/>
      </c>
      <c r="F186" s="59"/>
      <c r="G186" s="21"/>
      <c r="I186" s="106">
        <v>183</v>
      </c>
      <c r="J186" s="119" t="str">
        <f t="shared" si="16"/>
        <v/>
      </c>
      <c r="K186" s="92" t="str">
        <f>IF('Prod 1'!D187="","",'Prod 1'!D187)</f>
        <v/>
      </c>
      <c r="L186" s="119" t="str">
        <f>IF('Prod 1'!I187="","",'Prod 1'!I187+'BH (2)'!C186)</f>
        <v/>
      </c>
      <c r="M186" s="59"/>
      <c r="N186" s="91"/>
      <c r="Q186" s="119" t="str">
        <f t="shared" si="17"/>
        <v/>
      </c>
      <c r="R186" s="92" t="str">
        <f>IF('Prod 1'!D187="","",'Prod 1'!D187)</f>
        <v/>
      </c>
      <c r="S186" s="119" t="str">
        <f>IF('Prod 1'!E187="","",'Prod 1'!E187+'BH (2)'!C186)</f>
        <v/>
      </c>
      <c r="T186" s="59"/>
      <c r="U186" s="91"/>
    </row>
    <row r="187" spans="2:21" ht="24.95" customHeight="1" x14ac:dyDescent="0.25">
      <c r="B187" s="119" t="str">
        <f t="shared" si="15"/>
        <v/>
      </c>
      <c r="C187" s="2">
        <v>1.84E-6</v>
      </c>
      <c r="D187" s="92" t="str">
        <f>IF(DespF!D190="","",DespF!D190)</f>
        <v/>
      </c>
      <c r="E187" s="90" t="str">
        <f>IF(DespF!E190="","",DespF!E190+'BH (2)'!C187)</f>
        <v/>
      </c>
      <c r="F187" s="59"/>
      <c r="G187" s="21"/>
      <c r="I187" s="106">
        <v>184</v>
      </c>
      <c r="J187" s="119" t="str">
        <f t="shared" si="16"/>
        <v/>
      </c>
      <c r="K187" s="92" t="str">
        <f>IF('Prod 1'!D188="","",'Prod 1'!D188)</f>
        <v/>
      </c>
      <c r="L187" s="119" t="str">
        <f>IF('Prod 1'!I188="","",'Prod 1'!I188+'BH (2)'!C187)</f>
        <v/>
      </c>
      <c r="M187" s="59"/>
      <c r="N187" s="91"/>
      <c r="Q187" s="119" t="str">
        <f t="shared" si="17"/>
        <v/>
      </c>
      <c r="R187" s="92" t="str">
        <f>IF('Prod 1'!D188="","",'Prod 1'!D188)</f>
        <v/>
      </c>
      <c r="S187" s="119" t="str">
        <f>IF('Prod 1'!E188="","",'Prod 1'!E188+'BH (2)'!C187)</f>
        <v/>
      </c>
      <c r="T187" s="59"/>
      <c r="U187" s="91"/>
    </row>
    <row r="188" spans="2:21" ht="24.95" customHeight="1" x14ac:dyDescent="0.25">
      <c r="B188" s="119" t="str">
        <f t="shared" si="15"/>
        <v/>
      </c>
      <c r="C188" s="2">
        <v>1.8500000000000001E-6</v>
      </c>
      <c r="D188" s="92" t="str">
        <f>IF(DespF!D191="","",DespF!D191)</f>
        <v/>
      </c>
      <c r="E188" s="90" t="str">
        <f>IF(DespF!E191="","",DespF!E191+'BH (2)'!C188)</f>
        <v/>
      </c>
      <c r="F188" s="59"/>
      <c r="G188" s="21"/>
      <c r="I188" s="106">
        <v>185</v>
      </c>
      <c r="J188" s="119" t="str">
        <f t="shared" si="16"/>
        <v/>
      </c>
      <c r="K188" s="92" t="str">
        <f>IF('Prod 1'!D189="","",'Prod 1'!D189)</f>
        <v/>
      </c>
      <c r="L188" s="119" t="str">
        <f>IF('Prod 1'!I189="","",'Prod 1'!I189+'BH (2)'!C188)</f>
        <v/>
      </c>
      <c r="M188" s="59"/>
      <c r="N188" s="91"/>
      <c r="Q188" s="119" t="str">
        <f t="shared" si="17"/>
        <v/>
      </c>
      <c r="R188" s="92" t="str">
        <f>IF('Prod 1'!D189="","",'Prod 1'!D189)</f>
        <v/>
      </c>
      <c r="S188" s="119" t="str">
        <f>IF('Prod 1'!E189="","",'Prod 1'!E189+'BH (2)'!C188)</f>
        <v/>
      </c>
      <c r="T188" s="59"/>
      <c r="U188" s="91"/>
    </row>
    <row r="189" spans="2:21" ht="24.95" customHeight="1" x14ac:dyDescent="0.25">
      <c r="B189" s="119" t="str">
        <f t="shared" si="15"/>
        <v/>
      </c>
      <c r="C189" s="2">
        <v>1.86E-6</v>
      </c>
      <c r="D189" s="92" t="str">
        <f>IF(DespF!D192="","",DespF!D192)</f>
        <v/>
      </c>
      <c r="E189" s="90" t="str">
        <f>IF(DespF!E192="","",DespF!E192+'BH (2)'!C189)</f>
        <v/>
      </c>
      <c r="F189" s="59"/>
      <c r="G189" s="21"/>
      <c r="I189" s="106">
        <v>186</v>
      </c>
      <c r="J189" s="119" t="str">
        <f t="shared" si="16"/>
        <v/>
      </c>
      <c r="K189" s="92" t="str">
        <f>IF('Prod 1'!D190="","",'Prod 1'!D190)</f>
        <v/>
      </c>
      <c r="L189" s="119" t="str">
        <f>IF('Prod 1'!I190="","",'Prod 1'!I190+'BH (2)'!C189)</f>
        <v/>
      </c>
      <c r="M189" s="59"/>
      <c r="N189" s="91"/>
      <c r="Q189" s="119" t="str">
        <f t="shared" si="17"/>
        <v/>
      </c>
      <c r="R189" s="92" t="str">
        <f>IF('Prod 1'!D190="","",'Prod 1'!D190)</f>
        <v/>
      </c>
      <c r="S189" s="119" t="str">
        <f>IF('Prod 1'!E190="","",'Prod 1'!E190+'BH (2)'!C189)</f>
        <v/>
      </c>
      <c r="T189" s="59"/>
      <c r="U189" s="91"/>
    </row>
    <row r="190" spans="2:21" ht="24.95" customHeight="1" x14ac:dyDescent="0.25">
      <c r="B190" s="119" t="str">
        <f t="shared" si="15"/>
        <v/>
      </c>
      <c r="C190" s="2">
        <v>1.8700000000000001E-6</v>
      </c>
      <c r="D190" s="92" t="str">
        <f>IF(DespF!D193="","",DespF!D193)</f>
        <v/>
      </c>
      <c r="E190" s="90" t="str">
        <f>IF(DespF!E193="","",DespF!E193+'BH (2)'!C190)</f>
        <v/>
      </c>
      <c r="F190" s="59"/>
      <c r="G190" s="21"/>
      <c r="I190" s="106">
        <v>187</v>
      </c>
      <c r="J190" s="119" t="str">
        <f t="shared" si="16"/>
        <v/>
      </c>
      <c r="K190" s="92" t="str">
        <f>IF('Prod 1'!D191="","",'Prod 1'!D191)</f>
        <v/>
      </c>
      <c r="L190" s="119" t="str">
        <f>IF('Prod 1'!I191="","",'Prod 1'!I191+'BH (2)'!C190)</f>
        <v/>
      </c>
      <c r="M190" s="59"/>
      <c r="N190" s="91"/>
      <c r="Q190" s="119" t="str">
        <f t="shared" si="17"/>
        <v/>
      </c>
      <c r="R190" s="92" t="str">
        <f>IF('Prod 1'!D191="","",'Prod 1'!D191)</f>
        <v/>
      </c>
      <c r="S190" s="119" t="str">
        <f>IF('Prod 1'!E191="","",'Prod 1'!E191+'BH (2)'!C190)</f>
        <v/>
      </c>
      <c r="T190" s="59"/>
      <c r="U190" s="91"/>
    </row>
    <row r="191" spans="2:21" ht="24.95" customHeight="1" x14ac:dyDescent="0.25">
      <c r="B191" s="119" t="str">
        <f t="shared" si="15"/>
        <v/>
      </c>
      <c r="C191" s="2">
        <v>1.88E-6</v>
      </c>
      <c r="D191" s="92" t="str">
        <f>IF(DespF!D194="","",DespF!D194)</f>
        <v/>
      </c>
      <c r="E191" s="90" t="str">
        <f>IF(DespF!E194="","",DespF!E194+'BH (2)'!C191)</f>
        <v/>
      </c>
      <c r="F191" s="59"/>
      <c r="G191" s="21"/>
      <c r="I191" s="106">
        <v>188</v>
      </c>
      <c r="J191" s="119" t="str">
        <f t="shared" si="16"/>
        <v/>
      </c>
      <c r="K191" s="92" t="str">
        <f>IF('Prod 1'!D192="","",'Prod 1'!D192)</f>
        <v/>
      </c>
      <c r="L191" s="119" t="str">
        <f>IF('Prod 1'!I192="","",'Prod 1'!I192+'BH (2)'!C191)</f>
        <v/>
      </c>
      <c r="M191" s="59"/>
      <c r="N191" s="91"/>
      <c r="Q191" s="119" t="str">
        <f t="shared" si="17"/>
        <v/>
      </c>
      <c r="R191" s="92" t="str">
        <f>IF('Prod 1'!D192="","",'Prod 1'!D192)</f>
        <v/>
      </c>
      <c r="S191" s="119" t="str">
        <f>IF('Prod 1'!E192="","",'Prod 1'!E192+'BH (2)'!C191)</f>
        <v/>
      </c>
      <c r="T191" s="59"/>
      <c r="U191" s="91"/>
    </row>
    <row r="192" spans="2:21" ht="24.95" customHeight="1" x14ac:dyDescent="0.25">
      <c r="B192" s="119" t="str">
        <f t="shared" si="15"/>
        <v/>
      </c>
      <c r="C192" s="2">
        <v>1.8899999999999999E-6</v>
      </c>
      <c r="D192" s="92" t="str">
        <f>IF(DespF!D195="","",DespF!D195)</f>
        <v/>
      </c>
      <c r="E192" s="90" t="str">
        <f>IF(DespF!E195="","",DespF!E195+'BH (2)'!C192)</f>
        <v/>
      </c>
      <c r="F192" s="59"/>
      <c r="G192" s="21"/>
      <c r="I192" s="106">
        <v>189</v>
      </c>
      <c r="J192" s="119" t="str">
        <f t="shared" si="16"/>
        <v/>
      </c>
      <c r="K192" s="92" t="str">
        <f>IF('Prod 1'!D193="","",'Prod 1'!D193)</f>
        <v/>
      </c>
      <c r="L192" s="119" t="str">
        <f>IF('Prod 1'!I193="","",'Prod 1'!I193+'BH (2)'!C192)</f>
        <v/>
      </c>
      <c r="M192" s="59"/>
      <c r="N192" s="91"/>
      <c r="Q192" s="119" t="str">
        <f t="shared" si="17"/>
        <v/>
      </c>
      <c r="R192" s="92" t="str">
        <f>IF('Prod 1'!D193="","",'Prod 1'!D193)</f>
        <v/>
      </c>
      <c r="S192" s="119" t="str">
        <f>IF('Prod 1'!E193="","",'Prod 1'!E193+'BH (2)'!C192)</f>
        <v/>
      </c>
      <c r="T192" s="59"/>
      <c r="U192" s="91"/>
    </row>
    <row r="193" spans="2:21" ht="24.95" customHeight="1" x14ac:dyDescent="0.25">
      <c r="B193" s="119" t="str">
        <f t="shared" si="15"/>
        <v/>
      </c>
      <c r="C193" s="2">
        <v>1.9E-6</v>
      </c>
      <c r="D193" s="92" t="str">
        <f>IF(DespF!D196="","",DespF!D196)</f>
        <v/>
      </c>
      <c r="E193" s="90" t="str">
        <f>IF(DespF!E196="","",DespF!E196+'BH (2)'!C193)</f>
        <v/>
      </c>
      <c r="F193" s="59"/>
      <c r="G193" s="21"/>
      <c r="I193" s="106">
        <v>190</v>
      </c>
      <c r="J193" s="119" t="str">
        <f t="shared" si="16"/>
        <v/>
      </c>
      <c r="K193" s="92" t="str">
        <f>IF('Prod 1'!D194="","",'Prod 1'!D194)</f>
        <v/>
      </c>
      <c r="L193" s="119" t="str">
        <f>IF('Prod 1'!I194="","",'Prod 1'!I194+'BH (2)'!C193)</f>
        <v/>
      </c>
      <c r="M193" s="59"/>
      <c r="N193" s="91"/>
      <c r="Q193" s="119" t="str">
        <f t="shared" si="17"/>
        <v/>
      </c>
      <c r="R193" s="92" t="str">
        <f>IF('Prod 1'!D194="","",'Prod 1'!D194)</f>
        <v/>
      </c>
      <c r="S193" s="119" t="str">
        <f>IF('Prod 1'!E194="","",'Prod 1'!E194+'BH (2)'!C193)</f>
        <v/>
      </c>
      <c r="T193" s="59"/>
      <c r="U193" s="91"/>
    </row>
    <row r="194" spans="2:21" ht="24.95" customHeight="1" x14ac:dyDescent="0.25">
      <c r="B194" s="119" t="str">
        <f t="shared" si="15"/>
        <v/>
      </c>
      <c r="C194" s="2">
        <v>1.9099999999999999E-6</v>
      </c>
      <c r="D194" s="92" t="str">
        <f>IF(DespF!D197="","",DespF!D197)</f>
        <v/>
      </c>
      <c r="E194" s="90" t="str">
        <f>IF(DespF!E197="","",DespF!E197+'BH (2)'!C194)</f>
        <v/>
      </c>
      <c r="F194" s="59"/>
      <c r="G194" s="21"/>
      <c r="I194" s="106">
        <v>191</v>
      </c>
      <c r="J194" s="119" t="str">
        <f t="shared" si="16"/>
        <v/>
      </c>
      <c r="K194" s="92" t="str">
        <f>IF('Prod 1'!D195="","",'Prod 1'!D195)</f>
        <v/>
      </c>
      <c r="L194" s="119" t="str">
        <f>IF('Prod 1'!I195="","",'Prod 1'!I195+'BH (2)'!C194)</f>
        <v/>
      </c>
      <c r="M194" s="59"/>
      <c r="N194" s="91"/>
      <c r="Q194" s="119" t="str">
        <f t="shared" si="17"/>
        <v/>
      </c>
      <c r="R194" s="92" t="str">
        <f>IF('Prod 1'!D195="","",'Prod 1'!D195)</f>
        <v/>
      </c>
      <c r="S194" s="119" t="str">
        <f>IF('Prod 1'!E195="","",'Prod 1'!E195+'BH (2)'!C194)</f>
        <v/>
      </c>
      <c r="T194" s="59"/>
      <c r="U194" s="91"/>
    </row>
    <row r="195" spans="2:21" ht="24.95" customHeight="1" x14ac:dyDescent="0.25">
      <c r="B195" s="119" t="str">
        <f t="shared" si="15"/>
        <v/>
      </c>
      <c r="C195" s="2">
        <v>1.9199999999999998E-6</v>
      </c>
      <c r="D195" s="92" t="str">
        <f>IF(DespF!D198="","",DespF!D198)</f>
        <v/>
      </c>
      <c r="E195" s="90" t="str">
        <f>IF(DespF!E198="","",DespF!E198+'BH (2)'!C195)</f>
        <v/>
      </c>
      <c r="F195" s="59"/>
      <c r="G195" s="21"/>
      <c r="I195" s="106">
        <v>192</v>
      </c>
      <c r="J195" s="119" t="str">
        <f t="shared" si="16"/>
        <v/>
      </c>
      <c r="K195" s="92" t="str">
        <f>IF('Prod 1'!D196="","",'Prod 1'!D196)</f>
        <v/>
      </c>
      <c r="L195" s="119" t="str">
        <f>IF('Prod 1'!I196="","",'Prod 1'!I196+'BH (2)'!C195)</f>
        <v/>
      </c>
      <c r="M195" s="59"/>
      <c r="N195" s="91"/>
      <c r="Q195" s="119" t="str">
        <f t="shared" si="17"/>
        <v/>
      </c>
      <c r="R195" s="92" t="str">
        <f>IF('Prod 1'!D196="","",'Prod 1'!D196)</f>
        <v/>
      </c>
      <c r="S195" s="119" t="str">
        <f>IF('Prod 1'!E196="","",'Prod 1'!E196+'BH (2)'!C195)</f>
        <v/>
      </c>
      <c r="T195" s="59"/>
      <c r="U195" s="91"/>
    </row>
    <row r="196" spans="2:21" ht="24.95" customHeight="1" x14ac:dyDescent="0.25">
      <c r="B196" s="119" t="str">
        <f t="shared" si="15"/>
        <v/>
      </c>
      <c r="C196" s="2">
        <v>1.9300000000000002E-6</v>
      </c>
      <c r="D196" s="92" t="str">
        <f>IF(DespF!D199="","",DespF!D199)</f>
        <v/>
      </c>
      <c r="E196" s="90" t="str">
        <f>IF(DespF!E199="","",DespF!E199+'BH (2)'!C196)</f>
        <v/>
      </c>
      <c r="F196" s="59"/>
      <c r="G196" s="21"/>
      <c r="I196" s="106">
        <v>193</v>
      </c>
      <c r="J196" s="119" t="str">
        <f t="shared" si="16"/>
        <v/>
      </c>
      <c r="K196" s="92" t="str">
        <f>IF('Prod 1'!D197="","",'Prod 1'!D197)</f>
        <v/>
      </c>
      <c r="L196" s="119" t="str">
        <f>IF('Prod 1'!I197="","",'Prod 1'!I197+'BH (2)'!C196)</f>
        <v/>
      </c>
      <c r="M196" s="59"/>
      <c r="N196" s="91"/>
      <c r="Q196" s="119" t="str">
        <f t="shared" si="17"/>
        <v/>
      </c>
      <c r="R196" s="92" t="str">
        <f>IF('Prod 1'!D197="","",'Prod 1'!D197)</f>
        <v/>
      </c>
      <c r="S196" s="119" t="str">
        <f>IF('Prod 1'!E197="","",'Prod 1'!E197+'BH (2)'!C196)</f>
        <v/>
      </c>
      <c r="T196" s="59"/>
      <c r="U196" s="91"/>
    </row>
    <row r="197" spans="2:21" ht="24.95" customHeight="1" x14ac:dyDescent="0.25">
      <c r="B197" s="119" t="str">
        <f t="shared" ref="B197:B260" si="18">E197</f>
        <v/>
      </c>
      <c r="C197" s="2">
        <v>1.9400000000000001E-6</v>
      </c>
      <c r="D197" s="92" t="str">
        <f>IF(DespF!D200="","",DespF!D200)</f>
        <v/>
      </c>
      <c r="E197" s="90" t="str">
        <f>IF(DespF!E200="","",DespF!E200+'BH (2)'!C197)</f>
        <v/>
      </c>
      <c r="F197" s="59"/>
      <c r="G197" s="21"/>
      <c r="I197" s="106">
        <v>194</v>
      </c>
      <c r="J197" s="119" t="str">
        <f t="shared" ref="J197:J260" si="19">L197</f>
        <v/>
      </c>
      <c r="K197" s="92" t="str">
        <f>IF('Prod 1'!D198="","",'Prod 1'!D198)</f>
        <v/>
      </c>
      <c r="L197" s="119" t="str">
        <f>IF('Prod 1'!I198="","",'Prod 1'!I198+'BH (2)'!C197)</f>
        <v/>
      </c>
      <c r="M197" s="59"/>
      <c r="N197" s="91"/>
      <c r="Q197" s="119" t="str">
        <f t="shared" ref="Q197:Q260" si="20">S197</f>
        <v/>
      </c>
      <c r="R197" s="92" t="str">
        <f>IF('Prod 1'!D198="","",'Prod 1'!D198)</f>
        <v/>
      </c>
      <c r="S197" s="119" t="str">
        <f>IF('Prod 1'!E198="","",'Prod 1'!E198+'BH (2)'!C197)</f>
        <v/>
      </c>
      <c r="T197" s="59"/>
      <c r="U197" s="91"/>
    </row>
    <row r="198" spans="2:21" ht="24.95" customHeight="1" x14ac:dyDescent="0.25">
      <c r="B198" s="119" t="str">
        <f t="shared" si="18"/>
        <v/>
      </c>
      <c r="C198" s="2">
        <v>1.95E-6</v>
      </c>
      <c r="D198" s="92" t="str">
        <f>IF(DespF!D201="","",DespF!D201)</f>
        <v/>
      </c>
      <c r="E198" s="90" t="str">
        <f>IF(DespF!E201="","",DespF!E201+'BH (2)'!C198)</f>
        <v/>
      </c>
      <c r="F198" s="59"/>
      <c r="G198" s="21"/>
      <c r="I198" s="106">
        <v>195</v>
      </c>
      <c r="J198" s="119" t="str">
        <f t="shared" si="19"/>
        <v/>
      </c>
      <c r="K198" s="92" t="str">
        <f>IF('Prod 1'!D199="","",'Prod 1'!D199)</f>
        <v/>
      </c>
      <c r="L198" s="119" t="str">
        <f>IF('Prod 1'!I199="","",'Prod 1'!I199+'BH (2)'!C198)</f>
        <v/>
      </c>
      <c r="M198" s="59"/>
      <c r="N198" s="91"/>
      <c r="Q198" s="119" t="str">
        <f t="shared" si="20"/>
        <v/>
      </c>
      <c r="R198" s="92" t="str">
        <f>IF('Prod 1'!D199="","",'Prod 1'!D199)</f>
        <v/>
      </c>
      <c r="S198" s="119" t="str">
        <f>IF('Prod 1'!E199="","",'Prod 1'!E199+'BH (2)'!C198)</f>
        <v/>
      </c>
      <c r="T198" s="59"/>
      <c r="U198" s="91"/>
    </row>
    <row r="199" spans="2:21" ht="24.95" customHeight="1" x14ac:dyDescent="0.25">
      <c r="B199" s="119" t="str">
        <f t="shared" si="18"/>
        <v/>
      </c>
      <c r="C199" s="2">
        <v>1.9599999999999999E-6</v>
      </c>
      <c r="D199" s="92" t="str">
        <f>IF(DespF!D202="","",DespF!D202)</f>
        <v/>
      </c>
      <c r="E199" s="90" t="str">
        <f>IF(DespF!E202="","",DespF!E202+'BH (2)'!C199)</f>
        <v/>
      </c>
      <c r="F199" s="59"/>
      <c r="G199" s="21"/>
      <c r="I199" s="106">
        <v>196</v>
      </c>
      <c r="J199" s="119" t="str">
        <f t="shared" si="19"/>
        <v/>
      </c>
      <c r="K199" s="92" t="str">
        <f>IF('Prod 1'!D200="","",'Prod 1'!D200)</f>
        <v/>
      </c>
      <c r="L199" s="119" t="str">
        <f>IF('Prod 1'!I200="","",'Prod 1'!I200+'BH (2)'!C199)</f>
        <v/>
      </c>
      <c r="M199" s="59"/>
      <c r="N199" s="91"/>
      <c r="Q199" s="119" t="str">
        <f t="shared" si="20"/>
        <v/>
      </c>
      <c r="R199" s="92" t="str">
        <f>IF('Prod 1'!D200="","",'Prod 1'!D200)</f>
        <v/>
      </c>
      <c r="S199" s="119" t="str">
        <f>IF('Prod 1'!E200="","",'Prod 1'!E200+'BH (2)'!C199)</f>
        <v/>
      </c>
      <c r="T199" s="59"/>
      <c r="U199" s="91"/>
    </row>
    <row r="200" spans="2:21" ht="24.95" customHeight="1" x14ac:dyDescent="0.25">
      <c r="B200" s="119" t="str">
        <f t="shared" si="18"/>
        <v/>
      </c>
      <c r="C200" s="2">
        <v>1.9700000000000002E-6</v>
      </c>
      <c r="D200" s="92" t="str">
        <f>IF(DespF!D203="","",DespF!D203)</f>
        <v/>
      </c>
      <c r="E200" s="90" t="str">
        <f>IF(DespF!E203="","",DespF!E203+'BH (2)'!C200)</f>
        <v/>
      </c>
      <c r="F200" s="59"/>
      <c r="G200" s="21"/>
      <c r="I200" s="106">
        <v>197</v>
      </c>
      <c r="J200" s="119" t="str">
        <f t="shared" si="19"/>
        <v/>
      </c>
      <c r="K200" s="92" t="str">
        <f>IF('Prod 1'!D201="","",'Prod 1'!D201)</f>
        <v/>
      </c>
      <c r="L200" s="119" t="str">
        <f>IF('Prod 1'!I201="","",'Prod 1'!I201+'BH (2)'!C200)</f>
        <v/>
      </c>
      <c r="M200" s="59"/>
      <c r="N200" s="91"/>
      <c r="Q200" s="119" t="str">
        <f t="shared" si="20"/>
        <v/>
      </c>
      <c r="R200" s="92" t="str">
        <f>IF('Prod 1'!D201="","",'Prod 1'!D201)</f>
        <v/>
      </c>
      <c r="S200" s="119" t="str">
        <f>IF('Prod 1'!E201="","",'Prod 1'!E201+'BH (2)'!C200)</f>
        <v/>
      </c>
      <c r="T200" s="59"/>
      <c r="U200" s="91"/>
    </row>
    <row r="201" spans="2:21" ht="24.95" customHeight="1" x14ac:dyDescent="0.25">
      <c r="B201" s="119" t="str">
        <f t="shared" si="18"/>
        <v/>
      </c>
      <c r="C201" s="2">
        <v>1.9800000000000001E-6</v>
      </c>
      <c r="D201" s="92" t="str">
        <f>IF(DespF!D204="","",DespF!D204)</f>
        <v/>
      </c>
      <c r="E201" s="90" t="str">
        <f>IF(DespF!E204="","",DespF!E204+'BH (2)'!C201)</f>
        <v/>
      </c>
      <c r="F201" s="59"/>
      <c r="G201" s="21"/>
      <c r="I201" s="106">
        <v>198</v>
      </c>
      <c r="J201" s="119" t="str">
        <f t="shared" si="19"/>
        <v/>
      </c>
      <c r="K201" s="92" t="str">
        <f>IF('Prod 1'!D202="","",'Prod 1'!D202)</f>
        <v/>
      </c>
      <c r="L201" s="119" t="str">
        <f>IF('Prod 1'!I202="","",'Prod 1'!I202+'BH (2)'!C201)</f>
        <v/>
      </c>
      <c r="M201" s="59"/>
      <c r="N201" s="91"/>
      <c r="Q201" s="119" t="str">
        <f t="shared" si="20"/>
        <v/>
      </c>
      <c r="R201" s="92" t="str">
        <f>IF('Prod 1'!D202="","",'Prod 1'!D202)</f>
        <v/>
      </c>
      <c r="S201" s="119" t="str">
        <f>IF('Prod 1'!E202="","",'Prod 1'!E202+'BH (2)'!C201)</f>
        <v/>
      </c>
      <c r="T201" s="59"/>
      <c r="U201" s="91"/>
    </row>
    <row r="202" spans="2:21" ht="24.95" customHeight="1" x14ac:dyDescent="0.25">
      <c r="B202" s="119" t="str">
        <f t="shared" si="18"/>
        <v/>
      </c>
      <c r="C202" s="2">
        <v>1.99E-6</v>
      </c>
      <c r="D202" s="92" t="str">
        <f>IF(DespF!D205="","",DespF!D205)</f>
        <v/>
      </c>
      <c r="E202" s="90" t="str">
        <f>IF(DespF!E205="","",DespF!E205+'BH (2)'!C202)</f>
        <v/>
      </c>
      <c r="F202" s="59"/>
      <c r="G202" s="21"/>
      <c r="I202" s="106">
        <v>199</v>
      </c>
      <c r="J202" s="119" t="str">
        <f t="shared" si="19"/>
        <v/>
      </c>
      <c r="K202" s="92" t="str">
        <f>IF('Prod 1'!D203="","",'Prod 1'!D203)</f>
        <v/>
      </c>
      <c r="L202" s="119" t="str">
        <f>IF('Prod 1'!I203="","",'Prod 1'!I203+'BH (2)'!C202)</f>
        <v/>
      </c>
      <c r="M202" s="59"/>
      <c r="N202" s="91"/>
      <c r="Q202" s="119" t="str">
        <f t="shared" si="20"/>
        <v/>
      </c>
      <c r="R202" s="92" t="str">
        <f>IF('Prod 1'!D203="","",'Prod 1'!D203)</f>
        <v/>
      </c>
      <c r="S202" s="119" t="str">
        <f>IF('Prod 1'!E203="","",'Prod 1'!E203+'BH (2)'!C202)</f>
        <v/>
      </c>
      <c r="T202" s="59"/>
      <c r="U202" s="91"/>
    </row>
    <row r="203" spans="2:21" ht="24.95" customHeight="1" x14ac:dyDescent="0.25">
      <c r="B203" s="119" t="str">
        <f t="shared" si="18"/>
        <v/>
      </c>
      <c r="C203" s="2">
        <v>1.9999999999999999E-6</v>
      </c>
      <c r="D203" s="92" t="str">
        <f>IF(DespF!D206="","",DespF!D206)</f>
        <v/>
      </c>
      <c r="E203" s="90" t="str">
        <f>IF(DespF!E206="","",DespF!E206+'BH (2)'!C203)</f>
        <v/>
      </c>
      <c r="F203" s="59"/>
      <c r="G203" s="21"/>
      <c r="I203" s="106">
        <v>200</v>
      </c>
      <c r="J203" s="119" t="str">
        <f t="shared" si="19"/>
        <v/>
      </c>
      <c r="K203" s="92" t="str">
        <f>IF('Prod 1'!D204="","",'Prod 1'!D204)</f>
        <v/>
      </c>
      <c r="L203" s="119" t="str">
        <f>IF('Prod 1'!I204="","",'Prod 1'!I204+'BH (2)'!C203)</f>
        <v/>
      </c>
      <c r="M203" s="59"/>
      <c r="N203" s="91"/>
      <c r="Q203" s="119" t="str">
        <f t="shared" si="20"/>
        <v/>
      </c>
      <c r="R203" s="92" t="str">
        <f>IF('Prod 1'!D204="","",'Prod 1'!D204)</f>
        <v/>
      </c>
      <c r="S203" s="119" t="str">
        <f>IF('Prod 1'!E204="","",'Prod 1'!E204+'BH (2)'!C203)</f>
        <v/>
      </c>
      <c r="T203" s="59"/>
      <c r="U203" s="91"/>
    </row>
    <row r="204" spans="2:21" ht="24.95" customHeight="1" x14ac:dyDescent="0.25">
      <c r="B204" s="119" t="str">
        <f t="shared" si="18"/>
        <v/>
      </c>
      <c r="C204" s="2">
        <v>2.0099999999999998E-6</v>
      </c>
      <c r="D204" s="92" t="str">
        <f>IF(DespF!D207="","",DespF!D207)</f>
        <v/>
      </c>
      <c r="E204" s="90" t="str">
        <f>IF(DespF!E207="","",DespF!E207+'BH (2)'!C204)</f>
        <v/>
      </c>
      <c r="F204" s="59"/>
      <c r="G204" s="21"/>
      <c r="I204" s="106">
        <v>201</v>
      </c>
      <c r="J204" s="119" t="str">
        <f t="shared" si="19"/>
        <v/>
      </c>
      <c r="K204" s="92" t="str">
        <f>IF('Prod 1'!D205="","",'Prod 1'!D205)</f>
        <v/>
      </c>
      <c r="L204" s="119" t="str">
        <f>IF('Prod 1'!I205="","",'Prod 1'!I205+'BH (2)'!C204)</f>
        <v/>
      </c>
      <c r="M204" s="59"/>
      <c r="N204" s="91"/>
      <c r="Q204" s="119" t="str">
        <f t="shared" si="20"/>
        <v/>
      </c>
      <c r="R204" s="92" t="str">
        <f>IF('Prod 1'!D205="","",'Prod 1'!D205)</f>
        <v/>
      </c>
      <c r="S204" s="119" t="str">
        <f>IF('Prod 1'!E205="","",'Prod 1'!E205+'BH (2)'!C204)</f>
        <v/>
      </c>
      <c r="T204" s="59"/>
      <c r="U204" s="91"/>
    </row>
    <row r="205" spans="2:21" ht="24.95" customHeight="1" x14ac:dyDescent="0.25">
      <c r="B205" s="119" t="str">
        <f t="shared" si="18"/>
        <v/>
      </c>
      <c r="C205" s="2">
        <v>2.0200000000000001E-6</v>
      </c>
      <c r="D205" s="92" t="str">
        <f>IF(DespF!D208="","",DespF!D208)</f>
        <v/>
      </c>
      <c r="E205" s="90" t="str">
        <f>IF(DespF!E208="","",DespF!E208+'BH (2)'!C205)</f>
        <v/>
      </c>
      <c r="F205" s="59"/>
      <c r="G205" s="21"/>
      <c r="I205" s="106">
        <v>202</v>
      </c>
      <c r="J205" s="119" t="str">
        <f t="shared" si="19"/>
        <v/>
      </c>
      <c r="K205" s="92" t="str">
        <f>IF('Prod 1'!D206="","",'Prod 1'!D206)</f>
        <v/>
      </c>
      <c r="L205" s="119" t="str">
        <f>IF('Prod 1'!I206="","",'Prod 1'!I206+'BH (2)'!C205)</f>
        <v/>
      </c>
      <c r="M205" s="59"/>
      <c r="N205" s="91"/>
      <c r="Q205" s="119" t="str">
        <f t="shared" si="20"/>
        <v/>
      </c>
      <c r="R205" s="92" t="str">
        <f>IF('Prod 1'!D206="","",'Prod 1'!D206)</f>
        <v/>
      </c>
      <c r="S205" s="119" t="str">
        <f>IF('Prod 1'!E206="","",'Prod 1'!E206+'BH (2)'!C205)</f>
        <v/>
      </c>
      <c r="T205" s="59"/>
      <c r="U205" s="91"/>
    </row>
    <row r="206" spans="2:21" ht="24.95" customHeight="1" x14ac:dyDescent="0.25">
      <c r="B206" s="119" t="str">
        <f t="shared" si="18"/>
        <v/>
      </c>
      <c r="C206" s="2">
        <v>2.03E-6</v>
      </c>
      <c r="D206" s="92" t="str">
        <f>IF(DespF!D209="","",DespF!D209)</f>
        <v/>
      </c>
      <c r="E206" s="90" t="str">
        <f>IF(DespF!E209="","",DespF!E209+'BH (2)'!C206)</f>
        <v/>
      </c>
      <c r="F206" s="59"/>
      <c r="G206" s="21"/>
      <c r="I206" s="106">
        <v>203</v>
      </c>
      <c r="J206" s="119" t="str">
        <f t="shared" si="19"/>
        <v/>
      </c>
      <c r="K206" s="92" t="str">
        <f>IF('Prod 1'!D207="","",'Prod 1'!D207)</f>
        <v/>
      </c>
      <c r="L206" s="119" t="str">
        <f>IF('Prod 1'!I207="","",'Prod 1'!I207+'BH (2)'!C206)</f>
        <v/>
      </c>
      <c r="M206" s="59"/>
      <c r="N206" s="91"/>
      <c r="Q206" s="119" t="str">
        <f t="shared" si="20"/>
        <v/>
      </c>
      <c r="R206" s="92" t="str">
        <f>IF('Prod 1'!D207="","",'Prod 1'!D207)</f>
        <v/>
      </c>
      <c r="S206" s="119" t="str">
        <f>IF('Prod 1'!E207="","",'Prod 1'!E207+'BH (2)'!C206)</f>
        <v/>
      </c>
      <c r="T206" s="59"/>
      <c r="U206" s="91"/>
    </row>
    <row r="207" spans="2:21" ht="24.95" customHeight="1" x14ac:dyDescent="0.25">
      <c r="B207" s="119" t="str">
        <f t="shared" si="18"/>
        <v/>
      </c>
      <c r="C207" s="2">
        <v>2.04E-6</v>
      </c>
      <c r="D207" s="92" t="str">
        <f>IF(DespF!D210="","",DespF!D210)</f>
        <v/>
      </c>
      <c r="E207" s="90" t="str">
        <f>IF(DespF!E210="","",DespF!E210+'BH (2)'!C207)</f>
        <v/>
      </c>
      <c r="F207" s="59"/>
      <c r="G207" s="21"/>
      <c r="I207" s="106">
        <v>204</v>
      </c>
      <c r="J207" s="119" t="str">
        <f t="shared" si="19"/>
        <v/>
      </c>
      <c r="K207" s="92" t="str">
        <f>IF('Prod 1'!D208="","",'Prod 1'!D208)</f>
        <v/>
      </c>
      <c r="L207" s="119" t="str">
        <f>IF('Prod 1'!I208="","",'Prod 1'!I208+'BH (2)'!C207)</f>
        <v/>
      </c>
      <c r="M207" s="59"/>
      <c r="N207" s="91"/>
      <c r="Q207" s="119" t="str">
        <f t="shared" si="20"/>
        <v/>
      </c>
      <c r="R207" s="92" t="str">
        <f>IF('Prod 1'!D208="","",'Prod 1'!D208)</f>
        <v/>
      </c>
      <c r="S207" s="119" t="str">
        <f>IF('Prod 1'!E208="","",'Prod 1'!E208+'BH (2)'!C207)</f>
        <v/>
      </c>
      <c r="T207" s="59"/>
      <c r="U207" s="91"/>
    </row>
    <row r="208" spans="2:21" ht="24.95" customHeight="1" x14ac:dyDescent="0.25">
      <c r="B208" s="119" t="str">
        <f t="shared" si="18"/>
        <v/>
      </c>
      <c r="C208" s="2">
        <v>2.0499999999999999E-6</v>
      </c>
      <c r="D208" s="92" t="str">
        <f>IF(DespF!D211="","",DespF!D211)</f>
        <v/>
      </c>
      <c r="E208" s="90" t="str">
        <f>IF(DespF!E211="","",DespF!E211+'BH (2)'!C208)</f>
        <v/>
      </c>
      <c r="F208" s="59"/>
      <c r="G208" s="21"/>
      <c r="I208" s="106">
        <v>205</v>
      </c>
      <c r="J208" s="119" t="str">
        <f t="shared" si="19"/>
        <v/>
      </c>
      <c r="K208" s="92" t="str">
        <f>IF('Prod 1'!D209="","",'Prod 1'!D209)</f>
        <v/>
      </c>
      <c r="L208" s="119" t="str">
        <f>IF('Prod 1'!I209="","",'Prod 1'!I209+'BH (2)'!C208)</f>
        <v/>
      </c>
      <c r="M208" s="59"/>
      <c r="N208" s="91"/>
      <c r="Q208" s="119" t="str">
        <f t="shared" si="20"/>
        <v/>
      </c>
      <c r="R208" s="92" t="str">
        <f>IF('Prod 1'!D209="","",'Prod 1'!D209)</f>
        <v/>
      </c>
      <c r="S208" s="119" t="str">
        <f>IF('Prod 1'!E209="","",'Prod 1'!E209+'BH (2)'!C208)</f>
        <v/>
      </c>
      <c r="T208" s="59"/>
      <c r="U208" s="91"/>
    </row>
    <row r="209" spans="2:21" ht="24.95" customHeight="1" x14ac:dyDescent="0.25">
      <c r="B209" s="119" t="str">
        <f t="shared" si="18"/>
        <v/>
      </c>
      <c r="C209" s="2">
        <v>2.0600000000000002E-6</v>
      </c>
      <c r="D209" s="92" t="str">
        <f>IF(DespF!D212="","",DespF!D212)</f>
        <v/>
      </c>
      <c r="E209" s="90" t="str">
        <f>IF(DespF!E212="","",DespF!E212+'BH (2)'!C209)</f>
        <v/>
      </c>
      <c r="F209" s="59"/>
      <c r="G209" s="21"/>
      <c r="I209" s="106">
        <v>206</v>
      </c>
      <c r="J209" s="119" t="str">
        <f t="shared" si="19"/>
        <v/>
      </c>
      <c r="K209" s="92" t="str">
        <f>IF('Prod 1'!D210="","",'Prod 1'!D210)</f>
        <v/>
      </c>
      <c r="L209" s="119" t="str">
        <f>IF('Prod 1'!I210="","",'Prod 1'!I210+'BH (2)'!C209)</f>
        <v/>
      </c>
      <c r="M209" s="59"/>
      <c r="N209" s="91"/>
      <c r="Q209" s="119" t="str">
        <f t="shared" si="20"/>
        <v/>
      </c>
      <c r="R209" s="92" t="str">
        <f>IF('Prod 1'!D210="","",'Prod 1'!D210)</f>
        <v/>
      </c>
      <c r="S209" s="119" t="str">
        <f>IF('Prod 1'!E210="","",'Prod 1'!E210+'BH (2)'!C209)</f>
        <v/>
      </c>
      <c r="T209" s="59"/>
      <c r="U209" s="91"/>
    </row>
    <row r="210" spans="2:21" ht="24.95" customHeight="1" x14ac:dyDescent="0.25">
      <c r="B210" s="119" t="str">
        <f t="shared" si="18"/>
        <v/>
      </c>
      <c r="C210" s="2">
        <v>2.0700000000000001E-6</v>
      </c>
      <c r="D210" s="92" t="str">
        <f>IF(DespF!D213="","",DespF!D213)</f>
        <v/>
      </c>
      <c r="E210" s="90" t="str">
        <f>IF(DespF!E213="","",DespF!E213+'BH (2)'!C210)</f>
        <v/>
      </c>
      <c r="F210" s="59"/>
      <c r="G210" s="21"/>
      <c r="I210" s="106">
        <v>207</v>
      </c>
      <c r="J210" s="119" t="str">
        <f t="shared" si="19"/>
        <v/>
      </c>
      <c r="K210" s="92" t="str">
        <f>IF('Prod 1'!D211="","",'Prod 1'!D211)</f>
        <v/>
      </c>
      <c r="L210" s="119" t="str">
        <f>IF('Prod 1'!I211="","",'Prod 1'!I211+'BH (2)'!C210)</f>
        <v/>
      </c>
      <c r="M210" s="59"/>
      <c r="N210" s="91"/>
      <c r="Q210" s="119" t="str">
        <f t="shared" si="20"/>
        <v/>
      </c>
      <c r="R210" s="92" t="str">
        <f>IF('Prod 1'!D211="","",'Prod 1'!D211)</f>
        <v/>
      </c>
      <c r="S210" s="119" t="str">
        <f>IF('Prod 1'!E211="","",'Prod 1'!E211+'BH (2)'!C210)</f>
        <v/>
      </c>
      <c r="T210" s="59"/>
      <c r="U210" s="91"/>
    </row>
    <row r="211" spans="2:21" ht="24.95" customHeight="1" x14ac:dyDescent="0.25">
      <c r="B211" s="119" t="str">
        <f t="shared" si="18"/>
        <v/>
      </c>
      <c r="C211" s="2">
        <v>2.08E-6</v>
      </c>
      <c r="D211" s="92" t="str">
        <f>IF(DespF!D214="","",DespF!D214)</f>
        <v/>
      </c>
      <c r="E211" s="90" t="str">
        <f>IF(DespF!E214="","",DespF!E214+'BH (2)'!C211)</f>
        <v/>
      </c>
      <c r="F211" s="59"/>
      <c r="G211" s="21"/>
      <c r="I211" s="106">
        <v>208</v>
      </c>
      <c r="J211" s="119" t="str">
        <f t="shared" si="19"/>
        <v/>
      </c>
      <c r="K211" s="92" t="str">
        <f>IF('Prod 1'!D212="","",'Prod 1'!D212)</f>
        <v/>
      </c>
      <c r="L211" s="119" t="str">
        <f>IF('Prod 1'!I212="","",'Prod 1'!I212+'BH (2)'!C211)</f>
        <v/>
      </c>
      <c r="M211" s="59"/>
      <c r="N211" s="91"/>
      <c r="Q211" s="119" t="str">
        <f t="shared" si="20"/>
        <v/>
      </c>
      <c r="R211" s="92" t="str">
        <f>IF('Prod 1'!D212="","",'Prod 1'!D212)</f>
        <v/>
      </c>
      <c r="S211" s="119" t="str">
        <f>IF('Prod 1'!E212="","",'Prod 1'!E212+'BH (2)'!C211)</f>
        <v/>
      </c>
      <c r="T211" s="59"/>
      <c r="U211" s="91"/>
    </row>
    <row r="212" spans="2:21" ht="24.95" customHeight="1" x14ac:dyDescent="0.25">
      <c r="B212" s="119" t="str">
        <f t="shared" si="18"/>
        <v/>
      </c>
      <c r="C212" s="2">
        <v>2.0899999999999999E-6</v>
      </c>
      <c r="D212" s="92" t="str">
        <f>IF(DespF!D215="","",DespF!D215)</f>
        <v/>
      </c>
      <c r="E212" s="90" t="str">
        <f>IF(DespF!E215="","",DespF!E215+'BH (2)'!C212)</f>
        <v/>
      </c>
      <c r="F212" s="59"/>
      <c r="G212" s="21"/>
      <c r="I212" s="106">
        <v>209</v>
      </c>
      <c r="J212" s="119" t="str">
        <f t="shared" si="19"/>
        <v/>
      </c>
      <c r="K212" s="92" t="str">
        <f>IF('Prod 1'!D213="","",'Prod 1'!D213)</f>
        <v/>
      </c>
      <c r="L212" s="119" t="str">
        <f>IF('Prod 1'!I213="","",'Prod 1'!I213+'BH (2)'!C212)</f>
        <v/>
      </c>
      <c r="M212" s="59"/>
      <c r="N212" s="91"/>
      <c r="Q212" s="119" t="str">
        <f t="shared" si="20"/>
        <v/>
      </c>
      <c r="R212" s="92" t="str">
        <f>IF('Prod 1'!D213="","",'Prod 1'!D213)</f>
        <v/>
      </c>
      <c r="S212" s="119" t="str">
        <f>IF('Prod 1'!E213="","",'Prod 1'!E213+'BH (2)'!C212)</f>
        <v/>
      </c>
      <c r="T212" s="59"/>
      <c r="U212" s="91"/>
    </row>
    <row r="213" spans="2:21" ht="24.95" customHeight="1" x14ac:dyDescent="0.25">
      <c r="B213" s="119" t="str">
        <f t="shared" si="18"/>
        <v/>
      </c>
      <c r="C213" s="2">
        <v>2.0999999999999998E-6</v>
      </c>
      <c r="D213" s="92" t="str">
        <f>IF(DespF!D216="","",DespF!D216)</f>
        <v/>
      </c>
      <c r="E213" s="90" t="str">
        <f>IF(DespF!E216="","",DespF!E216+'BH (2)'!C213)</f>
        <v/>
      </c>
      <c r="F213" s="59"/>
      <c r="G213" s="21"/>
      <c r="I213" s="106">
        <v>210</v>
      </c>
      <c r="J213" s="119" t="str">
        <f t="shared" si="19"/>
        <v/>
      </c>
      <c r="K213" s="92" t="str">
        <f>IF('Prod 1'!D214="","",'Prod 1'!D214)</f>
        <v/>
      </c>
      <c r="L213" s="119" t="str">
        <f>IF('Prod 1'!I214="","",'Prod 1'!I214+'BH (2)'!C213)</f>
        <v/>
      </c>
      <c r="M213" s="59"/>
      <c r="N213" s="91"/>
      <c r="Q213" s="119" t="str">
        <f t="shared" si="20"/>
        <v/>
      </c>
      <c r="R213" s="92" t="str">
        <f>IF('Prod 1'!D214="","",'Prod 1'!D214)</f>
        <v/>
      </c>
      <c r="S213" s="119" t="str">
        <f>IF('Prod 1'!E214="","",'Prod 1'!E214+'BH (2)'!C213)</f>
        <v/>
      </c>
      <c r="T213" s="59"/>
      <c r="U213" s="91"/>
    </row>
    <row r="214" spans="2:21" ht="24.95" customHeight="1" x14ac:dyDescent="0.25">
      <c r="B214" s="119" t="str">
        <f t="shared" si="18"/>
        <v/>
      </c>
      <c r="C214" s="2">
        <v>2.1100000000000001E-6</v>
      </c>
      <c r="D214" s="92" t="str">
        <f>IF(DespF!D217="","",DespF!D217)</f>
        <v/>
      </c>
      <c r="E214" s="90" t="str">
        <f>IF(DespF!E217="","",DespF!E217+'BH (2)'!C214)</f>
        <v/>
      </c>
      <c r="F214" s="59"/>
      <c r="G214" s="21"/>
      <c r="I214" s="106">
        <v>211</v>
      </c>
      <c r="J214" s="119" t="str">
        <f t="shared" si="19"/>
        <v/>
      </c>
      <c r="K214" s="92" t="str">
        <f>IF('Prod 1'!D215="","",'Prod 1'!D215)</f>
        <v/>
      </c>
      <c r="L214" s="119" t="str">
        <f>IF('Prod 1'!I215="","",'Prod 1'!I215+'BH (2)'!C214)</f>
        <v/>
      </c>
      <c r="M214" s="59"/>
      <c r="N214" s="91"/>
      <c r="Q214" s="119" t="str">
        <f t="shared" si="20"/>
        <v/>
      </c>
      <c r="R214" s="92" t="str">
        <f>IF('Prod 1'!D215="","",'Prod 1'!D215)</f>
        <v/>
      </c>
      <c r="S214" s="119" t="str">
        <f>IF('Prod 1'!E215="","",'Prod 1'!E215+'BH (2)'!C214)</f>
        <v/>
      </c>
      <c r="T214" s="59"/>
      <c r="U214" s="91"/>
    </row>
    <row r="215" spans="2:21" ht="24.95" customHeight="1" x14ac:dyDescent="0.25">
      <c r="B215" s="119" t="str">
        <f t="shared" si="18"/>
        <v/>
      </c>
      <c r="C215" s="2">
        <v>2.12E-6</v>
      </c>
      <c r="D215" s="92" t="str">
        <f>IF(DespF!D218="","",DespF!D218)</f>
        <v/>
      </c>
      <c r="E215" s="90" t="str">
        <f>IF(DespF!E218="","",DespF!E218+'BH (2)'!C215)</f>
        <v/>
      </c>
      <c r="F215" s="59"/>
      <c r="G215" s="21"/>
      <c r="I215" s="106">
        <v>212</v>
      </c>
      <c r="J215" s="119" t="str">
        <f t="shared" si="19"/>
        <v/>
      </c>
      <c r="K215" s="92" t="str">
        <f>IF('Prod 1'!D216="","",'Prod 1'!D216)</f>
        <v/>
      </c>
      <c r="L215" s="119" t="str">
        <f>IF('Prod 1'!I216="","",'Prod 1'!I216+'BH (2)'!C215)</f>
        <v/>
      </c>
      <c r="M215" s="59"/>
      <c r="N215" s="91"/>
      <c r="Q215" s="119" t="str">
        <f t="shared" si="20"/>
        <v/>
      </c>
      <c r="R215" s="92" t="str">
        <f>IF('Prod 1'!D216="","",'Prod 1'!D216)</f>
        <v/>
      </c>
      <c r="S215" s="119" t="str">
        <f>IF('Prod 1'!E216="","",'Prod 1'!E216+'BH (2)'!C215)</f>
        <v/>
      </c>
      <c r="T215" s="59"/>
      <c r="U215" s="91"/>
    </row>
    <row r="216" spans="2:21" ht="24.95" customHeight="1" x14ac:dyDescent="0.25">
      <c r="B216" s="119" t="str">
        <f t="shared" si="18"/>
        <v/>
      </c>
      <c r="C216" s="2">
        <v>2.1299999999999999E-6</v>
      </c>
      <c r="D216" s="92" t="str">
        <f>IF(DespF!D219="","",DespF!D219)</f>
        <v/>
      </c>
      <c r="E216" s="90" t="str">
        <f>IF(DespF!E219="","",DespF!E219+'BH (2)'!C216)</f>
        <v/>
      </c>
      <c r="F216" s="59"/>
      <c r="G216" s="21"/>
      <c r="I216" s="106">
        <v>213</v>
      </c>
      <c r="J216" s="119" t="str">
        <f t="shared" si="19"/>
        <v/>
      </c>
      <c r="K216" s="92" t="str">
        <f>IF('Prod 1'!D217="","",'Prod 1'!D217)</f>
        <v/>
      </c>
      <c r="L216" s="119" t="str">
        <f>IF('Prod 1'!I217="","",'Prod 1'!I217+'BH (2)'!C216)</f>
        <v/>
      </c>
      <c r="M216" s="59"/>
      <c r="N216" s="91"/>
      <c r="Q216" s="119" t="str">
        <f t="shared" si="20"/>
        <v/>
      </c>
      <c r="R216" s="92" t="str">
        <f>IF('Prod 1'!D217="","",'Prod 1'!D217)</f>
        <v/>
      </c>
      <c r="S216" s="119" t="str">
        <f>IF('Prod 1'!E217="","",'Prod 1'!E217+'BH (2)'!C216)</f>
        <v/>
      </c>
      <c r="T216" s="59"/>
      <c r="U216" s="91"/>
    </row>
    <row r="217" spans="2:21" ht="24.95" customHeight="1" x14ac:dyDescent="0.25">
      <c r="B217" s="119" t="str">
        <f t="shared" si="18"/>
        <v/>
      </c>
      <c r="C217" s="2">
        <v>2.1399999999999998E-6</v>
      </c>
      <c r="D217" s="92" t="str">
        <f>IF(DespF!D220="","",DespF!D220)</f>
        <v/>
      </c>
      <c r="E217" s="90" t="str">
        <f>IF(DespF!E220="","",DespF!E220+'BH (2)'!C217)</f>
        <v/>
      </c>
      <c r="F217" s="59"/>
      <c r="G217" s="21"/>
      <c r="I217" s="106">
        <v>214</v>
      </c>
      <c r="J217" s="119" t="str">
        <f t="shared" si="19"/>
        <v/>
      </c>
      <c r="K217" s="92" t="str">
        <f>IF('Prod 1'!D218="","",'Prod 1'!D218)</f>
        <v/>
      </c>
      <c r="L217" s="119" t="str">
        <f>IF('Prod 1'!I218="","",'Prod 1'!I218+'BH (2)'!C217)</f>
        <v/>
      </c>
      <c r="M217" s="59"/>
      <c r="N217" s="91"/>
      <c r="Q217" s="119" t="str">
        <f t="shared" si="20"/>
        <v/>
      </c>
      <c r="R217" s="92" t="str">
        <f>IF('Prod 1'!D218="","",'Prod 1'!D218)</f>
        <v/>
      </c>
      <c r="S217" s="119" t="str">
        <f>IF('Prod 1'!E218="","",'Prod 1'!E218+'BH (2)'!C217)</f>
        <v/>
      </c>
      <c r="T217" s="59"/>
      <c r="U217" s="91"/>
    </row>
    <row r="218" spans="2:21" ht="24.95" customHeight="1" x14ac:dyDescent="0.25">
      <c r="B218" s="119" t="str">
        <f t="shared" si="18"/>
        <v/>
      </c>
      <c r="C218" s="2">
        <v>2.1500000000000002E-6</v>
      </c>
      <c r="D218" s="92" t="str">
        <f>IF(DespF!D221="","",DespF!D221)</f>
        <v/>
      </c>
      <c r="E218" s="90" t="str">
        <f>IF(DespF!E221="","",DespF!E221+'BH (2)'!C218)</f>
        <v/>
      </c>
      <c r="F218" s="59"/>
      <c r="G218" s="21"/>
      <c r="I218" s="106">
        <v>215</v>
      </c>
      <c r="J218" s="119" t="str">
        <f t="shared" si="19"/>
        <v/>
      </c>
      <c r="K218" s="92" t="str">
        <f>IF('Prod 1'!D219="","",'Prod 1'!D219)</f>
        <v/>
      </c>
      <c r="L218" s="119" t="str">
        <f>IF('Prod 1'!I219="","",'Prod 1'!I219+'BH (2)'!C218)</f>
        <v/>
      </c>
      <c r="M218" s="59"/>
      <c r="N218" s="91"/>
      <c r="Q218" s="119" t="str">
        <f t="shared" si="20"/>
        <v/>
      </c>
      <c r="R218" s="92" t="str">
        <f>IF('Prod 1'!D219="","",'Prod 1'!D219)</f>
        <v/>
      </c>
      <c r="S218" s="119" t="str">
        <f>IF('Prod 1'!E219="","",'Prod 1'!E219+'BH (2)'!C218)</f>
        <v/>
      </c>
      <c r="T218" s="59"/>
      <c r="U218" s="91"/>
    </row>
    <row r="219" spans="2:21" ht="24.95" customHeight="1" x14ac:dyDescent="0.25">
      <c r="B219" s="119" t="str">
        <f t="shared" si="18"/>
        <v/>
      </c>
      <c r="C219" s="2">
        <v>2.1600000000000001E-6</v>
      </c>
      <c r="D219" s="92" t="str">
        <f>IF(DespF!D222="","",DespF!D222)</f>
        <v/>
      </c>
      <c r="E219" s="90" t="str">
        <f>IF(DespF!E222="","",DespF!E222+'BH (2)'!C219)</f>
        <v/>
      </c>
      <c r="F219" s="59"/>
      <c r="G219" s="21"/>
      <c r="I219" s="106">
        <v>216</v>
      </c>
      <c r="J219" s="119" t="str">
        <f t="shared" si="19"/>
        <v/>
      </c>
      <c r="K219" s="92" t="str">
        <f>IF('Prod 1'!D220="","",'Prod 1'!D220)</f>
        <v/>
      </c>
      <c r="L219" s="119" t="str">
        <f>IF('Prod 1'!I220="","",'Prod 1'!I220+'BH (2)'!C219)</f>
        <v/>
      </c>
      <c r="M219" s="59"/>
      <c r="N219" s="91"/>
      <c r="Q219" s="119" t="str">
        <f t="shared" si="20"/>
        <v/>
      </c>
      <c r="R219" s="92" t="str">
        <f>IF('Prod 1'!D220="","",'Prod 1'!D220)</f>
        <v/>
      </c>
      <c r="S219" s="119" t="str">
        <f>IF('Prod 1'!E220="","",'Prod 1'!E220+'BH (2)'!C219)</f>
        <v/>
      </c>
      <c r="T219" s="59"/>
      <c r="U219" s="91"/>
    </row>
    <row r="220" spans="2:21" ht="24.95" customHeight="1" x14ac:dyDescent="0.25">
      <c r="B220" s="119" t="str">
        <f t="shared" si="18"/>
        <v/>
      </c>
      <c r="C220" s="2">
        <v>2.17E-6</v>
      </c>
      <c r="D220" s="92" t="str">
        <f>IF(DespF!D223="","",DespF!D223)</f>
        <v/>
      </c>
      <c r="E220" s="90" t="str">
        <f>IF(DespF!E223="","",DespF!E223+'BH (2)'!C220)</f>
        <v/>
      </c>
      <c r="F220" s="59"/>
      <c r="G220" s="21"/>
      <c r="I220" s="106">
        <v>217</v>
      </c>
      <c r="J220" s="119" t="str">
        <f t="shared" si="19"/>
        <v/>
      </c>
      <c r="K220" s="92" t="str">
        <f>IF('Prod 1'!D221="","",'Prod 1'!D221)</f>
        <v/>
      </c>
      <c r="L220" s="119" t="str">
        <f>IF('Prod 1'!I221="","",'Prod 1'!I221+'BH (2)'!C220)</f>
        <v/>
      </c>
      <c r="M220" s="59"/>
      <c r="N220" s="91"/>
      <c r="Q220" s="119" t="str">
        <f t="shared" si="20"/>
        <v/>
      </c>
      <c r="R220" s="92" t="str">
        <f>IF('Prod 1'!D221="","",'Prod 1'!D221)</f>
        <v/>
      </c>
      <c r="S220" s="119" t="str">
        <f>IF('Prod 1'!E221="","",'Prod 1'!E221+'BH (2)'!C220)</f>
        <v/>
      </c>
      <c r="T220" s="59"/>
      <c r="U220" s="91"/>
    </row>
    <row r="221" spans="2:21" ht="24.95" customHeight="1" x14ac:dyDescent="0.25">
      <c r="B221" s="119" t="str">
        <f t="shared" si="18"/>
        <v/>
      </c>
      <c r="C221" s="2">
        <v>2.1799999999999999E-6</v>
      </c>
      <c r="D221" s="92" t="str">
        <f>IF(DespF!D224="","",DespF!D224)</f>
        <v/>
      </c>
      <c r="E221" s="90" t="str">
        <f>IF(DespF!E224="","",DespF!E224+'BH (2)'!C221)</f>
        <v/>
      </c>
      <c r="F221" s="59"/>
      <c r="G221" s="21"/>
      <c r="I221" s="106">
        <v>218</v>
      </c>
      <c r="J221" s="119" t="str">
        <f t="shared" si="19"/>
        <v/>
      </c>
      <c r="K221" s="92" t="str">
        <f>IF('Prod 1'!D222="","",'Prod 1'!D222)</f>
        <v/>
      </c>
      <c r="L221" s="119" t="str">
        <f>IF('Prod 1'!I222="","",'Prod 1'!I222+'BH (2)'!C221)</f>
        <v/>
      </c>
      <c r="M221" s="59"/>
      <c r="N221" s="91"/>
      <c r="Q221" s="119" t="str">
        <f t="shared" si="20"/>
        <v/>
      </c>
      <c r="R221" s="92" t="str">
        <f>IF('Prod 1'!D222="","",'Prod 1'!D222)</f>
        <v/>
      </c>
      <c r="S221" s="119" t="str">
        <f>IF('Prod 1'!E222="","",'Prod 1'!E222+'BH (2)'!C221)</f>
        <v/>
      </c>
      <c r="T221" s="59"/>
      <c r="U221" s="91"/>
    </row>
    <row r="222" spans="2:21" ht="24.95" customHeight="1" x14ac:dyDescent="0.25">
      <c r="B222" s="119" t="str">
        <f t="shared" si="18"/>
        <v/>
      </c>
      <c r="C222" s="2">
        <v>2.1900000000000002E-6</v>
      </c>
      <c r="D222" s="92" t="str">
        <f>IF(DespF!D225="","",DespF!D225)</f>
        <v/>
      </c>
      <c r="E222" s="90" t="str">
        <f>IF(DespF!E225="","",DespF!E225+'BH (2)'!C222)</f>
        <v/>
      </c>
      <c r="F222" s="59"/>
      <c r="G222" s="21"/>
      <c r="I222" s="106">
        <v>219</v>
      </c>
      <c r="J222" s="119" t="str">
        <f t="shared" si="19"/>
        <v/>
      </c>
      <c r="K222" s="92" t="str">
        <f>IF('Prod 1'!D223="","",'Prod 1'!D223)</f>
        <v/>
      </c>
      <c r="L222" s="119" t="str">
        <f>IF('Prod 1'!I223="","",'Prod 1'!I223+'BH (2)'!C222)</f>
        <v/>
      </c>
      <c r="M222" s="59"/>
      <c r="N222" s="91"/>
      <c r="Q222" s="119" t="str">
        <f t="shared" si="20"/>
        <v/>
      </c>
      <c r="R222" s="92" t="str">
        <f>IF('Prod 1'!D223="","",'Prod 1'!D223)</f>
        <v/>
      </c>
      <c r="S222" s="119" t="str">
        <f>IF('Prod 1'!E223="","",'Prod 1'!E223+'BH (2)'!C222)</f>
        <v/>
      </c>
      <c r="T222" s="59"/>
      <c r="U222" s="91"/>
    </row>
    <row r="223" spans="2:21" ht="24.95" customHeight="1" x14ac:dyDescent="0.25">
      <c r="B223" s="119" t="str">
        <f t="shared" si="18"/>
        <v/>
      </c>
      <c r="C223" s="2">
        <v>2.2000000000000001E-6</v>
      </c>
      <c r="D223" s="92" t="str">
        <f>IF(DespF!D226="","",DespF!D226)</f>
        <v/>
      </c>
      <c r="E223" s="90" t="str">
        <f>IF(DespF!E226="","",DespF!E226+'BH (2)'!C223)</f>
        <v/>
      </c>
      <c r="F223" s="59"/>
      <c r="G223" s="21"/>
      <c r="I223" s="106">
        <v>220</v>
      </c>
      <c r="J223" s="119" t="str">
        <f t="shared" si="19"/>
        <v/>
      </c>
      <c r="K223" s="92" t="str">
        <f>IF('Prod 1'!D224="","",'Prod 1'!D224)</f>
        <v/>
      </c>
      <c r="L223" s="119" t="str">
        <f>IF('Prod 1'!I224="","",'Prod 1'!I224+'BH (2)'!C223)</f>
        <v/>
      </c>
      <c r="M223" s="59"/>
      <c r="N223" s="91"/>
      <c r="Q223" s="119" t="str">
        <f t="shared" si="20"/>
        <v/>
      </c>
      <c r="R223" s="92" t="str">
        <f>IF('Prod 1'!D224="","",'Prod 1'!D224)</f>
        <v/>
      </c>
      <c r="S223" s="119" t="str">
        <f>IF('Prod 1'!E224="","",'Prod 1'!E224+'BH (2)'!C223)</f>
        <v/>
      </c>
      <c r="T223" s="59"/>
      <c r="U223" s="91"/>
    </row>
    <row r="224" spans="2:21" ht="24.95" customHeight="1" x14ac:dyDescent="0.25">
      <c r="B224" s="119" t="str">
        <f t="shared" si="18"/>
        <v/>
      </c>
      <c r="C224" s="2">
        <v>2.21E-6</v>
      </c>
      <c r="D224" s="92" t="str">
        <f>IF(DespF!D227="","",DespF!D227)</f>
        <v/>
      </c>
      <c r="E224" s="90" t="str">
        <f>IF(DespF!E227="","",DespF!E227+'BH (2)'!C224)</f>
        <v/>
      </c>
      <c r="F224" s="59"/>
      <c r="G224" s="21"/>
      <c r="I224" s="106">
        <v>221</v>
      </c>
      <c r="J224" s="119" t="str">
        <f t="shared" si="19"/>
        <v/>
      </c>
      <c r="K224" s="92" t="str">
        <f>IF('Prod 1'!D225="","",'Prod 1'!D225)</f>
        <v/>
      </c>
      <c r="L224" s="119" t="str">
        <f>IF('Prod 1'!I225="","",'Prod 1'!I225+'BH (2)'!C224)</f>
        <v/>
      </c>
      <c r="M224" s="59"/>
      <c r="N224" s="91"/>
      <c r="Q224" s="119" t="str">
        <f t="shared" si="20"/>
        <v/>
      </c>
      <c r="R224" s="92" t="str">
        <f>IF('Prod 1'!D225="","",'Prod 1'!D225)</f>
        <v/>
      </c>
      <c r="S224" s="119" t="str">
        <f>IF('Prod 1'!E225="","",'Prod 1'!E225+'BH (2)'!C224)</f>
        <v/>
      </c>
      <c r="T224" s="59"/>
      <c r="U224" s="91"/>
    </row>
    <row r="225" spans="2:21" ht="24.95" customHeight="1" x14ac:dyDescent="0.25">
      <c r="B225" s="119" t="str">
        <f t="shared" si="18"/>
        <v/>
      </c>
      <c r="C225" s="2">
        <v>2.2199999999999999E-6</v>
      </c>
      <c r="D225" s="92" t="str">
        <f>IF(DespF!D228="","",DespF!D228)</f>
        <v/>
      </c>
      <c r="E225" s="90" t="str">
        <f>IF(DespF!E228="","",DespF!E228+'BH (2)'!C225)</f>
        <v/>
      </c>
      <c r="F225" s="59"/>
      <c r="G225" s="21"/>
      <c r="I225" s="106">
        <v>222</v>
      </c>
      <c r="J225" s="119" t="str">
        <f t="shared" si="19"/>
        <v/>
      </c>
      <c r="K225" s="92" t="str">
        <f>IF('Prod 1'!D226="","",'Prod 1'!D226)</f>
        <v/>
      </c>
      <c r="L225" s="119" t="str">
        <f>IF('Prod 1'!I226="","",'Prod 1'!I226+'BH (2)'!C225)</f>
        <v/>
      </c>
      <c r="M225" s="59"/>
      <c r="N225" s="91"/>
      <c r="Q225" s="119" t="str">
        <f t="shared" si="20"/>
        <v/>
      </c>
      <c r="R225" s="92" t="str">
        <f>IF('Prod 1'!D226="","",'Prod 1'!D226)</f>
        <v/>
      </c>
      <c r="S225" s="119" t="str">
        <f>IF('Prod 1'!E226="","",'Prod 1'!E226+'BH (2)'!C225)</f>
        <v/>
      </c>
      <c r="T225" s="59"/>
      <c r="U225" s="91"/>
    </row>
    <row r="226" spans="2:21" ht="24.95" customHeight="1" x14ac:dyDescent="0.25">
      <c r="B226" s="119" t="str">
        <f t="shared" si="18"/>
        <v/>
      </c>
      <c r="C226" s="2">
        <v>2.2299999999999998E-6</v>
      </c>
      <c r="D226" s="92" t="str">
        <f>IF(DespF!D229="","",DespF!D229)</f>
        <v/>
      </c>
      <c r="E226" s="90" t="str">
        <f>IF(DespF!E229="","",DespF!E229+'BH (2)'!C226)</f>
        <v/>
      </c>
      <c r="F226" s="59"/>
      <c r="G226" s="21"/>
      <c r="I226" s="106">
        <v>223</v>
      </c>
      <c r="J226" s="119" t="str">
        <f t="shared" si="19"/>
        <v/>
      </c>
      <c r="K226" s="92" t="str">
        <f>IF('Prod 1'!D227="","",'Prod 1'!D227)</f>
        <v/>
      </c>
      <c r="L226" s="119" t="str">
        <f>IF('Prod 1'!I227="","",'Prod 1'!I227+'BH (2)'!C226)</f>
        <v/>
      </c>
      <c r="M226" s="59"/>
      <c r="N226" s="91"/>
      <c r="Q226" s="119" t="str">
        <f t="shared" si="20"/>
        <v/>
      </c>
      <c r="R226" s="92" t="str">
        <f>IF('Prod 1'!D227="","",'Prod 1'!D227)</f>
        <v/>
      </c>
      <c r="S226" s="119" t="str">
        <f>IF('Prod 1'!E227="","",'Prod 1'!E227+'BH (2)'!C226)</f>
        <v/>
      </c>
      <c r="T226" s="59"/>
      <c r="U226" s="91"/>
    </row>
    <row r="227" spans="2:21" ht="24.95" customHeight="1" x14ac:dyDescent="0.25">
      <c r="B227" s="119" t="str">
        <f t="shared" si="18"/>
        <v/>
      </c>
      <c r="C227" s="2">
        <v>2.2400000000000002E-6</v>
      </c>
      <c r="D227" s="92" t="str">
        <f>IF(DespF!D230="","",DespF!D230)</f>
        <v/>
      </c>
      <c r="E227" s="90" t="str">
        <f>IF(DespF!E230="","",DespF!E230+'BH (2)'!C227)</f>
        <v/>
      </c>
      <c r="F227" s="59"/>
      <c r="G227" s="21"/>
      <c r="I227" s="106">
        <v>224</v>
      </c>
      <c r="J227" s="119" t="str">
        <f t="shared" si="19"/>
        <v/>
      </c>
      <c r="K227" s="92" t="str">
        <f>IF('Prod 1'!D228="","",'Prod 1'!D228)</f>
        <v/>
      </c>
      <c r="L227" s="119" t="str">
        <f>IF('Prod 1'!I228="","",'Prod 1'!I228+'BH (2)'!C227)</f>
        <v/>
      </c>
      <c r="M227" s="59"/>
      <c r="N227" s="91"/>
      <c r="Q227" s="119" t="str">
        <f t="shared" si="20"/>
        <v/>
      </c>
      <c r="R227" s="92" t="str">
        <f>IF('Prod 1'!D228="","",'Prod 1'!D228)</f>
        <v/>
      </c>
      <c r="S227" s="119" t="str">
        <f>IF('Prod 1'!E228="","",'Prod 1'!E228+'BH (2)'!C227)</f>
        <v/>
      </c>
      <c r="T227" s="59"/>
      <c r="U227" s="91"/>
    </row>
    <row r="228" spans="2:21" ht="24.95" customHeight="1" x14ac:dyDescent="0.25">
      <c r="B228" s="119" t="str">
        <f t="shared" si="18"/>
        <v/>
      </c>
      <c r="C228" s="2">
        <v>2.2500000000000001E-6</v>
      </c>
      <c r="D228" s="92" t="str">
        <f>IF(DespF!D231="","",DespF!D231)</f>
        <v/>
      </c>
      <c r="E228" s="90" t="str">
        <f>IF(DespF!E231="","",DespF!E231+'BH (2)'!C228)</f>
        <v/>
      </c>
      <c r="F228" s="59"/>
      <c r="G228" s="21"/>
      <c r="I228" s="106">
        <v>225</v>
      </c>
      <c r="J228" s="119" t="str">
        <f t="shared" si="19"/>
        <v/>
      </c>
      <c r="K228" s="92" t="str">
        <f>IF('Prod 1'!D229="","",'Prod 1'!D229)</f>
        <v/>
      </c>
      <c r="L228" s="119" t="str">
        <f>IF('Prod 1'!I229="","",'Prod 1'!I229+'BH (2)'!C228)</f>
        <v/>
      </c>
      <c r="M228" s="59"/>
      <c r="N228" s="91"/>
      <c r="Q228" s="119" t="str">
        <f t="shared" si="20"/>
        <v/>
      </c>
      <c r="R228" s="92" t="str">
        <f>IF('Prod 1'!D229="","",'Prod 1'!D229)</f>
        <v/>
      </c>
      <c r="S228" s="119" t="str">
        <f>IF('Prod 1'!E229="","",'Prod 1'!E229+'BH (2)'!C228)</f>
        <v/>
      </c>
      <c r="T228" s="59"/>
      <c r="U228" s="91"/>
    </row>
    <row r="229" spans="2:21" ht="24.95" customHeight="1" x14ac:dyDescent="0.25">
      <c r="B229" s="119" t="str">
        <f t="shared" si="18"/>
        <v/>
      </c>
      <c r="C229" s="2">
        <v>2.26E-6</v>
      </c>
      <c r="D229" s="92" t="str">
        <f>IF(DespF!D232="","",DespF!D232)</f>
        <v/>
      </c>
      <c r="E229" s="90" t="str">
        <f>IF(DespF!E232="","",DespF!E232+'BH (2)'!C229)</f>
        <v/>
      </c>
      <c r="F229" s="59"/>
      <c r="G229" s="21"/>
      <c r="I229" s="106">
        <v>226</v>
      </c>
      <c r="J229" s="119" t="str">
        <f t="shared" si="19"/>
        <v/>
      </c>
      <c r="K229" s="92" t="str">
        <f>IF('Prod 1'!D230="","",'Prod 1'!D230)</f>
        <v/>
      </c>
      <c r="L229" s="119" t="str">
        <f>IF('Prod 1'!I230="","",'Prod 1'!I230+'BH (2)'!C229)</f>
        <v/>
      </c>
      <c r="M229" s="59"/>
      <c r="N229" s="91"/>
      <c r="Q229" s="119" t="str">
        <f t="shared" si="20"/>
        <v/>
      </c>
      <c r="R229" s="92" t="str">
        <f>IF('Prod 1'!D230="","",'Prod 1'!D230)</f>
        <v/>
      </c>
      <c r="S229" s="119" t="str">
        <f>IF('Prod 1'!E230="","",'Prod 1'!E230+'BH (2)'!C229)</f>
        <v/>
      </c>
      <c r="T229" s="59"/>
      <c r="U229" s="91"/>
    </row>
    <row r="230" spans="2:21" ht="24.95" customHeight="1" x14ac:dyDescent="0.25">
      <c r="B230" s="119" t="str">
        <f t="shared" si="18"/>
        <v/>
      </c>
      <c r="C230" s="2">
        <v>2.2699999999999999E-6</v>
      </c>
      <c r="D230" s="92" t="str">
        <f>IF(DespF!D233="","",DespF!D233)</f>
        <v/>
      </c>
      <c r="E230" s="90" t="str">
        <f>IF(DespF!E233="","",DespF!E233+'BH (2)'!C230)</f>
        <v/>
      </c>
      <c r="F230" s="59"/>
      <c r="G230" s="21"/>
      <c r="I230" s="106">
        <v>227</v>
      </c>
      <c r="J230" s="119" t="str">
        <f t="shared" si="19"/>
        <v/>
      </c>
      <c r="K230" s="92" t="str">
        <f>IF('Prod 1'!D231="","",'Prod 1'!D231)</f>
        <v/>
      </c>
      <c r="L230" s="119" t="str">
        <f>IF('Prod 1'!I231="","",'Prod 1'!I231+'BH (2)'!C230)</f>
        <v/>
      </c>
      <c r="M230" s="59"/>
      <c r="N230" s="91"/>
      <c r="Q230" s="119" t="str">
        <f t="shared" si="20"/>
        <v/>
      </c>
      <c r="R230" s="92" t="str">
        <f>IF('Prod 1'!D231="","",'Prod 1'!D231)</f>
        <v/>
      </c>
      <c r="S230" s="119" t="str">
        <f>IF('Prod 1'!E231="","",'Prod 1'!E231+'BH (2)'!C230)</f>
        <v/>
      </c>
      <c r="T230" s="59"/>
      <c r="U230" s="91"/>
    </row>
    <row r="231" spans="2:21" ht="24.95" customHeight="1" x14ac:dyDescent="0.25">
      <c r="B231" s="119" t="str">
        <f t="shared" si="18"/>
        <v/>
      </c>
      <c r="C231" s="2">
        <v>2.2800000000000002E-6</v>
      </c>
      <c r="D231" s="92" t="str">
        <f>IF(DespF!D234="","",DespF!D234)</f>
        <v/>
      </c>
      <c r="E231" s="90" t="str">
        <f>IF(DespF!E234="","",DespF!E234+'BH (2)'!C231)</f>
        <v/>
      </c>
      <c r="F231" s="59"/>
      <c r="G231" s="21"/>
      <c r="I231" s="106">
        <v>228</v>
      </c>
      <c r="J231" s="119" t="str">
        <f t="shared" si="19"/>
        <v/>
      </c>
      <c r="K231" s="92" t="str">
        <f>IF('Prod 1'!D232="","",'Prod 1'!D232)</f>
        <v/>
      </c>
      <c r="L231" s="119" t="str">
        <f>IF('Prod 1'!I232="","",'Prod 1'!I232+'BH (2)'!C231)</f>
        <v/>
      </c>
      <c r="M231" s="59"/>
      <c r="N231" s="91"/>
      <c r="Q231" s="119" t="str">
        <f t="shared" si="20"/>
        <v/>
      </c>
      <c r="R231" s="92" t="str">
        <f>IF('Prod 1'!D232="","",'Prod 1'!D232)</f>
        <v/>
      </c>
      <c r="S231" s="119" t="str">
        <f>IF('Prod 1'!E232="","",'Prod 1'!E232+'BH (2)'!C231)</f>
        <v/>
      </c>
      <c r="T231" s="59"/>
      <c r="U231" s="91"/>
    </row>
    <row r="232" spans="2:21" ht="24.95" customHeight="1" x14ac:dyDescent="0.25">
      <c r="B232" s="119" t="str">
        <f t="shared" si="18"/>
        <v/>
      </c>
      <c r="C232" s="2">
        <v>2.2900000000000001E-6</v>
      </c>
      <c r="D232" s="92" t="str">
        <f>IF(DespF!D235="","",DespF!D235)</f>
        <v/>
      </c>
      <c r="E232" s="90" t="str">
        <f>IF(DespF!E235="","",DespF!E235+'BH (2)'!C232)</f>
        <v/>
      </c>
      <c r="F232" s="59"/>
      <c r="G232" s="21"/>
      <c r="I232" s="106">
        <v>229</v>
      </c>
      <c r="J232" s="119" t="str">
        <f t="shared" si="19"/>
        <v/>
      </c>
      <c r="K232" s="92" t="str">
        <f>IF('Prod 1'!D233="","",'Prod 1'!D233)</f>
        <v/>
      </c>
      <c r="L232" s="119" t="str">
        <f>IF('Prod 1'!I233="","",'Prod 1'!I233+'BH (2)'!C232)</f>
        <v/>
      </c>
      <c r="M232" s="59"/>
      <c r="N232" s="91"/>
      <c r="Q232" s="119" t="str">
        <f t="shared" si="20"/>
        <v/>
      </c>
      <c r="R232" s="92" t="str">
        <f>IF('Prod 1'!D233="","",'Prod 1'!D233)</f>
        <v/>
      </c>
      <c r="S232" s="119" t="str">
        <f>IF('Prod 1'!E233="","",'Prod 1'!E233+'BH (2)'!C232)</f>
        <v/>
      </c>
      <c r="T232" s="59"/>
      <c r="U232" s="91"/>
    </row>
    <row r="233" spans="2:21" ht="24.95" customHeight="1" x14ac:dyDescent="0.25">
      <c r="B233" s="119" t="str">
        <f t="shared" si="18"/>
        <v/>
      </c>
      <c r="C233" s="2">
        <v>2.3E-6</v>
      </c>
      <c r="D233" s="92" t="str">
        <f>IF(DespF!D236="","",DespF!D236)</f>
        <v/>
      </c>
      <c r="E233" s="90" t="str">
        <f>IF(DespF!E236="","",DespF!E236+'BH (2)'!C233)</f>
        <v/>
      </c>
      <c r="F233" s="59"/>
      <c r="G233" s="21"/>
      <c r="I233" s="106">
        <v>230</v>
      </c>
      <c r="J233" s="119" t="str">
        <f t="shared" si="19"/>
        <v/>
      </c>
      <c r="K233" s="92" t="str">
        <f>IF('Prod 1'!D234="","",'Prod 1'!D234)</f>
        <v/>
      </c>
      <c r="L233" s="119" t="str">
        <f>IF('Prod 1'!I234="","",'Prod 1'!I234+'BH (2)'!C233)</f>
        <v/>
      </c>
      <c r="M233" s="59"/>
      <c r="N233" s="91"/>
      <c r="Q233" s="119" t="str">
        <f t="shared" si="20"/>
        <v/>
      </c>
      <c r="R233" s="92" t="str">
        <f>IF('Prod 1'!D234="","",'Prod 1'!D234)</f>
        <v/>
      </c>
      <c r="S233" s="119" t="str">
        <f>IF('Prod 1'!E234="","",'Prod 1'!E234+'BH (2)'!C233)</f>
        <v/>
      </c>
      <c r="T233" s="59"/>
      <c r="U233" s="91"/>
    </row>
    <row r="234" spans="2:21" ht="24.95" customHeight="1" x14ac:dyDescent="0.25">
      <c r="B234" s="119" t="str">
        <f t="shared" si="18"/>
        <v/>
      </c>
      <c r="C234" s="2">
        <v>2.3099999999999999E-6</v>
      </c>
      <c r="D234" s="92" t="str">
        <f>IF(DespF!D237="","",DespF!D237)</f>
        <v/>
      </c>
      <c r="E234" s="90" t="str">
        <f>IF(DespF!E237="","",DespF!E237+'BH (2)'!C234)</f>
        <v/>
      </c>
      <c r="F234" s="59"/>
      <c r="G234" s="21"/>
      <c r="I234" s="106">
        <v>231</v>
      </c>
      <c r="J234" s="119" t="str">
        <f t="shared" si="19"/>
        <v/>
      </c>
      <c r="K234" s="92" t="str">
        <f>IF('Prod 1'!D235="","",'Prod 1'!D235)</f>
        <v/>
      </c>
      <c r="L234" s="119" t="str">
        <f>IF('Prod 1'!I235="","",'Prod 1'!I235+'BH (2)'!C234)</f>
        <v/>
      </c>
      <c r="M234" s="59"/>
      <c r="N234" s="91"/>
      <c r="Q234" s="119" t="str">
        <f t="shared" si="20"/>
        <v/>
      </c>
      <c r="R234" s="92" t="str">
        <f>IF('Prod 1'!D235="","",'Prod 1'!D235)</f>
        <v/>
      </c>
      <c r="S234" s="119" t="str">
        <f>IF('Prod 1'!E235="","",'Prod 1'!E235+'BH (2)'!C234)</f>
        <v/>
      </c>
      <c r="T234" s="59"/>
      <c r="U234" s="91"/>
    </row>
    <row r="235" spans="2:21" ht="24.95" customHeight="1" x14ac:dyDescent="0.25">
      <c r="B235" s="119" t="str">
        <f t="shared" si="18"/>
        <v/>
      </c>
      <c r="C235" s="2">
        <v>2.3199999999999998E-6</v>
      </c>
      <c r="D235" s="92" t="str">
        <f>IF(DespF!D238="","",DespF!D238)</f>
        <v/>
      </c>
      <c r="E235" s="90" t="str">
        <f>IF(DespF!E238="","",DespF!E238+'BH (2)'!C235)</f>
        <v/>
      </c>
      <c r="F235" s="59"/>
      <c r="G235" s="21"/>
      <c r="I235" s="106">
        <v>232</v>
      </c>
      <c r="J235" s="119" t="str">
        <f t="shared" si="19"/>
        <v/>
      </c>
      <c r="K235" s="92" t="str">
        <f>IF('Prod 1'!D236="","",'Prod 1'!D236)</f>
        <v/>
      </c>
      <c r="L235" s="119" t="str">
        <f>IF('Prod 1'!I236="","",'Prod 1'!I236+'BH (2)'!C235)</f>
        <v/>
      </c>
      <c r="M235" s="59"/>
      <c r="N235" s="91"/>
      <c r="Q235" s="119" t="str">
        <f t="shared" si="20"/>
        <v/>
      </c>
      <c r="R235" s="92" t="str">
        <f>IF('Prod 1'!D236="","",'Prod 1'!D236)</f>
        <v/>
      </c>
      <c r="S235" s="119" t="str">
        <f>IF('Prod 1'!E236="","",'Prod 1'!E236+'BH (2)'!C235)</f>
        <v/>
      </c>
      <c r="T235" s="59"/>
      <c r="U235" s="91"/>
    </row>
    <row r="236" spans="2:21" ht="24.95" customHeight="1" x14ac:dyDescent="0.25">
      <c r="B236" s="119" t="str">
        <f t="shared" si="18"/>
        <v/>
      </c>
      <c r="C236" s="2">
        <v>2.3300000000000001E-6</v>
      </c>
      <c r="D236" s="92" t="str">
        <f>IF(DespF!D239="","",DespF!D239)</f>
        <v/>
      </c>
      <c r="E236" s="90" t="str">
        <f>IF(DespF!E239="","",DespF!E239+'BH (2)'!C236)</f>
        <v/>
      </c>
      <c r="F236" s="59"/>
      <c r="G236" s="21"/>
      <c r="I236" s="106">
        <v>233</v>
      </c>
      <c r="J236" s="119" t="str">
        <f t="shared" si="19"/>
        <v/>
      </c>
      <c r="K236" s="92" t="str">
        <f>IF('Prod 1'!D237="","",'Prod 1'!D237)</f>
        <v/>
      </c>
      <c r="L236" s="119" t="str">
        <f>IF('Prod 1'!I237="","",'Prod 1'!I237+'BH (2)'!C236)</f>
        <v/>
      </c>
      <c r="M236" s="59"/>
      <c r="N236" s="91"/>
      <c r="Q236" s="119" t="str">
        <f t="shared" si="20"/>
        <v/>
      </c>
      <c r="R236" s="92" t="str">
        <f>IF('Prod 1'!D237="","",'Prod 1'!D237)</f>
        <v/>
      </c>
      <c r="S236" s="119" t="str">
        <f>IF('Prod 1'!E237="","",'Prod 1'!E237+'BH (2)'!C236)</f>
        <v/>
      </c>
      <c r="T236" s="59"/>
      <c r="U236" s="91"/>
    </row>
    <row r="237" spans="2:21" ht="24.95" customHeight="1" x14ac:dyDescent="0.25">
      <c r="B237" s="119" t="str">
        <f t="shared" si="18"/>
        <v/>
      </c>
      <c r="C237" s="2">
        <v>2.34E-6</v>
      </c>
      <c r="D237" s="92" t="str">
        <f>IF(DespF!D240="","",DespF!D240)</f>
        <v/>
      </c>
      <c r="E237" s="90" t="str">
        <f>IF(DespF!E240="","",DespF!E240+'BH (2)'!C237)</f>
        <v/>
      </c>
      <c r="F237" s="59"/>
      <c r="G237" s="21"/>
      <c r="I237" s="106">
        <v>234</v>
      </c>
      <c r="J237" s="119" t="str">
        <f t="shared" si="19"/>
        <v/>
      </c>
      <c r="K237" s="92" t="str">
        <f>IF('Prod 1'!D238="","",'Prod 1'!D238)</f>
        <v/>
      </c>
      <c r="L237" s="119" t="str">
        <f>IF('Prod 1'!I238="","",'Prod 1'!I238+'BH (2)'!C237)</f>
        <v/>
      </c>
      <c r="M237" s="59"/>
      <c r="N237" s="91"/>
      <c r="Q237" s="119" t="str">
        <f t="shared" si="20"/>
        <v/>
      </c>
      <c r="R237" s="92" t="str">
        <f>IF('Prod 1'!D238="","",'Prod 1'!D238)</f>
        <v/>
      </c>
      <c r="S237" s="119" t="str">
        <f>IF('Prod 1'!E238="","",'Prod 1'!E238+'BH (2)'!C237)</f>
        <v/>
      </c>
      <c r="T237" s="59"/>
      <c r="U237" s="91"/>
    </row>
    <row r="238" spans="2:21" ht="24.95" customHeight="1" x14ac:dyDescent="0.25">
      <c r="B238" s="119" t="str">
        <f t="shared" si="18"/>
        <v/>
      </c>
      <c r="C238" s="2">
        <v>2.3499999999999999E-6</v>
      </c>
      <c r="D238" s="92" t="str">
        <f>IF(DespF!D241="","",DespF!D241)</f>
        <v/>
      </c>
      <c r="E238" s="90" t="str">
        <f>IF(DespF!E241="","",DespF!E241+'BH (2)'!C238)</f>
        <v/>
      </c>
      <c r="F238" s="59"/>
      <c r="G238" s="21"/>
      <c r="I238" s="106">
        <v>235</v>
      </c>
      <c r="J238" s="119" t="str">
        <f t="shared" si="19"/>
        <v/>
      </c>
      <c r="K238" s="92" t="str">
        <f>IF('Prod 1'!D239="","",'Prod 1'!D239)</f>
        <v/>
      </c>
      <c r="L238" s="119" t="str">
        <f>IF('Prod 1'!I239="","",'Prod 1'!I239+'BH (2)'!C238)</f>
        <v/>
      </c>
      <c r="M238" s="59"/>
      <c r="N238" s="91"/>
      <c r="Q238" s="119" t="str">
        <f t="shared" si="20"/>
        <v/>
      </c>
      <c r="R238" s="92" t="str">
        <f>IF('Prod 1'!D239="","",'Prod 1'!D239)</f>
        <v/>
      </c>
      <c r="S238" s="119" t="str">
        <f>IF('Prod 1'!E239="","",'Prod 1'!E239+'BH (2)'!C238)</f>
        <v/>
      </c>
      <c r="T238" s="59"/>
      <c r="U238" s="91"/>
    </row>
    <row r="239" spans="2:21" ht="24.95" customHeight="1" x14ac:dyDescent="0.25">
      <c r="B239" s="119" t="str">
        <f t="shared" si="18"/>
        <v/>
      </c>
      <c r="C239" s="2">
        <v>2.3599999999999999E-6</v>
      </c>
      <c r="D239" s="92" t="str">
        <f>IF(DespF!D242="","",DespF!D242)</f>
        <v/>
      </c>
      <c r="E239" s="90" t="str">
        <f>IF(DespF!E242="","",DespF!E242+'BH (2)'!C239)</f>
        <v/>
      </c>
      <c r="F239" s="59"/>
      <c r="G239" s="21"/>
      <c r="I239" s="106">
        <v>236</v>
      </c>
      <c r="J239" s="119" t="str">
        <f t="shared" si="19"/>
        <v/>
      </c>
      <c r="K239" s="92" t="str">
        <f>IF('Prod 1'!D240="","",'Prod 1'!D240)</f>
        <v/>
      </c>
      <c r="L239" s="119" t="str">
        <f>IF('Prod 1'!I240="","",'Prod 1'!I240+'BH (2)'!C239)</f>
        <v/>
      </c>
      <c r="M239" s="59"/>
      <c r="N239" s="91"/>
      <c r="Q239" s="119" t="str">
        <f t="shared" si="20"/>
        <v/>
      </c>
      <c r="R239" s="92" t="str">
        <f>IF('Prod 1'!D240="","",'Prod 1'!D240)</f>
        <v/>
      </c>
      <c r="S239" s="119" t="str">
        <f>IF('Prod 1'!E240="","",'Prod 1'!E240+'BH (2)'!C239)</f>
        <v/>
      </c>
      <c r="T239" s="59"/>
      <c r="U239" s="91"/>
    </row>
    <row r="240" spans="2:21" ht="24.95" customHeight="1" x14ac:dyDescent="0.25">
      <c r="B240" s="119" t="str">
        <f t="shared" si="18"/>
        <v/>
      </c>
      <c r="C240" s="2">
        <v>2.3700000000000002E-6</v>
      </c>
      <c r="D240" s="92" t="str">
        <f>IF(DespF!D243="","",DespF!D243)</f>
        <v/>
      </c>
      <c r="E240" s="90" t="str">
        <f>IF(DespF!E243="","",DespF!E243+'BH (2)'!C240)</f>
        <v/>
      </c>
      <c r="F240" s="59"/>
      <c r="G240" s="21"/>
      <c r="I240" s="106">
        <v>237</v>
      </c>
      <c r="J240" s="119" t="str">
        <f t="shared" si="19"/>
        <v/>
      </c>
      <c r="K240" s="92" t="str">
        <f>IF('Prod 1'!D241="","",'Prod 1'!D241)</f>
        <v/>
      </c>
      <c r="L240" s="119" t="str">
        <f>IF('Prod 1'!I241="","",'Prod 1'!I241+'BH (2)'!C240)</f>
        <v/>
      </c>
      <c r="M240" s="59"/>
      <c r="N240" s="91"/>
      <c r="Q240" s="119" t="str">
        <f t="shared" si="20"/>
        <v/>
      </c>
      <c r="R240" s="92" t="str">
        <f>IF('Prod 1'!D241="","",'Prod 1'!D241)</f>
        <v/>
      </c>
      <c r="S240" s="119" t="str">
        <f>IF('Prod 1'!E241="","",'Prod 1'!E241+'BH (2)'!C240)</f>
        <v/>
      </c>
      <c r="T240" s="59"/>
      <c r="U240" s="91"/>
    </row>
    <row r="241" spans="2:21" ht="24.95" customHeight="1" x14ac:dyDescent="0.25">
      <c r="B241" s="119" t="str">
        <f t="shared" si="18"/>
        <v/>
      </c>
      <c r="C241" s="2">
        <v>2.3800000000000001E-6</v>
      </c>
      <c r="D241" s="92" t="str">
        <f>IF(DespF!D244="","",DespF!D244)</f>
        <v/>
      </c>
      <c r="E241" s="90" t="str">
        <f>IF(DespF!E244="","",DespF!E244+'BH (2)'!C241)</f>
        <v/>
      </c>
      <c r="F241" s="59"/>
      <c r="G241" s="21"/>
      <c r="I241" s="106">
        <v>238</v>
      </c>
      <c r="J241" s="119" t="str">
        <f t="shared" si="19"/>
        <v/>
      </c>
      <c r="K241" s="92" t="str">
        <f>IF('Prod 1'!D242="","",'Prod 1'!D242)</f>
        <v/>
      </c>
      <c r="L241" s="119" t="str">
        <f>IF('Prod 1'!I242="","",'Prod 1'!I242+'BH (2)'!C241)</f>
        <v/>
      </c>
      <c r="M241" s="59"/>
      <c r="N241" s="91"/>
      <c r="Q241" s="119" t="str">
        <f t="shared" si="20"/>
        <v/>
      </c>
      <c r="R241" s="92" t="str">
        <f>IF('Prod 1'!D242="","",'Prod 1'!D242)</f>
        <v/>
      </c>
      <c r="S241" s="119" t="str">
        <f>IF('Prod 1'!E242="","",'Prod 1'!E242+'BH (2)'!C241)</f>
        <v/>
      </c>
      <c r="T241" s="59"/>
      <c r="U241" s="91"/>
    </row>
    <row r="242" spans="2:21" ht="24.95" customHeight="1" x14ac:dyDescent="0.25">
      <c r="B242" s="119" t="str">
        <f t="shared" si="18"/>
        <v/>
      </c>
      <c r="C242" s="2">
        <v>2.39E-6</v>
      </c>
      <c r="D242" s="92" t="str">
        <f>IF(DespF!D245="","",DespF!D245)</f>
        <v/>
      </c>
      <c r="E242" s="90" t="str">
        <f>IF(DespF!E245="","",DespF!E245+'BH (2)'!C242)</f>
        <v/>
      </c>
      <c r="F242" s="59"/>
      <c r="G242" s="21"/>
      <c r="I242" s="106">
        <v>239</v>
      </c>
      <c r="J242" s="119" t="str">
        <f t="shared" si="19"/>
        <v/>
      </c>
      <c r="K242" s="92" t="str">
        <f>IF('Prod 1'!D243="","",'Prod 1'!D243)</f>
        <v/>
      </c>
      <c r="L242" s="119" t="str">
        <f>IF('Prod 1'!I243="","",'Prod 1'!I243+'BH (2)'!C242)</f>
        <v/>
      </c>
      <c r="M242" s="59"/>
      <c r="N242" s="91"/>
      <c r="Q242" s="119" t="str">
        <f t="shared" si="20"/>
        <v/>
      </c>
      <c r="R242" s="92" t="str">
        <f>IF('Prod 1'!D243="","",'Prod 1'!D243)</f>
        <v/>
      </c>
      <c r="S242" s="119" t="str">
        <f>IF('Prod 1'!E243="","",'Prod 1'!E243+'BH (2)'!C242)</f>
        <v/>
      </c>
      <c r="T242" s="59"/>
      <c r="U242" s="91"/>
    </row>
    <row r="243" spans="2:21" ht="24.95" customHeight="1" x14ac:dyDescent="0.25">
      <c r="B243" s="119" t="str">
        <f t="shared" si="18"/>
        <v/>
      </c>
      <c r="C243" s="2">
        <v>2.3999999999999999E-6</v>
      </c>
      <c r="D243" s="92" t="str">
        <f>IF(DespF!D246="","",DespF!D246)</f>
        <v/>
      </c>
      <c r="E243" s="90" t="str">
        <f>IF(DespF!E246="","",DespF!E246+'BH (2)'!C243)</f>
        <v/>
      </c>
      <c r="F243" s="59"/>
      <c r="G243" s="21"/>
      <c r="I243" s="106">
        <v>240</v>
      </c>
      <c r="J243" s="119" t="str">
        <f t="shared" si="19"/>
        <v/>
      </c>
      <c r="K243" s="92" t="str">
        <f>IF('Prod 1'!D244="","",'Prod 1'!D244)</f>
        <v/>
      </c>
      <c r="L243" s="119" t="str">
        <f>IF('Prod 1'!I244="","",'Prod 1'!I244+'BH (2)'!C243)</f>
        <v/>
      </c>
      <c r="M243" s="59"/>
      <c r="N243" s="91"/>
      <c r="Q243" s="119" t="str">
        <f t="shared" si="20"/>
        <v/>
      </c>
      <c r="R243" s="92" t="str">
        <f>IF('Prod 1'!D244="","",'Prod 1'!D244)</f>
        <v/>
      </c>
      <c r="S243" s="119" t="str">
        <f>IF('Prod 1'!E244="","",'Prod 1'!E244+'BH (2)'!C243)</f>
        <v/>
      </c>
      <c r="T243" s="59"/>
      <c r="U243" s="91"/>
    </row>
    <row r="244" spans="2:21" ht="24.95" customHeight="1" x14ac:dyDescent="0.25">
      <c r="B244" s="119" t="str">
        <f t="shared" si="18"/>
        <v/>
      </c>
      <c r="C244" s="2">
        <v>2.4099999999999998E-6</v>
      </c>
      <c r="D244" s="92" t="str">
        <f>IF(DespF!D247="","",DespF!D247)</f>
        <v/>
      </c>
      <c r="E244" s="90" t="str">
        <f>IF(DespF!E247="","",DespF!E247+'BH (2)'!C244)</f>
        <v/>
      </c>
      <c r="F244" s="59"/>
      <c r="G244" s="21"/>
      <c r="I244" s="106">
        <v>241</v>
      </c>
      <c r="J244" s="119" t="str">
        <f t="shared" si="19"/>
        <v/>
      </c>
      <c r="K244" s="92" t="str">
        <f>IF('Prod 1'!D245="","",'Prod 1'!D245)</f>
        <v/>
      </c>
      <c r="L244" s="119" t="str">
        <f>IF('Prod 1'!I245="","",'Prod 1'!I245+'BH (2)'!C244)</f>
        <v/>
      </c>
      <c r="M244" s="59"/>
      <c r="N244" s="91"/>
      <c r="Q244" s="119" t="str">
        <f t="shared" si="20"/>
        <v/>
      </c>
      <c r="R244" s="92" t="str">
        <f>IF('Prod 1'!D245="","",'Prod 1'!D245)</f>
        <v/>
      </c>
      <c r="S244" s="119" t="str">
        <f>IF('Prod 1'!E245="","",'Prod 1'!E245+'BH (2)'!C244)</f>
        <v/>
      </c>
      <c r="T244" s="59"/>
      <c r="U244" s="91"/>
    </row>
    <row r="245" spans="2:21" ht="24.95" customHeight="1" x14ac:dyDescent="0.25">
      <c r="B245" s="119" t="str">
        <f t="shared" si="18"/>
        <v/>
      </c>
      <c r="C245" s="2">
        <v>2.4200000000000001E-6</v>
      </c>
      <c r="D245" s="92" t="str">
        <f>IF(DespF!D248="","",DespF!D248)</f>
        <v/>
      </c>
      <c r="E245" s="90" t="str">
        <f>IF(DespF!E248="","",DespF!E248+'BH (2)'!C245)</f>
        <v/>
      </c>
      <c r="F245" s="59"/>
      <c r="G245" s="21"/>
      <c r="I245" s="106">
        <v>242</v>
      </c>
      <c r="J245" s="119" t="str">
        <f t="shared" si="19"/>
        <v/>
      </c>
      <c r="K245" s="92" t="str">
        <f>IF('Prod 1'!D246="","",'Prod 1'!D246)</f>
        <v/>
      </c>
      <c r="L245" s="119" t="str">
        <f>IF('Prod 1'!I246="","",'Prod 1'!I246+'BH (2)'!C245)</f>
        <v/>
      </c>
      <c r="M245" s="59"/>
      <c r="N245" s="91"/>
      <c r="Q245" s="119" t="str">
        <f t="shared" si="20"/>
        <v/>
      </c>
      <c r="R245" s="92" t="str">
        <f>IF('Prod 1'!D246="","",'Prod 1'!D246)</f>
        <v/>
      </c>
      <c r="S245" s="119" t="str">
        <f>IF('Prod 1'!E246="","",'Prod 1'!E246+'BH (2)'!C245)</f>
        <v/>
      </c>
      <c r="T245" s="59"/>
      <c r="U245" s="91"/>
    </row>
    <row r="246" spans="2:21" ht="24.95" customHeight="1" x14ac:dyDescent="0.25">
      <c r="B246" s="119" t="str">
        <f t="shared" si="18"/>
        <v/>
      </c>
      <c r="C246" s="2">
        <v>2.43E-6</v>
      </c>
      <c r="D246" s="92" t="str">
        <f>IF(DespF!D249="","",DespF!D249)</f>
        <v/>
      </c>
      <c r="E246" s="90" t="str">
        <f>IF(DespF!E249="","",DespF!E249+'BH (2)'!C246)</f>
        <v/>
      </c>
      <c r="F246" s="59"/>
      <c r="G246" s="21"/>
      <c r="I246" s="106">
        <v>243</v>
      </c>
      <c r="J246" s="119" t="str">
        <f t="shared" si="19"/>
        <v/>
      </c>
      <c r="K246" s="92" t="str">
        <f>IF('Prod 1'!D247="","",'Prod 1'!D247)</f>
        <v/>
      </c>
      <c r="L246" s="119" t="str">
        <f>IF('Prod 1'!I247="","",'Prod 1'!I247+'BH (2)'!C246)</f>
        <v/>
      </c>
      <c r="M246" s="59"/>
      <c r="N246" s="91"/>
      <c r="Q246" s="119" t="str">
        <f t="shared" si="20"/>
        <v/>
      </c>
      <c r="R246" s="92" t="str">
        <f>IF('Prod 1'!D247="","",'Prod 1'!D247)</f>
        <v/>
      </c>
      <c r="S246" s="119" t="str">
        <f>IF('Prod 1'!E247="","",'Prod 1'!E247+'BH (2)'!C246)</f>
        <v/>
      </c>
      <c r="T246" s="59"/>
      <c r="U246" s="91"/>
    </row>
    <row r="247" spans="2:21" ht="24.95" customHeight="1" x14ac:dyDescent="0.25">
      <c r="B247" s="119" t="str">
        <f t="shared" si="18"/>
        <v/>
      </c>
      <c r="C247" s="2">
        <v>2.4399999999999999E-6</v>
      </c>
      <c r="D247" s="92" t="str">
        <f>IF(DespF!D250="","",DespF!D250)</f>
        <v/>
      </c>
      <c r="E247" s="90" t="str">
        <f>IF(DespF!E250="","",DespF!E250+'BH (2)'!C247)</f>
        <v/>
      </c>
      <c r="F247" s="59"/>
      <c r="G247" s="21"/>
      <c r="I247" s="106">
        <v>244</v>
      </c>
      <c r="J247" s="119" t="str">
        <f t="shared" si="19"/>
        <v/>
      </c>
      <c r="K247" s="92" t="str">
        <f>IF('Prod 1'!D248="","",'Prod 1'!D248)</f>
        <v/>
      </c>
      <c r="L247" s="119" t="str">
        <f>IF('Prod 1'!I248="","",'Prod 1'!I248+'BH (2)'!C247)</f>
        <v/>
      </c>
      <c r="M247" s="59"/>
      <c r="N247" s="91"/>
      <c r="Q247" s="119" t="str">
        <f t="shared" si="20"/>
        <v/>
      </c>
      <c r="R247" s="92" t="str">
        <f>IF('Prod 1'!D248="","",'Prod 1'!D248)</f>
        <v/>
      </c>
      <c r="S247" s="119" t="str">
        <f>IF('Prod 1'!E248="","",'Prod 1'!E248+'BH (2)'!C247)</f>
        <v/>
      </c>
      <c r="T247" s="59"/>
      <c r="U247" s="91"/>
    </row>
    <row r="248" spans="2:21" ht="24.95" customHeight="1" x14ac:dyDescent="0.25">
      <c r="B248" s="119" t="str">
        <f t="shared" si="18"/>
        <v/>
      </c>
      <c r="C248" s="2">
        <v>2.4499999999999998E-6</v>
      </c>
      <c r="D248" s="92" t="str">
        <f>IF(DespF!D251="","",DespF!D251)</f>
        <v/>
      </c>
      <c r="E248" s="90" t="str">
        <f>IF(DespF!E251="","",DespF!E251+'BH (2)'!C248)</f>
        <v/>
      </c>
      <c r="F248" s="59"/>
      <c r="G248" s="21"/>
      <c r="I248" s="106">
        <v>245</v>
      </c>
      <c r="J248" s="119" t="str">
        <f t="shared" si="19"/>
        <v/>
      </c>
      <c r="K248" s="92" t="str">
        <f>IF('Prod 1'!D249="","",'Prod 1'!D249)</f>
        <v/>
      </c>
      <c r="L248" s="119" t="str">
        <f>IF('Prod 1'!I249="","",'Prod 1'!I249+'BH (2)'!C248)</f>
        <v/>
      </c>
      <c r="M248" s="59"/>
      <c r="N248" s="91"/>
      <c r="Q248" s="119" t="str">
        <f t="shared" si="20"/>
        <v/>
      </c>
      <c r="R248" s="92" t="str">
        <f>IF('Prod 1'!D249="","",'Prod 1'!D249)</f>
        <v/>
      </c>
      <c r="S248" s="119" t="str">
        <f>IF('Prod 1'!E249="","",'Prod 1'!E249+'BH (2)'!C248)</f>
        <v/>
      </c>
      <c r="T248" s="59"/>
      <c r="U248" s="91"/>
    </row>
    <row r="249" spans="2:21" ht="24.95" customHeight="1" x14ac:dyDescent="0.25">
      <c r="B249" s="119" t="str">
        <f t="shared" si="18"/>
        <v/>
      </c>
      <c r="C249" s="2">
        <v>2.4600000000000002E-6</v>
      </c>
      <c r="D249" s="92" t="str">
        <f>IF(DespF!D252="","",DespF!D252)</f>
        <v/>
      </c>
      <c r="E249" s="90" t="str">
        <f>IF(DespF!E252="","",DespF!E252+'BH (2)'!C249)</f>
        <v/>
      </c>
      <c r="F249" s="59"/>
      <c r="G249" s="21"/>
      <c r="I249" s="106">
        <v>246</v>
      </c>
      <c r="J249" s="119" t="str">
        <f t="shared" si="19"/>
        <v/>
      </c>
      <c r="K249" s="92" t="str">
        <f>IF('Prod 1'!D250="","",'Prod 1'!D250)</f>
        <v/>
      </c>
      <c r="L249" s="119" t="str">
        <f>IF('Prod 1'!I250="","",'Prod 1'!I250+'BH (2)'!C249)</f>
        <v/>
      </c>
      <c r="M249" s="59"/>
      <c r="N249" s="91"/>
      <c r="Q249" s="119" t="str">
        <f t="shared" si="20"/>
        <v/>
      </c>
      <c r="R249" s="92" t="str">
        <f>IF('Prod 1'!D250="","",'Prod 1'!D250)</f>
        <v/>
      </c>
      <c r="S249" s="119" t="str">
        <f>IF('Prod 1'!E250="","",'Prod 1'!E250+'BH (2)'!C249)</f>
        <v/>
      </c>
      <c r="T249" s="59"/>
      <c r="U249" s="91"/>
    </row>
    <row r="250" spans="2:21" ht="24.95" customHeight="1" x14ac:dyDescent="0.25">
      <c r="B250" s="119" t="str">
        <f t="shared" si="18"/>
        <v/>
      </c>
      <c r="C250" s="2">
        <v>2.4700000000000001E-6</v>
      </c>
      <c r="D250" s="92" t="str">
        <f>IF(DespF!D253="","",DespF!D253)</f>
        <v/>
      </c>
      <c r="E250" s="90" t="str">
        <f>IF(DespF!E253="","",DespF!E253+'BH (2)'!C250)</f>
        <v/>
      </c>
      <c r="F250" s="59"/>
      <c r="G250" s="21"/>
      <c r="I250" s="106">
        <v>247</v>
      </c>
      <c r="J250" s="119" t="str">
        <f t="shared" si="19"/>
        <v/>
      </c>
      <c r="K250" s="92" t="str">
        <f>IF('Prod 1'!D251="","",'Prod 1'!D251)</f>
        <v/>
      </c>
      <c r="L250" s="119" t="str">
        <f>IF('Prod 1'!I251="","",'Prod 1'!I251+'BH (2)'!C250)</f>
        <v/>
      </c>
      <c r="M250" s="59"/>
      <c r="N250" s="91"/>
      <c r="Q250" s="119" t="str">
        <f t="shared" si="20"/>
        <v/>
      </c>
      <c r="R250" s="92" t="str">
        <f>IF('Prod 1'!D251="","",'Prod 1'!D251)</f>
        <v/>
      </c>
      <c r="S250" s="119" t="str">
        <f>IF('Prod 1'!E251="","",'Prod 1'!E251+'BH (2)'!C250)</f>
        <v/>
      </c>
      <c r="T250" s="59"/>
      <c r="U250" s="91"/>
    </row>
    <row r="251" spans="2:21" ht="24.95" customHeight="1" x14ac:dyDescent="0.25">
      <c r="B251" s="119" t="str">
        <f t="shared" si="18"/>
        <v/>
      </c>
      <c r="C251" s="2">
        <v>2.48E-6</v>
      </c>
      <c r="D251" s="92" t="str">
        <f>IF(DespF!D254="","",DespF!D254)</f>
        <v/>
      </c>
      <c r="E251" s="90" t="str">
        <f>IF(DespF!E254="","",DespF!E254+'BH (2)'!C251)</f>
        <v/>
      </c>
      <c r="F251" s="59"/>
      <c r="G251" s="21"/>
      <c r="I251" s="106">
        <v>248</v>
      </c>
      <c r="J251" s="119" t="str">
        <f t="shared" si="19"/>
        <v/>
      </c>
      <c r="K251" s="92" t="str">
        <f>IF('Prod 1'!D252="","",'Prod 1'!D252)</f>
        <v/>
      </c>
      <c r="L251" s="119" t="str">
        <f>IF('Prod 1'!I252="","",'Prod 1'!I252+'BH (2)'!C251)</f>
        <v/>
      </c>
      <c r="M251" s="59"/>
      <c r="N251" s="91"/>
      <c r="Q251" s="119" t="str">
        <f t="shared" si="20"/>
        <v/>
      </c>
      <c r="R251" s="92" t="str">
        <f>IF('Prod 1'!D252="","",'Prod 1'!D252)</f>
        <v/>
      </c>
      <c r="S251" s="119" t="str">
        <f>IF('Prod 1'!E252="","",'Prod 1'!E252+'BH (2)'!C251)</f>
        <v/>
      </c>
      <c r="T251" s="59"/>
      <c r="U251" s="91"/>
    </row>
    <row r="252" spans="2:21" ht="24.95" customHeight="1" x14ac:dyDescent="0.25">
      <c r="B252" s="119" t="str">
        <f t="shared" si="18"/>
        <v/>
      </c>
      <c r="C252" s="2">
        <v>2.4899999999999999E-6</v>
      </c>
      <c r="D252" s="92" t="str">
        <f>IF(DespF!D255="","",DespF!D255)</f>
        <v/>
      </c>
      <c r="E252" s="90" t="str">
        <f>IF(DespF!E255="","",DespF!E255+'BH (2)'!C252)</f>
        <v/>
      </c>
      <c r="F252" s="59"/>
      <c r="G252" s="21"/>
      <c r="I252" s="106">
        <v>249</v>
      </c>
      <c r="J252" s="119" t="str">
        <f t="shared" si="19"/>
        <v/>
      </c>
      <c r="K252" s="92" t="str">
        <f>IF('Prod 1'!D253="","",'Prod 1'!D253)</f>
        <v/>
      </c>
      <c r="L252" s="119" t="str">
        <f>IF('Prod 1'!I253="","",'Prod 1'!I253+'BH (2)'!C252)</f>
        <v/>
      </c>
      <c r="M252" s="59"/>
      <c r="N252" s="91"/>
      <c r="Q252" s="119" t="str">
        <f t="shared" si="20"/>
        <v/>
      </c>
      <c r="R252" s="92" t="str">
        <f>IF('Prod 1'!D253="","",'Prod 1'!D253)</f>
        <v/>
      </c>
      <c r="S252" s="119" t="str">
        <f>IF('Prod 1'!E253="","",'Prod 1'!E253+'BH (2)'!C252)</f>
        <v/>
      </c>
      <c r="T252" s="59"/>
      <c r="U252" s="91"/>
    </row>
    <row r="253" spans="2:21" ht="24.95" customHeight="1" x14ac:dyDescent="0.25">
      <c r="B253" s="119" t="str">
        <f t="shared" si="18"/>
        <v/>
      </c>
      <c r="C253" s="2">
        <v>2.5000000000000002E-6</v>
      </c>
      <c r="D253" s="92" t="str">
        <f>IF(DespF!D256="","",DespF!D256)</f>
        <v/>
      </c>
      <c r="E253" s="90" t="str">
        <f>IF(DespF!E256="","",DespF!E256+'BH (2)'!C253)</f>
        <v/>
      </c>
      <c r="F253" s="59"/>
      <c r="G253" s="21"/>
      <c r="I253" s="106">
        <v>250</v>
      </c>
      <c r="J253" s="119" t="str">
        <f t="shared" si="19"/>
        <v/>
      </c>
      <c r="K253" s="92" t="str">
        <f>IF('Prod 1'!D254="","",'Prod 1'!D254)</f>
        <v/>
      </c>
      <c r="L253" s="119" t="str">
        <f>IF('Prod 1'!I254="","",'Prod 1'!I254+'BH (2)'!C253)</f>
        <v/>
      </c>
      <c r="M253" s="59"/>
      <c r="N253" s="91"/>
      <c r="Q253" s="119" t="str">
        <f t="shared" si="20"/>
        <v/>
      </c>
      <c r="R253" s="92" t="str">
        <f>IF('Prod 1'!D254="","",'Prod 1'!D254)</f>
        <v/>
      </c>
      <c r="S253" s="119" t="str">
        <f>IF('Prod 1'!E254="","",'Prod 1'!E254+'BH (2)'!C253)</f>
        <v/>
      </c>
      <c r="T253" s="59"/>
      <c r="U253" s="91"/>
    </row>
    <row r="254" spans="2:21" ht="24.95" customHeight="1" x14ac:dyDescent="0.25">
      <c r="B254" s="119" t="str">
        <f t="shared" si="18"/>
        <v/>
      </c>
      <c r="C254" s="2">
        <v>2.5100000000000001E-6</v>
      </c>
      <c r="D254" s="92" t="str">
        <f>IF(DespF!D257="","",DespF!D257)</f>
        <v/>
      </c>
      <c r="E254" s="90" t="str">
        <f>IF(DespF!E257="","",DespF!E257+'BH (2)'!C254)</f>
        <v/>
      </c>
      <c r="F254" s="59"/>
      <c r="G254" s="21"/>
      <c r="I254" s="106">
        <v>251</v>
      </c>
      <c r="J254" s="119" t="str">
        <f t="shared" si="19"/>
        <v/>
      </c>
      <c r="K254" s="92" t="str">
        <f>IF('Prod 1'!D255="","",'Prod 1'!D255)</f>
        <v/>
      </c>
      <c r="L254" s="119" t="str">
        <f>IF('Prod 1'!I255="","",'Prod 1'!I255+'BH (2)'!C254)</f>
        <v/>
      </c>
      <c r="M254" s="59"/>
      <c r="N254" s="91"/>
      <c r="Q254" s="119" t="str">
        <f t="shared" si="20"/>
        <v/>
      </c>
      <c r="R254" s="92" t="str">
        <f>IF('Prod 1'!D255="","",'Prod 1'!D255)</f>
        <v/>
      </c>
      <c r="S254" s="119" t="str">
        <f>IF('Prod 1'!E255="","",'Prod 1'!E255+'BH (2)'!C254)</f>
        <v/>
      </c>
      <c r="T254" s="59"/>
      <c r="U254" s="91"/>
    </row>
    <row r="255" spans="2:21" ht="24.95" customHeight="1" x14ac:dyDescent="0.25">
      <c r="B255" s="119" t="str">
        <f t="shared" si="18"/>
        <v/>
      </c>
      <c r="C255" s="2">
        <v>2.52E-6</v>
      </c>
      <c r="D255" s="92" t="str">
        <f>IF(DespF!D258="","",DespF!D258)</f>
        <v/>
      </c>
      <c r="E255" s="90" t="str">
        <f>IF(DespF!E258="","",DespF!E258+'BH (2)'!C255)</f>
        <v/>
      </c>
      <c r="F255" s="59"/>
      <c r="G255" s="21"/>
      <c r="I255" s="106">
        <v>252</v>
      </c>
      <c r="J255" s="119" t="str">
        <f t="shared" si="19"/>
        <v/>
      </c>
      <c r="K255" s="92" t="str">
        <f>IF('Prod 1'!D256="","",'Prod 1'!D256)</f>
        <v/>
      </c>
      <c r="L255" s="119" t="str">
        <f>IF('Prod 1'!I256="","",'Prod 1'!I256+'BH (2)'!C255)</f>
        <v/>
      </c>
      <c r="M255" s="59"/>
      <c r="N255" s="91"/>
      <c r="Q255" s="119" t="str">
        <f t="shared" si="20"/>
        <v/>
      </c>
      <c r="R255" s="92" t="str">
        <f>IF('Prod 1'!D256="","",'Prod 1'!D256)</f>
        <v/>
      </c>
      <c r="S255" s="119" t="str">
        <f>IF('Prod 1'!E256="","",'Prod 1'!E256+'BH (2)'!C255)</f>
        <v/>
      </c>
      <c r="T255" s="59"/>
      <c r="U255" s="91"/>
    </row>
    <row r="256" spans="2:21" ht="24.95" customHeight="1" x14ac:dyDescent="0.25">
      <c r="B256" s="119" t="str">
        <f t="shared" si="18"/>
        <v/>
      </c>
      <c r="C256" s="2">
        <v>2.5299999999999999E-6</v>
      </c>
      <c r="D256" s="92" t="str">
        <f>IF(DespF!D259="","",DespF!D259)</f>
        <v/>
      </c>
      <c r="E256" s="90" t="str">
        <f>IF(DespF!E259="","",DespF!E259+'BH (2)'!C256)</f>
        <v/>
      </c>
      <c r="F256" s="59"/>
      <c r="G256" s="21"/>
      <c r="I256" s="106">
        <v>253</v>
      </c>
      <c r="J256" s="119" t="str">
        <f t="shared" si="19"/>
        <v/>
      </c>
      <c r="K256" s="92" t="str">
        <f>IF('Prod 1'!D257="","",'Prod 1'!D257)</f>
        <v/>
      </c>
      <c r="L256" s="119" t="str">
        <f>IF('Prod 1'!I257="","",'Prod 1'!I257+'BH (2)'!C256)</f>
        <v/>
      </c>
      <c r="M256" s="59"/>
      <c r="N256" s="91"/>
      <c r="Q256" s="119" t="str">
        <f t="shared" si="20"/>
        <v/>
      </c>
      <c r="R256" s="92" t="str">
        <f>IF('Prod 1'!D257="","",'Prod 1'!D257)</f>
        <v/>
      </c>
      <c r="S256" s="119" t="str">
        <f>IF('Prod 1'!E257="","",'Prod 1'!E257+'BH (2)'!C256)</f>
        <v/>
      </c>
      <c r="T256" s="59"/>
      <c r="U256" s="91"/>
    </row>
    <row r="257" spans="2:21" ht="24.95" customHeight="1" x14ac:dyDescent="0.25">
      <c r="B257" s="119" t="str">
        <f t="shared" si="18"/>
        <v/>
      </c>
      <c r="C257" s="2">
        <v>2.5399999999999998E-6</v>
      </c>
      <c r="D257" s="92" t="str">
        <f>IF(DespF!D260="","",DespF!D260)</f>
        <v/>
      </c>
      <c r="E257" s="90" t="str">
        <f>IF(DespF!E260="","",DespF!E260+'BH (2)'!C257)</f>
        <v/>
      </c>
      <c r="F257" s="59"/>
      <c r="G257" s="21"/>
      <c r="I257" s="106">
        <v>254</v>
      </c>
      <c r="J257" s="119" t="str">
        <f t="shared" si="19"/>
        <v/>
      </c>
      <c r="K257" s="92" t="str">
        <f>IF('Prod 1'!D258="","",'Prod 1'!D258)</f>
        <v/>
      </c>
      <c r="L257" s="119" t="str">
        <f>IF('Prod 1'!I258="","",'Prod 1'!I258+'BH (2)'!C257)</f>
        <v/>
      </c>
      <c r="M257" s="59"/>
      <c r="N257" s="91"/>
      <c r="Q257" s="119" t="str">
        <f t="shared" si="20"/>
        <v/>
      </c>
      <c r="R257" s="92" t="str">
        <f>IF('Prod 1'!D258="","",'Prod 1'!D258)</f>
        <v/>
      </c>
      <c r="S257" s="119" t="str">
        <f>IF('Prod 1'!E258="","",'Prod 1'!E258+'BH (2)'!C257)</f>
        <v/>
      </c>
      <c r="T257" s="59"/>
      <c r="U257" s="91"/>
    </row>
    <row r="258" spans="2:21" ht="24.95" customHeight="1" x14ac:dyDescent="0.25">
      <c r="B258" s="119" t="str">
        <f t="shared" si="18"/>
        <v/>
      </c>
      <c r="C258" s="2">
        <v>2.5500000000000001E-6</v>
      </c>
      <c r="D258" s="92" t="str">
        <f>IF(DespF!D261="","",DespF!D261)</f>
        <v/>
      </c>
      <c r="E258" s="90" t="str">
        <f>IF(DespF!E261="","",DespF!E261+'BH (2)'!C258)</f>
        <v/>
      </c>
      <c r="F258" s="59"/>
      <c r="G258" s="21"/>
      <c r="I258" s="106">
        <v>255</v>
      </c>
      <c r="J258" s="119" t="str">
        <f t="shared" si="19"/>
        <v/>
      </c>
      <c r="K258" s="92" t="str">
        <f>IF('Prod 1'!D259="","",'Prod 1'!D259)</f>
        <v/>
      </c>
      <c r="L258" s="119" t="str">
        <f>IF('Prod 1'!I259="","",'Prod 1'!I259+'BH (2)'!C258)</f>
        <v/>
      </c>
      <c r="M258" s="59"/>
      <c r="N258" s="91"/>
      <c r="Q258" s="119" t="str">
        <f t="shared" si="20"/>
        <v/>
      </c>
      <c r="R258" s="92" t="str">
        <f>IF('Prod 1'!D259="","",'Prod 1'!D259)</f>
        <v/>
      </c>
      <c r="S258" s="119" t="str">
        <f>IF('Prod 1'!E259="","",'Prod 1'!E259+'BH (2)'!C258)</f>
        <v/>
      </c>
      <c r="T258" s="59"/>
      <c r="U258" s="91"/>
    </row>
    <row r="259" spans="2:21" ht="24.95" customHeight="1" x14ac:dyDescent="0.25">
      <c r="B259" s="119" t="str">
        <f t="shared" si="18"/>
        <v/>
      </c>
      <c r="C259" s="2">
        <v>2.5600000000000001E-6</v>
      </c>
      <c r="D259" s="92" t="str">
        <f>IF(DespF!D262="","",DespF!D262)</f>
        <v/>
      </c>
      <c r="E259" s="90" t="str">
        <f>IF(DespF!E262="","",DespF!E262+'BH (2)'!C259)</f>
        <v/>
      </c>
      <c r="F259" s="59"/>
      <c r="G259" s="21"/>
      <c r="I259" s="106">
        <v>256</v>
      </c>
      <c r="J259" s="119" t="str">
        <f t="shared" si="19"/>
        <v/>
      </c>
      <c r="K259" s="92" t="str">
        <f>IF('Prod 1'!D260="","",'Prod 1'!D260)</f>
        <v/>
      </c>
      <c r="L259" s="119" t="str">
        <f>IF('Prod 1'!I260="","",'Prod 1'!I260+'BH (2)'!C259)</f>
        <v/>
      </c>
      <c r="M259" s="59"/>
      <c r="N259" s="91"/>
      <c r="Q259" s="119" t="str">
        <f t="shared" si="20"/>
        <v/>
      </c>
      <c r="R259" s="92" t="str">
        <f>IF('Prod 1'!D260="","",'Prod 1'!D260)</f>
        <v/>
      </c>
      <c r="S259" s="119" t="str">
        <f>IF('Prod 1'!E260="","",'Prod 1'!E260+'BH (2)'!C259)</f>
        <v/>
      </c>
      <c r="T259" s="59"/>
      <c r="U259" s="91"/>
    </row>
    <row r="260" spans="2:21" ht="24.95" customHeight="1" x14ac:dyDescent="0.25">
      <c r="B260" s="119" t="str">
        <f t="shared" si="18"/>
        <v/>
      </c>
      <c r="C260" s="2">
        <v>2.57E-6</v>
      </c>
      <c r="D260" s="92" t="str">
        <f>IF(DespF!D263="","",DespF!D263)</f>
        <v/>
      </c>
      <c r="E260" s="90" t="str">
        <f>IF(DespF!E263="","",DespF!E263+'BH (2)'!C260)</f>
        <v/>
      </c>
      <c r="F260" s="59"/>
      <c r="G260" s="21"/>
      <c r="I260" s="106">
        <v>257</v>
      </c>
      <c r="J260" s="119" t="str">
        <f t="shared" si="19"/>
        <v/>
      </c>
      <c r="K260" s="92" t="str">
        <f>IF('Prod 1'!D261="","",'Prod 1'!D261)</f>
        <v/>
      </c>
      <c r="L260" s="119" t="str">
        <f>IF('Prod 1'!I261="","",'Prod 1'!I261+'BH (2)'!C260)</f>
        <v/>
      </c>
      <c r="M260" s="59"/>
      <c r="N260" s="91"/>
      <c r="Q260" s="119" t="str">
        <f t="shared" si="20"/>
        <v/>
      </c>
      <c r="R260" s="92" t="str">
        <f>IF('Prod 1'!D261="","",'Prod 1'!D261)</f>
        <v/>
      </c>
      <c r="S260" s="119" t="str">
        <f>IF('Prod 1'!E261="","",'Prod 1'!E261+'BH (2)'!C260)</f>
        <v/>
      </c>
      <c r="T260" s="59"/>
      <c r="U260" s="91"/>
    </row>
    <row r="261" spans="2:21" ht="24.95" customHeight="1" x14ac:dyDescent="0.25">
      <c r="B261" s="119" t="str">
        <f t="shared" ref="B261:B324" si="21">E261</f>
        <v/>
      </c>
      <c r="C261" s="2">
        <v>2.5799999999999999E-6</v>
      </c>
      <c r="D261" s="92" t="str">
        <f>IF(DespF!D264="","",DespF!D264)</f>
        <v/>
      </c>
      <c r="E261" s="90" t="str">
        <f>IF(DespF!E264="","",DespF!E264+'BH (2)'!C261)</f>
        <v/>
      </c>
      <c r="F261" s="59"/>
      <c r="G261" s="21"/>
      <c r="I261" s="106">
        <v>258</v>
      </c>
      <c r="J261" s="119" t="str">
        <f t="shared" ref="J261:J324" si="22">L261</f>
        <v/>
      </c>
      <c r="K261" s="92" t="str">
        <f>IF('Prod 1'!D262="","",'Prod 1'!D262)</f>
        <v/>
      </c>
      <c r="L261" s="119" t="str">
        <f>IF('Prod 1'!I262="","",'Prod 1'!I262+'BH (2)'!C261)</f>
        <v/>
      </c>
      <c r="M261" s="59"/>
      <c r="N261" s="91"/>
      <c r="Q261" s="119" t="str">
        <f t="shared" ref="Q261:Q324" si="23">S261</f>
        <v/>
      </c>
      <c r="R261" s="92" t="str">
        <f>IF('Prod 1'!D262="","",'Prod 1'!D262)</f>
        <v/>
      </c>
      <c r="S261" s="119" t="str">
        <f>IF('Prod 1'!E262="","",'Prod 1'!E262+'BH (2)'!C261)</f>
        <v/>
      </c>
      <c r="T261" s="59"/>
      <c r="U261" s="91"/>
    </row>
    <row r="262" spans="2:21" ht="24.95" customHeight="1" x14ac:dyDescent="0.25">
      <c r="B262" s="119" t="str">
        <f t="shared" si="21"/>
        <v/>
      </c>
      <c r="C262" s="2">
        <v>2.5900000000000002E-6</v>
      </c>
      <c r="D262" s="92" t="str">
        <f>IF(DespF!D265="","",DespF!D265)</f>
        <v/>
      </c>
      <c r="E262" s="90" t="str">
        <f>IF(DespF!E265="","",DespF!E265+'BH (2)'!C262)</f>
        <v/>
      </c>
      <c r="F262" s="59"/>
      <c r="G262" s="21"/>
      <c r="I262" s="106">
        <v>259</v>
      </c>
      <c r="J262" s="119" t="str">
        <f t="shared" si="22"/>
        <v/>
      </c>
      <c r="K262" s="92" t="str">
        <f>IF('Prod 1'!D263="","",'Prod 1'!D263)</f>
        <v/>
      </c>
      <c r="L262" s="119" t="str">
        <f>IF('Prod 1'!I263="","",'Prod 1'!I263+'BH (2)'!C262)</f>
        <v/>
      </c>
      <c r="M262" s="59"/>
      <c r="N262" s="91"/>
      <c r="Q262" s="119" t="str">
        <f t="shared" si="23"/>
        <v/>
      </c>
      <c r="R262" s="92" t="str">
        <f>IF('Prod 1'!D263="","",'Prod 1'!D263)</f>
        <v/>
      </c>
      <c r="S262" s="119" t="str">
        <f>IF('Prod 1'!E263="","",'Prod 1'!E263+'BH (2)'!C262)</f>
        <v/>
      </c>
      <c r="T262" s="59"/>
      <c r="U262" s="91"/>
    </row>
    <row r="263" spans="2:21" ht="24.95" customHeight="1" x14ac:dyDescent="0.25">
      <c r="B263" s="119" t="str">
        <f t="shared" si="21"/>
        <v/>
      </c>
      <c r="C263" s="2">
        <v>2.6000000000000001E-6</v>
      </c>
      <c r="D263" s="92" t="str">
        <f>IF(DespF!D266="","",DespF!D266)</f>
        <v/>
      </c>
      <c r="E263" s="90" t="str">
        <f>IF(DespF!E266="","",DespF!E266+'BH (2)'!C263)</f>
        <v/>
      </c>
      <c r="F263" s="59"/>
      <c r="G263" s="21"/>
      <c r="I263" s="106">
        <v>260</v>
      </c>
      <c r="J263" s="119" t="str">
        <f t="shared" si="22"/>
        <v/>
      </c>
      <c r="K263" s="92" t="str">
        <f>IF('Prod 1'!D264="","",'Prod 1'!D264)</f>
        <v/>
      </c>
      <c r="L263" s="119" t="str">
        <f>IF('Prod 1'!I264="","",'Prod 1'!I264+'BH (2)'!C263)</f>
        <v/>
      </c>
      <c r="M263" s="59"/>
      <c r="N263" s="91"/>
      <c r="Q263" s="119" t="str">
        <f t="shared" si="23"/>
        <v/>
      </c>
      <c r="R263" s="92" t="str">
        <f>IF('Prod 1'!D264="","",'Prod 1'!D264)</f>
        <v/>
      </c>
      <c r="S263" s="119" t="str">
        <f>IF('Prod 1'!E264="","",'Prod 1'!E264+'BH (2)'!C263)</f>
        <v/>
      </c>
      <c r="T263" s="59"/>
      <c r="U263" s="91"/>
    </row>
    <row r="264" spans="2:21" ht="24.95" customHeight="1" x14ac:dyDescent="0.25">
      <c r="B264" s="119" t="str">
        <f t="shared" si="21"/>
        <v/>
      </c>
      <c r="C264" s="2">
        <v>2.61E-6</v>
      </c>
      <c r="D264" s="92" t="str">
        <f>IF(DespF!D267="","",DespF!D267)</f>
        <v/>
      </c>
      <c r="E264" s="90" t="str">
        <f>IF(DespF!E267="","",DespF!E267+'BH (2)'!C264)</f>
        <v/>
      </c>
      <c r="F264" s="59"/>
      <c r="G264" s="21"/>
      <c r="I264" s="106">
        <v>261</v>
      </c>
      <c r="J264" s="119" t="str">
        <f t="shared" si="22"/>
        <v/>
      </c>
      <c r="K264" s="92" t="str">
        <f>IF('Prod 1'!D265="","",'Prod 1'!D265)</f>
        <v/>
      </c>
      <c r="L264" s="119" t="str">
        <f>IF('Prod 1'!I265="","",'Prod 1'!I265+'BH (2)'!C264)</f>
        <v/>
      </c>
      <c r="M264" s="59"/>
      <c r="N264" s="91"/>
      <c r="Q264" s="119" t="str">
        <f t="shared" si="23"/>
        <v/>
      </c>
      <c r="R264" s="92" t="str">
        <f>IF('Prod 1'!D265="","",'Prod 1'!D265)</f>
        <v/>
      </c>
      <c r="S264" s="119" t="str">
        <f>IF('Prod 1'!E265="","",'Prod 1'!E265+'BH (2)'!C264)</f>
        <v/>
      </c>
      <c r="T264" s="59"/>
      <c r="U264" s="91"/>
    </row>
    <row r="265" spans="2:21" ht="24.95" customHeight="1" x14ac:dyDescent="0.25">
      <c r="B265" s="119" t="str">
        <f t="shared" si="21"/>
        <v/>
      </c>
      <c r="C265" s="2">
        <v>2.6199999999999999E-6</v>
      </c>
      <c r="D265" s="92" t="str">
        <f>IF(DespF!D268="","",DespF!D268)</f>
        <v/>
      </c>
      <c r="E265" s="90" t="str">
        <f>IF(DespF!E268="","",DespF!E268+'BH (2)'!C265)</f>
        <v/>
      </c>
      <c r="F265" s="59"/>
      <c r="G265" s="21"/>
      <c r="I265" s="106">
        <v>262</v>
      </c>
      <c r="J265" s="119" t="str">
        <f t="shared" si="22"/>
        <v/>
      </c>
      <c r="K265" s="92" t="str">
        <f>IF('Prod 1'!D266="","",'Prod 1'!D266)</f>
        <v/>
      </c>
      <c r="L265" s="119" t="str">
        <f>IF('Prod 1'!I266="","",'Prod 1'!I266+'BH (2)'!C265)</f>
        <v/>
      </c>
      <c r="M265" s="59"/>
      <c r="N265" s="91"/>
      <c r="Q265" s="119" t="str">
        <f t="shared" si="23"/>
        <v/>
      </c>
      <c r="R265" s="92" t="str">
        <f>IF('Prod 1'!D266="","",'Prod 1'!D266)</f>
        <v/>
      </c>
      <c r="S265" s="119" t="str">
        <f>IF('Prod 1'!E266="","",'Prod 1'!E266+'BH (2)'!C265)</f>
        <v/>
      </c>
      <c r="T265" s="59"/>
      <c r="U265" s="91"/>
    </row>
    <row r="266" spans="2:21" ht="24.95" customHeight="1" x14ac:dyDescent="0.25">
      <c r="B266" s="119" t="str">
        <f t="shared" si="21"/>
        <v/>
      </c>
      <c r="C266" s="2">
        <v>2.6299999999999998E-6</v>
      </c>
      <c r="D266" s="92" t="str">
        <f>IF(DespF!D269="","",DespF!D269)</f>
        <v/>
      </c>
      <c r="E266" s="90" t="str">
        <f>IF(DespF!E269="","",DespF!E269+'BH (2)'!C266)</f>
        <v/>
      </c>
      <c r="F266" s="59"/>
      <c r="G266" s="21"/>
      <c r="I266" s="106">
        <v>263</v>
      </c>
      <c r="J266" s="119" t="str">
        <f t="shared" si="22"/>
        <v/>
      </c>
      <c r="K266" s="92" t="str">
        <f>IF('Prod 1'!D267="","",'Prod 1'!D267)</f>
        <v/>
      </c>
      <c r="L266" s="119" t="str">
        <f>IF('Prod 1'!I267="","",'Prod 1'!I267+'BH (2)'!C266)</f>
        <v/>
      </c>
      <c r="M266" s="59"/>
      <c r="N266" s="91"/>
      <c r="Q266" s="119" t="str">
        <f t="shared" si="23"/>
        <v/>
      </c>
      <c r="R266" s="92" t="str">
        <f>IF('Prod 1'!D267="","",'Prod 1'!D267)</f>
        <v/>
      </c>
      <c r="S266" s="119" t="str">
        <f>IF('Prod 1'!E267="","",'Prod 1'!E267+'BH (2)'!C266)</f>
        <v/>
      </c>
      <c r="T266" s="59"/>
      <c r="U266" s="91"/>
    </row>
    <row r="267" spans="2:21" ht="24.95" customHeight="1" x14ac:dyDescent="0.25">
      <c r="B267" s="119" t="str">
        <f t="shared" si="21"/>
        <v/>
      </c>
      <c r="C267" s="2">
        <v>2.6400000000000001E-6</v>
      </c>
      <c r="D267" s="92" t="str">
        <f>IF(DespF!D270="","",DespF!D270)</f>
        <v/>
      </c>
      <c r="E267" s="90" t="str">
        <f>IF(DespF!E270="","",DespF!E270+'BH (2)'!C267)</f>
        <v/>
      </c>
      <c r="F267" s="59"/>
      <c r="G267" s="21"/>
      <c r="I267" s="106">
        <v>264</v>
      </c>
      <c r="J267" s="119" t="str">
        <f t="shared" si="22"/>
        <v/>
      </c>
      <c r="K267" s="92" t="str">
        <f>IF('Prod 1'!D268="","",'Prod 1'!D268)</f>
        <v/>
      </c>
      <c r="L267" s="119" t="str">
        <f>IF('Prod 1'!I268="","",'Prod 1'!I268+'BH (2)'!C267)</f>
        <v/>
      </c>
      <c r="M267" s="59"/>
      <c r="N267" s="91"/>
      <c r="Q267" s="119" t="str">
        <f t="shared" si="23"/>
        <v/>
      </c>
      <c r="R267" s="92" t="str">
        <f>IF('Prod 1'!D268="","",'Prod 1'!D268)</f>
        <v/>
      </c>
      <c r="S267" s="119" t="str">
        <f>IF('Prod 1'!E268="","",'Prod 1'!E268+'BH (2)'!C267)</f>
        <v/>
      </c>
      <c r="T267" s="59"/>
      <c r="U267" s="91"/>
    </row>
    <row r="268" spans="2:21" ht="24.95" customHeight="1" x14ac:dyDescent="0.25">
      <c r="B268" s="119" t="str">
        <f t="shared" si="21"/>
        <v/>
      </c>
      <c r="C268" s="2">
        <v>2.65E-6</v>
      </c>
      <c r="D268" s="92" t="str">
        <f>IF(DespF!D271="","",DespF!D271)</f>
        <v/>
      </c>
      <c r="E268" s="90" t="str">
        <f>IF(DespF!E271="","",DespF!E271+'BH (2)'!C268)</f>
        <v/>
      </c>
      <c r="F268" s="59"/>
      <c r="G268" s="21"/>
      <c r="I268" s="106">
        <v>265</v>
      </c>
      <c r="J268" s="119" t="str">
        <f t="shared" si="22"/>
        <v/>
      </c>
      <c r="K268" s="92" t="str">
        <f>IF('Prod 1'!D269="","",'Prod 1'!D269)</f>
        <v/>
      </c>
      <c r="L268" s="119" t="str">
        <f>IF('Prod 1'!I269="","",'Prod 1'!I269+'BH (2)'!C268)</f>
        <v/>
      </c>
      <c r="M268" s="59"/>
      <c r="N268" s="91"/>
      <c r="Q268" s="119" t="str">
        <f t="shared" si="23"/>
        <v/>
      </c>
      <c r="R268" s="92" t="str">
        <f>IF('Prod 1'!D269="","",'Prod 1'!D269)</f>
        <v/>
      </c>
      <c r="S268" s="119" t="str">
        <f>IF('Prod 1'!E269="","",'Prod 1'!E269+'BH (2)'!C268)</f>
        <v/>
      </c>
      <c r="T268" s="59"/>
      <c r="U268" s="91"/>
    </row>
    <row r="269" spans="2:21" ht="24.95" customHeight="1" x14ac:dyDescent="0.25">
      <c r="B269" s="119" t="str">
        <f t="shared" si="21"/>
        <v/>
      </c>
      <c r="C269" s="2">
        <v>2.6599999999999999E-6</v>
      </c>
      <c r="D269" s="92" t="str">
        <f>IF(DespF!D272="","",DespF!D272)</f>
        <v/>
      </c>
      <c r="E269" s="90" t="str">
        <f>IF(DespF!E272="","",DespF!E272+'BH (2)'!C269)</f>
        <v/>
      </c>
      <c r="F269" s="59"/>
      <c r="G269" s="21"/>
      <c r="I269" s="106">
        <v>266</v>
      </c>
      <c r="J269" s="119" t="str">
        <f t="shared" si="22"/>
        <v/>
      </c>
      <c r="K269" s="92" t="str">
        <f>IF('Prod 1'!D270="","",'Prod 1'!D270)</f>
        <v/>
      </c>
      <c r="L269" s="119" t="str">
        <f>IF('Prod 1'!I270="","",'Prod 1'!I270+'BH (2)'!C269)</f>
        <v/>
      </c>
      <c r="M269" s="59"/>
      <c r="N269" s="91"/>
      <c r="Q269" s="119" t="str">
        <f t="shared" si="23"/>
        <v/>
      </c>
      <c r="R269" s="92" t="str">
        <f>IF('Prod 1'!D270="","",'Prod 1'!D270)</f>
        <v/>
      </c>
      <c r="S269" s="119" t="str">
        <f>IF('Prod 1'!E270="","",'Prod 1'!E270+'BH (2)'!C269)</f>
        <v/>
      </c>
      <c r="T269" s="59"/>
      <c r="U269" s="91"/>
    </row>
    <row r="270" spans="2:21" ht="24.95" customHeight="1" x14ac:dyDescent="0.25">
      <c r="B270" s="119" t="str">
        <f t="shared" si="21"/>
        <v/>
      </c>
      <c r="C270" s="2">
        <v>2.6699999999999998E-6</v>
      </c>
      <c r="D270" s="92" t="str">
        <f>IF(DespF!D273="","",DespF!D273)</f>
        <v/>
      </c>
      <c r="E270" s="90" t="str">
        <f>IF(DespF!E273="","",DespF!E273+'BH (2)'!C270)</f>
        <v/>
      </c>
      <c r="F270" s="59"/>
      <c r="G270" s="21"/>
      <c r="I270" s="106">
        <v>267</v>
      </c>
      <c r="J270" s="119" t="str">
        <f t="shared" si="22"/>
        <v/>
      </c>
      <c r="K270" s="92" t="str">
        <f>IF('Prod 1'!D271="","",'Prod 1'!D271)</f>
        <v/>
      </c>
      <c r="L270" s="119" t="str">
        <f>IF('Prod 1'!I271="","",'Prod 1'!I271+'BH (2)'!C270)</f>
        <v/>
      </c>
      <c r="M270" s="59"/>
      <c r="N270" s="91"/>
      <c r="Q270" s="119" t="str">
        <f t="shared" si="23"/>
        <v/>
      </c>
      <c r="R270" s="92" t="str">
        <f>IF('Prod 1'!D271="","",'Prod 1'!D271)</f>
        <v/>
      </c>
      <c r="S270" s="119" t="str">
        <f>IF('Prod 1'!E271="","",'Prod 1'!E271+'BH (2)'!C270)</f>
        <v/>
      </c>
      <c r="T270" s="59"/>
      <c r="U270" s="91"/>
    </row>
    <row r="271" spans="2:21" ht="24.95" customHeight="1" x14ac:dyDescent="0.25">
      <c r="B271" s="119" t="str">
        <f t="shared" si="21"/>
        <v/>
      </c>
      <c r="C271" s="2">
        <v>2.6800000000000002E-6</v>
      </c>
      <c r="D271" s="92" t="str">
        <f>IF(DespF!D274="","",DespF!D274)</f>
        <v/>
      </c>
      <c r="E271" s="90" t="str">
        <f>IF(DespF!E274="","",DespF!E274+'BH (2)'!C271)</f>
        <v/>
      </c>
      <c r="F271" s="59"/>
      <c r="G271" s="21"/>
      <c r="I271" s="106">
        <v>268</v>
      </c>
      <c r="J271" s="119" t="str">
        <f t="shared" si="22"/>
        <v/>
      </c>
      <c r="K271" s="92" t="str">
        <f>IF('Prod 1'!D272="","",'Prod 1'!D272)</f>
        <v/>
      </c>
      <c r="L271" s="119" t="str">
        <f>IF('Prod 1'!I272="","",'Prod 1'!I272+'BH (2)'!C271)</f>
        <v/>
      </c>
      <c r="M271" s="59"/>
      <c r="N271" s="91"/>
      <c r="Q271" s="119" t="str">
        <f t="shared" si="23"/>
        <v/>
      </c>
      <c r="R271" s="92" t="str">
        <f>IF('Prod 1'!D272="","",'Prod 1'!D272)</f>
        <v/>
      </c>
      <c r="S271" s="119" t="str">
        <f>IF('Prod 1'!E272="","",'Prod 1'!E272+'BH (2)'!C271)</f>
        <v/>
      </c>
      <c r="T271" s="59"/>
      <c r="U271" s="91"/>
    </row>
    <row r="272" spans="2:21" ht="24.95" customHeight="1" x14ac:dyDescent="0.25">
      <c r="B272" s="119" t="str">
        <f t="shared" si="21"/>
        <v/>
      </c>
      <c r="C272" s="2">
        <v>2.6900000000000001E-6</v>
      </c>
      <c r="D272" s="92" t="str">
        <f>IF(DespF!D275="","",DespF!D275)</f>
        <v/>
      </c>
      <c r="E272" s="90" t="str">
        <f>IF(DespF!E275="","",DespF!E275+'BH (2)'!C272)</f>
        <v/>
      </c>
      <c r="F272" s="59"/>
      <c r="G272" s="21"/>
      <c r="I272" s="106">
        <v>269</v>
      </c>
      <c r="J272" s="119" t="str">
        <f t="shared" si="22"/>
        <v/>
      </c>
      <c r="K272" s="92" t="str">
        <f>IF('Prod 1'!D273="","",'Prod 1'!D273)</f>
        <v/>
      </c>
      <c r="L272" s="119" t="str">
        <f>IF('Prod 1'!I273="","",'Prod 1'!I273+'BH (2)'!C272)</f>
        <v/>
      </c>
      <c r="M272" s="59"/>
      <c r="N272" s="91"/>
      <c r="Q272" s="119" t="str">
        <f t="shared" si="23"/>
        <v/>
      </c>
      <c r="R272" s="92" t="str">
        <f>IF('Prod 1'!D273="","",'Prod 1'!D273)</f>
        <v/>
      </c>
      <c r="S272" s="119" t="str">
        <f>IF('Prod 1'!E273="","",'Prod 1'!E273+'BH (2)'!C272)</f>
        <v/>
      </c>
      <c r="T272" s="59"/>
      <c r="U272" s="91"/>
    </row>
    <row r="273" spans="2:21" ht="24.95" customHeight="1" x14ac:dyDescent="0.25">
      <c r="B273" s="119" t="str">
        <f t="shared" si="21"/>
        <v/>
      </c>
      <c r="C273" s="2">
        <v>2.7E-6</v>
      </c>
      <c r="D273" s="92" t="str">
        <f>IF(DespF!D276="","",DespF!D276)</f>
        <v/>
      </c>
      <c r="E273" s="90" t="str">
        <f>IF(DespF!E276="","",DespF!E276+'BH (2)'!C273)</f>
        <v/>
      </c>
      <c r="F273" s="59"/>
      <c r="G273" s="21"/>
      <c r="I273" s="106">
        <v>270</v>
      </c>
      <c r="J273" s="119" t="str">
        <f t="shared" si="22"/>
        <v/>
      </c>
      <c r="K273" s="92" t="str">
        <f>IF('Prod 1'!D274="","",'Prod 1'!D274)</f>
        <v/>
      </c>
      <c r="L273" s="119" t="str">
        <f>IF('Prod 1'!I274="","",'Prod 1'!I274+'BH (2)'!C273)</f>
        <v/>
      </c>
      <c r="M273" s="59"/>
      <c r="N273" s="91"/>
      <c r="Q273" s="119" t="str">
        <f t="shared" si="23"/>
        <v/>
      </c>
      <c r="R273" s="92" t="str">
        <f>IF('Prod 1'!D274="","",'Prod 1'!D274)</f>
        <v/>
      </c>
      <c r="S273" s="119" t="str">
        <f>IF('Prod 1'!E274="","",'Prod 1'!E274+'BH (2)'!C273)</f>
        <v/>
      </c>
      <c r="T273" s="59"/>
      <c r="U273" s="91"/>
    </row>
    <row r="274" spans="2:21" ht="24.95" customHeight="1" x14ac:dyDescent="0.25">
      <c r="B274" s="119" t="str">
        <f t="shared" si="21"/>
        <v/>
      </c>
      <c r="C274" s="2">
        <v>2.7099999999999999E-6</v>
      </c>
      <c r="D274" s="92" t="str">
        <f>IF(DespF!D277="","",DespF!D277)</f>
        <v/>
      </c>
      <c r="E274" s="90" t="str">
        <f>IF(DespF!E277="","",DespF!E277+'BH (2)'!C274)</f>
        <v/>
      </c>
      <c r="F274" s="59"/>
      <c r="G274" s="21"/>
      <c r="I274" s="106">
        <v>271</v>
      </c>
      <c r="J274" s="119" t="str">
        <f t="shared" si="22"/>
        <v/>
      </c>
      <c r="K274" s="92" t="str">
        <f>IF('Prod 1'!D275="","",'Prod 1'!D275)</f>
        <v/>
      </c>
      <c r="L274" s="119" t="str">
        <f>IF('Prod 1'!I275="","",'Prod 1'!I275+'BH (2)'!C274)</f>
        <v/>
      </c>
      <c r="M274" s="59"/>
      <c r="N274" s="91"/>
      <c r="Q274" s="119" t="str">
        <f t="shared" si="23"/>
        <v/>
      </c>
      <c r="R274" s="92" t="str">
        <f>IF('Prod 1'!D275="","",'Prod 1'!D275)</f>
        <v/>
      </c>
      <c r="S274" s="119" t="str">
        <f>IF('Prod 1'!E275="","",'Prod 1'!E275+'BH (2)'!C274)</f>
        <v/>
      </c>
      <c r="T274" s="59"/>
      <c r="U274" s="91"/>
    </row>
    <row r="275" spans="2:21" ht="24.95" customHeight="1" x14ac:dyDescent="0.25">
      <c r="B275" s="119" t="str">
        <f t="shared" si="21"/>
        <v/>
      </c>
      <c r="C275" s="2">
        <v>2.7199999999999998E-6</v>
      </c>
      <c r="D275" s="92" t="str">
        <f>IF(DespF!D278="","",DespF!D278)</f>
        <v/>
      </c>
      <c r="E275" s="90" t="str">
        <f>IF(DespF!E278="","",DespF!E278+'BH (2)'!C275)</f>
        <v/>
      </c>
      <c r="F275" s="59"/>
      <c r="G275" s="21"/>
      <c r="I275" s="106">
        <v>272</v>
      </c>
      <c r="J275" s="119" t="str">
        <f t="shared" si="22"/>
        <v/>
      </c>
      <c r="K275" s="92" t="str">
        <f>IF('Prod 1'!D276="","",'Prod 1'!D276)</f>
        <v/>
      </c>
      <c r="L275" s="119" t="str">
        <f>IF('Prod 1'!I276="","",'Prod 1'!I276+'BH (2)'!C275)</f>
        <v/>
      </c>
      <c r="M275" s="59"/>
      <c r="N275" s="91"/>
      <c r="Q275" s="119" t="str">
        <f t="shared" si="23"/>
        <v/>
      </c>
      <c r="R275" s="92" t="str">
        <f>IF('Prod 1'!D276="","",'Prod 1'!D276)</f>
        <v/>
      </c>
      <c r="S275" s="119" t="str">
        <f>IF('Prod 1'!E276="","",'Prod 1'!E276+'BH (2)'!C275)</f>
        <v/>
      </c>
      <c r="T275" s="59"/>
      <c r="U275" s="91"/>
    </row>
    <row r="276" spans="2:21" ht="24.95" customHeight="1" x14ac:dyDescent="0.25">
      <c r="B276" s="119" t="str">
        <f t="shared" si="21"/>
        <v/>
      </c>
      <c r="C276" s="2">
        <v>2.7300000000000001E-6</v>
      </c>
      <c r="D276" s="92" t="str">
        <f>IF(DespF!D279="","",DespF!D279)</f>
        <v/>
      </c>
      <c r="E276" s="90" t="str">
        <f>IF(DespF!E279="","",DespF!E279+'BH (2)'!C276)</f>
        <v/>
      </c>
      <c r="F276" s="59"/>
      <c r="G276" s="21"/>
      <c r="I276" s="106">
        <v>273</v>
      </c>
      <c r="J276" s="119" t="str">
        <f t="shared" si="22"/>
        <v/>
      </c>
      <c r="K276" s="92" t="str">
        <f>IF('Prod 1'!D277="","",'Prod 1'!D277)</f>
        <v/>
      </c>
      <c r="L276" s="119" t="str">
        <f>IF('Prod 1'!I277="","",'Prod 1'!I277+'BH (2)'!C276)</f>
        <v/>
      </c>
      <c r="M276" s="59"/>
      <c r="N276" s="91"/>
      <c r="Q276" s="119" t="str">
        <f t="shared" si="23"/>
        <v/>
      </c>
      <c r="R276" s="92" t="str">
        <f>IF('Prod 1'!D277="","",'Prod 1'!D277)</f>
        <v/>
      </c>
      <c r="S276" s="119" t="str">
        <f>IF('Prod 1'!E277="","",'Prod 1'!E277+'BH (2)'!C276)</f>
        <v/>
      </c>
      <c r="T276" s="59"/>
      <c r="U276" s="91"/>
    </row>
    <row r="277" spans="2:21" ht="24.95" customHeight="1" x14ac:dyDescent="0.25">
      <c r="B277" s="119" t="str">
        <f t="shared" si="21"/>
        <v/>
      </c>
      <c r="C277" s="2">
        <v>2.74E-6</v>
      </c>
      <c r="D277" s="92" t="str">
        <f>IF(DespF!D280="","",DespF!D280)</f>
        <v/>
      </c>
      <c r="E277" s="90" t="str">
        <f>IF(DespF!E280="","",DespF!E280+'BH (2)'!C277)</f>
        <v/>
      </c>
      <c r="F277" s="59"/>
      <c r="G277" s="21"/>
      <c r="I277" s="106">
        <v>274</v>
      </c>
      <c r="J277" s="119" t="str">
        <f t="shared" si="22"/>
        <v/>
      </c>
      <c r="K277" s="92" t="str">
        <f>IF('Prod 1'!D278="","",'Prod 1'!D278)</f>
        <v/>
      </c>
      <c r="L277" s="119" t="str">
        <f>IF('Prod 1'!I278="","",'Prod 1'!I278+'BH (2)'!C277)</f>
        <v/>
      </c>
      <c r="M277" s="59"/>
      <c r="N277" s="91"/>
      <c r="Q277" s="119" t="str">
        <f t="shared" si="23"/>
        <v/>
      </c>
      <c r="R277" s="92" t="str">
        <f>IF('Prod 1'!D278="","",'Prod 1'!D278)</f>
        <v/>
      </c>
      <c r="S277" s="119" t="str">
        <f>IF('Prod 1'!E278="","",'Prod 1'!E278+'BH (2)'!C277)</f>
        <v/>
      </c>
      <c r="T277" s="59"/>
      <c r="U277" s="91"/>
    </row>
    <row r="278" spans="2:21" ht="24.95" customHeight="1" x14ac:dyDescent="0.25">
      <c r="B278" s="119" t="str">
        <f t="shared" si="21"/>
        <v/>
      </c>
      <c r="C278" s="2">
        <v>2.7499999999999999E-6</v>
      </c>
      <c r="D278" s="92" t="str">
        <f>IF(DespF!D281="","",DespF!D281)</f>
        <v/>
      </c>
      <c r="E278" s="90" t="str">
        <f>IF(DespF!E281="","",DespF!E281+'BH (2)'!C278)</f>
        <v/>
      </c>
      <c r="F278" s="59"/>
      <c r="G278" s="21"/>
      <c r="I278" s="106">
        <v>275</v>
      </c>
      <c r="J278" s="119" t="str">
        <f t="shared" si="22"/>
        <v/>
      </c>
      <c r="K278" s="92" t="str">
        <f>IF('Prod 1'!D279="","",'Prod 1'!D279)</f>
        <v/>
      </c>
      <c r="L278" s="119" t="str">
        <f>IF('Prod 1'!I279="","",'Prod 1'!I279+'BH (2)'!C278)</f>
        <v/>
      </c>
      <c r="M278" s="59"/>
      <c r="N278" s="91"/>
      <c r="Q278" s="119" t="str">
        <f t="shared" si="23"/>
        <v/>
      </c>
      <c r="R278" s="92" t="str">
        <f>IF('Prod 1'!D279="","",'Prod 1'!D279)</f>
        <v/>
      </c>
      <c r="S278" s="119" t="str">
        <f>IF('Prod 1'!E279="","",'Prod 1'!E279+'BH (2)'!C278)</f>
        <v/>
      </c>
      <c r="T278" s="59"/>
      <c r="U278" s="91"/>
    </row>
    <row r="279" spans="2:21" ht="24.95" customHeight="1" x14ac:dyDescent="0.25">
      <c r="B279" s="119" t="str">
        <f t="shared" si="21"/>
        <v/>
      </c>
      <c r="C279" s="2">
        <v>2.7599999999999998E-6</v>
      </c>
      <c r="D279" s="92" t="str">
        <f>IF(DespF!D282="","",DespF!D282)</f>
        <v/>
      </c>
      <c r="E279" s="90" t="str">
        <f>IF(DespF!E282="","",DespF!E282+'BH (2)'!C279)</f>
        <v/>
      </c>
      <c r="F279" s="59"/>
      <c r="G279" s="21"/>
      <c r="I279" s="106">
        <v>276</v>
      </c>
      <c r="J279" s="119" t="str">
        <f t="shared" si="22"/>
        <v/>
      </c>
      <c r="K279" s="92" t="str">
        <f>IF('Prod 1'!D280="","",'Prod 1'!D280)</f>
        <v/>
      </c>
      <c r="L279" s="119" t="str">
        <f>IF('Prod 1'!I280="","",'Prod 1'!I280+'BH (2)'!C279)</f>
        <v/>
      </c>
      <c r="M279" s="59"/>
      <c r="N279" s="91"/>
      <c r="Q279" s="119" t="str">
        <f t="shared" si="23"/>
        <v/>
      </c>
      <c r="R279" s="92" t="str">
        <f>IF('Prod 1'!D280="","",'Prod 1'!D280)</f>
        <v/>
      </c>
      <c r="S279" s="119" t="str">
        <f>IF('Prod 1'!E280="","",'Prod 1'!E280+'BH (2)'!C279)</f>
        <v/>
      </c>
      <c r="T279" s="59"/>
      <c r="U279" s="91"/>
    </row>
    <row r="280" spans="2:21" ht="24.95" customHeight="1" x14ac:dyDescent="0.25">
      <c r="B280" s="119" t="str">
        <f t="shared" si="21"/>
        <v/>
      </c>
      <c r="C280" s="2">
        <v>2.7700000000000002E-6</v>
      </c>
      <c r="D280" s="92" t="str">
        <f>IF(DespF!D283="","",DespF!D283)</f>
        <v/>
      </c>
      <c r="E280" s="90" t="str">
        <f>IF(DespF!E283="","",DespF!E283+'BH (2)'!C280)</f>
        <v/>
      </c>
      <c r="F280" s="59"/>
      <c r="G280" s="21"/>
      <c r="I280" s="106">
        <v>277</v>
      </c>
      <c r="J280" s="119" t="str">
        <f t="shared" si="22"/>
        <v/>
      </c>
      <c r="K280" s="92" t="str">
        <f>IF('Prod 1'!D281="","",'Prod 1'!D281)</f>
        <v/>
      </c>
      <c r="L280" s="119" t="str">
        <f>IF('Prod 1'!I281="","",'Prod 1'!I281+'BH (2)'!C280)</f>
        <v/>
      </c>
      <c r="M280" s="59"/>
      <c r="N280" s="91"/>
      <c r="Q280" s="119" t="str">
        <f t="shared" si="23"/>
        <v/>
      </c>
      <c r="R280" s="92" t="str">
        <f>IF('Prod 1'!D281="","",'Prod 1'!D281)</f>
        <v/>
      </c>
      <c r="S280" s="119" t="str">
        <f>IF('Prod 1'!E281="","",'Prod 1'!E281+'BH (2)'!C280)</f>
        <v/>
      </c>
      <c r="T280" s="59"/>
      <c r="U280" s="91"/>
    </row>
    <row r="281" spans="2:21" ht="24.95" customHeight="1" x14ac:dyDescent="0.25">
      <c r="B281" s="119" t="str">
        <f t="shared" si="21"/>
        <v/>
      </c>
      <c r="C281" s="2">
        <v>2.7800000000000001E-6</v>
      </c>
      <c r="D281" s="92" t="str">
        <f>IF(DespF!D284="","",DespF!D284)</f>
        <v/>
      </c>
      <c r="E281" s="90" t="str">
        <f>IF(DespF!E284="","",DespF!E284+'BH (2)'!C281)</f>
        <v/>
      </c>
      <c r="F281" s="59"/>
      <c r="G281" s="21"/>
      <c r="I281" s="106">
        <v>278</v>
      </c>
      <c r="J281" s="119" t="str">
        <f t="shared" si="22"/>
        <v/>
      </c>
      <c r="K281" s="92" t="str">
        <f>IF('Prod 1'!D282="","",'Prod 1'!D282)</f>
        <v/>
      </c>
      <c r="L281" s="119" t="str">
        <f>IF('Prod 1'!I282="","",'Prod 1'!I282+'BH (2)'!C281)</f>
        <v/>
      </c>
      <c r="M281" s="59"/>
      <c r="N281" s="91"/>
      <c r="Q281" s="119" t="str">
        <f t="shared" si="23"/>
        <v/>
      </c>
      <c r="R281" s="92" t="str">
        <f>IF('Prod 1'!D282="","",'Prod 1'!D282)</f>
        <v/>
      </c>
      <c r="S281" s="119" t="str">
        <f>IF('Prod 1'!E282="","",'Prod 1'!E282+'BH (2)'!C281)</f>
        <v/>
      </c>
      <c r="T281" s="59"/>
      <c r="U281" s="91"/>
    </row>
    <row r="282" spans="2:21" ht="24.95" customHeight="1" x14ac:dyDescent="0.25">
      <c r="B282" s="119" t="str">
        <f t="shared" si="21"/>
        <v/>
      </c>
      <c r="C282" s="2">
        <v>2.79E-6</v>
      </c>
      <c r="D282" s="92" t="str">
        <f>IF(DespF!D285="","",DespF!D285)</f>
        <v/>
      </c>
      <c r="E282" s="90" t="str">
        <f>IF(DespF!E285="","",DespF!E285+'BH (2)'!C282)</f>
        <v/>
      </c>
      <c r="F282" s="59"/>
      <c r="G282" s="21"/>
      <c r="I282" s="106">
        <v>279</v>
      </c>
      <c r="J282" s="119" t="str">
        <f t="shared" si="22"/>
        <v/>
      </c>
      <c r="K282" s="92" t="str">
        <f>IF('Prod 1'!D283="","",'Prod 1'!D283)</f>
        <v/>
      </c>
      <c r="L282" s="119" t="str">
        <f>IF('Prod 1'!I283="","",'Prod 1'!I283+'BH (2)'!C282)</f>
        <v/>
      </c>
      <c r="M282" s="59"/>
      <c r="N282" s="91"/>
      <c r="Q282" s="119" t="str">
        <f t="shared" si="23"/>
        <v/>
      </c>
      <c r="R282" s="92" t="str">
        <f>IF('Prod 1'!D283="","",'Prod 1'!D283)</f>
        <v/>
      </c>
      <c r="S282" s="119" t="str">
        <f>IF('Prod 1'!E283="","",'Prod 1'!E283+'BH (2)'!C282)</f>
        <v/>
      </c>
      <c r="T282" s="59"/>
      <c r="U282" s="91"/>
    </row>
    <row r="283" spans="2:21" ht="24.95" customHeight="1" x14ac:dyDescent="0.25">
      <c r="B283" s="119" t="str">
        <f t="shared" si="21"/>
        <v/>
      </c>
      <c r="C283" s="2">
        <v>2.7999999999999999E-6</v>
      </c>
      <c r="D283" s="92" t="str">
        <f>IF(DespF!D286="","",DespF!D286)</f>
        <v/>
      </c>
      <c r="E283" s="90" t="str">
        <f>IF(DespF!E286="","",DespF!E286+'BH (2)'!C283)</f>
        <v/>
      </c>
      <c r="F283" s="59"/>
      <c r="G283" s="21"/>
      <c r="I283" s="106">
        <v>280</v>
      </c>
      <c r="J283" s="119" t="str">
        <f t="shared" si="22"/>
        <v/>
      </c>
      <c r="K283" s="92" t="str">
        <f>IF('Prod 1'!D284="","",'Prod 1'!D284)</f>
        <v/>
      </c>
      <c r="L283" s="119" t="str">
        <f>IF('Prod 1'!I284="","",'Prod 1'!I284+'BH (2)'!C283)</f>
        <v/>
      </c>
      <c r="M283" s="59"/>
      <c r="N283" s="91"/>
      <c r="Q283" s="119" t="str">
        <f t="shared" si="23"/>
        <v/>
      </c>
      <c r="R283" s="92" t="str">
        <f>IF('Prod 1'!D284="","",'Prod 1'!D284)</f>
        <v/>
      </c>
      <c r="S283" s="119" t="str">
        <f>IF('Prod 1'!E284="","",'Prod 1'!E284+'BH (2)'!C283)</f>
        <v/>
      </c>
      <c r="T283" s="59"/>
      <c r="U283" s="91"/>
    </row>
    <row r="284" spans="2:21" ht="24.95" customHeight="1" x14ac:dyDescent="0.25">
      <c r="B284" s="119" t="str">
        <f t="shared" si="21"/>
        <v/>
      </c>
      <c r="C284" s="2">
        <v>2.8100000000000002E-6</v>
      </c>
      <c r="D284" s="92" t="str">
        <f>IF(DespF!D287="","",DespF!D287)</f>
        <v/>
      </c>
      <c r="E284" s="90" t="str">
        <f>IF(DespF!E287="","",DespF!E287+'BH (2)'!C284)</f>
        <v/>
      </c>
      <c r="F284" s="59"/>
      <c r="G284" s="21"/>
      <c r="I284" s="106">
        <v>281</v>
      </c>
      <c r="J284" s="119" t="str">
        <f t="shared" si="22"/>
        <v/>
      </c>
      <c r="K284" s="92" t="str">
        <f>IF('Prod 1'!D285="","",'Prod 1'!D285)</f>
        <v/>
      </c>
      <c r="L284" s="119" t="str">
        <f>IF('Prod 1'!I285="","",'Prod 1'!I285+'BH (2)'!C284)</f>
        <v/>
      </c>
      <c r="M284" s="59"/>
      <c r="N284" s="91"/>
      <c r="Q284" s="119" t="str">
        <f t="shared" si="23"/>
        <v/>
      </c>
      <c r="R284" s="92" t="str">
        <f>IF('Prod 1'!D285="","",'Prod 1'!D285)</f>
        <v/>
      </c>
      <c r="S284" s="119" t="str">
        <f>IF('Prod 1'!E285="","",'Prod 1'!E285+'BH (2)'!C284)</f>
        <v/>
      </c>
      <c r="T284" s="59"/>
      <c r="U284" s="91"/>
    </row>
    <row r="285" spans="2:21" ht="24.95" customHeight="1" x14ac:dyDescent="0.25">
      <c r="B285" s="119" t="str">
        <f t="shared" si="21"/>
        <v/>
      </c>
      <c r="C285" s="2">
        <v>2.8200000000000001E-6</v>
      </c>
      <c r="D285" s="92" t="str">
        <f>IF(DespF!D288="","",DespF!D288)</f>
        <v/>
      </c>
      <c r="E285" s="90" t="str">
        <f>IF(DespF!E288="","",DespF!E288+'BH (2)'!C285)</f>
        <v/>
      </c>
      <c r="F285" s="59"/>
      <c r="G285" s="21"/>
      <c r="I285" s="106">
        <v>282</v>
      </c>
      <c r="J285" s="119" t="str">
        <f t="shared" si="22"/>
        <v/>
      </c>
      <c r="K285" s="92" t="str">
        <f>IF('Prod 1'!D286="","",'Prod 1'!D286)</f>
        <v/>
      </c>
      <c r="L285" s="119" t="str">
        <f>IF('Prod 1'!I286="","",'Prod 1'!I286+'BH (2)'!C285)</f>
        <v/>
      </c>
      <c r="M285" s="59"/>
      <c r="N285" s="91"/>
      <c r="Q285" s="119" t="str">
        <f t="shared" si="23"/>
        <v/>
      </c>
      <c r="R285" s="92" t="str">
        <f>IF('Prod 1'!D286="","",'Prod 1'!D286)</f>
        <v/>
      </c>
      <c r="S285" s="119" t="str">
        <f>IF('Prod 1'!E286="","",'Prod 1'!E286+'BH (2)'!C285)</f>
        <v/>
      </c>
      <c r="T285" s="59"/>
      <c r="U285" s="91"/>
    </row>
    <row r="286" spans="2:21" ht="24.95" customHeight="1" x14ac:dyDescent="0.25">
      <c r="B286" s="119" t="str">
        <f t="shared" si="21"/>
        <v/>
      </c>
      <c r="C286" s="2">
        <v>2.83E-6</v>
      </c>
      <c r="D286" s="92" t="str">
        <f>IF(DespF!D289="","",DespF!D289)</f>
        <v/>
      </c>
      <c r="E286" s="90" t="str">
        <f>IF(DespF!E289="","",DespF!E289+'BH (2)'!C286)</f>
        <v/>
      </c>
      <c r="F286" s="59"/>
      <c r="G286" s="21"/>
      <c r="I286" s="106">
        <v>283</v>
      </c>
      <c r="J286" s="119" t="str">
        <f t="shared" si="22"/>
        <v/>
      </c>
      <c r="K286" s="92" t="str">
        <f>IF('Prod 1'!D287="","",'Prod 1'!D287)</f>
        <v/>
      </c>
      <c r="L286" s="119" t="str">
        <f>IF('Prod 1'!I287="","",'Prod 1'!I287+'BH (2)'!C286)</f>
        <v/>
      </c>
      <c r="M286" s="59"/>
      <c r="N286" s="91"/>
      <c r="Q286" s="119" t="str">
        <f t="shared" si="23"/>
        <v/>
      </c>
      <c r="R286" s="92" t="str">
        <f>IF('Prod 1'!D287="","",'Prod 1'!D287)</f>
        <v/>
      </c>
      <c r="S286" s="119" t="str">
        <f>IF('Prod 1'!E287="","",'Prod 1'!E287+'BH (2)'!C286)</f>
        <v/>
      </c>
      <c r="T286" s="59"/>
      <c r="U286" s="91"/>
    </row>
    <row r="287" spans="2:21" ht="24.95" customHeight="1" x14ac:dyDescent="0.25">
      <c r="B287" s="119" t="str">
        <f t="shared" si="21"/>
        <v/>
      </c>
      <c r="C287" s="2">
        <v>2.8399999999999999E-6</v>
      </c>
      <c r="D287" s="92" t="str">
        <f>IF(DespF!D290="","",DespF!D290)</f>
        <v/>
      </c>
      <c r="E287" s="90" t="str">
        <f>IF(DespF!E290="","",DespF!E290+'BH (2)'!C287)</f>
        <v/>
      </c>
      <c r="F287" s="59"/>
      <c r="G287" s="21"/>
      <c r="I287" s="106">
        <v>284</v>
      </c>
      <c r="J287" s="119" t="str">
        <f t="shared" si="22"/>
        <v/>
      </c>
      <c r="K287" s="92" t="str">
        <f>IF('Prod 1'!D288="","",'Prod 1'!D288)</f>
        <v/>
      </c>
      <c r="L287" s="119" t="str">
        <f>IF('Prod 1'!I288="","",'Prod 1'!I288+'BH (2)'!C287)</f>
        <v/>
      </c>
      <c r="M287" s="59"/>
      <c r="N287" s="91"/>
      <c r="Q287" s="119" t="str">
        <f t="shared" si="23"/>
        <v/>
      </c>
      <c r="R287" s="92" t="str">
        <f>IF('Prod 1'!D288="","",'Prod 1'!D288)</f>
        <v/>
      </c>
      <c r="S287" s="119" t="str">
        <f>IF('Prod 1'!E288="","",'Prod 1'!E288+'BH (2)'!C287)</f>
        <v/>
      </c>
      <c r="T287" s="59"/>
      <c r="U287" s="91"/>
    </row>
    <row r="288" spans="2:21" ht="24.95" customHeight="1" x14ac:dyDescent="0.25">
      <c r="B288" s="119" t="str">
        <f t="shared" si="21"/>
        <v/>
      </c>
      <c r="C288" s="2">
        <v>2.8499999999999998E-6</v>
      </c>
      <c r="D288" s="92" t="str">
        <f>IF(DespF!D291="","",DespF!D291)</f>
        <v/>
      </c>
      <c r="E288" s="90" t="str">
        <f>IF(DespF!E291="","",DespF!E291+'BH (2)'!C288)</f>
        <v/>
      </c>
      <c r="F288" s="59"/>
      <c r="G288" s="21"/>
      <c r="I288" s="106">
        <v>285</v>
      </c>
      <c r="J288" s="119" t="str">
        <f t="shared" si="22"/>
        <v/>
      </c>
      <c r="K288" s="92" t="str">
        <f>IF('Prod 1'!D289="","",'Prod 1'!D289)</f>
        <v/>
      </c>
      <c r="L288" s="119" t="str">
        <f>IF('Prod 1'!I289="","",'Prod 1'!I289+'BH (2)'!C288)</f>
        <v/>
      </c>
      <c r="M288" s="59"/>
      <c r="N288" s="91"/>
      <c r="Q288" s="119" t="str">
        <f t="shared" si="23"/>
        <v/>
      </c>
      <c r="R288" s="92" t="str">
        <f>IF('Prod 1'!D289="","",'Prod 1'!D289)</f>
        <v/>
      </c>
      <c r="S288" s="119" t="str">
        <f>IF('Prod 1'!E289="","",'Prod 1'!E289+'BH (2)'!C288)</f>
        <v/>
      </c>
      <c r="T288" s="59"/>
      <c r="U288" s="91"/>
    </row>
    <row r="289" spans="2:21" ht="24.95" customHeight="1" x14ac:dyDescent="0.25">
      <c r="B289" s="119" t="str">
        <f t="shared" si="21"/>
        <v/>
      </c>
      <c r="C289" s="2">
        <v>2.8600000000000001E-6</v>
      </c>
      <c r="D289" s="92" t="str">
        <f>IF(DespF!D292="","",DespF!D292)</f>
        <v/>
      </c>
      <c r="E289" s="90" t="str">
        <f>IF(DespF!E292="","",DespF!E292+'BH (2)'!C289)</f>
        <v/>
      </c>
      <c r="F289" s="59"/>
      <c r="G289" s="21"/>
      <c r="I289" s="106">
        <v>286</v>
      </c>
      <c r="J289" s="119" t="str">
        <f t="shared" si="22"/>
        <v/>
      </c>
      <c r="K289" s="92" t="str">
        <f>IF('Prod 1'!D290="","",'Prod 1'!D290)</f>
        <v/>
      </c>
      <c r="L289" s="119" t="str">
        <f>IF('Prod 1'!I290="","",'Prod 1'!I290+'BH (2)'!C289)</f>
        <v/>
      </c>
      <c r="M289" s="59"/>
      <c r="N289" s="91"/>
      <c r="Q289" s="119" t="str">
        <f t="shared" si="23"/>
        <v/>
      </c>
      <c r="R289" s="92" t="str">
        <f>IF('Prod 1'!D290="","",'Prod 1'!D290)</f>
        <v/>
      </c>
      <c r="S289" s="119" t="str">
        <f>IF('Prod 1'!E290="","",'Prod 1'!E290+'BH (2)'!C289)</f>
        <v/>
      </c>
      <c r="T289" s="59"/>
      <c r="U289" s="91"/>
    </row>
    <row r="290" spans="2:21" ht="24.95" customHeight="1" x14ac:dyDescent="0.25">
      <c r="B290" s="119" t="str">
        <f t="shared" si="21"/>
        <v/>
      </c>
      <c r="C290" s="2">
        <v>2.8700000000000001E-6</v>
      </c>
      <c r="D290" s="92" t="str">
        <f>IF(DespF!D293="","",DespF!D293)</f>
        <v/>
      </c>
      <c r="E290" s="90" t="str">
        <f>IF(DespF!E293="","",DespF!E293+'BH (2)'!C290)</f>
        <v/>
      </c>
      <c r="F290" s="59"/>
      <c r="G290" s="21"/>
      <c r="I290" s="106">
        <v>287</v>
      </c>
      <c r="J290" s="119" t="str">
        <f t="shared" si="22"/>
        <v/>
      </c>
      <c r="K290" s="92" t="str">
        <f>IF('Prod 1'!D291="","",'Prod 1'!D291)</f>
        <v/>
      </c>
      <c r="L290" s="119" t="str">
        <f>IF('Prod 1'!I291="","",'Prod 1'!I291+'BH (2)'!C290)</f>
        <v/>
      </c>
      <c r="M290" s="59"/>
      <c r="N290" s="91"/>
      <c r="Q290" s="119" t="str">
        <f t="shared" si="23"/>
        <v/>
      </c>
      <c r="R290" s="92" t="str">
        <f>IF('Prod 1'!D291="","",'Prod 1'!D291)</f>
        <v/>
      </c>
      <c r="S290" s="119" t="str">
        <f>IF('Prod 1'!E291="","",'Prod 1'!E291+'BH (2)'!C290)</f>
        <v/>
      </c>
      <c r="T290" s="59"/>
      <c r="U290" s="91"/>
    </row>
    <row r="291" spans="2:21" ht="24.95" customHeight="1" x14ac:dyDescent="0.25">
      <c r="B291" s="119" t="str">
        <f t="shared" si="21"/>
        <v/>
      </c>
      <c r="C291" s="2">
        <v>2.88E-6</v>
      </c>
      <c r="D291" s="92" t="str">
        <f>IF(DespF!D294="","",DespF!D294)</f>
        <v/>
      </c>
      <c r="E291" s="90" t="str">
        <f>IF(DespF!E294="","",DespF!E294+'BH (2)'!C291)</f>
        <v/>
      </c>
      <c r="F291" s="59"/>
      <c r="G291" s="21"/>
      <c r="I291" s="106">
        <v>288</v>
      </c>
      <c r="J291" s="119" t="str">
        <f t="shared" si="22"/>
        <v/>
      </c>
      <c r="K291" s="92" t="str">
        <f>IF('Prod 1'!D292="","",'Prod 1'!D292)</f>
        <v/>
      </c>
      <c r="L291" s="119" t="str">
        <f>IF('Prod 1'!I292="","",'Prod 1'!I292+'BH (2)'!C291)</f>
        <v/>
      </c>
      <c r="M291" s="59"/>
      <c r="N291" s="91"/>
      <c r="Q291" s="119" t="str">
        <f t="shared" si="23"/>
        <v/>
      </c>
      <c r="R291" s="92" t="str">
        <f>IF('Prod 1'!D292="","",'Prod 1'!D292)</f>
        <v/>
      </c>
      <c r="S291" s="119" t="str">
        <f>IF('Prod 1'!E292="","",'Prod 1'!E292+'BH (2)'!C291)</f>
        <v/>
      </c>
      <c r="T291" s="59"/>
      <c r="U291" s="91"/>
    </row>
    <row r="292" spans="2:21" ht="24.95" customHeight="1" x14ac:dyDescent="0.25">
      <c r="B292" s="119" t="str">
        <f t="shared" si="21"/>
        <v/>
      </c>
      <c r="C292" s="2">
        <v>2.8899999999999999E-6</v>
      </c>
      <c r="D292" s="92" t="str">
        <f>IF(DespF!D295="","",DespF!D295)</f>
        <v/>
      </c>
      <c r="E292" s="90" t="str">
        <f>IF(DespF!E295="","",DespF!E295+'BH (2)'!C292)</f>
        <v/>
      </c>
      <c r="F292" s="59"/>
      <c r="G292" s="21"/>
      <c r="I292" s="106">
        <v>289</v>
      </c>
      <c r="J292" s="119" t="str">
        <f t="shared" si="22"/>
        <v/>
      </c>
      <c r="K292" s="92" t="str">
        <f>IF('Prod 1'!D293="","",'Prod 1'!D293)</f>
        <v/>
      </c>
      <c r="L292" s="119" t="str">
        <f>IF('Prod 1'!I293="","",'Prod 1'!I293+'BH (2)'!C292)</f>
        <v/>
      </c>
      <c r="M292" s="59"/>
      <c r="N292" s="91"/>
      <c r="Q292" s="119" t="str">
        <f t="shared" si="23"/>
        <v/>
      </c>
      <c r="R292" s="92" t="str">
        <f>IF('Prod 1'!D293="","",'Prod 1'!D293)</f>
        <v/>
      </c>
      <c r="S292" s="119" t="str">
        <f>IF('Prod 1'!E293="","",'Prod 1'!E293+'BH (2)'!C292)</f>
        <v/>
      </c>
      <c r="T292" s="59"/>
      <c r="U292" s="91"/>
    </row>
    <row r="293" spans="2:21" ht="24.95" customHeight="1" x14ac:dyDescent="0.25">
      <c r="B293" s="119" t="str">
        <f t="shared" si="21"/>
        <v/>
      </c>
      <c r="C293" s="2">
        <v>2.9000000000000002E-6</v>
      </c>
      <c r="D293" s="92" t="str">
        <f>IF(DespF!D296="","",DespF!D296)</f>
        <v/>
      </c>
      <c r="E293" s="90" t="str">
        <f>IF(DespF!E296="","",DespF!E296+'BH (2)'!C293)</f>
        <v/>
      </c>
      <c r="F293" s="59"/>
      <c r="G293" s="21"/>
      <c r="I293" s="106">
        <v>290</v>
      </c>
      <c r="J293" s="119" t="str">
        <f t="shared" si="22"/>
        <v/>
      </c>
      <c r="K293" s="92" t="str">
        <f>IF('Prod 1'!D294="","",'Prod 1'!D294)</f>
        <v/>
      </c>
      <c r="L293" s="119" t="str">
        <f>IF('Prod 1'!I294="","",'Prod 1'!I294+'BH (2)'!C293)</f>
        <v/>
      </c>
      <c r="M293" s="59"/>
      <c r="N293" s="91"/>
      <c r="Q293" s="119" t="str">
        <f t="shared" si="23"/>
        <v/>
      </c>
      <c r="R293" s="92" t="str">
        <f>IF('Prod 1'!D294="","",'Prod 1'!D294)</f>
        <v/>
      </c>
      <c r="S293" s="119" t="str">
        <f>IF('Prod 1'!E294="","",'Prod 1'!E294+'BH (2)'!C293)</f>
        <v/>
      </c>
      <c r="T293" s="59"/>
      <c r="U293" s="91"/>
    </row>
    <row r="294" spans="2:21" ht="24.95" customHeight="1" x14ac:dyDescent="0.25">
      <c r="B294" s="119" t="str">
        <f t="shared" si="21"/>
        <v/>
      </c>
      <c r="C294" s="2">
        <v>2.9100000000000001E-6</v>
      </c>
      <c r="D294" s="92" t="str">
        <f>IF(DespF!D297="","",DespF!D297)</f>
        <v/>
      </c>
      <c r="E294" s="90" t="str">
        <f>IF(DespF!E297="","",DespF!E297+'BH (2)'!C294)</f>
        <v/>
      </c>
      <c r="F294" s="59"/>
      <c r="G294" s="21"/>
      <c r="I294" s="106">
        <v>291</v>
      </c>
      <c r="J294" s="119" t="str">
        <f t="shared" si="22"/>
        <v/>
      </c>
      <c r="K294" s="92" t="str">
        <f>IF('Prod 1'!D295="","",'Prod 1'!D295)</f>
        <v/>
      </c>
      <c r="L294" s="119" t="str">
        <f>IF('Prod 1'!I295="","",'Prod 1'!I295+'BH (2)'!C294)</f>
        <v/>
      </c>
      <c r="M294" s="59"/>
      <c r="N294" s="91"/>
      <c r="Q294" s="119" t="str">
        <f t="shared" si="23"/>
        <v/>
      </c>
      <c r="R294" s="92" t="str">
        <f>IF('Prod 1'!D295="","",'Prod 1'!D295)</f>
        <v/>
      </c>
      <c r="S294" s="119" t="str">
        <f>IF('Prod 1'!E295="","",'Prod 1'!E295+'BH (2)'!C294)</f>
        <v/>
      </c>
      <c r="T294" s="59"/>
      <c r="U294" s="91"/>
    </row>
    <row r="295" spans="2:21" ht="24.95" customHeight="1" x14ac:dyDescent="0.25">
      <c r="B295" s="119" t="str">
        <f t="shared" si="21"/>
        <v/>
      </c>
      <c r="C295" s="2">
        <v>2.92E-6</v>
      </c>
      <c r="D295" s="92" t="str">
        <f>IF(DespF!D298="","",DespF!D298)</f>
        <v/>
      </c>
      <c r="E295" s="90" t="str">
        <f>IF(DespF!E298="","",DespF!E298+'BH (2)'!C295)</f>
        <v/>
      </c>
      <c r="F295" s="59"/>
      <c r="G295" s="21"/>
      <c r="I295" s="106">
        <v>292</v>
      </c>
      <c r="J295" s="119" t="str">
        <f t="shared" si="22"/>
        <v/>
      </c>
      <c r="K295" s="92" t="str">
        <f>IF('Prod 1'!D296="","",'Prod 1'!D296)</f>
        <v/>
      </c>
      <c r="L295" s="119" t="str">
        <f>IF('Prod 1'!I296="","",'Prod 1'!I296+'BH (2)'!C295)</f>
        <v/>
      </c>
      <c r="M295" s="59"/>
      <c r="N295" s="91"/>
      <c r="Q295" s="119" t="str">
        <f t="shared" si="23"/>
        <v/>
      </c>
      <c r="R295" s="92" t="str">
        <f>IF('Prod 1'!D296="","",'Prod 1'!D296)</f>
        <v/>
      </c>
      <c r="S295" s="119" t="str">
        <f>IF('Prod 1'!E296="","",'Prod 1'!E296+'BH (2)'!C295)</f>
        <v/>
      </c>
      <c r="T295" s="59"/>
      <c r="U295" s="91"/>
    </row>
    <row r="296" spans="2:21" ht="24.95" customHeight="1" x14ac:dyDescent="0.25">
      <c r="B296" s="119" t="str">
        <f t="shared" si="21"/>
        <v/>
      </c>
      <c r="C296" s="2">
        <v>2.9299999999999999E-6</v>
      </c>
      <c r="D296" s="92" t="str">
        <f>IF(DespF!D299="","",DespF!D299)</f>
        <v/>
      </c>
      <c r="E296" s="90" t="str">
        <f>IF(DespF!E299="","",DespF!E299+'BH (2)'!C296)</f>
        <v/>
      </c>
      <c r="F296" s="59"/>
      <c r="G296" s="21"/>
      <c r="I296" s="106">
        <v>293</v>
      </c>
      <c r="J296" s="119" t="str">
        <f t="shared" si="22"/>
        <v/>
      </c>
      <c r="K296" s="92" t="str">
        <f>IF('Prod 1'!D297="","",'Prod 1'!D297)</f>
        <v/>
      </c>
      <c r="L296" s="119" t="str">
        <f>IF('Prod 1'!I297="","",'Prod 1'!I297+'BH (2)'!C296)</f>
        <v/>
      </c>
      <c r="M296" s="59"/>
      <c r="N296" s="91"/>
      <c r="Q296" s="119" t="str">
        <f t="shared" si="23"/>
        <v/>
      </c>
      <c r="R296" s="92" t="str">
        <f>IF('Prod 1'!D297="","",'Prod 1'!D297)</f>
        <v/>
      </c>
      <c r="S296" s="119" t="str">
        <f>IF('Prod 1'!E297="","",'Prod 1'!E297+'BH (2)'!C296)</f>
        <v/>
      </c>
      <c r="T296" s="59"/>
      <c r="U296" s="91"/>
    </row>
    <row r="297" spans="2:21" ht="24.95" customHeight="1" x14ac:dyDescent="0.25">
      <c r="B297" s="119" t="str">
        <f t="shared" si="21"/>
        <v/>
      </c>
      <c r="C297" s="2">
        <v>2.9399999999999998E-6</v>
      </c>
      <c r="D297" s="92" t="str">
        <f>IF(DespF!D300="","",DespF!D300)</f>
        <v/>
      </c>
      <c r="E297" s="90" t="str">
        <f>IF(DespF!E300="","",DespF!E300+'BH (2)'!C297)</f>
        <v/>
      </c>
      <c r="F297" s="59"/>
      <c r="G297" s="21"/>
      <c r="I297" s="106">
        <v>294</v>
      </c>
      <c r="J297" s="119" t="str">
        <f t="shared" si="22"/>
        <v/>
      </c>
      <c r="K297" s="92" t="str">
        <f>IF('Prod 1'!D298="","",'Prod 1'!D298)</f>
        <v/>
      </c>
      <c r="L297" s="119" t="str">
        <f>IF('Prod 1'!I298="","",'Prod 1'!I298+'BH (2)'!C297)</f>
        <v/>
      </c>
      <c r="M297" s="59"/>
      <c r="N297" s="91"/>
      <c r="Q297" s="119" t="str">
        <f t="shared" si="23"/>
        <v/>
      </c>
      <c r="R297" s="92" t="str">
        <f>IF('Prod 1'!D298="","",'Prod 1'!D298)</f>
        <v/>
      </c>
      <c r="S297" s="119" t="str">
        <f>IF('Prod 1'!E298="","",'Prod 1'!E298+'BH (2)'!C297)</f>
        <v/>
      </c>
      <c r="T297" s="59"/>
      <c r="U297" s="91"/>
    </row>
    <row r="298" spans="2:21" ht="24.95" customHeight="1" x14ac:dyDescent="0.25">
      <c r="B298" s="119" t="str">
        <f t="shared" si="21"/>
        <v/>
      </c>
      <c r="C298" s="2">
        <v>2.9500000000000001E-6</v>
      </c>
      <c r="D298" s="92" t="str">
        <f>IF(DespF!D301="","",DespF!D301)</f>
        <v/>
      </c>
      <c r="E298" s="90" t="str">
        <f>IF(DespF!E301="","",DespF!E301+'BH (2)'!C298)</f>
        <v/>
      </c>
      <c r="F298" s="59"/>
      <c r="G298" s="21"/>
      <c r="I298" s="106">
        <v>295</v>
      </c>
      <c r="J298" s="119" t="str">
        <f t="shared" si="22"/>
        <v/>
      </c>
      <c r="K298" s="92" t="str">
        <f>IF('Prod 1'!D299="","",'Prod 1'!D299)</f>
        <v/>
      </c>
      <c r="L298" s="119" t="str">
        <f>IF('Prod 1'!I299="","",'Prod 1'!I299+'BH (2)'!C298)</f>
        <v/>
      </c>
      <c r="M298" s="59"/>
      <c r="N298" s="91"/>
      <c r="Q298" s="119" t="str">
        <f t="shared" si="23"/>
        <v/>
      </c>
      <c r="R298" s="92" t="str">
        <f>IF('Prod 1'!D299="","",'Prod 1'!D299)</f>
        <v/>
      </c>
      <c r="S298" s="119" t="str">
        <f>IF('Prod 1'!E299="","",'Prod 1'!E299+'BH (2)'!C298)</f>
        <v/>
      </c>
      <c r="T298" s="59"/>
      <c r="U298" s="91"/>
    </row>
    <row r="299" spans="2:21" ht="24.95" customHeight="1" x14ac:dyDescent="0.25">
      <c r="B299" s="119" t="str">
        <f t="shared" si="21"/>
        <v/>
      </c>
      <c r="C299" s="2">
        <v>2.96E-6</v>
      </c>
      <c r="D299" s="92" t="str">
        <f>IF(DespF!D302="","",DespF!D302)</f>
        <v/>
      </c>
      <c r="E299" s="90" t="str">
        <f>IF(DespF!E302="","",DespF!E302+'BH (2)'!C299)</f>
        <v/>
      </c>
      <c r="F299" s="59"/>
      <c r="G299" s="21"/>
      <c r="I299" s="106">
        <v>296</v>
      </c>
      <c r="J299" s="119" t="str">
        <f t="shared" si="22"/>
        <v/>
      </c>
      <c r="K299" s="92" t="str">
        <f>IF('Prod 1'!D300="","",'Prod 1'!D300)</f>
        <v/>
      </c>
      <c r="L299" s="119" t="str">
        <f>IF('Prod 1'!I300="","",'Prod 1'!I300+'BH (2)'!C299)</f>
        <v/>
      </c>
      <c r="M299" s="59"/>
      <c r="N299" s="91"/>
      <c r="Q299" s="119" t="str">
        <f t="shared" si="23"/>
        <v/>
      </c>
      <c r="R299" s="92" t="str">
        <f>IF('Prod 1'!D300="","",'Prod 1'!D300)</f>
        <v/>
      </c>
      <c r="S299" s="119" t="str">
        <f>IF('Prod 1'!E300="","",'Prod 1'!E300+'BH (2)'!C299)</f>
        <v/>
      </c>
      <c r="T299" s="59"/>
      <c r="U299" s="91"/>
    </row>
    <row r="300" spans="2:21" ht="24.95" customHeight="1" x14ac:dyDescent="0.25">
      <c r="B300" s="119" t="str">
        <f t="shared" si="21"/>
        <v/>
      </c>
      <c r="C300" s="2">
        <v>2.9699999999999999E-6</v>
      </c>
      <c r="D300" s="92" t="str">
        <f>IF(DespF!D303="","",DespF!D303)</f>
        <v/>
      </c>
      <c r="E300" s="90" t="str">
        <f>IF(DespF!E303="","",DespF!E303+'BH (2)'!C300)</f>
        <v/>
      </c>
      <c r="F300" s="59"/>
      <c r="G300" s="21"/>
      <c r="I300" s="106">
        <v>297</v>
      </c>
      <c r="J300" s="119" t="str">
        <f t="shared" si="22"/>
        <v/>
      </c>
      <c r="K300" s="92" t="str">
        <f>IF('Prod 1'!D301="","",'Prod 1'!D301)</f>
        <v/>
      </c>
      <c r="L300" s="119" t="str">
        <f>IF('Prod 1'!I301="","",'Prod 1'!I301+'BH (2)'!C300)</f>
        <v/>
      </c>
      <c r="M300" s="59"/>
      <c r="N300" s="91"/>
      <c r="Q300" s="119" t="str">
        <f t="shared" si="23"/>
        <v/>
      </c>
      <c r="R300" s="92" t="str">
        <f>IF('Prod 1'!D301="","",'Prod 1'!D301)</f>
        <v/>
      </c>
      <c r="S300" s="119" t="str">
        <f>IF('Prod 1'!E301="","",'Prod 1'!E301+'BH (2)'!C300)</f>
        <v/>
      </c>
      <c r="T300" s="59"/>
      <c r="U300" s="91"/>
    </row>
    <row r="301" spans="2:21" ht="24.95" customHeight="1" x14ac:dyDescent="0.25">
      <c r="B301" s="119" t="str">
        <f t="shared" si="21"/>
        <v/>
      </c>
      <c r="C301" s="2">
        <v>2.9799999999999998E-6</v>
      </c>
      <c r="D301" s="92" t="str">
        <f>IF(DespF!D304="","",DespF!D304)</f>
        <v/>
      </c>
      <c r="E301" s="90" t="str">
        <f>IF(DespF!E304="","",DespF!E304+'BH (2)'!C301)</f>
        <v/>
      </c>
      <c r="F301" s="59"/>
      <c r="G301" s="21"/>
      <c r="I301" s="106">
        <v>298</v>
      </c>
      <c r="J301" s="119" t="str">
        <f t="shared" si="22"/>
        <v/>
      </c>
      <c r="K301" s="92" t="str">
        <f>IF('Prod 1'!D302="","",'Prod 1'!D302)</f>
        <v/>
      </c>
      <c r="L301" s="119" t="str">
        <f>IF('Prod 1'!I302="","",'Prod 1'!I302+'BH (2)'!C301)</f>
        <v/>
      </c>
      <c r="M301" s="59"/>
      <c r="N301" s="91"/>
      <c r="Q301" s="119" t="str">
        <f t="shared" si="23"/>
        <v/>
      </c>
      <c r="R301" s="92" t="str">
        <f>IF('Prod 1'!D302="","",'Prod 1'!D302)</f>
        <v/>
      </c>
      <c r="S301" s="119" t="str">
        <f>IF('Prod 1'!E302="","",'Prod 1'!E302+'BH (2)'!C301)</f>
        <v/>
      </c>
      <c r="T301" s="59"/>
      <c r="U301" s="91"/>
    </row>
    <row r="302" spans="2:21" ht="24.95" customHeight="1" x14ac:dyDescent="0.25">
      <c r="B302" s="119" t="str">
        <f t="shared" si="21"/>
        <v/>
      </c>
      <c r="C302" s="2">
        <v>2.9900000000000002E-6</v>
      </c>
      <c r="D302" s="92" t="str">
        <f>IF(DespF!D305="","",DespF!D305)</f>
        <v/>
      </c>
      <c r="E302" s="90" t="str">
        <f>IF(DespF!E305="","",DespF!E305+'BH (2)'!C302)</f>
        <v/>
      </c>
      <c r="F302" s="59"/>
      <c r="G302" s="21"/>
      <c r="I302" s="106">
        <v>299</v>
      </c>
      <c r="J302" s="119" t="str">
        <f t="shared" si="22"/>
        <v/>
      </c>
      <c r="K302" s="92" t="str">
        <f>IF('Prod 1'!D303="","",'Prod 1'!D303)</f>
        <v/>
      </c>
      <c r="L302" s="119" t="str">
        <f>IF('Prod 1'!I303="","",'Prod 1'!I303+'BH (2)'!C302)</f>
        <v/>
      </c>
      <c r="M302" s="59"/>
      <c r="N302" s="91"/>
      <c r="Q302" s="119" t="str">
        <f t="shared" si="23"/>
        <v/>
      </c>
      <c r="R302" s="92" t="str">
        <f>IF('Prod 1'!D303="","",'Prod 1'!D303)</f>
        <v/>
      </c>
      <c r="S302" s="119" t="str">
        <f>IF('Prod 1'!E303="","",'Prod 1'!E303+'BH (2)'!C302)</f>
        <v/>
      </c>
      <c r="T302" s="59"/>
      <c r="U302" s="91"/>
    </row>
    <row r="303" spans="2:21" ht="24.95" customHeight="1" x14ac:dyDescent="0.25">
      <c r="B303" s="119" t="str">
        <f t="shared" si="21"/>
        <v/>
      </c>
      <c r="C303" s="2">
        <v>3.0000000000000001E-6</v>
      </c>
      <c r="D303" s="92" t="str">
        <f>IF(DespF!D306="","",DespF!D306)</f>
        <v/>
      </c>
      <c r="E303" s="90" t="str">
        <f>IF(DespF!E306="","",DespF!E306+'BH (2)'!C303)</f>
        <v/>
      </c>
      <c r="F303" s="59"/>
      <c r="G303" s="21"/>
      <c r="I303" s="106">
        <v>300</v>
      </c>
      <c r="J303" s="119" t="str">
        <f t="shared" si="22"/>
        <v/>
      </c>
      <c r="K303" s="92" t="str">
        <f>IF('Prod 1'!D304="","",'Prod 1'!D304)</f>
        <v/>
      </c>
      <c r="L303" s="119" t="str">
        <f>IF('Prod 1'!I304="","",'Prod 1'!I304+'BH (2)'!C303)</f>
        <v/>
      </c>
      <c r="M303" s="59"/>
      <c r="N303" s="91"/>
      <c r="Q303" s="119" t="str">
        <f t="shared" si="23"/>
        <v/>
      </c>
      <c r="R303" s="92" t="str">
        <f>IF('Prod 1'!D304="","",'Prod 1'!D304)</f>
        <v/>
      </c>
      <c r="S303" s="119" t="str">
        <f>IF('Prod 1'!E304="","",'Prod 1'!E304+'BH (2)'!C303)</f>
        <v/>
      </c>
      <c r="T303" s="59"/>
      <c r="U303" s="91"/>
    </row>
    <row r="304" spans="2:21" ht="24.95" customHeight="1" x14ac:dyDescent="0.25">
      <c r="B304" s="119" t="str">
        <f t="shared" si="21"/>
        <v/>
      </c>
      <c r="C304" s="2">
        <v>3.01E-6</v>
      </c>
      <c r="D304" s="92" t="str">
        <f>IF(DespF!D307="","",DespF!D307)</f>
        <v/>
      </c>
      <c r="E304" s="90" t="str">
        <f>IF(DespF!E307="","",DespF!E307+'BH (2)'!C304)</f>
        <v/>
      </c>
      <c r="F304" s="59"/>
      <c r="G304" s="21"/>
      <c r="I304" s="106">
        <v>301</v>
      </c>
      <c r="J304" s="119" t="str">
        <f t="shared" si="22"/>
        <v/>
      </c>
      <c r="K304" s="92" t="str">
        <f>IF('Prod 1'!D305="","",'Prod 1'!D305)</f>
        <v/>
      </c>
      <c r="L304" s="119" t="str">
        <f>IF('Prod 1'!I305="","",'Prod 1'!I305+'BH (2)'!C304)</f>
        <v/>
      </c>
      <c r="M304" s="59"/>
      <c r="N304" s="91"/>
      <c r="Q304" s="119" t="str">
        <f t="shared" si="23"/>
        <v/>
      </c>
      <c r="R304" s="92" t="str">
        <f>IF('Prod 1'!D305="","",'Prod 1'!D305)</f>
        <v/>
      </c>
      <c r="S304" s="119" t="str">
        <f>IF('Prod 1'!E305="","",'Prod 1'!E305+'BH (2)'!C304)</f>
        <v/>
      </c>
      <c r="T304" s="59"/>
      <c r="U304" s="91"/>
    </row>
    <row r="305" spans="2:21" ht="24.95" customHeight="1" x14ac:dyDescent="0.25">
      <c r="B305" s="119" t="str">
        <f t="shared" si="21"/>
        <v/>
      </c>
      <c r="C305" s="2">
        <v>3.0199999999999999E-6</v>
      </c>
      <c r="D305" s="92" t="str">
        <f>IF(DespF!D308="","",DespF!D308)</f>
        <v/>
      </c>
      <c r="E305" s="90" t="str">
        <f>IF(DespF!E308="","",DespF!E308+'BH (2)'!C305)</f>
        <v/>
      </c>
      <c r="F305" s="59"/>
      <c r="G305" s="21"/>
      <c r="I305" s="106">
        <v>302</v>
      </c>
      <c r="J305" s="119" t="str">
        <f t="shared" si="22"/>
        <v/>
      </c>
      <c r="K305" s="92" t="str">
        <f>IF('Prod 1'!D306="","",'Prod 1'!D306)</f>
        <v/>
      </c>
      <c r="L305" s="119" t="str">
        <f>IF('Prod 1'!I306="","",'Prod 1'!I306+'BH (2)'!C305)</f>
        <v/>
      </c>
      <c r="M305" s="59"/>
      <c r="N305" s="91"/>
      <c r="Q305" s="119" t="str">
        <f t="shared" si="23"/>
        <v/>
      </c>
      <c r="R305" s="92" t="str">
        <f>IF('Prod 1'!D306="","",'Prod 1'!D306)</f>
        <v/>
      </c>
      <c r="S305" s="119" t="str">
        <f>IF('Prod 1'!E306="","",'Prod 1'!E306+'BH (2)'!C305)</f>
        <v/>
      </c>
      <c r="T305" s="59"/>
      <c r="U305" s="91"/>
    </row>
    <row r="306" spans="2:21" ht="24.95" customHeight="1" x14ac:dyDescent="0.25">
      <c r="B306" s="119" t="str">
        <f t="shared" si="21"/>
        <v/>
      </c>
      <c r="C306" s="2">
        <v>3.0299999999999998E-6</v>
      </c>
      <c r="D306" s="92" t="str">
        <f>IF(DespF!D309="","",DespF!D309)</f>
        <v/>
      </c>
      <c r="E306" s="90" t="str">
        <f>IF(DespF!E309="","",DespF!E309+'BH (2)'!C306)</f>
        <v/>
      </c>
      <c r="F306" s="59"/>
      <c r="G306" s="21"/>
      <c r="I306" s="106">
        <v>303</v>
      </c>
      <c r="J306" s="119" t="str">
        <f t="shared" si="22"/>
        <v/>
      </c>
      <c r="K306" s="92" t="str">
        <f>IF('Prod 1'!D307="","",'Prod 1'!D307)</f>
        <v/>
      </c>
      <c r="L306" s="119" t="str">
        <f>IF('Prod 1'!I307="","",'Prod 1'!I307+'BH (2)'!C306)</f>
        <v/>
      </c>
      <c r="M306" s="59"/>
      <c r="N306" s="91"/>
      <c r="Q306" s="119" t="str">
        <f t="shared" si="23"/>
        <v/>
      </c>
      <c r="R306" s="92" t="str">
        <f>IF('Prod 1'!D307="","",'Prod 1'!D307)</f>
        <v/>
      </c>
      <c r="S306" s="119" t="str">
        <f>IF('Prod 1'!E307="","",'Prod 1'!E307+'BH (2)'!C306)</f>
        <v/>
      </c>
      <c r="T306" s="59"/>
      <c r="U306" s="91"/>
    </row>
    <row r="307" spans="2:21" ht="24.95" customHeight="1" x14ac:dyDescent="0.25">
      <c r="B307" s="119" t="str">
        <f t="shared" si="21"/>
        <v/>
      </c>
      <c r="C307" s="2">
        <v>3.0400000000000001E-6</v>
      </c>
      <c r="D307" s="92" t="str">
        <f>IF(DespF!D310="","",DespF!D310)</f>
        <v/>
      </c>
      <c r="E307" s="90" t="str">
        <f>IF(DespF!E310="","",DespF!E310+'BH (2)'!C307)</f>
        <v/>
      </c>
      <c r="F307" s="59"/>
      <c r="G307" s="21"/>
      <c r="I307" s="106">
        <v>304</v>
      </c>
      <c r="J307" s="119" t="str">
        <f t="shared" si="22"/>
        <v/>
      </c>
      <c r="K307" s="92" t="str">
        <f>IF('Prod 1'!D308="","",'Prod 1'!D308)</f>
        <v/>
      </c>
      <c r="L307" s="119" t="str">
        <f>IF('Prod 1'!I308="","",'Prod 1'!I308+'BH (2)'!C307)</f>
        <v/>
      </c>
      <c r="M307" s="59"/>
      <c r="N307" s="91"/>
      <c r="Q307" s="119" t="str">
        <f t="shared" si="23"/>
        <v/>
      </c>
      <c r="R307" s="92" t="str">
        <f>IF('Prod 1'!D308="","",'Prod 1'!D308)</f>
        <v/>
      </c>
      <c r="S307" s="119" t="str">
        <f>IF('Prod 1'!E308="","",'Prod 1'!E308+'BH (2)'!C307)</f>
        <v/>
      </c>
      <c r="T307" s="59"/>
      <c r="U307" s="91"/>
    </row>
    <row r="308" spans="2:21" ht="24.95" customHeight="1" x14ac:dyDescent="0.25">
      <c r="B308" s="119" t="str">
        <f t="shared" si="21"/>
        <v/>
      </c>
      <c r="C308" s="2">
        <v>3.05E-6</v>
      </c>
      <c r="D308" s="92" t="str">
        <f>IF(DespF!D311="","",DespF!D311)</f>
        <v/>
      </c>
      <c r="E308" s="90" t="str">
        <f>IF(DespF!E311="","",DespF!E311+'BH (2)'!C308)</f>
        <v/>
      </c>
      <c r="F308" s="59"/>
      <c r="G308" s="21"/>
      <c r="I308" s="106">
        <v>305</v>
      </c>
      <c r="J308" s="119" t="str">
        <f t="shared" si="22"/>
        <v/>
      </c>
      <c r="K308" s="92" t="str">
        <f>IF('Prod 1'!D309="","",'Prod 1'!D309)</f>
        <v/>
      </c>
      <c r="L308" s="119" t="str">
        <f>IF('Prod 1'!I309="","",'Prod 1'!I309+'BH (2)'!C308)</f>
        <v/>
      </c>
      <c r="M308" s="59"/>
      <c r="N308" s="91"/>
      <c r="Q308" s="119" t="str">
        <f t="shared" si="23"/>
        <v/>
      </c>
      <c r="R308" s="92" t="str">
        <f>IF('Prod 1'!D309="","",'Prod 1'!D309)</f>
        <v/>
      </c>
      <c r="S308" s="119" t="str">
        <f>IF('Prod 1'!E309="","",'Prod 1'!E309+'BH (2)'!C308)</f>
        <v/>
      </c>
      <c r="T308" s="59"/>
      <c r="U308" s="91"/>
    </row>
    <row r="309" spans="2:21" ht="24.95" customHeight="1" x14ac:dyDescent="0.25">
      <c r="B309" s="119" t="str">
        <f t="shared" si="21"/>
        <v/>
      </c>
      <c r="C309" s="2">
        <v>3.0599999999999999E-6</v>
      </c>
      <c r="D309" s="92" t="str">
        <f>IF(DespF!D312="","",DespF!D312)</f>
        <v/>
      </c>
      <c r="E309" s="90" t="str">
        <f>IF(DespF!E312="","",DespF!E312+'BH (2)'!C309)</f>
        <v/>
      </c>
      <c r="F309" s="59"/>
      <c r="G309" s="21"/>
      <c r="I309" s="106">
        <v>306</v>
      </c>
      <c r="J309" s="119" t="str">
        <f t="shared" si="22"/>
        <v/>
      </c>
      <c r="K309" s="92" t="str">
        <f>IF('Prod 1'!D310="","",'Prod 1'!D310)</f>
        <v/>
      </c>
      <c r="L309" s="119" t="str">
        <f>IF('Prod 1'!I310="","",'Prod 1'!I310+'BH (2)'!C309)</f>
        <v/>
      </c>
      <c r="M309" s="59"/>
      <c r="N309" s="91"/>
      <c r="Q309" s="119" t="str">
        <f t="shared" si="23"/>
        <v/>
      </c>
      <c r="R309" s="92" t="str">
        <f>IF('Prod 1'!D310="","",'Prod 1'!D310)</f>
        <v/>
      </c>
      <c r="S309" s="119" t="str">
        <f>IF('Prod 1'!E310="","",'Prod 1'!E310+'BH (2)'!C309)</f>
        <v/>
      </c>
      <c r="T309" s="59"/>
      <c r="U309" s="91"/>
    </row>
    <row r="310" spans="2:21" ht="24.95" customHeight="1" x14ac:dyDescent="0.25">
      <c r="B310" s="119" t="str">
        <f t="shared" si="21"/>
        <v/>
      </c>
      <c r="C310" s="2">
        <v>3.0699999999999998E-6</v>
      </c>
      <c r="D310" s="92" t="str">
        <f>IF(DespF!D313="","",DespF!D313)</f>
        <v/>
      </c>
      <c r="E310" s="90" t="str">
        <f>IF(DespF!E313="","",DespF!E313+'BH (2)'!C310)</f>
        <v/>
      </c>
      <c r="F310" s="59"/>
      <c r="G310" s="21"/>
      <c r="I310" s="106">
        <v>307</v>
      </c>
      <c r="J310" s="119" t="str">
        <f t="shared" si="22"/>
        <v/>
      </c>
      <c r="K310" s="92" t="str">
        <f>IF('Prod 1'!D311="","",'Prod 1'!D311)</f>
        <v/>
      </c>
      <c r="L310" s="119" t="str">
        <f>IF('Prod 1'!I311="","",'Prod 1'!I311+'BH (2)'!C310)</f>
        <v/>
      </c>
      <c r="M310" s="59"/>
      <c r="N310" s="91"/>
      <c r="Q310" s="119" t="str">
        <f t="shared" si="23"/>
        <v/>
      </c>
      <c r="R310" s="92" t="str">
        <f>IF('Prod 1'!D311="","",'Prod 1'!D311)</f>
        <v/>
      </c>
      <c r="S310" s="119" t="str">
        <f>IF('Prod 1'!E311="","",'Prod 1'!E311+'BH (2)'!C310)</f>
        <v/>
      </c>
      <c r="T310" s="59"/>
      <c r="U310" s="91"/>
    </row>
    <row r="311" spans="2:21" ht="24.95" customHeight="1" x14ac:dyDescent="0.25">
      <c r="B311" s="119" t="str">
        <f t="shared" si="21"/>
        <v/>
      </c>
      <c r="C311" s="2">
        <v>3.0800000000000002E-6</v>
      </c>
      <c r="D311" s="92" t="str">
        <f>IF(DespF!D314="","",DespF!D314)</f>
        <v/>
      </c>
      <c r="E311" s="90" t="str">
        <f>IF(DespF!E314="","",DespF!E314+'BH (2)'!C311)</f>
        <v/>
      </c>
      <c r="F311" s="59"/>
      <c r="G311" s="21"/>
      <c r="I311" s="106">
        <v>308</v>
      </c>
      <c r="J311" s="119" t="str">
        <f t="shared" si="22"/>
        <v/>
      </c>
      <c r="K311" s="92" t="str">
        <f>IF('Prod 1'!D312="","",'Prod 1'!D312)</f>
        <v/>
      </c>
      <c r="L311" s="119" t="str">
        <f>IF('Prod 1'!I312="","",'Prod 1'!I312+'BH (2)'!C311)</f>
        <v/>
      </c>
      <c r="M311" s="59"/>
      <c r="N311" s="91"/>
      <c r="Q311" s="119" t="str">
        <f t="shared" si="23"/>
        <v/>
      </c>
      <c r="R311" s="92" t="str">
        <f>IF('Prod 1'!D312="","",'Prod 1'!D312)</f>
        <v/>
      </c>
      <c r="S311" s="119" t="str">
        <f>IF('Prod 1'!E312="","",'Prod 1'!E312+'BH (2)'!C311)</f>
        <v/>
      </c>
      <c r="T311" s="59"/>
      <c r="U311" s="91"/>
    </row>
    <row r="312" spans="2:21" ht="24.95" customHeight="1" x14ac:dyDescent="0.25">
      <c r="B312" s="119" t="str">
        <f t="shared" si="21"/>
        <v/>
      </c>
      <c r="C312" s="2">
        <v>3.0900000000000001E-6</v>
      </c>
      <c r="D312" s="92" t="str">
        <f>IF(DespF!D315="","",DespF!D315)</f>
        <v/>
      </c>
      <c r="E312" s="90" t="str">
        <f>IF(DespF!E315="","",DespF!E315+'BH (2)'!C312)</f>
        <v/>
      </c>
      <c r="F312" s="59"/>
      <c r="G312" s="21"/>
      <c r="I312" s="106">
        <v>309</v>
      </c>
      <c r="J312" s="119" t="str">
        <f t="shared" si="22"/>
        <v/>
      </c>
      <c r="K312" s="92" t="str">
        <f>IF('Prod 1'!D313="","",'Prod 1'!D313)</f>
        <v/>
      </c>
      <c r="L312" s="119" t="str">
        <f>IF('Prod 1'!I313="","",'Prod 1'!I313+'BH (2)'!C312)</f>
        <v/>
      </c>
      <c r="M312" s="59"/>
      <c r="N312" s="91"/>
      <c r="Q312" s="119" t="str">
        <f t="shared" si="23"/>
        <v/>
      </c>
      <c r="R312" s="92" t="str">
        <f>IF('Prod 1'!D313="","",'Prod 1'!D313)</f>
        <v/>
      </c>
      <c r="S312" s="119" t="str">
        <f>IF('Prod 1'!E313="","",'Prod 1'!E313+'BH (2)'!C312)</f>
        <v/>
      </c>
      <c r="T312" s="59"/>
      <c r="U312" s="91"/>
    </row>
    <row r="313" spans="2:21" ht="24.95" customHeight="1" x14ac:dyDescent="0.25">
      <c r="B313" s="119" t="str">
        <f t="shared" si="21"/>
        <v/>
      </c>
      <c r="C313" s="2">
        <v>3.1E-6</v>
      </c>
      <c r="D313" s="92" t="str">
        <f>IF(DespF!D316="","",DespF!D316)</f>
        <v/>
      </c>
      <c r="E313" s="90" t="str">
        <f>IF(DespF!E316="","",DespF!E316+'BH (2)'!C313)</f>
        <v/>
      </c>
      <c r="F313" s="59"/>
      <c r="G313" s="21"/>
      <c r="I313" s="106">
        <v>310</v>
      </c>
      <c r="J313" s="119" t="str">
        <f t="shared" si="22"/>
        <v/>
      </c>
      <c r="K313" s="92" t="str">
        <f>IF('Prod 1'!D314="","",'Prod 1'!D314)</f>
        <v/>
      </c>
      <c r="L313" s="119" t="str">
        <f>IF('Prod 1'!I314="","",'Prod 1'!I314+'BH (2)'!C313)</f>
        <v/>
      </c>
      <c r="M313" s="59"/>
      <c r="N313" s="91"/>
      <c r="Q313" s="119" t="str">
        <f t="shared" si="23"/>
        <v/>
      </c>
      <c r="R313" s="92" t="str">
        <f>IF('Prod 1'!D314="","",'Prod 1'!D314)</f>
        <v/>
      </c>
      <c r="S313" s="119" t="str">
        <f>IF('Prod 1'!E314="","",'Prod 1'!E314+'BH (2)'!C313)</f>
        <v/>
      </c>
      <c r="T313" s="59"/>
      <c r="U313" s="91"/>
    </row>
    <row r="314" spans="2:21" ht="24.95" customHeight="1" x14ac:dyDescent="0.25">
      <c r="B314" s="119" t="str">
        <f t="shared" si="21"/>
        <v/>
      </c>
      <c r="C314" s="2">
        <v>3.1099999999999999E-6</v>
      </c>
      <c r="D314" s="92" t="str">
        <f>IF(DespF!D317="","",DespF!D317)</f>
        <v/>
      </c>
      <c r="E314" s="90" t="str">
        <f>IF(DespF!E317="","",DespF!E317+'BH (2)'!C314)</f>
        <v/>
      </c>
      <c r="F314" s="59"/>
      <c r="G314" s="21"/>
      <c r="I314" s="106">
        <v>311</v>
      </c>
      <c r="J314" s="119" t="str">
        <f t="shared" si="22"/>
        <v/>
      </c>
      <c r="K314" s="92" t="str">
        <f>IF('Prod 1'!D315="","",'Prod 1'!D315)</f>
        <v/>
      </c>
      <c r="L314" s="119" t="str">
        <f>IF('Prod 1'!I315="","",'Prod 1'!I315+'BH (2)'!C314)</f>
        <v/>
      </c>
      <c r="M314" s="59"/>
      <c r="N314" s="91"/>
      <c r="Q314" s="119" t="str">
        <f t="shared" si="23"/>
        <v/>
      </c>
      <c r="R314" s="92" t="str">
        <f>IF('Prod 1'!D315="","",'Prod 1'!D315)</f>
        <v/>
      </c>
      <c r="S314" s="119" t="str">
        <f>IF('Prod 1'!E315="","",'Prod 1'!E315+'BH (2)'!C314)</f>
        <v/>
      </c>
      <c r="T314" s="59"/>
      <c r="U314" s="91"/>
    </row>
    <row r="315" spans="2:21" ht="24.95" customHeight="1" x14ac:dyDescent="0.25">
      <c r="B315" s="119" t="str">
        <f t="shared" si="21"/>
        <v/>
      </c>
      <c r="C315" s="2">
        <v>3.1200000000000002E-6</v>
      </c>
      <c r="D315" s="92" t="str">
        <f>IF(DespF!D318="","",DespF!D318)</f>
        <v/>
      </c>
      <c r="E315" s="90" t="str">
        <f>IF(DespF!E318="","",DespF!E318+'BH (2)'!C315)</f>
        <v/>
      </c>
      <c r="F315" s="59"/>
      <c r="G315" s="21"/>
      <c r="I315" s="106">
        <v>312</v>
      </c>
      <c r="J315" s="119" t="str">
        <f t="shared" si="22"/>
        <v/>
      </c>
      <c r="K315" s="92" t="str">
        <f>IF('Prod 1'!D316="","",'Prod 1'!D316)</f>
        <v/>
      </c>
      <c r="L315" s="119" t="str">
        <f>IF('Prod 1'!I316="","",'Prod 1'!I316+'BH (2)'!C315)</f>
        <v/>
      </c>
      <c r="M315" s="59"/>
      <c r="N315" s="91"/>
      <c r="Q315" s="119" t="str">
        <f t="shared" si="23"/>
        <v/>
      </c>
      <c r="R315" s="92" t="str">
        <f>IF('Prod 1'!D316="","",'Prod 1'!D316)</f>
        <v/>
      </c>
      <c r="S315" s="119" t="str">
        <f>IF('Prod 1'!E316="","",'Prod 1'!E316+'BH (2)'!C315)</f>
        <v/>
      </c>
      <c r="T315" s="59"/>
      <c r="U315" s="91"/>
    </row>
    <row r="316" spans="2:21" ht="24.95" customHeight="1" x14ac:dyDescent="0.25">
      <c r="B316" s="119" t="str">
        <f t="shared" si="21"/>
        <v/>
      </c>
      <c r="C316" s="2">
        <v>3.1300000000000001E-6</v>
      </c>
      <c r="D316" s="92" t="str">
        <f>IF(DespF!D319="","",DespF!D319)</f>
        <v/>
      </c>
      <c r="E316" s="90" t="str">
        <f>IF(DespF!E319="","",DespF!E319+'BH (2)'!C316)</f>
        <v/>
      </c>
      <c r="F316" s="59"/>
      <c r="G316" s="21"/>
      <c r="I316" s="106">
        <v>313</v>
      </c>
      <c r="J316" s="119" t="str">
        <f t="shared" si="22"/>
        <v/>
      </c>
      <c r="K316" s="92" t="str">
        <f>IF('Prod 1'!D317="","",'Prod 1'!D317)</f>
        <v/>
      </c>
      <c r="L316" s="119" t="str">
        <f>IF('Prod 1'!I317="","",'Prod 1'!I317+'BH (2)'!C316)</f>
        <v/>
      </c>
      <c r="M316" s="59"/>
      <c r="N316" s="91"/>
      <c r="Q316" s="119" t="str">
        <f t="shared" si="23"/>
        <v/>
      </c>
      <c r="R316" s="92" t="str">
        <f>IF('Prod 1'!D317="","",'Prod 1'!D317)</f>
        <v/>
      </c>
      <c r="S316" s="119" t="str">
        <f>IF('Prod 1'!E317="","",'Prod 1'!E317+'BH (2)'!C316)</f>
        <v/>
      </c>
      <c r="T316" s="59"/>
      <c r="U316" s="91"/>
    </row>
    <row r="317" spans="2:21" ht="24.95" customHeight="1" x14ac:dyDescent="0.25">
      <c r="B317" s="119" t="str">
        <f t="shared" si="21"/>
        <v/>
      </c>
      <c r="C317" s="2">
        <v>3.14E-6</v>
      </c>
      <c r="D317" s="92" t="str">
        <f>IF(DespF!D320="","",DespF!D320)</f>
        <v/>
      </c>
      <c r="E317" s="90" t="str">
        <f>IF(DespF!E320="","",DespF!E320+'BH (2)'!C317)</f>
        <v/>
      </c>
      <c r="F317" s="59"/>
      <c r="G317" s="21"/>
      <c r="I317" s="106">
        <v>314</v>
      </c>
      <c r="J317" s="119" t="str">
        <f t="shared" si="22"/>
        <v/>
      </c>
      <c r="K317" s="92" t="str">
        <f>IF('Prod 1'!D318="","",'Prod 1'!D318)</f>
        <v/>
      </c>
      <c r="L317" s="119" t="str">
        <f>IF('Prod 1'!I318="","",'Prod 1'!I318+'BH (2)'!C317)</f>
        <v/>
      </c>
      <c r="M317" s="59"/>
      <c r="N317" s="91"/>
      <c r="Q317" s="119" t="str">
        <f t="shared" si="23"/>
        <v/>
      </c>
      <c r="R317" s="92" t="str">
        <f>IF('Prod 1'!D318="","",'Prod 1'!D318)</f>
        <v/>
      </c>
      <c r="S317" s="119" t="str">
        <f>IF('Prod 1'!E318="","",'Prod 1'!E318+'BH (2)'!C317)</f>
        <v/>
      </c>
      <c r="T317" s="59"/>
      <c r="U317" s="91"/>
    </row>
    <row r="318" spans="2:21" ht="24.95" customHeight="1" x14ac:dyDescent="0.25">
      <c r="B318" s="119" t="str">
        <f t="shared" si="21"/>
        <v/>
      </c>
      <c r="C318" s="2">
        <v>3.1499999999999999E-6</v>
      </c>
      <c r="D318" s="92" t="str">
        <f>IF(DespF!D321="","",DespF!D321)</f>
        <v/>
      </c>
      <c r="E318" s="90" t="str">
        <f>IF(DespF!E321="","",DespF!E321+'BH (2)'!C318)</f>
        <v/>
      </c>
      <c r="F318" s="59"/>
      <c r="G318" s="21"/>
      <c r="I318" s="106">
        <v>315</v>
      </c>
      <c r="J318" s="119" t="str">
        <f t="shared" si="22"/>
        <v/>
      </c>
      <c r="K318" s="92" t="str">
        <f>IF('Prod 1'!D319="","",'Prod 1'!D319)</f>
        <v/>
      </c>
      <c r="L318" s="119" t="str">
        <f>IF('Prod 1'!I319="","",'Prod 1'!I319+'BH (2)'!C318)</f>
        <v/>
      </c>
      <c r="M318" s="59"/>
      <c r="N318" s="91"/>
      <c r="Q318" s="119" t="str">
        <f t="shared" si="23"/>
        <v/>
      </c>
      <c r="R318" s="92" t="str">
        <f>IF('Prod 1'!D319="","",'Prod 1'!D319)</f>
        <v/>
      </c>
      <c r="S318" s="119" t="str">
        <f>IF('Prod 1'!E319="","",'Prod 1'!E319+'BH (2)'!C318)</f>
        <v/>
      </c>
      <c r="T318" s="59"/>
      <c r="U318" s="91"/>
    </row>
    <row r="319" spans="2:21" ht="24.95" customHeight="1" x14ac:dyDescent="0.25">
      <c r="B319" s="119" t="str">
        <f t="shared" si="21"/>
        <v/>
      </c>
      <c r="C319" s="2">
        <v>3.1599999999999998E-6</v>
      </c>
      <c r="D319" s="92" t="str">
        <f>IF(DespF!D322="","",DespF!D322)</f>
        <v/>
      </c>
      <c r="E319" s="90" t="str">
        <f>IF(DespF!E322="","",DespF!E322+'BH (2)'!C319)</f>
        <v/>
      </c>
      <c r="F319" s="59"/>
      <c r="G319" s="21"/>
      <c r="I319" s="106">
        <v>316</v>
      </c>
      <c r="J319" s="119" t="str">
        <f t="shared" si="22"/>
        <v/>
      </c>
      <c r="K319" s="92" t="str">
        <f>IF('Prod 1'!D320="","",'Prod 1'!D320)</f>
        <v/>
      </c>
      <c r="L319" s="119" t="str">
        <f>IF('Prod 1'!I320="","",'Prod 1'!I320+'BH (2)'!C319)</f>
        <v/>
      </c>
      <c r="M319" s="59"/>
      <c r="N319" s="91"/>
      <c r="Q319" s="119" t="str">
        <f t="shared" si="23"/>
        <v/>
      </c>
      <c r="R319" s="92" t="str">
        <f>IF('Prod 1'!D320="","",'Prod 1'!D320)</f>
        <v/>
      </c>
      <c r="S319" s="119" t="str">
        <f>IF('Prod 1'!E320="","",'Prod 1'!E320+'BH (2)'!C319)</f>
        <v/>
      </c>
      <c r="T319" s="59"/>
      <c r="U319" s="91"/>
    </row>
    <row r="320" spans="2:21" ht="24.95" customHeight="1" x14ac:dyDescent="0.25">
      <c r="B320" s="119" t="str">
        <f t="shared" si="21"/>
        <v/>
      </c>
      <c r="C320" s="2">
        <v>3.1700000000000001E-6</v>
      </c>
      <c r="D320" s="92" t="str">
        <f>IF(DespF!D323="","",DespF!D323)</f>
        <v/>
      </c>
      <c r="E320" s="90" t="str">
        <f>IF(DespF!E323="","",DespF!E323+'BH (2)'!C320)</f>
        <v/>
      </c>
      <c r="F320" s="59"/>
      <c r="G320" s="21"/>
      <c r="I320" s="106">
        <v>317</v>
      </c>
      <c r="J320" s="119" t="str">
        <f t="shared" si="22"/>
        <v/>
      </c>
      <c r="K320" s="92" t="str">
        <f>IF('Prod 1'!D321="","",'Prod 1'!D321)</f>
        <v/>
      </c>
      <c r="L320" s="119" t="str">
        <f>IF('Prod 1'!I321="","",'Prod 1'!I321+'BH (2)'!C320)</f>
        <v/>
      </c>
      <c r="M320" s="59"/>
      <c r="N320" s="91"/>
      <c r="Q320" s="119" t="str">
        <f t="shared" si="23"/>
        <v/>
      </c>
      <c r="R320" s="92" t="str">
        <f>IF('Prod 1'!D321="","",'Prod 1'!D321)</f>
        <v/>
      </c>
      <c r="S320" s="119" t="str">
        <f>IF('Prod 1'!E321="","",'Prod 1'!E321+'BH (2)'!C320)</f>
        <v/>
      </c>
      <c r="T320" s="59"/>
      <c r="U320" s="91"/>
    </row>
    <row r="321" spans="2:21" ht="24.95" customHeight="1" x14ac:dyDescent="0.25">
      <c r="B321" s="119" t="str">
        <f t="shared" si="21"/>
        <v/>
      </c>
      <c r="C321" s="2">
        <v>3.18E-6</v>
      </c>
      <c r="D321" s="92" t="str">
        <f>IF(DespF!D324="","",DespF!D324)</f>
        <v/>
      </c>
      <c r="E321" s="90" t="str">
        <f>IF(DespF!E324="","",DespF!E324+'BH (2)'!C321)</f>
        <v/>
      </c>
      <c r="F321" s="59"/>
      <c r="G321" s="21"/>
      <c r="I321" s="106">
        <v>318</v>
      </c>
      <c r="J321" s="119" t="str">
        <f t="shared" si="22"/>
        <v/>
      </c>
      <c r="K321" s="92" t="str">
        <f>IF('Prod 1'!D322="","",'Prod 1'!D322)</f>
        <v/>
      </c>
      <c r="L321" s="119" t="str">
        <f>IF('Prod 1'!I322="","",'Prod 1'!I322+'BH (2)'!C321)</f>
        <v/>
      </c>
      <c r="M321" s="59"/>
      <c r="N321" s="91"/>
      <c r="Q321" s="119" t="str">
        <f t="shared" si="23"/>
        <v/>
      </c>
      <c r="R321" s="92" t="str">
        <f>IF('Prod 1'!D322="","",'Prod 1'!D322)</f>
        <v/>
      </c>
      <c r="S321" s="119" t="str">
        <f>IF('Prod 1'!E322="","",'Prod 1'!E322+'BH (2)'!C321)</f>
        <v/>
      </c>
      <c r="T321" s="59"/>
      <c r="U321" s="91"/>
    </row>
    <row r="322" spans="2:21" ht="24.95" customHeight="1" x14ac:dyDescent="0.25">
      <c r="B322" s="119" t="str">
        <f t="shared" si="21"/>
        <v/>
      </c>
      <c r="C322" s="2">
        <v>3.19E-6</v>
      </c>
      <c r="D322" s="92" t="str">
        <f>IF(DespF!D325="","",DespF!D325)</f>
        <v/>
      </c>
      <c r="E322" s="90" t="str">
        <f>IF(DespF!E325="","",DespF!E325+'BH (2)'!C322)</f>
        <v/>
      </c>
      <c r="F322" s="59"/>
      <c r="G322" s="21"/>
      <c r="I322" s="106">
        <v>319</v>
      </c>
      <c r="J322" s="119" t="str">
        <f t="shared" si="22"/>
        <v/>
      </c>
      <c r="K322" s="92" t="str">
        <f>IF('Prod 1'!D323="","",'Prod 1'!D323)</f>
        <v/>
      </c>
      <c r="L322" s="119" t="str">
        <f>IF('Prod 1'!I323="","",'Prod 1'!I323+'BH (2)'!C322)</f>
        <v/>
      </c>
      <c r="M322" s="59"/>
      <c r="N322" s="91"/>
      <c r="Q322" s="119" t="str">
        <f t="shared" si="23"/>
        <v/>
      </c>
      <c r="R322" s="92" t="str">
        <f>IF('Prod 1'!D323="","",'Prod 1'!D323)</f>
        <v/>
      </c>
      <c r="S322" s="119" t="str">
        <f>IF('Prod 1'!E323="","",'Prod 1'!E323+'BH (2)'!C322)</f>
        <v/>
      </c>
      <c r="T322" s="59"/>
      <c r="U322" s="91"/>
    </row>
    <row r="323" spans="2:21" ht="24.95" customHeight="1" x14ac:dyDescent="0.25">
      <c r="B323" s="119" t="str">
        <f t="shared" si="21"/>
        <v/>
      </c>
      <c r="C323" s="2">
        <v>3.1999999999999999E-6</v>
      </c>
      <c r="D323" s="92" t="str">
        <f>IF(DespF!D326="","",DespF!D326)</f>
        <v/>
      </c>
      <c r="E323" s="90" t="str">
        <f>IF(DespF!E326="","",DespF!E326+'BH (2)'!C323)</f>
        <v/>
      </c>
      <c r="F323" s="59"/>
      <c r="G323" s="21"/>
      <c r="I323" s="106">
        <v>320</v>
      </c>
      <c r="J323" s="119" t="str">
        <f t="shared" si="22"/>
        <v/>
      </c>
      <c r="K323" s="92" t="str">
        <f>IF('Prod 1'!D324="","",'Prod 1'!D324)</f>
        <v/>
      </c>
      <c r="L323" s="119" t="str">
        <f>IF('Prod 1'!I324="","",'Prod 1'!I324+'BH (2)'!C323)</f>
        <v/>
      </c>
      <c r="M323" s="59"/>
      <c r="N323" s="91"/>
      <c r="Q323" s="119" t="str">
        <f t="shared" si="23"/>
        <v/>
      </c>
      <c r="R323" s="92" t="str">
        <f>IF('Prod 1'!D324="","",'Prod 1'!D324)</f>
        <v/>
      </c>
      <c r="S323" s="119" t="str">
        <f>IF('Prod 1'!E324="","",'Prod 1'!E324+'BH (2)'!C323)</f>
        <v/>
      </c>
      <c r="T323" s="59"/>
      <c r="U323" s="91"/>
    </row>
    <row r="324" spans="2:21" ht="24.95" customHeight="1" x14ac:dyDescent="0.25">
      <c r="B324" s="119" t="str">
        <f t="shared" si="21"/>
        <v/>
      </c>
      <c r="C324" s="2">
        <v>3.2100000000000002E-6</v>
      </c>
      <c r="D324" s="92" t="str">
        <f>IF(DespF!D327="","",DespF!D327)</f>
        <v/>
      </c>
      <c r="E324" s="90" t="str">
        <f>IF(DespF!E327="","",DespF!E327+'BH (2)'!C324)</f>
        <v/>
      </c>
      <c r="F324" s="59"/>
      <c r="G324" s="21"/>
      <c r="I324" s="106">
        <v>321</v>
      </c>
      <c r="J324" s="119" t="str">
        <f t="shared" si="22"/>
        <v/>
      </c>
      <c r="K324" s="92" t="str">
        <f>IF('Prod 1'!D325="","",'Prod 1'!D325)</f>
        <v/>
      </c>
      <c r="L324" s="119" t="str">
        <f>IF('Prod 1'!I325="","",'Prod 1'!I325+'BH (2)'!C324)</f>
        <v/>
      </c>
      <c r="M324" s="59"/>
      <c r="N324" s="91"/>
      <c r="Q324" s="119" t="str">
        <f t="shared" si="23"/>
        <v/>
      </c>
      <c r="R324" s="92" t="str">
        <f>IF('Prod 1'!D325="","",'Prod 1'!D325)</f>
        <v/>
      </c>
      <c r="S324" s="119" t="str">
        <f>IF('Prod 1'!E325="","",'Prod 1'!E325+'BH (2)'!C324)</f>
        <v/>
      </c>
      <c r="T324" s="59"/>
      <c r="U324" s="91"/>
    </row>
    <row r="325" spans="2:21" ht="24.95" customHeight="1" x14ac:dyDescent="0.25">
      <c r="B325" s="119" t="str">
        <f t="shared" ref="B325:B388" si="24">E325</f>
        <v/>
      </c>
      <c r="C325" s="2">
        <v>3.2200000000000001E-6</v>
      </c>
      <c r="D325" s="92" t="str">
        <f>IF(DespF!D328="","",DespF!D328)</f>
        <v/>
      </c>
      <c r="E325" s="90" t="str">
        <f>IF(DespF!E328="","",DespF!E328+'BH (2)'!C325)</f>
        <v/>
      </c>
      <c r="F325" s="59"/>
      <c r="G325" s="21"/>
      <c r="I325" s="106">
        <v>322</v>
      </c>
      <c r="J325" s="119" t="str">
        <f t="shared" ref="J325:J388" si="25">L325</f>
        <v/>
      </c>
      <c r="K325" s="92" t="str">
        <f>IF('Prod 1'!D326="","",'Prod 1'!D326)</f>
        <v/>
      </c>
      <c r="L325" s="119" t="str">
        <f>IF('Prod 1'!I326="","",'Prod 1'!I326+'BH (2)'!C325)</f>
        <v/>
      </c>
      <c r="M325" s="59"/>
      <c r="N325" s="91"/>
      <c r="Q325" s="119" t="str">
        <f t="shared" ref="Q325:Q388" si="26">S325</f>
        <v/>
      </c>
      <c r="R325" s="92" t="str">
        <f>IF('Prod 1'!D326="","",'Prod 1'!D326)</f>
        <v/>
      </c>
      <c r="S325" s="119" t="str">
        <f>IF('Prod 1'!E326="","",'Prod 1'!E326+'BH (2)'!C325)</f>
        <v/>
      </c>
      <c r="T325" s="59"/>
      <c r="U325" s="91"/>
    </row>
    <row r="326" spans="2:21" ht="24.95" customHeight="1" x14ac:dyDescent="0.25">
      <c r="B326" s="119" t="str">
        <f t="shared" si="24"/>
        <v/>
      </c>
      <c r="C326" s="2">
        <v>3.23E-6</v>
      </c>
      <c r="D326" s="92" t="str">
        <f>IF(DespF!D329="","",DespF!D329)</f>
        <v/>
      </c>
      <c r="E326" s="90" t="str">
        <f>IF(DespF!E329="","",DespF!E329+'BH (2)'!C326)</f>
        <v/>
      </c>
      <c r="F326" s="59"/>
      <c r="G326" s="21"/>
      <c r="I326" s="106">
        <v>323</v>
      </c>
      <c r="J326" s="119" t="str">
        <f t="shared" si="25"/>
        <v/>
      </c>
      <c r="K326" s="92" t="str">
        <f>IF('Prod 1'!D327="","",'Prod 1'!D327)</f>
        <v/>
      </c>
      <c r="L326" s="119" t="str">
        <f>IF('Prod 1'!I327="","",'Prod 1'!I327+'BH (2)'!C326)</f>
        <v/>
      </c>
      <c r="M326" s="59"/>
      <c r="N326" s="91"/>
      <c r="Q326" s="119" t="str">
        <f t="shared" si="26"/>
        <v/>
      </c>
      <c r="R326" s="92" t="str">
        <f>IF('Prod 1'!D327="","",'Prod 1'!D327)</f>
        <v/>
      </c>
      <c r="S326" s="119" t="str">
        <f>IF('Prod 1'!E327="","",'Prod 1'!E327+'BH (2)'!C326)</f>
        <v/>
      </c>
      <c r="T326" s="59"/>
      <c r="U326" s="91"/>
    </row>
    <row r="327" spans="2:21" ht="24.95" customHeight="1" x14ac:dyDescent="0.25">
      <c r="B327" s="119" t="str">
        <f t="shared" si="24"/>
        <v/>
      </c>
      <c r="C327" s="2">
        <v>3.2399999999999999E-6</v>
      </c>
      <c r="D327" s="92" t="str">
        <f>IF(DespF!D330="","",DespF!D330)</f>
        <v/>
      </c>
      <c r="E327" s="90" t="str">
        <f>IF(DespF!E330="","",DespF!E330+'BH (2)'!C327)</f>
        <v/>
      </c>
      <c r="F327" s="59"/>
      <c r="G327" s="21"/>
      <c r="I327" s="106">
        <v>324</v>
      </c>
      <c r="J327" s="119" t="str">
        <f t="shared" si="25"/>
        <v/>
      </c>
      <c r="K327" s="92" t="str">
        <f>IF('Prod 1'!D328="","",'Prod 1'!D328)</f>
        <v/>
      </c>
      <c r="L327" s="119" t="str">
        <f>IF('Prod 1'!I328="","",'Prod 1'!I328+'BH (2)'!C327)</f>
        <v/>
      </c>
      <c r="M327" s="59"/>
      <c r="N327" s="91"/>
      <c r="Q327" s="119" t="str">
        <f t="shared" si="26"/>
        <v/>
      </c>
      <c r="R327" s="92" t="str">
        <f>IF('Prod 1'!D328="","",'Prod 1'!D328)</f>
        <v/>
      </c>
      <c r="S327" s="119" t="str">
        <f>IF('Prod 1'!E328="","",'Prod 1'!E328+'BH (2)'!C327)</f>
        <v/>
      </c>
      <c r="T327" s="59"/>
      <c r="U327" s="91"/>
    </row>
    <row r="328" spans="2:21" ht="24.95" customHeight="1" x14ac:dyDescent="0.25">
      <c r="B328" s="119" t="str">
        <f t="shared" si="24"/>
        <v/>
      </c>
      <c r="C328" s="2">
        <v>3.2499999999999998E-6</v>
      </c>
      <c r="D328" s="92" t="str">
        <f>IF(DespF!D331="","",DespF!D331)</f>
        <v/>
      </c>
      <c r="E328" s="90" t="str">
        <f>IF(DespF!E331="","",DespF!E331+'BH (2)'!C328)</f>
        <v/>
      </c>
      <c r="F328" s="59"/>
      <c r="G328" s="21"/>
      <c r="I328" s="106">
        <v>325</v>
      </c>
      <c r="J328" s="119" t="str">
        <f t="shared" si="25"/>
        <v/>
      </c>
      <c r="K328" s="92" t="str">
        <f>IF('Prod 1'!D329="","",'Prod 1'!D329)</f>
        <v/>
      </c>
      <c r="L328" s="119" t="str">
        <f>IF('Prod 1'!I329="","",'Prod 1'!I329+'BH (2)'!C328)</f>
        <v/>
      </c>
      <c r="M328" s="59"/>
      <c r="N328" s="91"/>
      <c r="Q328" s="119" t="str">
        <f t="shared" si="26"/>
        <v/>
      </c>
      <c r="R328" s="92" t="str">
        <f>IF('Prod 1'!D329="","",'Prod 1'!D329)</f>
        <v/>
      </c>
      <c r="S328" s="119" t="str">
        <f>IF('Prod 1'!E329="","",'Prod 1'!E329+'BH (2)'!C328)</f>
        <v/>
      </c>
      <c r="T328" s="59"/>
      <c r="U328" s="91"/>
    </row>
    <row r="329" spans="2:21" ht="24.95" customHeight="1" x14ac:dyDescent="0.25">
      <c r="B329" s="119" t="str">
        <f t="shared" si="24"/>
        <v/>
      </c>
      <c r="C329" s="2">
        <v>3.2600000000000001E-6</v>
      </c>
      <c r="D329" s="92" t="str">
        <f>IF(DespF!D332="","",DespF!D332)</f>
        <v/>
      </c>
      <c r="E329" s="90" t="str">
        <f>IF(DespF!E332="","",DespF!E332+'BH (2)'!C329)</f>
        <v/>
      </c>
      <c r="F329" s="59"/>
      <c r="G329" s="21"/>
      <c r="I329" s="106">
        <v>326</v>
      </c>
      <c r="J329" s="119" t="str">
        <f t="shared" si="25"/>
        <v/>
      </c>
      <c r="K329" s="92" t="str">
        <f>IF('Prod 1'!D330="","",'Prod 1'!D330)</f>
        <v/>
      </c>
      <c r="L329" s="119" t="str">
        <f>IF('Prod 1'!I330="","",'Prod 1'!I330+'BH (2)'!C329)</f>
        <v/>
      </c>
      <c r="M329" s="59"/>
      <c r="N329" s="91"/>
      <c r="Q329" s="119" t="str">
        <f t="shared" si="26"/>
        <v/>
      </c>
      <c r="R329" s="92" t="str">
        <f>IF('Prod 1'!D330="","",'Prod 1'!D330)</f>
        <v/>
      </c>
      <c r="S329" s="119" t="str">
        <f>IF('Prod 1'!E330="","",'Prod 1'!E330+'BH (2)'!C329)</f>
        <v/>
      </c>
      <c r="T329" s="59"/>
      <c r="U329" s="91"/>
    </row>
    <row r="330" spans="2:21" ht="24.95" customHeight="1" x14ac:dyDescent="0.25">
      <c r="B330" s="119" t="str">
        <f t="shared" si="24"/>
        <v/>
      </c>
      <c r="C330" s="2">
        <v>3.27E-6</v>
      </c>
      <c r="D330" s="92" t="str">
        <f>IF(DespF!D333="","",DespF!D333)</f>
        <v/>
      </c>
      <c r="E330" s="90" t="str">
        <f>IF(DespF!E333="","",DespF!E333+'BH (2)'!C330)</f>
        <v/>
      </c>
      <c r="F330" s="59"/>
      <c r="G330" s="21"/>
      <c r="I330" s="106">
        <v>327</v>
      </c>
      <c r="J330" s="119" t="str">
        <f t="shared" si="25"/>
        <v/>
      </c>
      <c r="K330" s="92" t="str">
        <f>IF('Prod 1'!D331="","",'Prod 1'!D331)</f>
        <v/>
      </c>
      <c r="L330" s="119" t="str">
        <f>IF('Prod 1'!I331="","",'Prod 1'!I331+'BH (2)'!C330)</f>
        <v/>
      </c>
      <c r="M330" s="59"/>
      <c r="N330" s="91"/>
      <c r="Q330" s="119" t="str">
        <f t="shared" si="26"/>
        <v/>
      </c>
      <c r="R330" s="92" t="str">
        <f>IF('Prod 1'!D331="","",'Prod 1'!D331)</f>
        <v/>
      </c>
      <c r="S330" s="119" t="str">
        <f>IF('Prod 1'!E331="","",'Prod 1'!E331+'BH (2)'!C330)</f>
        <v/>
      </c>
      <c r="T330" s="59"/>
      <c r="U330" s="91"/>
    </row>
    <row r="331" spans="2:21" ht="24.95" customHeight="1" x14ac:dyDescent="0.25">
      <c r="B331" s="119" t="str">
        <f t="shared" si="24"/>
        <v/>
      </c>
      <c r="C331" s="2">
        <v>3.2799999999999999E-6</v>
      </c>
      <c r="D331" s="92" t="str">
        <f>IF(DespF!D334="","",DespF!D334)</f>
        <v/>
      </c>
      <c r="E331" s="90" t="str">
        <f>IF(DespF!E334="","",DespF!E334+'BH (2)'!C331)</f>
        <v/>
      </c>
      <c r="F331" s="59"/>
      <c r="G331" s="21"/>
      <c r="I331" s="106">
        <v>328</v>
      </c>
      <c r="J331" s="119" t="str">
        <f t="shared" si="25"/>
        <v/>
      </c>
      <c r="K331" s="92" t="str">
        <f>IF('Prod 1'!D332="","",'Prod 1'!D332)</f>
        <v/>
      </c>
      <c r="L331" s="119" t="str">
        <f>IF('Prod 1'!I332="","",'Prod 1'!I332+'BH (2)'!C331)</f>
        <v/>
      </c>
      <c r="M331" s="59"/>
      <c r="N331" s="91"/>
      <c r="Q331" s="119" t="str">
        <f t="shared" si="26"/>
        <v/>
      </c>
      <c r="R331" s="92" t="str">
        <f>IF('Prod 1'!D332="","",'Prod 1'!D332)</f>
        <v/>
      </c>
      <c r="S331" s="119" t="str">
        <f>IF('Prod 1'!E332="","",'Prod 1'!E332+'BH (2)'!C331)</f>
        <v/>
      </c>
      <c r="T331" s="59"/>
      <c r="U331" s="91"/>
    </row>
    <row r="332" spans="2:21" ht="24.95" customHeight="1" x14ac:dyDescent="0.25">
      <c r="B332" s="119" t="str">
        <f t="shared" si="24"/>
        <v/>
      </c>
      <c r="C332" s="2">
        <v>3.2899999999999998E-6</v>
      </c>
      <c r="D332" s="92" t="str">
        <f>IF(DespF!D335="","",DespF!D335)</f>
        <v/>
      </c>
      <c r="E332" s="90" t="str">
        <f>IF(DespF!E335="","",DespF!E335+'BH (2)'!C332)</f>
        <v/>
      </c>
      <c r="F332" s="59"/>
      <c r="G332" s="21"/>
      <c r="I332" s="106">
        <v>329</v>
      </c>
      <c r="J332" s="119" t="str">
        <f t="shared" si="25"/>
        <v/>
      </c>
      <c r="K332" s="92" t="str">
        <f>IF('Prod 1'!D333="","",'Prod 1'!D333)</f>
        <v/>
      </c>
      <c r="L332" s="119" t="str">
        <f>IF('Prod 1'!I333="","",'Prod 1'!I333+'BH (2)'!C332)</f>
        <v/>
      </c>
      <c r="M332" s="59"/>
      <c r="N332" s="91"/>
      <c r="Q332" s="119" t="str">
        <f t="shared" si="26"/>
        <v/>
      </c>
      <c r="R332" s="92" t="str">
        <f>IF('Prod 1'!D333="","",'Prod 1'!D333)</f>
        <v/>
      </c>
      <c r="S332" s="119" t="str">
        <f>IF('Prod 1'!E333="","",'Prod 1'!E333+'BH (2)'!C332)</f>
        <v/>
      </c>
      <c r="T332" s="59"/>
      <c r="U332" s="91"/>
    </row>
    <row r="333" spans="2:21" ht="24.95" customHeight="1" x14ac:dyDescent="0.25">
      <c r="B333" s="119" t="str">
        <f t="shared" si="24"/>
        <v/>
      </c>
      <c r="C333" s="2">
        <v>3.3000000000000002E-6</v>
      </c>
      <c r="D333" s="92" t="str">
        <f>IF(DespF!D336="","",DespF!D336)</f>
        <v/>
      </c>
      <c r="E333" s="90" t="str">
        <f>IF(DespF!E336="","",DespF!E336+'BH (2)'!C333)</f>
        <v/>
      </c>
      <c r="F333" s="59"/>
      <c r="G333" s="21"/>
      <c r="I333" s="106">
        <v>330</v>
      </c>
      <c r="J333" s="119" t="str">
        <f t="shared" si="25"/>
        <v/>
      </c>
      <c r="K333" s="92" t="str">
        <f>IF('Prod 1'!D334="","",'Prod 1'!D334)</f>
        <v/>
      </c>
      <c r="L333" s="119" t="str">
        <f>IF('Prod 1'!I334="","",'Prod 1'!I334+'BH (2)'!C333)</f>
        <v/>
      </c>
      <c r="M333" s="59"/>
      <c r="N333" s="91"/>
      <c r="Q333" s="119" t="str">
        <f t="shared" si="26"/>
        <v/>
      </c>
      <c r="R333" s="92" t="str">
        <f>IF('Prod 1'!D334="","",'Prod 1'!D334)</f>
        <v/>
      </c>
      <c r="S333" s="119" t="str">
        <f>IF('Prod 1'!E334="","",'Prod 1'!E334+'BH (2)'!C333)</f>
        <v/>
      </c>
      <c r="T333" s="59"/>
      <c r="U333" s="91"/>
    </row>
    <row r="334" spans="2:21" ht="24.95" customHeight="1" x14ac:dyDescent="0.25">
      <c r="B334" s="119" t="str">
        <f t="shared" si="24"/>
        <v/>
      </c>
      <c r="C334" s="2">
        <v>3.3100000000000001E-6</v>
      </c>
      <c r="D334" s="92" t="str">
        <f>IF(DespF!D337="","",DespF!D337)</f>
        <v/>
      </c>
      <c r="E334" s="90" t="str">
        <f>IF(DespF!E337="","",DespF!E337+'BH (2)'!C334)</f>
        <v/>
      </c>
      <c r="F334" s="59"/>
      <c r="G334" s="21"/>
      <c r="I334" s="106">
        <v>331</v>
      </c>
      <c r="J334" s="119" t="str">
        <f t="shared" si="25"/>
        <v/>
      </c>
      <c r="K334" s="92" t="str">
        <f>IF('Prod 1'!D335="","",'Prod 1'!D335)</f>
        <v/>
      </c>
      <c r="L334" s="119" t="str">
        <f>IF('Prod 1'!I335="","",'Prod 1'!I335+'BH (2)'!C334)</f>
        <v/>
      </c>
      <c r="M334" s="59"/>
      <c r="N334" s="91"/>
      <c r="Q334" s="119" t="str">
        <f t="shared" si="26"/>
        <v/>
      </c>
      <c r="R334" s="92" t="str">
        <f>IF('Prod 1'!D335="","",'Prod 1'!D335)</f>
        <v/>
      </c>
      <c r="S334" s="119" t="str">
        <f>IF('Prod 1'!E335="","",'Prod 1'!E335+'BH (2)'!C334)</f>
        <v/>
      </c>
      <c r="T334" s="59"/>
      <c r="U334" s="91"/>
    </row>
    <row r="335" spans="2:21" ht="24.95" customHeight="1" x14ac:dyDescent="0.25">
      <c r="B335" s="119" t="str">
        <f t="shared" si="24"/>
        <v/>
      </c>
      <c r="C335" s="2">
        <v>3.32E-6</v>
      </c>
      <c r="D335" s="92" t="str">
        <f>IF(DespF!D338="","",DespF!D338)</f>
        <v/>
      </c>
      <c r="E335" s="90" t="str">
        <f>IF(DespF!E338="","",DespF!E338+'BH (2)'!C335)</f>
        <v/>
      </c>
      <c r="F335" s="59"/>
      <c r="G335" s="21"/>
      <c r="I335" s="106">
        <v>332</v>
      </c>
      <c r="J335" s="119" t="str">
        <f t="shared" si="25"/>
        <v/>
      </c>
      <c r="K335" s="92" t="str">
        <f>IF('Prod 1'!D336="","",'Prod 1'!D336)</f>
        <v/>
      </c>
      <c r="L335" s="119" t="str">
        <f>IF('Prod 1'!I336="","",'Prod 1'!I336+'BH (2)'!C335)</f>
        <v/>
      </c>
      <c r="M335" s="59"/>
      <c r="N335" s="91"/>
      <c r="Q335" s="119" t="str">
        <f t="shared" si="26"/>
        <v/>
      </c>
      <c r="R335" s="92" t="str">
        <f>IF('Prod 1'!D336="","",'Prod 1'!D336)</f>
        <v/>
      </c>
      <c r="S335" s="119" t="str">
        <f>IF('Prod 1'!E336="","",'Prod 1'!E336+'BH (2)'!C335)</f>
        <v/>
      </c>
      <c r="T335" s="59"/>
      <c r="U335" s="91"/>
    </row>
    <row r="336" spans="2:21" ht="24.95" customHeight="1" x14ac:dyDescent="0.25">
      <c r="B336" s="119" t="str">
        <f t="shared" si="24"/>
        <v/>
      </c>
      <c r="C336" s="2">
        <v>3.3299999999999999E-6</v>
      </c>
      <c r="D336" s="92" t="str">
        <f>IF(DespF!D339="","",DespF!D339)</f>
        <v/>
      </c>
      <c r="E336" s="90" t="str">
        <f>IF(DespF!E339="","",DespF!E339+'BH (2)'!C336)</f>
        <v/>
      </c>
      <c r="F336" s="59"/>
      <c r="G336" s="21"/>
      <c r="I336" s="106">
        <v>333</v>
      </c>
      <c r="J336" s="119" t="str">
        <f t="shared" si="25"/>
        <v/>
      </c>
      <c r="K336" s="92" t="str">
        <f>IF('Prod 1'!D337="","",'Prod 1'!D337)</f>
        <v/>
      </c>
      <c r="L336" s="119" t="str">
        <f>IF('Prod 1'!I337="","",'Prod 1'!I337+'BH (2)'!C336)</f>
        <v/>
      </c>
      <c r="M336" s="59"/>
      <c r="N336" s="91"/>
      <c r="Q336" s="119" t="str">
        <f t="shared" si="26"/>
        <v/>
      </c>
      <c r="R336" s="92" t="str">
        <f>IF('Prod 1'!D337="","",'Prod 1'!D337)</f>
        <v/>
      </c>
      <c r="S336" s="119" t="str">
        <f>IF('Prod 1'!E337="","",'Prod 1'!E337+'BH (2)'!C336)</f>
        <v/>
      </c>
      <c r="T336" s="59"/>
      <c r="U336" s="91"/>
    </row>
    <row r="337" spans="2:21" ht="24.95" customHeight="1" x14ac:dyDescent="0.25">
      <c r="B337" s="119" t="str">
        <f t="shared" si="24"/>
        <v/>
      </c>
      <c r="C337" s="2">
        <v>3.3400000000000002E-6</v>
      </c>
      <c r="D337" s="92" t="str">
        <f>IF(DespF!D340="","",DespF!D340)</f>
        <v/>
      </c>
      <c r="E337" s="90" t="str">
        <f>IF(DespF!E340="","",DespF!E340+'BH (2)'!C337)</f>
        <v/>
      </c>
      <c r="F337" s="59"/>
      <c r="G337" s="21"/>
      <c r="I337" s="106">
        <v>334</v>
      </c>
      <c r="J337" s="119" t="str">
        <f t="shared" si="25"/>
        <v/>
      </c>
      <c r="K337" s="92" t="str">
        <f>IF('Prod 1'!D338="","",'Prod 1'!D338)</f>
        <v/>
      </c>
      <c r="L337" s="119" t="str">
        <f>IF('Prod 1'!I338="","",'Prod 1'!I338+'BH (2)'!C337)</f>
        <v/>
      </c>
      <c r="M337" s="59"/>
      <c r="N337" s="91"/>
      <c r="Q337" s="119" t="str">
        <f t="shared" si="26"/>
        <v/>
      </c>
      <c r="R337" s="92" t="str">
        <f>IF('Prod 1'!D338="","",'Prod 1'!D338)</f>
        <v/>
      </c>
      <c r="S337" s="119" t="str">
        <f>IF('Prod 1'!E338="","",'Prod 1'!E338+'BH (2)'!C337)</f>
        <v/>
      </c>
      <c r="T337" s="59"/>
      <c r="U337" s="91"/>
    </row>
    <row r="338" spans="2:21" ht="24.95" customHeight="1" x14ac:dyDescent="0.25">
      <c r="B338" s="119" t="str">
        <f t="shared" si="24"/>
        <v/>
      </c>
      <c r="C338" s="2">
        <v>3.3500000000000001E-6</v>
      </c>
      <c r="D338" s="92" t="str">
        <f>IF(DespF!D341="","",DespF!D341)</f>
        <v/>
      </c>
      <c r="E338" s="90" t="str">
        <f>IF(DespF!E341="","",DespF!E341+'BH (2)'!C338)</f>
        <v/>
      </c>
      <c r="F338" s="59"/>
      <c r="G338" s="21"/>
      <c r="I338" s="106">
        <v>335</v>
      </c>
      <c r="J338" s="119" t="str">
        <f t="shared" si="25"/>
        <v/>
      </c>
      <c r="K338" s="92" t="str">
        <f>IF('Prod 1'!D339="","",'Prod 1'!D339)</f>
        <v/>
      </c>
      <c r="L338" s="119" t="str">
        <f>IF('Prod 1'!I339="","",'Prod 1'!I339+'BH (2)'!C338)</f>
        <v/>
      </c>
      <c r="M338" s="59"/>
      <c r="N338" s="91"/>
      <c r="Q338" s="119" t="str">
        <f t="shared" si="26"/>
        <v/>
      </c>
      <c r="R338" s="92" t="str">
        <f>IF('Prod 1'!D339="","",'Prod 1'!D339)</f>
        <v/>
      </c>
      <c r="S338" s="119" t="str">
        <f>IF('Prod 1'!E339="","",'Prod 1'!E339+'BH (2)'!C338)</f>
        <v/>
      </c>
      <c r="T338" s="59"/>
      <c r="U338" s="91"/>
    </row>
    <row r="339" spans="2:21" ht="24.95" customHeight="1" x14ac:dyDescent="0.25">
      <c r="B339" s="119" t="str">
        <f t="shared" si="24"/>
        <v/>
      </c>
      <c r="C339" s="2">
        <v>3.36E-6</v>
      </c>
      <c r="D339" s="92" t="str">
        <f>IF(DespF!D342="","",DespF!D342)</f>
        <v/>
      </c>
      <c r="E339" s="90" t="str">
        <f>IF(DespF!E342="","",DespF!E342+'BH (2)'!C339)</f>
        <v/>
      </c>
      <c r="F339" s="59"/>
      <c r="G339" s="21"/>
      <c r="I339" s="106">
        <v>336</v>
      </c>
      <c r="J339" s="119" t="str">
        <f t="shared" si="25"/>
        <v/>
      </c>
      <c r="K339" s="92" t="str">
        <f>IF('Prod 1'!D340="","",'Prod 1'!D340)</f>
        <v/>
      </c>
      <c r="L339" s="119" t="str">
        <f>IF('Prod 1'!I340="","",'Prod 1'!I340+'BH (2)'!C339)</f>
        <v/>
      </c>
      <c r="M339" s="59"/>
      <c r="N339" s="91"/>
      <c r="Q339" s="119" t="str">
        <f t="shared" si="26"/>
        <v/>
      </c>
      <c r="R339" s="92" t="str">
        <f>IF('Prod 1'!D340="","",'Prod 1'!D340)</f>
        <v/>
      </c>
      <c r="S339" s="119" t="str">
        <f>IF('Prod 1'!E340="","",'Prod 1'!E340+'BH (2)'!C339)</f>
        <v/>
      </c>
      <c r="T339" s="59"/>
      <c r="U339" s="91"/>
    </row>
    <row r="340" spans="2:21" ht="24.95" customHeight="1" x14ac:dyDescent="0.25">
      <c r="B340" s="119" t="str">
        <f t="shared" si="24"/>
        <v/>
      </c>
      <c r="C340" s="2">
        <v>3.3699999999999999E-6</v>
      </c>
      <c r="D340" s="92" t="str">
        <f>IF(DespF!D343="","",DespF!D343)</f>
        <v/>
      </c>
      <c r="E340" s="90" t="str">
        <f>IF(DespF!E343="","",DespF!E343+'BH (2)'!C340)</f>
        <v/>
      </c>
      <c r="F340" s="59"/>
      <c r="G340" s="21"/>
      <c r="I340" s="106">
        <v>337</v>
      </c>
      <c r="J340" s="119" t="str">
        <f t="shared" si="25"/>
        <v/>
      </c>
      <c r="K340" s="92" t="str">
        <f>IF('Prod 1'!D341="","",'Prod 1'!D341)</f>
        <v/>
      </c>
      <c r="L340" s="119" t="str">
        <f>IF('Prod 1'!I341="","",'Prod 1'!I341+'BH (2)'!C340)</f>
        <v/>
      </c>
      <c r="M340" s="59"/>
      <c r="N340" s="91"/>
      <c r="Q340" s="119" t="str">
        <f t="shared" si="26"/>
        <v/>
      </c>
      <c r="R340" s="92" t="str">
        <f>IF('Prod 1'!D341="","",'Prod 1'!D341)</f>
        <v/>
      </c>
      <c r="S340" s="119" t="str">
        <f>IF('Prod 1'!E341="","",'Prod 1'!E341+'BH (2)'!C340)</f>
        <v/>
      </c>
      <c r="T340" s="59"/>
      <c r="U340" s="91"/>
    </row>
    <row r="341" spans="2:21" ht="24.95" customHeight="1" x14ac:dyDescent="0.25">
      <c r="B341" s="119" t="str">
        <f t="shared" si="24"/>
        <v/>
      </c>
      <c r="C341" s="2">
        <v>3.3799999999999998E-6</v>
      </c>
      <c r="D341" s="92" t="str">
        <f>IF(DespF!D344="","",DespF!D344)</f>
        <v/>
      </c>
      <c r="E341" s="90" t="str">
        <f>IF(DespF!E344="","",DespF!E344+'BH (2)'!C341)</f>
        <v/>
      </c>
      <c r="F341" s="59"/>
      <c r="G341" s="21"/>
      <c r="I341" s="106">
        <v>338</v>
      </c>
      <c r="J341" s="119" t="str">
        <f t="shared" si="25"/>
        <v/>
      </c>
      <c r="K341" s="92" t="str">
        <f>IF('Prod 1'!D342="","",'Prod 1'!D342)</f>
        <v/>
      </c>
      <c r="L341" s="119" t="str">
        <f>IF('Prod 1'!I342="","",'Prod 1'!I342+'BH (2)'!C341)</f>
        <v/>
      </c>
      <c r="M341" s="59"/>
      <c r="N341" s="91"/>
      <c r="Q341" s="119" t="str">
        <f t="shared" si="26"/>
        <v/>
      </c>
      <c r="R341" s="92" t="str">
        <f>IF('Prod 1'!D342="","",'Prod 1'!D342)</f>
        <v/>
      </c>
      <c r="S341" s="119" t="str">
        <f>IF('Prod 1'!E342="","",'Prod 1'!E342+'BH (2)'!C341)</f>
        <v/>
      </c>
      <c r="T341" s="59"/>
      <c r="U341" s="91"/>
    </row>
    <row r="342" spans="2:21" ht="24.95" customHeight="1" x14ac:dyDescent="0.25">
      <c r="B342" s="119" t="str">
        <f t="shared" si="24"/>
        <v/>
      </c>
      <c r="C342" s="2">
        <v>3.3900000000000002E-6</v>
      </c>
      <c r="D342" s="92" t="str">
        <f>IF(DespF!D345="","",DespF!D345)</f>
        <v/>
      </c>
      <c r="E342" s="90" t="str">
        <f>IF(DespF!E345="","",DespF!E345+'BH (2)'!C342)</f>
        <v/>
      </c>
      <c r="F342" s="59"/>
      <c r="G342" s="21"/>
      <c r="I342" s="106">
        <v>339</v>
      </c>
      <c r="J342" s="119" t="str">
        <f t="shared" si="25"/>
        <v/>
      </c>
      <c r="K342" s="92" t="str">
        <f>IF('Prod 1'!D343="","",'Prod 1'!D343)</f>
        <v/>
      </c>
      <c r="L342" s="119" t="str">
        <f>IF('Prod 1'!I343="","",'Prod 1'!I343+'BH (2)'!C342)</f>
        <v/>
      </c>
      <c r="M342" s="59"/>
      <c r="N342" s="91"/>
      <c r="Q342" s="119" t="str">
        <f t="shared" si="26"/>
        <v/>
      </c>
      <c r="R342" s="92" t="str">
        <f>IF('Prod 1'!D343="","",'Prod 1'!D343)</f>
        <v/>
      </c>
      <c r="S342" s="119" t="str">
        <f>IF('Prod 1'!E343="","",'Prod 1'!E343+'BH (2)'!C342)</f>
        <v/>
      </c>
      <c r="T342" s="59"/>
      <c r="U342" s="91"/>
    </row>
    <row r="343" spans="2:21" ht="24.95" customHeight="1" x14ac:dyDescent="0.25">
      <c r="B343" s="119" t="str">
        <f t="shared" si="24"/>
        <v/>
      </c>
      <c r="C343" s="2">
        <v>3.4000000000000001E-6</v>
      </c>
      <c r="D343" s="92" t="str">
        <f>IF(DespF!D346="","",DespF!D346)</f>
        <v/>
      </c>
      <c r="E343" s="90" t="str">
        <f>IF(DespF!E346="","",DespF!E346+'BH (2)'!C343)</f>
        <v/>
      </c>
      <c r="F343" s="59"/>
      <c r="G343" s="21"/>
      <c r="I343" s="106">
        <v>340</v>
      </c>
      <c r="J343" s="119" t="str">
        <f t="shared" si="25"/>
        <v/>
      </c>
      <c r="K343" s="92" t="str">
        <f>IF('Prod 1'!D344="","",'Prod 1'!D344)</f>
        <v/>
      </c>
      <c r="L343" s="119" t="str">
        <f>IF('Prod 1'!I344="","",'Prod 1'!I344+'BH (2)'!C343)</f>
        <v/>
      </c>
      <c r="M343" s="59"/>
      <c r="N343" s="91"/>
      <c r="Q343" s="119" t="str">
        <f t="shared" si="26"/>
        <v/>
      </c>
      <c r="R343" s="92" t="str">
        <f>IF('Prod 1'!D344="","",'Prod 1'!D344)</f>
        <v/>
      </c>
      <c r="S343" s="119" t="str">
        <f>IF('Prod 1'!E344="","",'Prod 1'!E344+'BH (2)'!C343)</f>
        <v/>
      </c>
      <c r="T343" s="59"/>
      <c r="U343" s="91"/>
    </row>
    <row r="344" spans="2:21" ht="24.95" customHeight="1" x14ac:dyDescent="0.25">
      <c r="B344" s="119" t="str">
        <f t="shared" si="24"/>
        <v/>
      </c>
      <c r="C344" s="2">
        <v>3.41E-6</v>
      </c>
      <c r="D344" s="92" t="str">
        <f>IF(DespF!D347="","",DespF!D347)</f>
        <v/>
      </c>
      <c r="E344" s="90" t="str">
        <f>IF(DespF!E347="","",DespF!E347+'BH (2)'!C344)</f>
        <v/>
      </c>
      <c r="F344" s="59"/>
      <c r="G344" s="21"/>
      <c r="I344" s="106">
        <v>341</v>
      </c>
      <c r="J344" s="119" t="str">
        <f t="shared" si="25"/>
        <v/>
      </c>
      <c r="K344" s="92" t="str">
        <f>IF('Prod 1'!D345="","",'Prod 1'!D345)</f>
        <v/>
      </c>
      <c r="L344" s="119" t="str">
        <f>IF('Prod 1'!I345="","",'Prod 1'!I345+'BH (2)'!C344)</f>
        <v/>
      </c>
      <c r="M344" s="59"/>
      <c r="N344" s="91"/>
      <c r="Q344" s="119" t="str">
        <f t="shared" si="26"/>
        <v/>
      </c>
      <c r="R344" s="92" t="str">
        <f>IF('Prod 1'!D345="","",'Prod 1'!D345)</f>
        <v/>
      </c>
      <c r="S344" s="119" t="str">
        <f>IF('Prod 1'!E345="","",'Prod 1'!E345+'BH (2)'!C344)</f>
        <v/>
      </c>
      <c r="T344" s="59"/>
      <c r="U344" s="91"/>
    </row>
    <row r="345" spans="2:21" ht="24.95" customHeight="1" x14ac:dyDescent="0.25">
      <c r="B345" s="119" t="str">
        <f t="shared" si="24"/>
        <v/>
      </c>
      <c r="C345" s="2">
        <v>3.4199999999999999E-6</v>
      </c>
      <c r="D345" s="92" t="str">
        <f>IF(DespF!D348="","",DespF!D348)</f>
        <v/>
      </c>
      <c r="E345" s="90" t="str">
        <f>IF(DespF!E348="","",DespF!E348+'BH (2)'!C345)</f>
        <v/>
      </c>
      <c r="F345" s="59"/>
      <c r="G345" s="21"/>
      <c r="I345" s="106">
        <v>342</v>
      </c>
      <c r="J345" s="119" t="str">
        <f t="shared" si="25"/>
        <v/>
      </c>
      <c r="K345" s="92" t="str">
        <f>IF('Prod 1'!D346="","",'Prod 1'!D346)</f>
        <v/>
      </c>
      <c r="L345" s="119" t="str">
        <f>IF('Prod 1'!I346="","",'Prod 1'!I346+'BH (2)'!C345)</f>
        <v/>
      </c>
      <c r="M345" s="59"/>
      <c r="N345" s="91"/>
      <c r="Q345" s="119" t="str">
        <f t="shared" si="26"/>
        <v/>
      </c>
      <c r="R345" s="92" t="str">
        <f>IF('Prod 1'!D346="","",'Prod 1'!D346)</f>
        <v/>
      </c>
      <c r="S345" s="119" t="str">
        <f>IF('Prod 1'!E346="","",'Prod 1'!E346+'BH (2)'!C345)</f>
        <v/>
      </c>
      <c r="T345" s="59"/>
      <c r="U345" s="91"/>
    </row>
    <row r="346" spans="2:21" ht="24.95" customHeight="1" x14ac:dyDescent="0.25">
      <c r="B346" s="119" t="str">
        <f t="shared" si="24"/>
        <v/>
      </c>
      <c r="C346" s="2">
        <v>3.4300000000000002E-6</v>
      </c>
      <c r="D346" s="92" t="str">
        <f>IF(DespF!D349="","",DespF!D349)</f>
        <v/>
      </c>
      <c r="E346" s="90" t="str">
        <f>IF(DespF!E349="","",DespF!E349+'BH (2)'!C346)</f>
        <v/>
      </c>
      <c r="F346" s="59"/>
      <c r="G346" s="21"/>
      <c r="I346" s="106">
        <v>343</v>
      </c>
      <c r="J346" s="119" t="str">
        <f t="shared" si="25"/>
        <v/>
      </c>
      <c r="K346" s="92" t="str">
        <f>IF('Prod 1'!D347="","",'Prod 1'!D347)</f>
        <v/>
      </c>
      <c r="L346" s="119" t="str">
        <f>IF('Prod 1'!I347="","",'Prod 1'!I347+'BH (2)'!C346)</f>
        <v/>
      </c>
      <c r="M346" s="59"/>
      <c r="N346" s="91"/>
      <c r="Q346" s="119" t="str">
        <f t="shared" si="26"/>
        <v/>
      </c>
      <c r="R346" s="92" t="str">
        <f>IF('Prod 1'!D347="","",'Prod 1'!D347)</f>
        <v/>
      </c>
      <c r="S346" s="119" t="str">
        <f>IF('Prod 1'!E347="","",'Prod 1'!E347+'BH (2)'!C346)</f>
        <v/>
      </c>
      <c r="T346" s="59"/>
      <c r="U346" s="91"/>
    </row>
    <row r="347" spans="2:21" ht="24.95" customHeight="1" x14ac:dyDescent="0.25">
      <c r="B347" s="119" t="str">
        <f t="shared" si="24"/>
        <v/>
      </c>
      <c r="C347" s="2">
        <v>3.4400000000000001E-6</v>
      </c>
      <c r="D347" s="92" t="str">
        <f>IF(DespF!D350="","",DespF!D350)</f>
        <v/>
      </c>
      <c r="E347" s="90" t="str">
        <f>IF(DespF!E350="","",DespF!E350+'BH (2)'!C347)</f>
        <v/>
      </c>
      <c r="F347" s="59"/>
      <c r="G347" s="21"/>
      <c r="I347" s="106">
        <v>344</v>
      </c>
      <c r="J347" s="119" t="str">
        <f t="shared" si="25"/>
        <v/>
      </c>
      <c r="K347" s="92" t="str">
        <f>IF('Prod 1'!D348="","",'Prod 1'!D348)</f>
        <v/>
      </c>
      <c r="L347" s="119" t="str">
        <f>IF('Prod 1'!I348="","",'Prod 1'!I348+'BH (2)'!C347)</f>
        <v/>
      </c>
      <c r="M347" s="59"/>
      <c r="N347" s="91"/>
      <c r="Q347" s="119" t="str">
        <f t="shared" si="26"/>
        <v/>
      </c>
      <c r="R347" s="92" t="str">
        <f>IF('Prod 1'!D348="","",'Prod 1'!D348)</f>
        <v/>
      </c>
      <c r="S347" s="119" t="str">
        <f>IF('Prod 1'!E348="","",'Prod 1'!E348+'BH (2)'!C347)</f>
        <v/>
      </c>
      <c r="T347" s="59"/>
      <c r="U347" s="91"/>
    </row>
    <row r="348" spans="2:21" ht="24.95" customHeight="1" x14ac:dyDescent="0.25">
      <c r="B348" s="119" t="str">
        <f t="shared" si="24"/>
        <v/>
      </c>
      <c r="C348" s="2">
        <v>3.45E-6</v>
      </c>
      <c r="D348" s="92" t="str">
        <f>IF(DespF!D351="","",DespF!D351)</f>
        <v/>
      </c>
      <c r="E348" s="90" t="str">
        <f>IF(DespF!E351="","",DespF!E351+'BH (2)'!C348)</f>
        <v/>
      </c>
      <c r="F348" s="59"/>
      <c r="G348" s="21"/>
      <c r="I348" s="106">
        <v>345</v>
      </c>
      <c r="J348" s="119" t="str">
        <f t="shared" si="25"/>
        <v/>
      </c>
      <c r="K348" s="92" t="str">
        <f>IF('Prod 1'!D349="","",'Prod 1'!D349)</f>
        <v/>
      </c>
      <c r="L348" s="119" t="str">
        <f>IF('Prod 1'!I349="","",'Prod 1'!I349+'BH (2)'!C348)</f>
        <v/>
      </c>
      <c r="M348" s="59"/>
      <c r="N348" s="91"/>
      <c r="Q348" s="119" t="str">
        <f t="shared" si="26"/>
        <v/>
      </c>
      <c r="R348" s="92" t="str">
        <f>IF('Prod 1'!D349="","",'Prod 1'!D349)</f>
        <v/>
      </c>
      <c r="S348" s="119" t="str">
        <f>IF('Prod 1'!E349="","",'Prod 1'!E349+'BH (2)'!C348)</f>
        <v/>
      </c>
      <c r="T348" s="59"/>
      <c r="U348" s="91"/>
    </row>
    <row r="349" spans="2:21" ht="24.95" customHeight="1" x14ac:dyDescent="0.25">
      <c r="B349" s="119" t="str">
        <f t="shared" si="24"/>
        <v/>
      </c>
      <c r="C349" s="2">
        <v>3.4599999999999999E-6</v>
      </c>
      <c r="D349" s="92" t="str">
        <f>IF(DespF!D352="","",DespF!D352)</f>
        <v/>
      </c>
      <c r="E349" s="90" t="str">
        <f>IF(DespF!E352="","",DespF!E352+'BH (2)'!C349)</f>
        <v/>
      </c>
      <c r="F349" s="59"/>
      <c r="G349" s="21"/>
      <c r="I349" s="106">
        <v>346</v>
      </c>
      <c r="J349" s="119" t="str">
        <f t="shared" si="25"/>
        <v/>
      </c>
      <c r="K349" s="92" t="str">
        <f>IF('Prod 1'!D350="","",'Prod 1'!D350)</f>
        <v/>
      </c>
      <c r="L349" s="119" t="str">
        <f>IF('Prod 1'!I350="","",'Prod 1'!I350+'BH (2)'!C349)</f>
        <v/>
      </c>
      <c r="M349" s="59"/>
      <c r="N349" s="91"/>
      <c r="Q349" s="119" t="str">
        <f t="shared" si="26"/>
        <v/>
      </c>
      <c r="R349" s="92" t="str">
        <f>IF('Prod 1'!D350="","",'Prod 1'!D350)</f>
        <v/>
      </c>
      <c r="S349" s="119" t="str">
        <f>IF('Prod 1'!E350="","",'Prod 1'!E350+'BH (2)'!C349)</f>
        <v/>
      </c>
      <c r="T349" s="59"/>
      <c r="U349" s="91"/>
    </row>
    <row r="350" spans="2:21" ht="24.95" customHeight="1" x14ac:dyDescent="0.25">
      <c r="B350" s="119" t="str">
        <f t="shared" si="24"/>
        <v/>
      </c>
      <c r="C350" s="2">
        <v>3.4699999999999998E-6</v>
      </c>
      <c r="D350" s="92" t="str">
        <f>IF(DespF!D353="","",DespF!D353)</f>
        <v/>
      </c>
      <c r="E350" s="90" t="str">
        <f>IF(DespF!E353="","",DespF!E353+'BH (2)'!C350)</f>
        <v/>
      </c>
      <c r="F350" s="59"/>
      <c r="G350" s="21"/>
      <c r="I350" s="106">
        <v>347</v>
      </c>
      <c r="J350" s="119" t="str">
        <f t="shared" si="25"/>
        <v/>
      </c>
      <c r="K350" s="92" t="str">
        <f>IF('Prod 1'!D351="","",'Prod 1'!D351)</f>
        <v/>
      </c>
      <c r="L350" s="119" t="str">
        <f>IF('Prod 1'!I351="","",'Prod 1'!I351+'BH (2)'!C350)</f>
        <v/>
      </c>
      <c r="M350" s="59"/>
      <c r="N350" s="91"/>
      <c r="Q350" s="119" t="str">
        <f t="shared" si="26"/>
        <v/>
      </c>
      <c r="R350" s="92" t="str">
        <f>IF('Prod 1'!D351="","",'Prod 1'!D351)</f>
        <v/>
      </c>
      <c r="S350" s="119" t="str">
        <f>IF('Prod 1'!E351="","",'Prod 1'!E351+'BH (2)'!C350)</f>
        <v/>
      </c>
      <c r="T350" s="59"/>
      <c r="U350" s="91"/>
    </row>
    <row r="351" spans="2:21" ht="24.95" customHeight="1" x14ac:dyDescent="0.25">
      <c r="B351" s="119" t="str">
        <f t="shared" si="24"/>
        <v/>
      </c>
      <c r="C351" s="2">
        <v>3.4800000000000001E-6</v>
      </c>
      <c r="D351" s="92" t="str">
        <f>IF(DespF!D354="","",DespF!D354)</f>
        <v/>
      </c>
      <c r="E351" s="90" t="str">
        <f>IF(DespF!E354="","",DespF!E354+'BH (2)'!C351)</f>
        <v/>
      </c>
      <c r="F351" s="59"/>
      <c r="G351" s="21"/>
      <c r="I351" s="106">
        <v>348</v>
      </c>
      <c r="J351" s="119" t="str">
        <f t="shared" si="25"/>
        <v/>
      </c>
      <c r="K351" s="92" t="str">
        <f>IF('Prod 1'!D352="","",'Prod 1'!D352)</f>
        <v/>
      </c>
      <c r="L351" s="119" t="str">
        <f>IF('Prod 1'!I352="","",'Prod 1'!I352+'BH (2)'!C351)</f>
        <v/>
      </c>
      <c r="M351" s="59"/>
      <c r="N351" s="91"/>
      <c r="Q351" s="119" t="str">
        <f t="shared" si="26"/>
        <v/>
      </c>
      <c r="R351" s="92" t="str">
        <f>IF('Prod 1'!D352="","",'Prod 1'!D352)</f>
        <v/>
      </c>
      <c r="S351" s="119" t="str">
        <f>IF('Prod 1'!E352="","",'Prod 1'!E352+'BH (2)'!C351)</f>
        <v/>
      </c>
      <c r="T351" s="59"/>
      <c r="U351" s="91"/>
    </row>
    <row r="352" spans="2:21" ht="24.95" customHeight="1" x14ac:dyDescent="0.25">
      <c r="B352" s="119" t="str">
        <f t="shared" si="24"/>
        <v/>
      </c>
      <c r="C352" s="2">
        <v>3.49E-6</v>
      </c>
      <c r="D352" s="92" t="str">
        <f>IF(DespF!D355="","",DespF!D355)</f>
        <v/>
      </c>
      <c r="E352" s="90" t="str">
        <f>IF(DespF!E355="","",DespF!E355+'BH (2)'!C352)</f>
        <v/>
      </c>
      <c r="F352" s="59"/>
      <c r="G352" s="21"/>
      <c r="I352" s="106">
        <v>349</v>
      </c>
      <c r="J352" s="119" t="str">
        <f t="shared" si="25"/>
        <v/>
      </c>
      <c r="K352" s="92" t="str">
        <f>IF('Prod 1'!D353="","",'Prod 1'!D353)</f>
        <v/>
      </c>
      <c r="L352" s="119" t="str">
        <f>IF('Prod 1'!I353="","",'Prod 1'!I353+'BH (2)'!C352)</f>
        <v/>
      </c>
      <c r="M352" s="59"/>
      <c r="N352" s="91"/>
      <c r="Q352" s="119" t="str">
        <f t="shared" si="26"/>
        <v/>
      </c>
      <c r="R352" s="92" t="str">
        <f>IF('Prod 1'!D353="","",'Prod 1'!D353)</f>
        <v/>
      </c>
      <c r="S352" s="119" t="str">
        <f>IF('Prod 1'!E353="","",'Prod 1'!E353+'BH (2)'!C352)</f>
        <v/>
      </c>
      <c r="T352" s="59"/>
      <c r="U352" s="91"/>
    </row>
    <row r="353" spans="2:21" ht="24.95" customHeight="1" x14ac:dyDescent="0.25">
      <c r="B353" s="119" t="str">
        <f t="shared" si="24"/>
        <v/>
      </c>
      <c r="C353" s="2">
        <v>3.4999999999999999E-6</v>
      </c>
      <c r="D353" s="92" t="str">
        <f>IF(DespF!D356="","",DespF!D356)</f>
        <v/>
      </c>
      <c r="E353" s="90" t="str">
        <f>IF(DespF!E356="","",DespF!E356+'BH (2)'!C353)</f>
        <v/>
      </c>
      <c r="F353" s="59"/>
      <c r="G353" s="21"/>
      <c r="I353" s="106">
        <v>350</v>
      </c>
      <c r="J353" s="119" t="str">
        <f t="shared" si="25"/>
        <v/>
      </c>
      <c r="K353" s="92" t="str">
        <f>IF('Prod 1'!D354="","",'Prod 1'!D354)</f>
        <v/>
      </c>
      <c r="L353" s="119" t="str">
        <f>IF('Prod 1'!I354="","",'Prod 1'!I354+'BH (2)'!C353)</f>
        <v/>
      </c>
      <c r="M353" s="59"/>
      <c r="N353" s="91"/>
      <c r="Q353" s="119" t="str">
        <f t="shared" si="26"/>
        <v/>
      </c>
      <c r="R353" s="92" t="str">
        <f>IF('Prod 1'!D354="","",'Prod 1'!D354)</f>
        <v/>
      </c>
      <c r="S353" s="119" t="str">
        <f>IF('Prod 1'!E354="","",'Prod 1'!E354+'BH (2)'!C353)</f>
        <v/>
      </c>
      <c r="T353" s="59"/>
      <c r="U353" s="91"/>
    </row>
    <row r="354" spans="2:21" ht="24.95" customHeight="1" x14ac:dyDescent="0.25">
      <c r="B354" s="119" t="str">
        <f t="shared" si="24"/>
        <v/>
      </c>
      <c r="C354" s="2">
        <v>3.5099999999999999E-6</v>
      </c>
      <c r="D354" s="92" t="str">
        <f>IF(DespF!D357="","",DespF!D357)</f>
        <v/>
      </c>
      <c r="E354" s="90" t="str">
        <f>IF(DespF!E357="","",DespF!E357+'BH (2)'!C354)</f>
        <v/>
      </c>
      <c r="F354" s="59"/>
      <c r="G354" s="21"/>
      <c r="I354" s="106">
        <v>351</v>
      </c>
      <c r="J354" s="119" t="str">
        <f t="shared" si="25"/>
        <v/>
      </c>
      <c r="K354" s="92" t="str">
        <f>IF('Prod 1'!D355="","",'Prod 1'!D355)</f>
        <v/>
      </c>
      <c r="L354" s="119" t="str">
        <f>IF('Prod 1'!I355="","",'Prod 1'!I355+'BH (2)'!C354)</f>
        <v/>
      </c>
      <c r="M354" s="59"/>
      <c r="N354" s="91"/>
      <c r="Q354" s="119" t="str">
        <f t="shared" si="26"/>
        <v/>
      </c>
      <c r="R354" s="92" t="str">
        <f>IF('Prod 1'!D355="","",'Prod 1'!D355)</f>
        <v/>
      </c>
      <c r="S354" s="119" t="str">
        <f>IF('Prod 1'!E355="","",'Prod 1'!E355+'BH (2)'!C354)</f>
        <v/>
      </c>
      <c r="T354" s="59"/>
      <c r="U354" s="91"/>
    </row>
    <row r="355" spans="2:21" ht="24.95" customHeight="1" x14ac:dyDescent="0.25">
      <c r="B355" s="119" t="str">
        <f t="shared" si="24"/>
        <v/>
      </c>
      <c r="C355" s="2">
        <v>3.5200000000000002E-6</v>
      </c>
      <c r="D355" s="92" t="str">
        <f>IF(DespF!D358="","",DespF!D358)</f>
        <v/>
      </c>
      <c r="E355" s="90" t="str">
        <f>IF(DespF!E358="","",DespF!E358+'BH (2)'!C355)</f>
        <v/>
      </c>
      <c r="F355" s="59"/>
      <c r="G355" s="21"/>
      <c r="I355" s="106">
        <v>352</v>
      </c>
      <c r="J355" s="119" t="str">
        <f t="shared" si="25"/>
        <v/>
      </c>
      <c r="K355" s="92" t="str">
        <f>IF('Prod 1'!D356="","",'Prod 1'!D356)</f>
        <v/>
      </c>
      <c r="L355" s="119" t="str">
        <f>IF('Prod 1'!I356="","",'Prod 1'!I356+'BH (2)'!C355)</f>
        <v/>
      </c>
      <c r="M355" s="59"/>
      <c r="N355" s="91"/>
      <c r="Q355" s="119" t="str">
        <f t="shared" si="26"/>
        <v/>
      </c>
      <c r="R355" s="92" t="str">
        <f>IF('Prod 1'!D356="","",'Prod 1'!D356)</f>
        <v/>
      </c>
      <c r="S355" s="119" t="str">
        <f>IF('Prod 1'!E356="","",'Prod 1'!E356+'BH (2)'!C355)</f>
        <v/>
      </c>
      <c r="T355" s="59"/>
      <c r="U355" s="91"/>
    </row>
    <row r="356" spans="2:21" ht="24.95" customHeight="1" x14ac:dyDescent="0.25">
      <c r="B356" s="119" t="str">
        <f t="shared" si="24"/>
        <v/>
      </c>
      <c r="C356" s="2">
        <v>3.5300000000000001E-6</v>
      </c>
      <c r="D356" s="92" t="str">
        <f>IF(DespF!D359="","",DespF!D359)</f>
        <v/>
      </c>
      <c r="E356" s="90" t="str">
        <f>IF(DespF!E359="","",DespF!E359+'BH (2)'!C356)</f>
        <v/>
      </c>
      <c r="F356" s="59"/>
      <c r="G356" s="21"/>
      <c r="I356" s="106">
        <v>353</v>
      </c>
      <c r="J356" s="119" t="str">
        <f t="shared" si="25"/>
        <v/>
      </c>
      <c r="K356" s="92" t="str">
        <f>IF('Prod 1'!D357="","",'Prod 1'!D357)</f>
        <v/>
      </c>
      <c r="L356" s="119" t="str">
        <f>IF('Prod 1'!I357="","",'Prod 1'!I357+'BH (2)'!C356)</f>
        <v/>
      </c>
      <c r="M356" s="59"/>
      <c r="N356" s="91"/>
      <c r="Q356" s="119" t="str">
        <f t="shared" si="26"/>
        <v/>
      </c>
      <c r="R356" s="92" t="str">
        <f>IF('Prod 1'!D357="","",'Prod 1'!D357)</f>
        <v/>
      </c>
      <c r="S356" s="119" t="str">
        <f>IF('Prod 1'!E357="","",'Prod 1'!E357+'BH (2)'!C356)</f>
        <v/>
      </c>
      <c r="T356" s="59"/>
      <c r="U356" s="91"/>
    </row>
    <row r="357" spans="2:21" ht="24.95" customHeight="1" x14ac:dyDescent="0.25">
      <c r="B357" s="119" t="str">
        <f t="shared" si="24"/>
        <v/>
      </c>
      <c r="C357" s="2">
        <v>3.54E-6</v>
      </c>
      <c r="D357" s="92" t="str">
        <f>IF(DespF!D360="","",DespF!D360)</f>
        <v/>
      </c>
      <c r="E357" s="90" t="str">
        <f>IF(DespF!E360="","",DespF!E360+'BH (2)'!C357)</f>
        <v/>
      </c>
      <c r="F357" s="59"/>
      <c r="G357" s="21"/>
      <c r="I357" s="106">
        <v>354</v>
      </c>
      <c r="J357" s="119" t="str">
        <f t="shared" si="25"/>
        <v/>
      </c>
      <c r="K357" s="92" t="str">
        <f>IF('Prod 1'!D358="","",'Prod 1'!D358)</f>
        <v/>
      </c>
      <c r="L357" s="119" t="str">
        <f>IF('Prod 1'!I358="","",'Prod 1'!I358+'BH (2)'!C357)</f>
        <v/>
      </c>
      <c r="M357" s="59"/>
      <c r="N357" s="91"/>
      <c r="Q357" s="119" t="str">
        <f t="shared" si="26"/>
        <v/>
      </c>
      <c r="R357" s="92" t="str">
        <f>IF('Prod 1'!D358="","",'Prod 1'!D358)</f>
        <v/>
      </c>
      <c r="S357" s="119" t="str">
        <f>IF('Prod 1'!E358="","",'Prod 1'!E358+'BH (2)'!C357)</f>
        <v/>
      </c>
      <c r="T357" s="59"/>
      <c r="U357" s="91"/>
    </row>
    <row r="358" spans="2:21" ht="24.95" customHeight="1" x14ac:dyDescent="0.25">
      <c r="B358" s="119" t="str">
        <f t="shared" si="24"/>
        <v/>
      </c>
      <c r="C358" s="2">
        <v>3.5499999999999999E-6</v>
      </c>
      <c r="D358" s="92" t="str">
        <f>IF(DespF!D361="","",DespF!D361)</f>
        <v/>
      </c>
      <c r="E358" s="90" t="str">
        <f>IF(DespF!E361="","",DespF!E361+'BH (2)'!C358)</f>
        <v/>
      </c>
      <c r="F358" s="59"/>
      <c r="G358" s="21"/>
      <c r="I358" s="106">
        <v>355</v>
      </c>
      <c r="J358" s="119" t="str">
        <f t="shared" si="25"/>
        <v/>
      </c>
      <c r="K358" s="92" t="str">
        <f>IF('Prod 1'!D359="","",'Prod 1'!D359)</f>
        <v/>
      </c>
      <c r="L358" s="119" t="str">
        <f>IF('Prod 1'!I359="","",'Prod 1'!I359+'BH (2)'!C358)</f>
        <v/>
      </c>
      <c r="M358" s="59"/>
      <c r="N358" s="91"/>
      <c r="Q358" s="119" t="str">
        <f t="shared" si="26"/>
        <v/>
      </c>
      <c r="R358" s="92" t="str">
        <f>IF('Prod 1'!D359="","",'Prod 1'!D359)</f>
        <v/>
      </c>
      <c r="S358" s="119" t="str">
        <f>IF('Prod 1'!E359="","",'Prod 1'!E359+'BH (2)'!C358)</f>
        <v/>
      </c>
      <c r="T358" s="59"/>
      <c r="U358" s="91"/>
    </row>
    <row r="359" spans="2:21" ht="24.95" customHeight="1" x14ac:dyDescent="0.25">
      <c r="B359" s="119" t="str">
        <f t="shared" si="24"/>
        <v/>
      </c>
      <c r="C359" s="2">
        <v>3.5599999999999998E-6</v>
      </c>
      <c r="D359" s="92" t="str">
        <f>IF(DespF!D362="","",DespF!D362)</f>
        <v/>
      </c>
      <c r="E359" s="90" t="str">
        <f>IF(DespF!E362="","",DespF!E362+'BH (2)'!C359)</f>
        <v/>
      </c>
      <c r="F359" s="59"/>
      <c r="G359" s="21"/>
      <c r="I359" s="106">
        <v>356</v>
      </c>
      <c r="J359" s="119" t="str">
        <f t="shared" si="25"/>
        <v/>
      </c>
      <c r="K359" s="92" t="str">
        <f>IF('Prod 1'!D360="","",'Prod 1'!D360)</f>
        <v/>
      </c>
      <c r="L359" s="119" t="str">
        <f>IF('Prod 1'!I360="","",'Prod 1'!I360+'BH (2)'!C359)</f>
        <v/>
      </c>
      <c r="M359" s="59"/>
      <c r="N359" s="91"/>
      <c r="Q359" s="119" t="str">
        <f t="shared" si="26"/>
        <v/>
      </c>
      <c r="R359" s="92" t="str">
        <f>IF('Prod 1'!D360="","",'Prod 1'!D360)</f>
        <v/>
      </c>
      <c r="S359" s="119" t="str">
        <f>IF('Prod 1'!E360="","",'Prod 1'!E360+'BH (2)'!C359)</f>
        <v/>
      </c>
      <c r="T359" s="59"/>
      <c r="U359" s="91"/>
    </row>
    <row r="360" spans="2:21" ht="24.95" customHeight="1" x14ac:dyDescent="0.25">
      <c r="B360" s="119" t="str">
        <f t="shared" si="24"/>
        <v/>
      </c>
      <c r="C360" s="2">
        <v>3.5700000000000001E-6</v>
      </c>
      <c r="D360" s="92" t="str">
        <f>IF(DespF!D363="","",DespF!D363)</f>
        <v/>
      </c>
      <c r="E360" s="90" t="str">
        <f>IF(DespF!E363="","",DespF!E363+'BH (2)'!C360)</f>
        <v/>
      </c>
      <c r="F360" s="59"/>
      <c r="G360" s="21"/>
      <c r="I360" s="106">
        <v>357</v>
      </c>
      <c r="J360" s="119" t="str">
        <f t="shared" si="25"/>
        <v/>
      </c>
      <c r="K360" s="92" t="str">
        <f>IF('Prod 1'!D361="","",'Prod 1'!D361)</f>
        <v/>
      </c>
      <c r="L360" s="119" t="str">
        <f>IF('Prod 1'!I361="","",'Prod 1'!I361+'BH (2)'!C360)</f>
        <v/>
      </c>
      <c r="M360" s="59"/>
      <c r="N360" s="91"/>
      <c r="Q360" s="119" t="str">
        <f t="shared" si="26"/>
        <v/>
      </c>
      <c r="R360" s="92" t="str">
        <f>IF('Prod 1'!D361="","",'Prod 1'!D361)</f>
        <v/>
      </c>
      <c r="S360" s="119" t="str">
        <f>IF('Prod 1'!E361="","",'Prod 1'!E361+'BH (2)'!C360)</f>
        <v/>
      </c>
      <c r="T360" s="59"/>
      <c r="U360" s="91"/>
    </row>
    <row r="361" spans="2:21" ht="24.95" customHeight="1" x14ac:dyDescent="0.25">
      <c r="B361" s="119" t="str">
        <f t="shared" si="24"/>
        <v/>
      </c>
      <c r="C361" s="2">
        <v>3.58E-6</v>
      </c>
      <c r="D361" s="92" t="str">
        <f>IF(DespF!D364="","",DespF!D364)</f>
        <v/>
      </c>
      <c r="E361" s="90" t="str">
        <f>IF(DespF!E364="","",DespF!E364+'BH (2)'!C361)</f>
        <v/>
      </c>
      <c r="F361" s="59"/>
      <c r="G361" s="21"/>
      <c r="I361" s="106">
        <v>358</v>
      </c>
      <c r="J361" s="119" t="str">
        <f t="shared" si="25"/>
        <v/>
      </c>
      <c r="K361" s="92" t="str">
        <f>IF('Prod 1'!D362="","",'Prod 1'!D362)</f>
        <v/>
      </c>
      <c r="L361" s="119" t="str">
        <f>IF('Prod 1'!I362="","",'Prod 1'!I362+'BH (2)'!C361)</f>
        <v/>
      </c>
      <c r="M361" s="59"/>
      <c r="N361" s="91"/>
      <c r="Q361" s="119" t="str">
        <f t="shared" si="26"/>
        <v/>
      </c>
      <c r="R361" s="92" t="str">
        <f>IF('Prod 1'!D362="","",'Prod 1'!D362)</f>
        <v/>
      </c>
      <c r="S361" s="119" t="str">
        <f>IF('Prod 1'!E362="","",'Prod 1'!E362+'BH (2)'!C361)</f>
        <v/>
      </c>
      <c r="T361" s="59"/>
      <c r="U361" s="91"/>
    </row>
    <row r="362" spans="2:21" ht="24.95" customHeight="1" x14ac:dyDescent="0.25">
      <c r="B362" s="119" t="str">
        <f t="shared" si="24"/>
        <v/>
      </c>
      <c r="C362" s="2">
        <v>3.5899999999999999E-6</v>
      </c>
      <c r="D362" s="92" t="str">
        <f>IF(DespF!D365="","",DespF!D365)</f>
        <v/>
      </c>
      <c r="E362" s="90" t="str">
        <f>IF(DespF!E365="","",DespF!E365+'BH (2)'!C362)</f>
        <v/>
      </c>
      <c r="F362" s="59"/>
      <c r="G362" s="21"/>
      <c r="I362" s="106">
        <v>359</v>
      </c>
      <c r="J362" s="119" t="str">
        <f t="shared" si="25"/>
        <v/>
      </c>
      <c r="K362" s="92" t="str">
        <f>IF('Prod 1'!D363="","",'Prod 1'!D363)</f>
        <v/>
      </c>
      <c r="L362" s="119" t="str">
        <f>IF('Prod 1'!I363="","",'Prod 1'!I363+'BH (2)'!C362)</f>
        <v/>
      </c>
      <c r="M362" s="59"/>
      <c r="N362" s="91"/>
      <c r="Q362" s="119" t="str">
        <f t="shared" si="26"/>
        <v/>
      </c>
      <c r="R362" s="92" t="str">
        <f>IF('Prod 1'!D363="","",'Prod 1'!D363)</f>
        <v/>
      </c>
      <c r="S362" s="119" t="str">
        <f>IF('Prod 1'!E363="","",'Prod 1'!E363+'BH (2)'!C362)</f>
        <v/>
      </c>
      <c r="T362" s="59"/>
      <c r="U362" s="91"/>
    </row>
    <row r="363" spans="2:21" ht="24.95" customHeight="1" x14ac:dyDescent="0.25">
      <c r="B363" s="119" t="str">
        <f t="shared" si="24"/>
        <v/>
      </c>
      <c r="C363" s="2">
        <v>3.5999999999999998E-6</v>
      </c>
      <c r="D363" s="92" t="str">
        <f>IF(DespF!D366="","",DespF!D366)</f>
        <v/>
      </c>
      <c r="E363" s="90" t="str">
        <f>IF(DespF!E366="","",DespF!E366+'BH (2)'!C363)</f>
        <v/>
      </c>
      <c r="F363" s="59"/>
      <c r="G363" s="21"/>
      <c r="I363" s="106">
        <v>360</v>
      </c>
      <c r="J363" s="119" t="str">
        <f t="shared" si="25"/>
        <v/>
      </c>
      <c r="K363" s="92" t="str">
        <f>IF('Prod 1'!D364="","",'Prod 1'!D364)</f>
        <v/>
      </c>
      <c r="L363" s="119" t="str">
        <f>IF('Prod 1'!I364="","",'Prod 1'!I364+'BH (2)'!C363)</f>
        <v/>
      </c>
      <c r="M363" s="59"/>
      <c r="N363" s="91"/>
      <c r="Q363" s="119" t="str">
        <f t="shared" si="26"/>
        <v/>
      </c>
      <c r="R363" s="92" t="str">
        <f>IF('Prod 1'!D364="","",'Prod 1'!D364)</f>
        <v/>
      </c>
      <c r="S363" s="119" t="str">
        <f>IF('Prod 1'!E364="","",'Prod 1'!E364+'BH (2)'!C363)</f>
        <v/>
      </c>
      <c r="T363" s="59"/>
      <c r="U363" s="91"/>
    </row>
    <row r="364" spans="2:21" ht="24.95" customHeight="1" x14ac:dyDescent="0.25">
      <c r="B364" s="119" t="str">
        <f t="shared" si="24"/>
        <v/>
      </c>
      <c r="C364" s="2">
        <v>3.6100000000000002E-6</v>
      </c>
      <c r="D364" s="92" t="str">
        <f>IF(DespF!D367="","",DespF!D367)</f>
        <v/>
      </c>
      <c r="E364" s="90" t="str">
        <f>IF(DespF!E367="","",DespF!E367+'BH (2)'!C364)</f>
        <v/>
      </c>
      <c r="F364" s="59"/>
      <c r="G364" s="21"/>
      <c r="I364" s="106">
        <v>361</v>
      </c>
      <c r="J364" s="119" t="str">
        <f t="shared" si="25"/>
        <v/>
      </c>
      <c r="K364" s="92" t="str">
        <f>IF('Prod 1'!D365="","",'Prod 1'!D365)</f>
        <v/>
      </c>
      <c r="L364" s="119" t="str">
        <f>IF('Prod 1'!I365="","",'Prod 1'!I365+'BH (2)'!C364)</f>
        <v/>
      </c>
      <c r="M364" s="59"/>
      <c r="N364" s="91"/>
      <c r="Q364" s="119" t="str">
        <f t="shared" si="26"/>
        <v/>
      </c>
      <c r="R364" s="92" t="str">
        <f>IF('Prod 1'!D365="","",'Prod 1'!D365)</f>
        <v/>
      </c>
      <c r="S364" s="119" t="str">
        <f>IF('Prod 1'!E365="","",'Prod 1'!E365+'BH (2)'!C364)</f>
        <v/>
      </c>
      <c r="T364" s="59"/>
      <c r="U364" s="91"/>
    </row>
    <row r="365" spans="2:21" ht="24.95" customHeight="1" x14ac:dyDescent="0.25">
      <c r="B365" s="119" t="str">
        <f t="shared" si="24"/>
        <v/>
      </c>
      <c r="C365" s="2">
        <v>3.6200000000000001E-6</v>
      </c>
      <c r="D365" s="92" t="str">
        <f>IF(DespF!D368="","",DespF!D368)</f>
        <v/>
      </c>
      <c r="E365" s="90" t="str">
        <f>IF(DespF!E368="","",DespF!E368+'BH (2)'!C365)</f>
        <v/>
      </c>
      <c r="F365" s="59"/>
      <c r="G365" s="21"/>
      <c r="I365" s="106">
        <v>362</v>
      </c>
      <c r="J365" s="119" t="str">
        <f t="shared" si="25"/>
        <v/>
      </c>
      <c r="K365" s="92" t="str">
        <f>IF('Prod 1'!D366="","",'Prod 1'!D366)</f>
        <v/>
      </c>
      <c r="L365" s="119" t="str">
        <f>IF('Prod 1'!I366="","",'Prod 1'!I366+'BH (2)'!C365)</f>
        <v/>
      </c>
      <c r="M365" s="59"/>
      <c r="N365" s="91"/>
      <c r="Q365" s="119" t="str">
        <f t="shared" si="26"/>
        <v/>
      </c>
      <c r="R365" s="92" t="str">
        <f>IF('Prod 1'!D366="","",'Prod 1'!D366)</f>
        <v/>
      </c>
      <c r="S365" s="119" t="str">
        <f>IF('Prod 1'!E366="","",'Prod 1'!E366+'BH (2)'!C365)</f>
        <v/>
      </c>
      <c r="T365" s="59"/>
      <c r="U365" s="91"/>
    </row>
    <row r="366" spans="2:21" ht="24.95" customHeight="1" x14ac:dyDescent="0.25">
      <c r="B366" s="119" t="str">
        <f t="shared" si="24"/>
        <v/>
      </c>
      <c r="C366" s="2">
        <v>3.63E-6</v>
      </c>
      <c r="D366" s="92" t="str">
        <f>IF(DespF!D369="","",DespF!D369)</f>
        <v/>
      </c>
      <c r="E366" s="90" t="str">
        <f>IF(DespF!E369="","",DespF!E369+'BH (2)'!C366)</f>
        <v/>
      </c>
      <c r="F366" s="59"/>
      <c r="G366" s="21"/>
      <c r="I366" s="106">
        <v>363</v>
      </c>
      <c r="J366" s="119" t="str">
        <f t="shared" si="25"/>
        <v/>
      </c>
      <c r="K366" s="92" t="str">
        <f>IF('Prod 1'!D367="","",'Prod 1'!D367)</f>
        <v/>
      </c>
      <c r="L366" s="119" t="str">
        <f>IF('Prod 1'!I367="","",'Prod 1'!I367+'BH (2)'!C366)</f>
        <v/>
      </c>
      <c r="M366" s="59"/>
      <c r="N366" s="91"/>
      <c r="Q366" s="119" t="str">
        <f t="shared" si="26"/>
        <v/>
      </c>
      <c r="R366" s="92" t="str">
        <f>IF('Prod 1'!D367="","",'Prod 1'!D367)</f>
        <v/>
      </c>
      <c r="S366" s="119" t="str">
        <f>IF('Prod 1'!E367="","",'Prod 1'!E367+'BH (2)'!C366)</f>
        <v/>
      </c>
      <c r="T366" s="59"/>
      <c r="U366" s="91"/>
    </row>
    <row r="367" spans="2:21" ht="24.95" customHeight="1" x14ac:dyDescent="0.25">
      <c r="B367" s="119" t="str">
        <f t="shared" si="24"/>
        <v/>
      </c>
      <c r="C367" s="2">
        <v>3.6399999999999999E-6</v>
      </c>
      <c r="D367" s="92" t="str">
        <f>IF(DespF!D370="","",DespF!D370)</f>
        <v/>
      </c>
      <c r="E367" s="90" t="str">
        <f>IF(DespF!E370="","",DespF!E370+'BH (2)'!C367)</f>
        <v/>
      </c>
      <c r="F367" s="59"/>
      <c r="G367" s="21"/>
      <c r="I367" s="106">
        <v>364</v>
      </c>
      <c r="J367" s="119" t="str">
        <f t="shared" si="25"/>
        <v/>
      </c>
      <c r="K367" s="92" t="str">
        <f>IF('Prod 1'!D368="","",'Prod 1'!D368)</f>
        <v/>
      </c>
      <c r="L367" s="119" t="str">
        <f>IF('Prod 1'!I368="","",'Prod 1'!I368+'BH (2)'!C367)</f>
        <v/>
      </c>
      <c r="M367" s="59"/>
      <c r="N367" s="91"/>
      <c r="Q367" s="119" t="str">
        <f t="shared" si="26"/>
        <v/>
      </c>
      <c r="R367" s="92" t="str">
        <f>IF('Prod 1'!D368="","",'Prod 1'!D368)</f>
        <v/>
      </c>
      <c r="S367" s="119" t="str">
        <f>IF('Prod 1'!E368="","",'Prod 1'!E368+'BH (2)'!C367)</f>
        <v/>
      </c>
      <c r="T367" s="59"/>
      <c r="U367" s="91"/>
    </row>
    <row r="368" spans="2:21" ht="24.95" customHeight="1" x14ac:dyDescent="0.25">
      <c r="B368" s="119" t="str">
        <f t="shared" si="24"/>
        <v/>
      </c>
      <c r="C368" s="2">
        <v>3.6500000000000002E-6</v>
      </c>
      <c r="D368" s="92" t="str">
        <f>IF(DespF!D371="","",DespF!D371)</f>
        <v/>
      </c>
      <c r="E368" s="90" t="str">
        <f>IF(DespF!E371="","",DespF!E371+'BH (2)'!C368)</f>
        <v/>
      </c>
      <c r="F368" s="59"/>
      <c r="G368" s="21"/>
      <c r="I368" s="106">
        <v>365</v>
      </c>
      <c r="J368" s="119" t="str">
        <f t="shared" si="25"/>
        <v/>
      </c>
      <c r="K368" s="92" t="str">
        <f>IF('Prod 1'!D369="","",'Prod 1'!D369)</f>
        <v/>
      </c>
      <c r="L368" s="119" t="str">
        <f>IF('Prod 1'!I369="","",'Prod 1'!I369+'BH (2)'!C368)</f>
        <v/>
      </c>
      <c r="M368" s="59"/>
      <c r="N368" s="91"/>
      <c r="Q368" s="119" t="str">
        <f t="shared" si="26"/>
        <v/>
      </c>
      <c r="R368" s="92" t="str">
        <f>IF('Prod 1'!D369="","",'Prod 1'!D369)</f>
        <v/>
      </c>
      <c r="S368" s="119" t="str">
        <f>IF('Prod 1'!E369="","",'Prod 1'!E369+'BH (2)'!C368)</f>
        <v/>
      </c>
      <c r="T368" s="59"/>
      <c r="U368" s="91"/>
    </row>
    <row r="369" spans="2:21" ht="24.95" customHeight="1" x14ac:dyDescent="0.25">
      <c r="B369" s="119" t="str">
        <f t="shared" si="24"/>
        <v/>
      </c>
      <c r="C369" s="2">
        <v>3.6600000000000001E-6</v>
      </c>
      <c r="D369" s="92" t="str">
        <f>IF(DespF!D372="","",DespF!D372)</f>
        <v/>
      </c>
      <c r="E369" s="90" t="str">
        <f>IF(DespF!E372="","",DespF!E372+'BH (2)'!C369)</f>
        <v/>
      </c>
      <c r="F369" s="59"/>
      <c r="G369" s="21"/>
      <c r="I369" s="106">
        <v>366</v>
      </c>
      <c r="J369" s="119" t="str">
        <f t="shared" si="25"/>
        <v/>
      </c>
      <c r="K369" s="92" t="str">
        <f>IF('Prod 1'!D370="","",'Prod 1'!D370)</f>
        <v/>
      </c>
      <c r="L369" s="119" t="str">
        <f>IF('Prod 1'!I370="","",'Prod 1'!I370+'BH (2)'!C369)</f>
        <v/>
      </c>
      <c r="M369" s="59"/>
      <c r="N369" s="91"/>
      <c r="Q369" s="119" t="str">
        <f t="shared" si="26"/>
        <v/>
      </c>
      <c r="R369" s="92" t="str">
        <f>IF('Prod 1'!D370="","",'Prod 1'!D370)</f>
        <v/>
      </c>
      <c r="S369" s="119" t="str">
        <f>IF('Prod 1'!E370="","",'Prod 1'!E370+'BH (2)'!C369)</f>
        <v/>
      </c>
      <c r="T369" s="59"/>
      <c r="U369" s="91"/>
    </row>
    <row r="370" spans="2:21" ht="24.95" customHeight="1" x14ac:dyDescent="0.25">
      <c r="B370" s="119" t="str">
        <f t="shared" si="24"/>
        <v/>
      </c>
      <c r="C370" s="2">
        <v>3.67E-6</v>
      </c>
      <c r="D370" s="92" t="str">
        <f>IF(DespF!D373="","",DespF!D373)</f>
        <v/>
      </c>
      <c r="E370" s="90" t="str">
        <f>IF(DespF!E373="","",DespF!E373+'BH (2)'!C370)</f>
        <v/>
      </c>
      <c r="F370" s="59"/>
      <c r="G370" s="21"/>
      <c r="I370" s="106">
        <v>367</v>
      </c>
      <c r="J370" s="119" t="str">
        <f t="shared" si="25"/>
        <v/>
      </c>
      <c r="K370" s="92" t="str">
        <f>IF('Prod 1'!D371="","",'Prod 1'!D371)</f>
        <v/>
      </c>
      <c r="L370" s="119" t="str">
        <f>IF('Prod 1'!I371="","",'Prod 1'!I371+'BH (2)'!C370)</f>
        <v/>
      </c>
      <c r="M370" s="59"/>
      <c r="N370" s="91"/>
      <c r="Q370" s="119" t="str">
        <f t="shared" si="26"/>
        <v/>
      </c>
      <c r="R370" s="92" t="str">
        <f>IF('Prod 1'!D371="","",'Prod 1'!D371)</f>
        <v/>
      </c>
      <c r="S370" s="119" t="str">
        <f>IF('Prod 1'!E371="","",'Prod 1'!E371+'BH (2)'!C370)</f>
        <v/>
      </c>
      <c r="T370" s="59"/>
      <c r="U370" s="91"/>
    </row>
    <row r="371" spans="2:21" ht="24.95" customHeight="1" x14ac:dyDescent="0.25">
      <c r="B371" s="119" t="str">
        <f t="shared" si="24"/>
        <v/>
      </c>
      <c r="C371" s="2">
        <v>3.6799999999999999E-6</v>
      </c>
      <c r="D371" s="92" t="str">
        <f>IF(DespF!D374="","",DespF!D374)</f>
        <v/>
      </c>
      <c r="E371" s="90" t="str">
        <f>IF(DespF!E374="","",DespF!E374+'BH (2)'!C371)</f>
        <v/>
      </c>
      <c r="F371" s="59"/>
      <c r="G371" s="21"/>
      <c r="I371" s="106">
        <v>368</v>
      </c>
      <c r="J371" s="119" t="str">
        <f t="shared" si="25"/>
        <v/>
      </c>
      <c r="K371" s="92" t="str">
        <f>IF('Prod 1'!D372="","",'Prod 1'!D372)</f>
        <v/>
      </c>
      <c r="L371" s="119" t="str">
        <f>IF('Prod 1'!I372="","",'Prod 1'!I372+'BH (2)'!C371)</f>
        <v/>
      </c>
      <c r="M371" s="59"/>
      <c r="N371" s="91"/>
      <c r="Q371" s="119" t="str">
        <f t="shared" si="26"/>
        <v/>
      </c>
      <c r="R371" s="92" t="str">
        <f>IF('Prod 1'!D372="","",'Prod 1'!D372)</f>
        <v/>
      </c>
      <c r="S371" s="119" t="str">
        <f>IF('Prod 1'!E372="","",'Prod 1'!E372+'BH (2)'!C371)</f>
        <v/>
      </c>
      <c r="T371" s="59"/>
      <c r="U371" s="91"/>
    </row>
    <row r="372" spans="2:21" ht="24.95" customHeight="1" x14ac:dyDescent="0.25">
      <c r="B372" s="119" t="str">
        <f t="shared" si="24"/>
        <v/>
      </c>
      <c r="C372" s="2">
        <v>3.6899999999999998E-6</v>
      </c>
      <c r="D372" s="92" t="str">
        <f>IF(DespF!D375="","",DespF!D375)</f>
        <v/>
      </c>
      <c r="E372" s="90" t="str">
        <f>IF(DespF!E375="","",DespF!E375+'BH (2)'!C372)</f>
        <v/>
      </c>
      <c r="F372" s="59"/>
      <c r="G372" s="21"/>
      <c r="I372" s="106">
        <v>369</v>
      </c>
      <c r="J372" s="119" t="str">
        <f t="shared" si="25"/>
        <v/>
      </c>
      <c r="K372" s="92" t="str">
        <f>IF('Prod 1'!D373="","",'Prod 1'!D373)</f>
        <v/>
      </c>
      <c r="L372" s="119" t="str">
        <f>IF('Prod 1'!I373="","",'Prod 1'!I373+'BH (2)'!C372)</f>
        <v/>
      </c>
      <c r="M372" s="59"/>
      <c r="N372" s="91"/>
      <c r="Q372" s="119" t="str">
        <f t="shared" si="26"/>
        <v/>
      </c>
      <c r="R372" s="92" t="str">
        <f>IF('Prod 1'!D373="","",'Prod 1'!D373)</f>
        <v/>
      </c>
      <c r="S372" s="119" t="str">
        <f>IF('Prod 1'!E373="","",'Prod 1'!E373+'BH (2)'!C372)</f>
        <v/>
      </c>
      <c r="T372" s="59"/>
      <c r="U372" s="91"/>
    </row>
    <row r="373" spans="2:21" ht="24.95" customHeight="1" x14ac:dyDescent="0.25">
      <c r="B373" s="119" t="str">
        <f t="shared" si="24"/>
        <v/>
      </c>
      <c r="C373" s="2">
        <v>3.7000000000000002E-6</v>
      </c>
      <c r="D373" s="92" t="str">
        <f>IF(DespF!D376="","",DespF!D376)</f>
        <v/>
      </c>
      <c r="E373" s="90" t="str">
        <f>IF(DespF!E376="","",DespF!E376+'BH (2)'!C373)</f>
        <v/>
      </c>
      <c r="F373" s="59"/>
      <c r="G373" s="21"/>
      <c r="I373" s="106">
        <v>370</v>
      </c>
      <c r="J373" s="119" t="str">
        <f t="shared" si="25"/>
        <v/>
      </c>
      <c r="K373" s="92" t="str">
        <f>IF('Prod 1'!D374="","",'Prod 1'!D374)</f>
        <v/>
      </c>
      <c r="L373" s="119" t="str">
        <f>IF('Prod 1'!I374="","",'Prod 1'!I374+'BH (2)'!C373)</f>
        <v/>
      </c>
      <c r="M373" s="59"/>
      <c r="N373" s="91"/>
      <c r="Q373" s="119" t="str">
        <f t="shared" si="26"/>
        <v/>
      </c>
      <c r="R373" s="92" t="str">
        <f>IF('Prod 1'!D374="","",'Prod 1'!D374)</f>
        <v/>
      </c>
      <c r="S373" s="119" t="str">
        <f>IF('Prod 1'!E374="","",'Prod 1'!E374+'BH (2)'!C373)</f>
        <v/>
      </c>
      <c r="T373" s="59"/>
      <c r="U373" s="91"/>
    </row>
    <row r="374" spans="2:21" ht="24.95" customHeight="1" x14ac:dyDescent="0.25">
      <c r="B374" s="119" t="str">
        <f t="shared" si="24"/>
        <v/>
      </c>
      <c r="C374" s="2">
        <v>3.7100000000000001E-6</v>
      </c>
      <c r="D374" s="92" t="str">
        <f>IF(DespF!D377="","",DespF!D377)</f>
        <v/>
      </c>
      <c r="E374" s="90" t="str">
        <f>IF(DespF!E377="","",DespF!E377+'BH (2)'!C374)</f>
        <v/>
      </c>
      <c r="F374" s="59"/>
      <c r="G374" s="21"/>
      <c r="I374" s="106">
        <v>371</v>
      </c>
      <c r="J374" s="119" t="str">
        <f t="shared" si="25"/>
        <v/>
      </c>
      <c r="K374" s="92" t="str">
        <f>IF('Prod 1'!D375="","",'Prod 1'!D375)</f>
        <v/>
      </c>
      <c r="L374" s="119" t="str">
        <f>IF('Prod 1'!I375="","",'Prod 1'!I375+'BH (2)'!C374)</f>
        <v/>
      </c>
      <c r="M374" s="59"/>
      <c r="N374" s="91"/>
      <c r="Q374" s="119" t="str">
        <f t="shared" si="26"/>
        <v/>
      </c>
      <c r="R374" s="92" t="str">
        <f>IF('Prod 1'!D375="","",'Prod 1'!D375)</f>
        <v/>
      </c>
      <c r="S374" s="119" t="str">
        <f>IF('Prod 1'!E375="","",'Prod 1'!E375+'BH (2)'!C374)</f>
        <v/>
      </c>
      <c r="T374" s="59"/>
      <c r="U374" s="91"/>
    </row>
    <row r="375" spans="2:21" ht="24.95" customHeight="1" x14ac:dyDescent="0.25">
      <c r="B375" s="119" t="str">
        <f t="shared" si="24"/>
        <v/>
      </c>
      <c r="C375" s="2">
        <v>3.72E-6</v>
      </c>
      <c r="D375" s="92" t="str">
        <f>IF(DespF!D378="","",DespF!D378)</f>
        <v/>
      </c>
      <c r="E375" s="90" t="str">
        <f>IF(DespF!E378="","",DespF!E378+'BH (2)'!C375)</f>
        <v/>
      </c>
      <c r="F375" s="59"/>
      <c r="G375" s="21"/>
      <c r="I375" s="106">
        <v>372</v>
      </c>
      <c r="J375" s="119" t="str">
        <f t="shared" si="25"/>
        <v/>
      </c>
      <c r="K375" s="92" t="str">
        <f>IF('Prod 1'!D376="","",'Prod 1'!D376)</f>
        <v/>
      </c>
      <c r="L375" s="119" t="str">
        <f>IF('Prod 1'!I376="","",'Prod 1'!I376+'BH (2)'!C375)</f>
        <v/>
      </c>
      <c r="M375" s="59"/>
      <c r="N375" s="91"/>
      <c r="Q375" s="119" t="str">
        <f t="shared" si="26"/>
        <v/>
      </c>
      <c r="R375" s="92" t="str">
        <f>IF('Prod 1'!D376="","",'Prod 1'!D376)</f>
        <v/>
      </c>
      <c r="S375" s="119" t="str">
        <f>IF('Prod 1'!E376="","",'Prod 1'!E376+'BH (2)'!C375)</f>
        <v/>
      </c>
      <c r="T375" s="59"/>
      <c r="U375" s="91"/>
    </row>
    <row r="376" spans="2:21" ht="24.95" customHeight="1" x14ac:dyDescent="0.25">
      <c r="B376" s="119" t="str">
        <f t="shared" si="24"/>
        <v/>
      </c>
      <c r="C376" s="2">
        <v>3.7299999999999999E-6</v>
      </c>
      <c r="D376" s="92" t="str">
        <f>IF(DespF!D379="","",DespF!D379)</f>
        <v/>
      </c>
      <c r="E376" s="90" t="str">
        <f>IF(DespF!E379="","",DespF!E379+'BH (2)'!C376)</f>
        <v/>
      </c>
      <c r="F376" s="59"/>
      <c r="G376" s="21"/>
      <c r="I376" s="106">
        <v>373</v>
      </c>
      <c r="J376" s="119" t="str">
        <f t="shared" si="25"/>
        <v/>
      </c>
      <c r="K376" s="92" t="str">
        <f>IF('Prod 1'!D377="","",'Prod 1'!D377)</f>
        <v/>
      </c>
      <c r="L376" s="119" t="str">
        <f>IF('Prod 1'!I377="","",'Prod 1'!I377+'BH (2)'!C376)</f>
        <v/>
      </c>
      <c r="M376" s="59"/>
      <c r="N376" s="91"/>
      <c r="Q376" s="119" t="str">
        <f t="shared" si="26"/>
        <v/>
      </c>
      <c r="R376" s="92" t="str">
        <f>IF('Prod 1'!D377="","",'Prod 1'!D377)</f>
        <v/>
      </c>
      <c r="S376" s="119" t="str">
        <f>IF('Prod 1'!E377="","",'Prod 1'!E377+'BH (2)'!C376)</f>
        <v/>
      </c>
      <c r="T376" s="59"/>
      <c r="U376" s="91"/>
    </row>
    <row r="377" spans="2:21" ht="24.95" customHeight="1" x14ac:dyDescent="0.25">
      <c r="B377" s="119" t="str">
        <f t="shared" si="24"/>
        <v/>
      </c>
      <c r="C377" s="2">
        <v>3.7400000000000002E-6</v>
      </c>
      <c r="D377" s="92" t="str">
        <f>IF(DespF!D380="","",DespF!D380)</f>
        <v/>
      </c>
      <c r="E377" s="90" t="str">
        <f>IF(DespF!E380="","",DespF!E380+'BH (2)'!C377)</f>
        <v/>
      </c>
      <c r="F377" s="59"/>
      <c r="G377" s="21"/>
      <c r="I377" s="106">
        <v>374</v>
      </c>
      <c r="J377" s="119" t="str">
        <f t="shared" si="25"/>
        <v/>
      </c>
      <c r="K377" s="92" t="str">
        <f>IF('Prod 1'!D378="","",'Prod 1'!D378)</f>
        <v/>
      </c>
      <c r="L377" s="119" t="str">
        <f>IF('Prod 1'!I378="","",'Prod 1'!I378+'BH (2)'!C377)</f>
        <v/>
      </c>
      <c r="M377" s="59"/>
      <c r="N377" s="91"/>
      <c r="Q377" s="119" t="str">
        <f t="shared" si="26"/>
        <v/>
      </c>
      <c r="R377" s="92" t="str">
        <f>IF('Prod 1'!D378="","",'Prod 1'!D378)</f>
        <v/>
      </c>
      <c r="S377" s="119" t="str">
        <f>IF('Prod 1'!E378="","",'Prod 1'!E378+'BH (2)'!C377)</f>
        <v/>
      </c>
      <c r="T377" s="59"/>
      <c r="U377" s="91"/>
    </row>
    <row r="378" spans="2:21" ht="24.95" customHeight="1" x14ac:dyDescent="0.25">
      <c r="B378" s="119" t="str">
        <f t="shared" si="24"/>
        <v/>
      </c>
      <c r="C378" s="2">
        <v>3.7500000000000001E-6</v>
      </c>
      <c r="D378" s="92" t="str">
        <f>IF(DespF!D381="","",DespF!D381)</f>
        <v/>
      </c>
      <c r="E378" s="90" t="str">
        <f>IF(DespF!E381="","",DespF!E381+'BH (2)'!C378)</f>
        <v/>
      </c>
      <c r="F378" s="59"/>
      <c r="G378" s="21"/>
      <c r="I378" s="106">
        <v>375</v>
      </c>
      <c r="J378" s="119" t="str">
        <f t="shared" si="25"/>
        <v/>
      </c>
      <c r="K378" s="92" t="str">
        <f>IF('Prod 1'!D379="","",'Prod 1'!D379)</f>
        <v/>
      </c>
      <c r="L378" s="119" t="str">
        <f>IF('Prod 1'!I379="","",'Prod 1'!I379+'BH (2)'!C378)</f>
        <v/>
      </c>
      <c r="M378" s="59"/>
      <c r="N378" s="91"/>
      <c r="Q378" s="119" t="str">
        <f t="shared" si="26"/>
        <v/>
      </c>
      <c r="R378" s="92" t="str">
        <f>IF('Prod 1'!D379="","",'Prod 1'!D379)</f>
        <v/>
      </c>
      <c r="S378" s="119" t="str">
        <f>IF('Prod 1'!E379="","",'Prod 1'!E379+'BH (2)'!C378)</f>
        <v/>
      </c>
      <c r="T378" s="59"/>
      <c r="U378" s="91"/>
    </row>
    <row r="379" spans="2:21" ht="24.95" customHeight="1" x14ac:dyDescent="0.25">
      <c r="B379" s="119" t="str">
        <f t="shared" si="24"/>
        <v/>
      </c>
      <c r="C379" s="2">
        <v>3.76E-6</v>
      </c>
      <c r="D379" s="92" t="str">
        <f>IF(DespF!D382="","",DespF!D382)</f>
        <v/>
      </c>
      <c r="E379" s="90" t="str">
        <f>IF(DespF!E382="","",DespF!E382+'BH (2)'!C379)</f>
        <v/>
      </c>
      <c r="F379" s="59"/>
      <c r="G379" s="21"/>
      <c r="I379" s="106">
        <v>376</v>
      </c>
      <c r="J379" s="119" t="str">
        <f t="shared" si="25"/>
        <v/>
      </c>
      <c r="K379" s="92" t="str">
        <f>IF('Prod 1'!D380="","",'Prod 1'!D380)</f>
        <v/>
      </c>
      <c r="L379" s="119" t="str">
        <f>IF('Prod 1'!I380="","",'Prod 1'!I380+'BH (2)'!C379)</f>
        <v/>
      </c>
      <c r="M379" s="59"/>
      <c r="N379" s="91"/>
      <c r="Q379" s="119" t="str">
        <f t="shared" si="26"/>
        <v/>
      </c>
      <c r="R379" s="92" t="str">
        <f>IF('Prod 1'!D380="","",'Prod 1'!D380)</f>
        <v/>
      </c>
      <c r="S379" s="119" t="str">
        <f>IF('Prod 1'!E380="","",'Prod 1'!E380+'BH (2)'!C379)</f>
        <v/>
      </c>
      <c r="T379" s="59"/>
      <c r="U379" s="91"/>
    </row>
    <row r="380" spans="2:21" ht="24.95" customHeight="1" x14ac:dyDescent="0.25">
      <c r="B380" s="119" t="str">
        <f t="shared" si="24"/>
        <v/>
      </c>
      <c r="C380" s="2">
        <v>3.7699999999999999E-6</v>
      </c>
      <c r="D380" s="92" t="str">
        <f>IF(DespF!D383="","",DespF!D383)</f>
        <v/>
      </c>
      <c r="E380" s="90" t="str">
        <f>IF(DespF!E383="","",DespF!E383+'BH (2)'!C380)</f>
        <v/>
      </c>
      <c r="F380" s="59"/>
      <c r="G380" s="21"/>
      <c r="I380" s="106">
        <v>377</v>
      </c>
      <c r="J380" s="119" t="str">
        <f t="shared" si="25"/>
        <v/>
      </c>
      <c r="K380" s="92" t="str">
        <f>IF('Prod 1'!D381="","",'Prod 1'!D381)</f>
        <v/>
      </c>
      <c r="L380" s="119" t="str">
        <f>IF('Prod 1'!I381="","",'Prod 1'!I381+'BH (2)'!C380)</f>
        <v/>
      </c>
      <c r="M380" s="59"/>
      <c r="N380" s="91"/>
      <c r="Q380" s="119" t="str">
        <f t="shared" si="26"/>
        <v/>
      </c>
      <c r="R380" s="92" t="str">
        <f>IF('Prod 1'!D381="","",'Prod 1'!D381)</f>
        <v/>
      </c>
      <c r="S380" s="119" t="str">
        <f>IF('Prod 1'!E381="","",'Prod 1'!E381+'BH (2)'!C380)</f>
        <v/>
      </c>
      <c r="T380" s="59"/>
      <c r="U380" s="91"/>
    </row>
    <row r="381" spans="2:21" ht="24.95" customHeight="1" x14ac:dyDescent="0.25">
      <c r="B381" s="119" t="str">
        <f t="shared" si="24"/>
        <v/>
      </c>
      <c r="C381" s="2">
        <v>3.7799999999999998E-6</v>
      </c>
      <c r="D381" s="92" t="str">
        <f>IF(DespF!D384="","",DespF!D384)</f>
        <v/>
      </c>
      <c r="E381" s="90" t="str">
        <f>IF(DespF!E384="","",DespF!E384+'BH (2)'!C381)</f>
        <v/>
      </c>
      <c r="F381" s="59"/>
      <c r="G381" s="21"/>
      <c r="I381" s="106">
        <v>378</v>
      </c>
      <c r="J381" s="119" t="str">
        <f t="shared" si="25"/>
        <v/>
      </c>
      <c r="K381" s="92" t="str">
        <f>IF('Prod 1'!D382="","",'Prod 1'!D382)</f>
        <v/>
      </c>
      <c r="L381" s="119" t="str">
        <f>IF('Prod 1'!I382="","",'Prod 1'!I382+'BH (2)'!C381)</f>
        <v/>
      </c>
      <c r="M381" s="59"/>
      <c r="N381" s="91"/>
      <c r="Q381" s="119" t="str">
        <f t="shared" si="26"/>
        <v/>
      </c>
      <c r="R381" s="92" t="str">
        <f>IF('Prod 1'!D382="","",'Prod 1'!D382)</f>
        <v/>
      </c>
      <c r="S381" s="119" t="str">
        <f>IF('Prod 1'!E382="","",'Prod 1'!E382+'BH (2)'!C381)</f>
        <v/>
      </c>
      <c r="T381" s="59"/>
      <c r="U381" s="91"/>
    </row>
    <row r="382" spans="2:21" ht="24.95" customHeight="1" x14ac:dyDescent="0.25">
      <c r="B382" s="119" t="str">
        <f t="shared" si="24"/>
        <v/>
      </c>
      <c r="C382" s="2">
        <v>3.7900000000000001E-6</v>
      </c>
      <c r="D382" s="92" t="str">
        <f>IF(DespF!D385="","",DespF!D385)</f>
        <v/>
      </c>
      <c r="E382" s="90" t="str">
        <f>IF(DespF!E385="","",DespF!E385+'BH (2)'!C382)</f>
        <v/>
      </c>
      <c r="F382" s="59"/>
      <c r="G382" s="21"/>
      <c r="I382" s="106">
        <v>379</v>
      </c>
      <c r="J382" s="119" t="str">
        <f t="shared" si="25"/>
        <v/>
      </c>
      <c r="K382" s="92" t="str">
        <f>IF('Prod 1'!D383="","",'Prod 1'!D383)</f>
        <v/>
      </c>
      <c r="L382" s="119" t="str">
        <f>IF('Prod 1'!I383="","",'Prod 1'!I383+'BH (2)'!C382)</f>
        <v/>
      </c>
      <c r="M382" s="59"/>
      <c r="N382" s="91"/>
      <c r="Q382" s="119" t="str">
        <f t="shared" si="26"/>
        <v/>
      </c>
      <c r="R382" s="92" t="str">
        <f>IF('Prod 1'!D383="","",'Prod 1'!D383)</f>
        <v/>
      </c>
      <c r="S382" s="119" t="str">
        <f>IF('Prod 1'!E383="","",'Prod 1'!E383+'BH (2)'!C382)</f>
        <v/>
      </c>
      <c r="T382" s="59"/>
      <c r="U382" s="91"/>
    </row>
    <row r="383" spans="2:21" ht="24.95" customHeight="1" x14ac:dyDescent="0.25">
      <c r="B383" s="119" t="str">
        <f t="shared" si="24"/>
        <v/>
      </c>
      <c r="C383" s="2">
        <v>3.8E-6</v>
      </c>
      <c r="D383" s="92" t="str">
        <f>IF(DespF!D386="","",DespF!D386)</f>
        <v/>
      </c>
      <c r="E383" s="90" t="str">
        <f>IF(DespF!E386="","",DespF!E386+'BH (2)'!C383)</f>
        <v/>
      </c>
      <c r="F383" s="59"/>
      <c r="G383" s="21"/>
      <c r="I383" s="106">
        <v>380</v>
      </c>
      <c r="J383" s="119" t="str">
        <f t="shared" si="25"/>
        <v/>
      </c>
      <c r="K383" s="92" t="str">
        <f>IF('Prod 1'!D384="","",'Prod 1'!D384)</f>
        <v/>
      </c>
      <c r="L383" s="119" t="str">
        <f>IF('Prod 1'!I384="","",'Prod 1'!I384+'BH (2)'!C383)</f>
        <v/>
      </c>
      <c r="M383" s="59"/>
      <c r="N383" s="91"/>
      <c r="Q383" s="119" t="str">
        <f t="shared" si="26"/>
        <v/>
      </c>
      <c r="R383" s="92" t="str">
        <f>IF('Prod 1'!D384="","",'Prod 1'!D384)</f>
        <v/>
      </c>
      <c r="S383" s="119" t="str">
        <f>IF('Prod 1'!E384="","",'Prod 1'!E384+'BH (2)'!C383)</f>
        <v/>
      </c>
      <c r="T383" s="59"/>
      <c r="U383" s="91"/>
    </row>
    <row r="384" spans="2:21" ht="24.95" customHeight="1" x14ac:dyDescent="0.25">
      <c r="B384" s="119" t="str">
        <f t="shared" si="24"/>
        <v/>
      </c>
      <c r="C384" s="2">
        <v>3.8099999999999999E-6</v>
      </c>
      <c r="D384" s="92" t="str">
        <f>IF(DespF!D387="","",DespF!D387)</f>
        <v/>
      </c>
      <c r="E384" s="90" t="str">
        <f>IF(DespF!E387="","",DespF!E387+'BH (2)'!C384)</f>
        <v/>
      </c>
      <c r="F384" s="59"/>
      <c r="G384" s="21"/>
      <c r="I384" s="106">
        <v>381</v>
      </c>
      <c r="J384" s="119" t="str">
        <f t="shared" si="25"/>
        <v/>
      </c>
      <c r="K384" s="92" t="str">
        <f>IF('Prod 1'!D385="","",'Prod 1'!D385)</f>
        <v/>
      </c>
      <c r="L384" s="119" t="str">
        <f>IF('Prod 1'!I385="","",'Prod 1'!I385+'BH (2)'!C384)</f>
        <v/>
      </c>
      <c r="M384" s="59"/>
      <c r="N384" s="91"/>
      <c r="Q384" s="119" t="str">
        <f t="shared" si="26"/>
        <v/>
      </c>
      <c r="R384" s="92" t="str">
        <f>IF('Prod 1'!D385="","",'Prod 1'!D385)</f>
        <v/>
      </c>
      <c r="S384" s="119" t="str">
        <f>IF('Prod 1'!E385="","",'Prod 1'!E385+'BH (2)'!C384)</f>
        <v/>
      </c>
      <c r="T384" s="59"/>
      <c r="U384" s="91"/>
    </row>
    <row r="385" spans="2:21" ht="24.95" customHeight="1" x14ac:dyDescent="0.25">
      <c r="B385" s="119" t="str">
        <f t="shared" si="24"/>
        <v/>
      </c>
      <c r="C385" s="2">
        <v>3.8199999999999998E-6</v>
      </c>
      <c r="D385" s="92" t="str">
        <f>IF(DespF!D388="","",DespF!D388)</f>
        <v/>
      </c>
      <c r="E385" s="90" t="str">
        <f>IF(DespF!E388="","",DespF!E388+'BH (2)'!C385)</f>
        <v/>
      </c>
      <c r="F385" s="59"/>
      <c r="G385" s="21"/>
      <c r="I385" s="106">
        <v>382</v>
      </c>
      <c r="J385" s="119" t="str">
        <f t="shared" si="25"/>
        <v/>
      </c>
      <c r="K385" s="92" t="str">
        <f>IF('Prod 1'!D386="","",'Prod 1'!D386)</f>
        <v/>
      </c>
      <c r="L385" s="119" t="str">
        <f>IF('Prod 1'!I386="","",'Prod 1'!I386+'BH (2)'!C385)</f>
        <v/>
      </c>
      <c r="M385" s="59"/>
      <c r="N385" s="91"/>
      <c r="Q385" s="119" t="str">
        <f t="shared" si="26"/>
        <v/>
      </c>
      <c r="R385" s="92" t="str">
        <f>IF('Prod 1'!D386="","",'Prod 1'!D386)</f>
        <v/>
      </c>
      <c r="S385" s="119" t="str">
        <f>IF('Prod 1'!E386="","",'Prod 1'!E386+'BH (2)'!C385)</f>
        <v/>
      </c>
      <c r="T385" s="59"/>
      <c r="U385" s="91"/>
    </row>
    <row r="386" spans="2:21" ht="24.95" customHeight="1" x14ac:dyDescent="0.25">
      <c r="B386" s="119" t="str">
        <f t="shared" si="24"/>
        <v/>
      </c>
      <c r="C386" s="2">
        <v>3.8299999999999998E-6</v>
      </c>
      <c r="D386" s="92" t="str">
        <f>IF(DespF!D389="","",DespF!D389)</f>
        <v/>
      </c>
      <c r="E386" s="90" t="str">
        <f>IF(DespF!E389="","",DespF!E389+'BH (2)'!C386)</f>
        <v/>
      </c>
      <c r="F386" s="59"/>
      <c r="G386" s="21"/>
      <c r="I386" s="106">
        <v>383</v>
      </c>
      <c r="J386" s="119" t="str">
        <f t="shared" si="25"/>
        <v/>
      </c>
      <c r="K386" s="92" t="str">
        <f>IF('Prod 1'!D387="","",'Prod 1'!D387)</f>
        <v/>
      </c>
      <c r="L386" s="119" t="str">
        <f>IF('Prod 1'!I387="","",'Prod 1'!I387+'BH (2)'!C386)</f>
        <v/>
      </c>
      <c r="M386" s="59"/>
      <c r="N386" s="91"/>
      <c r="Q386" s="119" t="str">
        <f t="shared" si="26"/>
        <v/>
      </c>
      <c r="R386" s="92" t="str">
        <f>IF('Prod 1'!D387="","",'Prod 1'!D387)</f>
        <v/>
      </c>
      <c r="S386" s="119" t="str">
        <f>IF('Prod 1'!E387="","",'Prod 1'!E387+'BH (2)'!C386)</f>
        <v/>
      </c>
      <c r="T386" s="59"/>
      <c r="U386" s="91"/>
    </row>
    <row r="387" spans="2:21" ht="24.95" customHeight="1" x14ac:dyDescent="0.25">
      <c r="B387" s="119" t="str">
        <f t="shared" si="24"/>
        <v/>
      </c>
      <c r="C387" s="2">
        <v>3.8399999999999997E-6</v>
      </c>
      <c r="D387" s="92" t="str">
        <f>IF(DespF!D390="","",DespF!D390)</f>
        <v/>
      </c>
      <c r="E387" s="90" t="str">
        <f>IF(DespF!E390="","",DespF!E390+'BH (2)'!C387)</f>
        <v/>
      </c>
      <c r="F387" s="59"/>
      <c r="G387" s="21"/>
      <c r="I387" s="106">
        <v>384</v>
      </c>
      <c r="J387" s="119" t="str">
        <f t="shared" si="25"/>
        <v/>
      </c>
      <c r="K387" s="92" t="str">
        <f>IF('Prod 1'!D388="","",'Prod 1'!D388)</f>
        <v/>
      </c>
      <c r="L387" s="119" t="str">
        <f>IF('Prod 1'!I388="","",'Prod 1'!I388+'BH (2)'!C387)</f>
        <v/>
      </c>
      <c r="M387" s="59"/>
      <c r="N387" s="91"/>
      <c r="Q387" s="119" t="str">
        <f t="shared" si="26"/>
        <v/>
      </c>
      <c r="R387" s="92" t="str">
        <f>IF('Prod 1'!D388="","",'Prod 1'!D388)</f>
        <v/>
      </c>
      <c r="S387" s="119" t="str">
        <f>IF('Prod 1'!E388="","",'Prod 1'!E388+'BH (2)'!C387)</f>
        <v/>
      </c>
      <c r="T387" s="59"/>
      <c r="U387" s="91"/>
    </row>
    <row r="388" spans="2:21" ht="24.95" customHeight="1" x14ac:dyDescent="0.25">
      <c r="B388" s="119" t="str">
        <f t="shared" si="24"/>
        <v/>
      </c>
      <c r="C388" s="2">
        <v>3.8500000000000004E-6</v>
      </c>
      <c r="D388" s="92" t="str">
        <f>IF(DespF!D391="","",DespF!D391)</f>
        <v/>
      </c>
      <c r="E388" s="90" t="str">
        <f>IF(DespF!E391="","",DespF!E391+'BH (2)'!C388)</f>
        <v/>
      </c>
      <c r="F388" s="59"/>
      <c r="G388" s="21"/>
      <c r="I388" s="106">
        <v>385</v>
      </c>
      <c r="J388" s="119" t="str">
        <f t="shared" si="25"/>
        <v/>
      </c>
      <c r="K388" s="92" t="str">
        <f>IF('Prod 1'!D389="","",'Prod 1'!D389)</f>
        <v/>
      </c>
      <c r="L388" s="119" t="str">
        <f>IF('Prod 1'!I389="","",'Prod 1'!I389+'BH (2)'!C388)</f>
        <v/>
      </c>
      <c r="M388" s="59"/>
      <c r="N388" s="91"/>
      <c r="Q388" s="119" t="str">
        <f t="shared" si="26"/>
        <v/>
      </c>
      <c r="R388" s="92" t="str">
        <f>IF('Prod 1'!D389="","",'Prod 1'!D389)</f>
        <v/>
      </c>
      <c r="S388" s="119" t="str">
        <f>IF('Prod 1'!E389="","",'Prod 1'!E389+'BH (2)'!C388)</f>
        <v/>
      </c>
      <c r="T388" s="59"/>
      <c r="U388" s="91"/>
    </row>
    <row r="389" spans="2:21" ht="24.95" customHeight="1" x14ac:dyDescent="0.25">
      <c r="B389" s="119" t="str">
        <f t="shared" ref="B389:B452" si="27">E389</f>
        <v/>
      </c>
      <c r="C389" s="2">
        <v>3.8600000000000003E-6</v>
      </c>
      <c r="D389" s="92" t="str">
        <f>IF(DespF!D392="","",DespF!D392)</f>
        <v/>
      </c>
      <c r="E389" s="90" t="str">
        <f>IF(DespF!E392="","",DespF!E392+'BH (2)'!C389)</f>
        <v/>
      </c>
      <c r="F389" s="59"/>
      <c r="G389" s="21"/>
      <c r="I389" s="106">
        <v>386</v>
      </c>
      <c r="J389" s="119" t="str">
        <f t="shared" ref="J389:J452" si="28">L389</f>
        <v/>
      </c>
      <c r="K389" s="92" t="str">
        <f>IF('Prod 1'!D390="","",'Prod 1'!D390)</f>
        <v/>
      </c>
      <c r="L389" s="119" t="str">
        <f>IF('Prod 1'!I390="","",'Prod 1'!I390+'BH (2)'!C389)</f>
        <v/>
      </c>
      <c r="M389" s="59"/>
      <c r="N389" s="91"/>
      <c r="Q389" s="119" t="str">
        <f t="shared" ref="Q389:Q452" si="29">S389</f>
        <v/>
      </c>
      <c r="R389" s="92" t="str">
        <f>IF('Prod 1'!D390="","",'Prod 1'!D390)</f>
        <v/>
      </c>
      <c r="S389" s="119" t="str">
        <f>IF('Prod 1'!E390="","",'Prod 1'!E390+'BH (2)'!C389)</f>
        <v/>
      </c>
      <c r="T389" s="59"/>
      <c r="U389" s="91"/>
    </row>
    <row r="390" spans="2:21" ht="24.95" customHeight="1" x14ac:dyDescent="0.25">
      <c r="B390" s="119" t="str">
        <f t="shared" si="27"/>
        <v/>
      </c>
      <c r="C390" s="2">
        <v>3.8700000000000002E-6</v>
      </c>
      <c r="D390" s="92" t="str">
        <f>IF(DespF!D393="","",DespF!D393)</f>
        <v/>
      </c>
      <c r="E390" s="90" t="str">
        <f>IF(DespF!E393="","",DespF!E393+'BH (2)'!C390)</f>
        <v/>
      </c>
      <c r="F390" s="59"/>
      <c r="G390" s="21"/>
      <c r="I390" s="106">
        <v>387</v>
      </c>
      <c r="J390" s="119" t="str">
        <f t="shared" si="28"/>
        <v/>
      </c>
      <c r="K390" s="92" t="str">
        <f>IF('Prod 1'!D391="","",'Prod 1'!D391)</f>
        <v/>
      </c>
      <c r="L390" s="119" t="str">
        <f>IF('Prod 1'!I391="","",'Prod 1'!I391+'BH (2)'!C390)</f>
        <v/>
      </c>
      <c r="M390" s="59"/>
      <c r="N390" s="91"/>
      <c r="Q390" s="119" t="str">
        <f t="shared" si="29"/>
        <v/>
      </c>
      <c r="R390" s="92" t="str">
        <f>IF('Prod 1'!D391="","",'Prod 1'!D391)</f>
        <v/>
      </c>
      <c r="S390" s="119" t="str">
        <f>IF('Prod 1'!E391="","",'Prod 1'!E391+'BH (2)'!C390)</f>
        <v/>
      </c>
      <c r="T390" s="59"/>
      <c r="U390" s="91"/>
    </row>
    <row r="391" spans="2:21" ht="24.95" customHeight="1" x14ac:dyDescent="0.25">
      <c r="B391" s="119" t="str">
        <f t="shared" si="27"/>
        <v/>
      </c>
      <c r="C391" s="2">
        <v>3.8800000000000001E-6</v>
      </c>
      <c r="D391" s="92" t="str">
        <f>IF(DespF!D394="","",DespF!D394)</f>
        <v/>
      </c>
      <c r="E391" s="90" t="str">
        <f>IF(DespF!E394="","",DespF!E394+'BH (2)'!C391)</f>
        <v/>
      </c>
      <c r="F391" s="59"/>
      <c r="G391" s="21"/>
      <c r="I391" s="106">
        <v>388</v>
      </c>
      <c r="J391" s="119" t="str">
        <f t="shared" si="28"/>
        <v/>
      </c>
      <c r="K391" s="92" t="str">
        <f>IF('Prod 1'!D392="","",'Prod 1'!D392)</f>
        <v/>
      </c>
      <c r="L391" s="119" t="str">
        <f>IF('Prod 1'!I392="","",'Prod 1'!I392+'BH (2)'!C391)</f>
        <v/>
      </c>
      <c r="M391" s="59"/>
      <c r="N391" s="91"/>
      <c r="Q391" s="119" t="str">
        <f t="shared" si="29"/>
        <v/>
      </c>
      <c r="R391" s="92" t="str">
        <f>IF('Prod 1'!D392="","",'Prod 1'!D392)</f>
        <v/>
      </c>
      <c r="S391" s="119" t="str">
        <f>IF('Prod 1'!E392="","",'Prod 1'!E392+'BH (2)'!C391)</f>
        <v/>
      </c>
      <c r="T391" s="59"/>
      <c r="U391" s="91"/>
    </row>
    <row r="392" spans="2:21" ht="24.95" customHeight="1" x14ac:dyDescent="0.25">
      <c r="B392" s="119" t="str">
        <f t="shared" si="27"/>
        <v/>
      </c>
      <c r="C392" s="2">
        <v>3.89E-6</v>
      </c>
      <c r="D392" s="92" t="str">
        <f>IF(DespF!D395="","",DespF!D395)</f>
        <v/>
      </c>
      <c r="E392" s="90" t="str">
        <f>IF(DespF!E395="","",DespF!E395+'BH (2)'!C392)</f>
        <v/>
      </c>
      <c r="F392" s="59"/>
      <c r="G392" s="21"/>
      <c r="I392" s="106">
        <v>389</v>
      </c>
      <c r="J392" s="119" t="str">
        <f t="shared" si="28"/>
        <v/>
      </c>
      <c r="K392" s="92" t="str">
        <f>IF('Prod 1'!D393="","",'Prod 1'!D393)</f>
        <v/>
      </c>
      <c r="L392" s="119" t="str">
        <f>IF('Prod 1'!I393="","",'Prod 1'!I393+'BH (2)'!C392)</f>
        <v/>
      </c>
      <c r="M392" s="59"/>
      <c r="N392" s="91"/>
      <c r="Q392" s="119" t="str">
        <f t="shared" si="29"/>
        <v/>
      </c>
      <c r="R392" s="92" t="str">
        <f>IF('Prod 1'!D393="","",'Prod 1'!D393)</f>
        <v/>
      </c>
      <c r="S392" s="119" t="str">
        <f>IF('Prod 1'!E393="","",'Prod 1'!E393+'BH (2)'!C392)</f>
        <v/>
      </c>
      <c r="T392" s="59"/>
      <c r="U392" s="91"/>
    </row>
    <row r="393" spans="2:21" ht="24.95" customHeight="1" x14ac:dyDescent="0.25">
      <c r="B393" s="119" t="str">
        <f t="shared" si="27"/>
        <v/>
      </c>
      <c r="C393" s="2">
        <v>3.8999999999999999E-6</v>
      </c>
      <c r="D393" s="92" t="str">
        <f>IF(DespF!D396="","",DespF!D396)</f>
        <v/>
      </c>
      <c r="E393" s="90" t="str">
        <f>IF(DespF!E396="","",DespF!E396+'BH (2)'!C393)</f>
        <v/>
      </c>
      <c r="F393" s="59"/>
      <c r="G393" s="21"/>
      <c r="I393" s="106">
        <v>390</v>
      </c>
      <c r="J393" s="119" t="str">
        <f t="shared" si="28"/>
        <v/>
      </c>
      <c r="K393" s="92" t="str">
        <f>IF('Prod 1'!D394="","",'Prod 1'!D394)</f>
        <v/>
      </c>
      <c r="L393" s="119" t="str">
        <f>IF('Prod 1'!I394="","",'Prod 1'!I394+'BH (2)'!C393)</f>
        <v/>
      </c>
      <c r="M393" s="59"/>
      <c r="N393" s="91"/>
      <c r="Q393" s="119" t="str">
        <f t="shared" si="29"/>
        <v/>
      </c>
      <c r="R393" s="92" t="str">
        <f>IF('Prod 1'!D394="","",'Prod 1'!D394)</f>
        <v/>
      </c>
      <c r="S393" s="119" t="str">
        <f>IF('Prod 1'!E394="","",'Prod 1'!E394+'BH (2)'!C393)</f>
        <v/>
      </c>
      <c r="T393" s="59"/>
      <c r="U393" s="91"/>
    </row>
    <row r="394" spans="2:21" ht="24.95" customHeight="1" x14ac:dyDescent="0.25">
      <c r="B394" s="119" t="str">
        <f t="shared" si="27"/>
        <v/>
      </c>
      <c r="C394" s="2">
        <v>3.9099999999999998E-6</v>
      </c>
      <c r="D394" s="92" t="str">
        <f>IF(DespF!D397="","",DespF!D397)</f>
        <v/>
      </c>
      <c r="E394" s="90" t="str">
        <f>IF(DespF!E397="","",DespF!E397+'BH (2)'!C394)</f>
        <v/>
      </c>
      <c r="F394" s="59"/>
      <c r="G394" s="21"/>
      <c r="I394" s="106">
        <v>391</v>
      </c>
      <c r="J394" s="119" t="str">
        <f t="shared" si="28"/>
        <v/>
      </c>
      <c r="K394" s="92" t="str">
        <f>IF('Prod 1'!D395="","",'Prod 1'!D395)</f>
        <v/>
      </c>
      <c r="L394" s="119" t="str">
        <f>IF('Prod 1'!I395="","",'Prod 1'!I395+'BH (2)'!C394)</f>
        <v/>
      </c>
      <c r="M394" s="59"/>
      <c r="N394" s="91"/>
      <c r="Q394" s="119" t="str">
        <f t="shared" si="29"/>
        <v/>
      </c>
      <c r="R394" s="92" t="str">
        <f>IF('Prod 1'!D395="","",'Prod 1'!D395)</f>
        <v/>
      </c>
      <c r="S394" s="119" t="str">
        <f>IF('Prod 1'!E395="","",'Prod 1'!E395+'BH (2)'!C394)</f>
        <v/>
      </c>
      <c r="T394" s="59"/>
      <c r="U394" s="91"/>
    </row>
    <row r="395" spans="2:21" ht="24.95" customHeight="1" x14ac:dyDescent="0.25">
      <c r="B395" s="119" t="str">
        <f t="shared" si="27"/>
        <v/>
      </c>
      <c r="C395" s="2">
        <v>3.9199999999999997E-6</v>
      </c>
      <c r="D395" s="92" t="str">
        <f>IF(DespF!D398="","",DespF!D398)</f>
        <v/>
      </c>
      <c r="E395" s="90" t="str">
        <f>IF(DespF!E398="","",DespF!E398+'BH (2)'!C395)</f>
        <v/>
      </c>
      <c r="F395" s="59"/>
      <c r="G395" s="21"/>
      <c r="I395" s="106">
        <v>392</v>
      </c>
      <c r="J395" s="119" t="str">
        <f t="shared" si="28"/>
        <v/>
      </c>
      <c r="K395" s="92" t="str">
        <f>IF('Prod 1'!D396="","",'Prod 1'!D396)</f>
        <v/>
      </c>
      <c r="L395" s="119" t="str">
        <f>IF('Prod 1'!I396="","",'Prod 1'!I396+'BH (2)'!C395)</f>
        <v/>
      </c>
      <c r="M395" s="59"/>
      <c r="N395" s="91"/>
      <c r="Q395" s="119" t="str">
        <f t="shared" si="29"/>
        <v/>
      </c>
      <c r="R395" s="92" t="str">
        <f>IF('Prod 1'!D396="","",'Prod 1'!D396)</f>
        <v/>
      </c>
      <c r="S395" s="119" t="str">
        <f>IF('Prod 1'!E396="","",'Prod 1'!E396+'BH (2)'!C395)</f>
        <v/>
      </c>
      <c r="T395" s="59"/>
      <c r="U395" s="91"/>
    </row>
    <row r="396" spans="2:21" ht="24.95" customHeight="1" x14ac:dyDescent="0.25">
      <c r="B396" s="119" t="str">
        <f t="shared" si="27"/>
        <v/>
      </c>
      <c r="C396" s="2">
        <v>3.9299999999999996E-6</v>
      </c>
      <c r="D396" s="92" t="str">
        <f>IF(DespF!D399="","",DespF!D399)</f>
        <v/>
      </c>
      <c r="E396" s="90" t="str">
        <f>IF(DespF!E399="","",DespF!E399+'BH (2)'!C396)</f>
        <v/>
      </c>
      <c r="F396" s="59"/>
      <c r="G396" s="21"/>
      <c r="I396" s="106">
        <v>393</v>
      </c>
      <c r="J396" s="119" t="str">
        <f t="shared" si="28"/>
        <v/>
      </c>
      <c r="K396" s="92" t="str">
        <f>IF('Prod 1'!D397="","",'Prod 1'!D397)</f>
        <v/>
      </c>
      <c r="L396" s="119" t="str">
        <f>IF('Prod 1'!I397="","",'Prod 1'!I397+'BH (2)'!C396)</f>
        <v/>
      </c>
      <c r="M396" s="59"/>
      <c r="N396" s="91"/>
      <c r="Q396" s="119" t="str">
        <f t="shared" si="29"/>
        <v/>
      </c>
      <c r="R396" s="92" t="str">
        <f>IF('Prod 1'!D397="","",'Prod 1'!D397)</f>
        <v/>
      </c>
      <c r="S396" s="119" t="str">
        <f>IF('Prod 1'!E397="","",'Prod 1'!E397+'BH (2)'!C396)</f>
        <v/>
      </c>
      <c r="T396" s="59"/>
      <c r="U396" s="91"/>
    </row>
    <row r="397" spans="2:21" ht="24.95" customHeight="1" x14ac:dyDescent="0.25">
      <c r="B397" s="119" t="str">
        <f t="shared" si="27"/>
        <v/>
      </c>
      <c r="C397" s="2">
        <v>3.9400000000000004E-6</v>
      </c>
      <c r="D397" s="92" t="str">
        <f>IF(DespF!D400="","",DespF!D400)</f>
        <v/>
      </c>
      <c r="E397" s="90" t="str">
        <f>IF(DespF!E400="","",DespF!E400+'BH (2)'!C397)</f>
        <v/>
      </c>
      <c r="F397" s="59"/>
      <c r="G397" s="21"/>
      <c r="I397" s="106">
        <v>394</v>
      </c>
      <c r="J397" s="119" t="str">
        <f t="shared" si="28"/>
        <v/>
      </c>
      <c r="K397" s="92" t="str">
        <f>IF('Prod 1'!D398="","",'Prod 1'!D398)</f>
        <v/>
      </c>
      <c r="L397" s="119" t="str">
        <f>IF('Prod 1'!I398="","",'Prod 1'!I398+'BH (2)'!C397)</f>
        <v/>
      </c>
      <c r="M397" s="59"/>
      <c r="N397" s="91"/>
      <c r="Q397" s="119" t="str">
        <f t="shared" si="29"/>
        <v/>
      </c>
      <c r="R397" s="92" t="str">
        <f>IF('Prod 1'!D398="","",'Prod 1'!D398)</f>
        <v/>
      </c>
      <c r="S397" s="119" t="str">
        <f>IF('Prod 1'!E398="","",'Prod 1'!E398+'BH (2)'!C397)</f>
        <v/>
      </c>
      <c r="T397" s="59"/>
      <c r="U397" s="91"/>
    </row>
    <row r="398" spans="2:21" ht="24.95" customHeight="1" x14ac:dyDescent="0.25">
      <c r="B398" s="119" t="str">
        <f t="shared" si="27"/>
        <v/>
      </c>
      <c r="C398" s="2">
        <v>3.9500000000000003E-6</v>
      </c>
      <c r="D398" s="92" t="str">
        <f>IF(DespF!D401="","",DespF!D401)</f>
        <v/>
      </c>
      <c r="E398" s="90" t="str">
        <f>IF(DespF!E401="","",DespF!E401+'BH (2)'!C398)</f>
        <v/>
      </c>
      <c r="F398" s="59"/>
      <c r="G398" s="21"/>
      <c r="I398" s="106">
        <v>395</v>
      </c>
      <c r="J398" s="119" t="str">
        <f t="shared" si="28"/>
        <v/>
      </c>
      <c r="K398" s="92" t="str">
        <f>IF('Prod 1'!D399="","",'Prod 1'!D399)</f>
        <v/>
      </c>
      <c r="L398" s="119" t="str">
        <f>IF('Prod 1'!I399="","",'Prod 1'!I399+'BH (2)'!C398)</f>
        <v/>
      </c>
      <c r="M398" s="59"/>
      <c r="N398" s="91"/>
      <c r="Q398" s="119" t="str">
        <f t="shared" si="29"/>
        <v/>
      </c>
      <c r="R398" s="92" t="str">
        <f>IF('Prod 1'!D399="","",'Prod 1'!D399)</f>
        <v/>
      </c>
      <c r="S398" s="119" t="str">
        <f>IF('Prod 1'!E399="","",'Prod 1'!E399+'BH (2)'!C398)</f>
        <v/>
      </c>
      <c r="T398" s="59"/>
      <c r="U398" s="91"/>
    </row>
    <row r="399" spans="2:21" ht="24.95" customHeight="1" x14ac:dyDescent="0.25">
      <c r="B399" s="119" t="str">
        <f t="shared" si="27"/>
        <v/>
      </c>
      <c r="C399" s="2">
        <v>3.9600000000000002E-6</v>
      </c>
      <c r="D399" s="92" t="str">
        <f>IF(DespF!D402="","",DespF!D402)</f>
        <v/>
      </c>
      <c r="E399" s="90" t="str">
        <f>IF(DespF!E402="","",DespF!E402+'BH (2)'!C399)</f>
        <v/>
      </c>
      <c r="F399" s="59"/>
      <c r="G399" s="21"/>
      <c r="I399" s="106">
        <v>396</v>
      </c>
      <c r="J399" s="119" t="str">
        <f t="shared" si="28"/>
        <v/>
      </c>
      <c r="K399" s="92" t="str">
        <f>IF('Prod 1'!D400="","",'Prod 1'!D400)</f>
        <v/>
      </c>
      <c r="L399" s="119" t="str">
        <f>IF('Prod 1'!I400="","",'Prod 1'!I400+'BH (2)'!C399)</f>
        <v/>
      </c>
      <c r="M399" s="59"/>
      <c r="N399" s="91"/>
      <c r="Q399" s="119" t="str">
        <f t="shared" si="29"/>
        <v/>
      </c>
      <c r="R399" s="92" t="str">
        <f>IF('Prod 1'!D400="","",'Prod 1'!D400)</f>
        <v/>
      </c>
      <c r="S399" s="119" t="str">
        <f>IF('Prod 1'!E400="","",'Prod 1'!E400+'BH (2)'!C399)</f>
        <v/>
      </c>
      <c r="T399" s="59"/>
      <c r="U399" s="91"/>
    </row>
    <row r="400" spans="2:21" ht="24.95" customHeight="1" x14ac:dyDescent="0.25">
      <c r="B400" s="119" t="str">
        <f t="shared" si="27"/>
        <v/>
      </c>
      <c r="C400" s="2">
        <v>3.9700000000000001E-6</v>
      </c>
      <c r="D400" s="92" t="str">
        <f>IF(DespF!D403="","",DespF!D403)</f>
        <v/>
      </c>
      <c r="E400" s="90" t="str">
        <f>IF(DespF!E403="","",DespF!E403+'BH (2)'!C400)</f>
        <v/>
      </c>
      <c r="F400" s="59"/>
      <c r="G400" s="21"/>
      <c r="I400" s="106">
        <v>397</v>
      </c>
      <c r="J400" s="119" t="str">
        <f t="shared" si="28"/>
        <v/>
      </c>
      <c r="K400" s="92" t="str">
        <f>IF('Prod 1'!D401="","",'Prod 1'!D401)</f>
        <v/>
      </c>
      <c r="L400" s="119" t="str">
        <f>IF('Prod 1'!I401="","",'Prod 1'!I401+'BH (2)'!C400)</f>
        <v/>
      </c>
      <c r="M400" s="59"/>
      <c r="N400" s="91"/>
      <c r="Q400" s="119" t="str">
        <f t="shared" si="29"/>
        <v/>
      </c>
      <c r="R400" s="92" t="str">
        <f>IF('Prod 1'!D401="","",'Prod 1'!D401)</f>
        <v/>
      </c>
      <c r="S400" s="119" t="str">
        <f>IF('Prod 1'!E401="","",'Prod 1'!E401+'BH (2)'!C400)</f>
        <v/>
      </c>
      <c r="T400" s="59"/>
      <c r="U400" s="91"/>
    </row>
    <row r="401" spans="2:21" ht="24.95" customHeight="1" x14ac:dyDescent="0.25">
      <c r="B401" s="119" t="str">
        <f t="shared" si="27"/>
        <v/>
      </c>
      <c r="C401" s="2">
        <v>3.98E-6</v>
      </c>
      <c r="D401" s="92" t="str">
        <f>IF(DespF!D404="","",DespF!D404)</f>
        <v/>
      </c>
      <c r="E401" s="90" t="str">
        <f>IF(DespF!E404="","",DespF!E404+'BH (2)'!C401)</f>
        <v/>
      </c>
      <c r="F401" s="59"/>
      <c r="G401" s="21"/>
      <c r="I401" s="106">
        <v>398</v>
      </c>
      <c r="J401" s="119" t="str">
        <f t="shared" si="28"/>
        <v/>
      </c>
      <c r="K401" s="92" t="str">
        <f>IF('Prod 1'!D402="","",'Prod 1'!D402)</f>
        <v/>
      </c>
      <c r="L401" s="119" t="str">
        <f>IF('Prod 1'!I402="","",'Prod 1'!I402+'BH (2)'!C401)</f>
        <v/>
      </c>
      <c r="M401" s="59"/>
      <c r="N401" s="91"/>
      <c r="Q401" s="119" t="str">
        <f t="shared" si="29"/>
        <v/>
      </c>
      <c r="R401" s="92" t="str">
        <f>IF('Prod 1'!D402="","",'Prod 1'!D402)</f>
        <v/>
      </c>
      <c r="S401" s="119" t="str">
        <f>IF('Prod 1'!E402="","",'Prod 1'!E402+'BH (2)'!C401)</f>
        <v/>
      </c>
      <c r="T401" s="59"/>
      <c r="U401" s="91"/>
    </row>
    <row r="402" spans="2:21" ht="24.95" customHeight="1" x14ac:dyDescent="0.25">
      <c r="B402" s="119" t="str">
        <f t="shared" si="27"/>
        <v/>
      </c>
      <c r="C402" s="2">
        <v>3.9899999999999999E-6</v>
      </c>
      <c r="D402" s="92" t="str">
        <f>IF(DespF!D405="","",DespF!D405)</f>
        <v/>
      </c>
      <c r="E402" s="90" t="str">
        <f>IF(DespF!E405="","",DespF!E405+'BH (2)'!C402)</f>
        <v/>
      </c>
      <c r="F402" s="59"/>
      <c r="G402" s="21"/>
      <c r="I402" s="106">
        <v>399</v>
      </c>
      <c r="J402" s="119" t="str">
        <f t="shared" si="28"/>
        <v/>
      </c>
      <c r="K402" s="92" t="str">
        <f>IF('Prod 1'!D403="","",'Prod 1'!D403)</f>
        <v/>
      </c>
      <c r="L402" s="119" t="str">
        <f>IF('Prod 1'!I403="","",'Prod 1'!I403+'BH (2)'!C402)</f>
        <v/>
      </c>
      <c r="M402" s="59"/>
      <c r="N402" s="91"/>
      <c r="Q402" s="119" t="str">
        <f t="shared" si="29"/>
        <v/>
      </c>
      <c r="R402" s="92" t="str">
        <f>IF('Prod 1'!D403="","",'Prod 1'!D403)</f>
        <v/>
      </c>
      <c r="S402" s="119" t="str">
        <f>IF('Prod 1'!E403="","",'Prod 1'!E403+'BH (2)'!C402)</f>
        <v/>
      </c>
      <c r="T402" s="59"/>
      <c r="U402" s="91"/>
    </row>
    <row r="403" spans="2:21" ht="24.95" customHeight="1" x14ac:dyDescent="0.25">
      <c r="B403" s="119" t="str">
        <f t="shared" si="27"/>
        <v/>
      </c>
      <c r="C403" s="2">
        <v>3.9999999999999998E-6</v>
      </c>
      <c r="D403" s="92" t="str">
        <f>IF(DespF!D406="","",DespF!D406)</f>
        <v/>
      </c>
      <c r="E403" s="90" t="str">
        <f>IF(DespF!E406="","",DespF!E406+'BH (2)'!C403)</f>
        <v/>
      </c>
      <c r="F403" s="59"/>
      <c r="G403" s="21"/>
      <c r="I403" s="106">
        <v>400</v>
      </c>
      <c r="J403" s="119" t="str">
        <f t="shared" si="28"/>
        <v/>
      </c>
      <c r="K403" s="92" t="str">
        <f>IF('Prod 1'!D404="","",'Prod 1'!D404)</f>
        <v/>
      </c>
      <c r="L403" s="119" t="str">
        <f>IF('Prod 1'!I404="","",'Prod 1'!I404+'BH (2)'!C403)</f>
        <v/>
      </c>
      <c r="M403" s="59"/>
      <c r="N403" s="91"/>
      <c r="Q403" s="119" t="str">
        <f t="shared" si="29"/>
        <v/>
      </c>
      <c r="R403" s="92" t="str">
        <f>IF('Prod 1'!D404="","",'Prod 1'!D404)</f>
        <v/>
      </c>
      <c r="S403" s="119" t="str">
        <f>IF('Prod 1'!E404="","",'Prod 1'!E404+'BH (2)'!C403)</f>
        <v/>
      </c>
      <c r="T403" s="59"/>
      <c r="U403" s="91"/>
    </row>
    <row r="404" spans="2:21" ht="24.95" customHeight="1" x14ac:dyDescent="0.25">
      <c r="B404" s="119" t="str">
        <f t="shared" si="27"/>
        <v/>
      </c>
      <c r="C404" s="2">
        <v>4.0099999999999997E-6</v>
      </c>
      <c r="D404" s="92" t="str">
        <f>IF(DespF!D407="","",DespF!D407)</f>
        <v/>
      </c>
      <c r="E404" s="90" t="str">
        <f>IF(DespF!E407="","",DespF!E407+'BH (2)'!C404)</f>
        <v/>
      </c>
      <c r="F404" s="59"/>
      <c r="G404" s="21"/>
      <c r="I404" s="106">
        <v>401</v>
      </c>
      <c r="J404" s="119" t="str">
        <f t="shared" si="28"/>
        <v/>
      </c>
      <c r="K404" s="92" t="str">
        <f>IF('Prod 1'!D405="","",'Prod 1'!D405)</f>
        <v/>
      </c>
      <c r="L404" s="119" t="str">
        <f>IF('Prod 1'!I405="","",'Prod 1'!I405+'BH (2)'!C404)</f>
        <v/>
      </c>
      <c r="M404" s="59"/>
      <c r="N404" s="91"/>
      <c r="Q404" s="119" t="str">
        <f t="shared" si="29"/>
        <v/>
      </c>
      <c r="R404" s="92" t="str">
        <f>IF('Prod 1'!D405="","",'Prod 1'!D405)</f>
        <v/>
      </c>
      <c r="S404" s="119" t="str">
        <f>IF('Prod 1'!E405="","",'Prod 1'!E405+'BH (2)'!C404)</f>
        <v/>
      </c>
      <c r="T404" s="59"/>
      <c r="U404" s="91"/>
    </row>
    <row r="405" spans="2:21" ht="24.95" customHeight="1" x14ac:dyDescent="0.25">
      <c r="B405" s="119" t="str">
        <f t="shared" si="27"/>
        <v/>
      </c>
      <c r="C405" s="2">
        <v>4.0199999999999996E-6</v>
      </c>
      <c r="D405" s="92" t="str">
        <f>IF(DespF!D408="","",DespF!D408)</f>
        <v/>
      </c>
      <c r="E405" s="90" t="str">
        <f>IF(DespF!E408="","",DespF!E408+'BH (2)'!C405)</f>
        <v/>
      </c>
      <c r="F405" s="59"/>
      <c r="G405" s="21"/>
      <c r="I405" s="106">
        <v>402</v>
      </c>
      <c r="J405" s="119" t="str">
        <f t="shared" si="28"/>
        <v/>
      </c>
      <c r="K405" s="92" t="str">
        <f>IF('Prod 1'!D406="","",'Prod 1'!D406)</f>
        <v/>
      </c>
      <c r="L405" s="119" t="str">
        <f>IF('Prod 1'!I406="","",'Prod 1'!I406+'BH (2)'!C405)</f>
        <v/>
      </c>
      <c r="M405" s="59"/>
      <c r="N405" s="91"/>
      <c r="Q405" s="119" t="str">
        <f t="shared" si="29"/>
        <v/>
      </c>
      <c r="R405" s="92" t="str">
        <f>IF('Prod 1'!D406="","",'Prod 1'!D406)</f>
        <v/>
      </c>
      <c r="S405" s="119" t="str">
        <f>IF('Prod 1'!E406="","",'Prod 1'!E406+'BH (2)'!C405)</f>
        <v/>
      </c>
      <c r="T405" s="59"/>
      <c r="U405" s="91"/>
    </row>
    <row r="406" spans="2:21" ht="24.95" customHeight="1" x14ac:dyDescent="0.25">
      <c r="B406" s="119" t="str">
        <f t="shared" si="27"/>
        <v/>
      </c>
      <c r="C406" s="2">
        <v>4.0300000000000004E-6</v>
      </c>
      <c r="D406" s="92" t="str">
        <f>IF(DespF!D409="","",DespF!D409)</f>
        <v/>
      </c>
      <c r="E406" s="90" t="str">
        <f>IF(DespF!E409="","",DespF!E409+'BH (2)'!C406)</f>
        <v/>
      </c>
      <c r="F406" s="59"/>
      <c r="G406" s="21"/>
      <c r="I406" s="106">
        <v>403</v>
      </c>
      <c r="J406" s="119" t="str">
        <f t="shared" si="28"/>
        <v/>
      </c>
      <c r="K406" s="92" t="str">
        <f>IF('Prod 1'!D407="","",'Prod 1'!D407)</f>
        <v/>
      </c>
      <c r="L406" s="119" t="str">
        <f>IF('Prod 1'!I407="","",'Prod 1'!I407+'BH (2)'!C406)</f>
        <v/>
      </c>
      <c r="M406" s="59"/>
      <c r="N406" s="91"/>
      <c r="Q406" s="119" t="str">
        <f t="shared" si="29"/>
        <v/>
      </c>
      <c r="R406" s="92" t="str">
        <f>IF('Prod 1'!D407="","",'Prod 1'!D407)</f>
        <v/>
      </c>
      <c r="S406" s="119" t="str">
        <f>IF('Prod 1'!E407="","",'Prod 1'!E407+'BH (2)'!C406)</f>
        <v/>
      </c>
      <c r="T406" s="59"/>
      <c r="U406" s="91"/>
    </row>
    <row r="407" spans="2:21" ht="24.95" customHeight="1" x14ac:dyDescent="0.25">
      <c r="B407" s="119" t="str">
        <f t="shared" si="27"/>
        <v/>
      </c>
      <c r="C407" s="2">
        <v>4.0400000000000003E-6</v>
      </c>
      <c r="D407" s="92" t="str">
        <f>IF(DespF!D410="","",DespF!D410)</f>
        <v/>
      </c>
      <c r="E407" s="90" t="str">
        <f>IF(DespF!E410="","",DespF!E410+'BH (2)'!C407)</f>
        <v/>
      </c>
      <c r="F407" s="59"/>
      <c r="G407" s="21"/>
      <c r="I407" s="106">
        <v>404</v>
      </c>
      <c r="J407" s="119" t="str">
        <f t="shared" si="28"/>
        <v/>
      </c>
      <c r="K407" s="92" t="str">
        <f>IF('Prod 1'!D408="","",'Prod 1'!D408)</f>
        <v/>
      </c>
      <c r="L407" s="119" t="str">
        <f>IF('Prod 1'!I408="","",'Prod 1'!I408+'BH (2)'!C407)</f>
        <v/>
      </c>
      <c r="M407" s="59"/>
      <c r="N407" s="91"/>
      <c r="Q407" s="119" t="str">
        <f t="shared" si="29"/>
        <v/>
      </c>
      <c r="R407" s="92" t="str">
        <f>IF('Prod 1'!D408="","",'Prod 1'!D408)</f>
        <v/>
      </c>
      <c r="S407" s="119" t="str">
        <f>IF('Prod 1'!E408="","",'Prod 1'!E408+'BH (2)'!C407)</f>
        <v/>
      </c>
      <c r="T407" s="59"/>
      <c r="U407" s="91"/>
    </row>
    <row r="408" spans="2:21" ht="24.95" customHeight="1" x14ac:dyDescent="0.25">
      <c r="B408" s="119" t="str">
        <f t="shared" si="27"/>
        <v/>
      </c>
      <c r="C408" s="2">
        <v>4.0500000000000002E-6</v>
      </c>
      <c r="D408" s="92" t="str">
        <f>IF(DespF!D411="","",DespF!D411)</f>
        <v/>
      </c>
      <c r="E408" s="90" t="str">
        <f>IF(DespF!E411="","",DespF!E411+'BH (2)'!C408)</f>
        <v/>
      </c>
      <c r="F408" s="59"/>
      <c r="G408" s="21"/>
      <c r="I408" s="106">
        <v>405</v>
      </c>
      <c r="J408" s="119" t="str">
        <f t="shared" si="28"/>
        <v/>
      </c>
      <c r="K408" s="92" t="str">
        <f>IF('Prod 1'!D409="","",'Prod 1'!D409)</f>
        <v/>
      </c>
      <c r="L408" s="119" t="str">
        <f>IF('Prod 1'!I409="","",'Prod 1'!I409+'BH (2)'!C408)</f>
        <v/>
      </c>
      <c r="M408" s="59"/>
      <c r="N408" s="91"/>
      <c r="Q408" s="119" t="str">
        <f t="shared" si="29"/>
        <v/>
      </c>
      <c r="R408" s="92" t="str">
        <f>IF('Prod 1'!D409="","",'Prod 1'!D409)</f>
        <v/>
      </c>
      <c r="S408" s="119" t="str">
        <f>IF('Prod 1'!E409="","",'Prod 1'!E409+'BH (2)'!C408)</f>
        <v/>
      </c>
      <c r="T408" s="59"/>
      <c r="U408" s="91"/>
    </row>
    <row r="409" spans="2:21" ht="24.95" customHeight="1" x14ac:dyDescent="0.25">
      <c r="B409" s="119" t="str">
        <f t="shared" si="27"/>
        <v/>
      </c>
      <c r="C409" s="2">
        <v>4.0600000000000001E-6</v>
      </c>
      <c r="D409" s="92" t="str">
        <f>IF(DespF!D412="","",DespF!D412)</f>
        <v/>
      </c>
      <c r="E409" s="90" t="str">
        <f>IF(DespF!E412="","",DespF!E412+'BH (2)'!C409)</f>
        <v/>
      </c>
      <c r="F409" s="59"/>
      <c r="G409" s="21"/>
      <c r="I409" s="106">
        <v>406</v>
      </c>
      <c r="J409" s="119" t="str">
        <f t="shared" si="28"/>
        <v/>
      </c>
      <c r="K409" s="92" t="str">
        <f>IF('Prod 1'!D410="","",'Prod 1'!D410)</f>
        <v/>
      </c>
      <c r="L409" s="119" t="str">
        <f>IF('Prod 1'!I410="","",'Prod 1'!I410+'BH (2)'!C409)</f>
        <v/>
      </c>
      <c r="M409" s="59"/>
      <c r="N409" s="91"/>
      <c r="Q409" s="119" t="str">
        <f t="shared" si="29"/>
        <v/>
      </c>
      <c r="R409" s="92" t="str">
        <f>IF('Prod 1'!D410="","",'Prod 1'!D410)</f>
        <v/>
      </c>
      <c r="S409" s="119" t="str">
        <f>IF('Prod 1'!E410="","",'Prod 1'!E410+'BH (2)'!C409)</f>
        <v/>
      </c>
      <c r="T409" s="59"/>
      <c r="U409" s="91"/>
    </row>
    <row r="410" spans="2:21" ht="24.95" customHeight="1" x14ac:dyDescent="0.25">
      <c r="B410" s="119" t="str">
        <f t="shared" si="27"/>
        <v/>
      </c>
      <c r="C410" s="2">
        <v>4.07E-6</v>
      </c>
      <c r="D410" s="92" t="str">
        <f>IF(DespF!D413="","",DespF!D413)</f>
        <v/>
      </c>
      <c r="E410" s="90" t="str">
        <f>IF(DespF!E413="","",DespF!E413+'BH (2)'!C410)</f>
        <v/>
      </c>
      <c r="F410" s="59"/>
      <c r="G410" s="21"/>
      <c r="I410" s="106">
        <v>407</v>
      </c>
      <c r="J410" s="119" t="str">
        <f t="shared" si="28"/>
        <v/>
      </c>
      <c r="K410" s="92" t="str">
        <f>IF('Prod 1'!D411="","",'Prod 1'!D411)</f>
        <v/>
      </c>
      <c r="L410" s="119" t="str">
        <f>IF('Prod 1'!I411="","",'Prod 1'!I411+'BH (2)'!C410)</f>
        <v/>
      </c>
      <c r="M410" s="59"/>
      <c r="N410" s="91"/>
      <c r="Q410" s="119" t="str">
        <f t="shared" si="29"/>
        <v/>
      </c>
      <c r="R410" s="92" t="str">
        <f>IF('Prod 1'!D411="","",'Prod 1'!D411)</f>
        <v/>
      </c>
      <c r="S410" s="119" t="str">
        <f>IF('Prod 1'!E411="","",'Prod 1'!E411+'BH (2)'!C410)</f>
        <v/>
      </c>
      <c r="T410" s="59"/>
      <c r="U410" s="91"/>
    </row>
    <row r="411" spans="2:21" ht="24.95" customHeight="1" x14ac:dyDescent="0.25">
      <c r="B411" s="119" t="str">
        <f t="shared" si="27"/>
        <v/>
      </c>
      <c r="C411" s="2">
        <v>4.0799999999999999E-6</v>
      </c>
      <c r="D411" s="92" t="str">
        <f>IF(DespF!D414="","",DespF!D414)</f>
        <v/>
      </c>
      <c r="E411" s="90" t="str">
        <f>IF(DespF!E414="","",DespF!E414+'BH (2)'!C411)</f>
        <v/>
      </c>
      <c r="F411" s="59"/>
      <c r="G411" s="21"/>
      <c r="I411" s="106">
        <v>408</v>
      </c>
      <c r="J411" s="119" t="str">
        <f t="shared" si="28"/>
        <v/>
      </c>
      <c r="K411" s="92" t="str">
        <f>IF('Prod 1'!D412="","",'Prod 1'!D412)</f>
        <v/>
      </c>
      <c r="L411" s="119" t="str">
        <f>IF('Prod 1'!I412="","",'Prod 1'!I412+'BH (2)'!C411)</f>
        <v/>
      </c>
      <c r="M411" s="59"/>
      <c r="N411" s="91"/>
      <c r="Q411" s="119" t="str">
        <f t="shared" si="29"/>
        <v/>
      </c>
      <c r="R411" s="92" t="str">
        <f>IF('Prod 1'!D412="","",'Prod 1'!D412)</f>
        <v/>
      </c>
      <c r="S411" s="119" t="str">
        <f>IF('Prod 1'!E412="","",'Prod 1'!E412+'BH (2)'!C411)</f>
        <v/>
      </c>
      <c r="T411" s="59"/>
      <c r="U411" s="91"/>
    </row>
    <row r="412" spans="2:21" ht="24.95" customHeight="1" x14ac:dyDescent="0.25">
      <c r="B412" s="119" t="str">
        <f t="shared" si="27"/>
        <v/>
      </c>
      <c r="C412" s="2">
        <v>4.0899999999999998E-6</v>
      </c>
      <c r="D412" s="92" t="str">
        <f>IF(DespF!D415="","",DespF!D415)</f>
        <v/>
      </c>
      <c r="E412" s="90" t="str">
        <f>IF(DespF!E415="","",DespF!E415+'BH (2)'!C412)</f>
        <v/>
      </c>
      <c r="F412" s="59"/>
      <c r="G412" s="21"/>
      <c r="I412" s="106">
        <v>409</v>
      </c>
      <c r="J412" s="119" t="str">
        <f t="shared" si="28"/>
        <v/>
      </c>
      <c r="K412" s="92" t="str">
        <f>IF('Prod 1'!D413="","",'Prod 1'!D413)</f>
        <v/>
      </c>
      <c r="L412" s="119" t="str">
        <f>IF('Prod 1'!I413="","",'Prod 1'!I413+'BH (2)'!C412)</f>
        <v/>
      </c>
      <c r="M412" s="59"/>
      <c r="N412" s="91"/>
      <c r="Q412" s="119" t="str">
        <f t="shared" si="29"/>
        <v/>
      </c>
      <c r="R412" s="92" t="str">
        <f>IF('Prod 1'!D413="","",'Prod 1'!D413)</f>
        <v/>
      </c>
      <c r="S412" s="119" t="str">
        <f>IF('Prod 1'!E413="","",'Prod 1'!E413+'BH (2)'!C412)</f>
        <v/>
      </c>
      <c r="T412" s="59"/>
      <c r="U412" s="91"/>
    </row>
    <row r="413" spans="2:21" ht="24.95" customHeight="1" x14ac:dyDescent="0.25">
      <c r="B413" s="119" t="str">
        <f t="shared" si="27"/>
        <v/>
      </c>
      <c r="C413" s="2">
        <v>4.0999999999999997E-6</v>
      </c>
      <c r="D413" s="92" t="str">
        <f>IF(DespF!D416="","",DespF!D416)</f>
        <v/>
      </c>
      <c r="E413" s="90" t="str">
        <f>IF(DespF!E416="","",DespF!E416+'BH (2)'!C413)</f>
        <v/>
      </c>
      <c r="F413" s="59"/>
      <c r="G413" s="21"/>
      <c r="I413" s="106">
        <v>410</v>
      </c>
      <c r="J413" s="119" t="str">
        <f t="shared" si="28"/>
        <v/>
      </c>
      <c r="K413" s="92" t="str">
        <f>IF('Prod 1'!D414="","",'Prod 1'!D414)</f>
        <v/>
      </c>
      <c r="L413" s="119" t="str">
        <f>IF('Prod 1'!I414="","",'Prod 1'!I414+'BH (2)'!C413)</f>
        <v/>
      </c>
      <c r="M413" s="59"/>
      <c r="N413" s="91"/>
      <c r="Q413" s="119" t="str">
        <f t="shared" si="29"/>
        <v/>
      </c>
      <c r="R413" s="92" t="str">
        <f>IF('Prod 1'!D414="","",'Prod 1'!D414)</f>
        <v/>
      </c>
      <c r="S413" s="119" t="str">
        <f>IF('Prod 1'!E414="","",'Prod 1'!E414+'BH (2)'!C413)</f>
        <v/>
      </c>
      <c r="T413" s="59"/>
      <c r="U413" s="91"/>
    </row>
    <row r="414" spans="2:21" ht="24.95" customHeight="1" x14ac:dyDescent="0.25">
      <c r="B414" s="119" t="str">
        <f t="shared" si="27"/>
        <v/>
      </c>
      <c r="C414" s="2">
        <v>4.1099999999999996E-6</v>
      </c>
      <c r="D414" s="92" t="str">
        <f>IF(DespF!D417="","",DespF!D417)</f>
        <v/>
      </c>
      <c r="E414" s="90" t="str">
        <f>IF(DespF!E417="","",DespF!E417+'BH (2)'!C414)</f>
        <v/>
      </c>
      <c r="F414" s="59"/>
      <c r="G414" s="21"/>
      <c r="I414" s="106">
        <v>411</v>
      </c>
      <c r="J414" s="119" t="str">
        <f t="shared" si="28"/>
        <v/>
      </c>
      <c r="K414" s="92" t="str">
        <f>IF('Prod 1'!D415="","",'Prod 1'!D415)</f>
        <v/>
      </c>
      <c r="L414" s="119" t="str">
        <f>IF('Prod 1'!I415="","",'Prod 1'!I415+'BH (2)'!C414)</f>
        <v/>
      </c>
      <c r="M414" s="59"/>
      <c r="N414" s="91"/>
      <c r="Q414" s="119" t="str">
        <f t="shared" si="29"/>
        <v/>
      </c>
      <c r="R414" s="92" t="str">
        <f>IF('Prod 1'!D415="","",'Prod 1'!D415)</f>
        <v/>
      </c>
      <c r="S414" s="119" t="str">
        <f>IF('Prod 1'!E415="","",'Prod 1'!E415+'BH (2)'!C414)</f>
        <v/>
      </c>
      <c r="T414" s="59"/>
      <c r="U414" s="91"/>
    </row>
    <row r="415" spans="2:21" ht="24.95" customHeight="1" x14ac:dyDescent="0.25">
      <c r="B415" s="119" t="str">
        <f t="shared" si="27"/>
        <v/>
      </c>
      <c r="C415" s="2">
        <v>4.1200000000000004E-6</v>
      </c>
      <c r="D415" s="92" t="str">
        <f>IF(DespF!D418="","",DespF!D418)</f>
        <v/>
      </c>
      <c r="E415" s="90" t="str">
        <f>IF(DespF!E418="","",DespF!E418+'BH (2)'!C415)</f>
        <v/>
      </c>
      <c r="F415" s="59"/>
      <c r="G415" s="21"/>
      <c r="I415" s="106">
        <v>412</v>
      </c>
      <c r="J415" s="119" t="str">
        <f t="shared" si="28"/>
        <v/>
      </c>
      <c r="K415" s="92" t="str">
        <f>IF('Prod 1'!D416="","",'Prod 1'!D416)</f>
        <v/>
      </c>
      <c r="L415" s="119" t="str">
        <f>IF('Prod 1'!I416="","",'Prod 1'!I416+'BH (2)'!C415)</f>
        <v/>
      </c>
      <c r="M415" s="59"/>
      <c r="N415" s="91"/>
      <c r="Q415" s="119" t="str">
        <f t="shared" si="29"/>
        <v/>
      </c>
      <c r="R415" s="92" t="str">
        <f>IF('Prod 1'!D416="","",'Prod 1'!D416)</f>
        <v/>
      </c>
      <c r="S415" s="119" t="str">
        <f>IF('Prod 1'!E416="","",'Prod 1'!E416+'BH (2)'!C415)</f>
        <v/>
      </c>
      <c r="T415" s="59"/>
      <c r="U415" s="91"/>
    </row>
    <row r="416" spans="2:21" ht="24.95" customHeight="1" x14ac:dyDescent="0.25">
      <c r="B416" s="119" t="str">
        <f t="shared" si="27"/>
        <v/>
      </c>
      <c r="C416" s="2">
        <v>4.1300000000000003E-6</v>
      </c>
      <c r="D416" s="92" t="str">
        <f>IF(DespF!D419="","",DespF!D419)</f>
        <v/>
      </c>
      <c r="E416" s="90" t="str">
        <f>IF(DespF!E419="","",DespF!E419+'BH (2)'!C416)</f>
        <v/>
      </c>
      <c r="F416" s="59"/>
      <c r="G416" s="21"/>
      <c r="I416" s="106">
        <v>413</v>
      </c>
      <c r="J416" s="119" t="str">
        <f t="shared" si="28"/>
        <v/>
      </c>
      <c r="K416" s="92" t="str">
        <f>IF('Prod 1'!D417="","",'Prod 1'!D417)</f>
        <v/>
      </c>
      <c r="L416" s="119" t="str">
        <f>IF('Prod 1'!I417="","",'Prod 1'!I417+'BH (2)'!C416)</f>
        <v/>
      </c>
      <c r="M416" s="59"/>
      <c r="N416" s="91"/>
      <c r="Q416" s="119" t="str">
        <f t="shared" si="29"/>
        <v/>
      </c>
      <c r="R416" s="92" t="str">
        <f>IF('Prod 1'!D417="","",'Prod 1'!D417)</f>
        <v/>
      </c>
      <c r="S416" s="119" t="str">
        <f>IF('Prod 1'!E417="","",'Prod 1'!E417+'BH (2)'!C416)</f>
        <v/>
      </c>
      <c r="T416" s="59"/>
      <c r="U416" s="91"/>
    </row>
    <row r="417" spans="2:21" ht="24.95" customHeight="1" x14ac:dyDescent="0.25">
      <c r="B417" s="119" t="str">
        <f t="shared" si="27"/>
        <v/>
      </c>
      <c r="C417" s="2">
        <v>4.1400000000000002E-6</v>
      </c>
      <c r="D417" s="92" t="str">
        <f>IF(DespF!D420="","",DespF!D420)</f>
        <v/>
      </c>
      <c r="E417" s="90" t="str">
        <f>IF(DespF!E420="","",DespF!E420+'BH (2)'!C417)</f>
        <v/>
      </c>
      <c r="F417" s="59"/>
      <c r="G417" s="21"/>
      <c r="I417" s="106">
        <v>414</v>
      </c>
      <c r="J417" s="119" t="str">
        <f t="shared" si="28"/>
        <v/>
      </c>
      <c r="K417" s="92" t="str">
        <f>IF('Prod 1'!D418="","",'Prod 1'!D418)</f>
        <v/>
      </c>
      <c r="L417" s="119" t="str">
        <f>IF('Prod 1'!I418="","",'Prod 1'!I418+'BH (2)'!C417)</f>
        <v/>
      </c>
      <c r="M417" s="59"/>
      <c r="N417" s="91"/>
      <c r="Q417" s="119" t="str">
        <f t="shared" si="29"/>
        <v/>
      </c>
      <c r="R417" s="92" t="str">
        <f>IF('Prod 1'!D418="","",'Prod 1'!D418)</f>
        <v/>
      </c>
      <c r="S417" s="119" t="str">
        <f>IF('Prod 1'!E418="","",'Prod 1'!E418+'BH (2)'!C417)</f>
        <v/>
      </c>
      <c r="T417" s="59"/>
      <c r="U417" s="91"/>
    </row>
    <row r="418" spans="2:21" ht="24.95" customHeight="1" x14ac:dyDescent="0.25">
      <c r="B418" s="119" t="str">
        <f t="shared" si="27"/>
        <v/>
      </c>
      <c r="C418" s="2">
        <v>4.1500000000000001E-6</v>
      </c>
      <c r="D418" s="92" t="str">
        <f>IF(DespF!D421="","",DespF!D421)</f>
        <v/>
      </c>
      <c r="E418" s="90" t="str">
        <f>IF(DespF!E421="","",DespF!E421+'BH (2)'!C418)</f>
        <v/>
      </c>
      <c r="F418" s="59"/>
      <c r="G418" s="21"/>
      <c r="I418" s="106">
        <v>415</v>
      </c>
      <c r="J418" s="119" t="str">
        <f t="shared" si="28"/>
        <v/>
      </c>
      <c r="K418" s="92" t="str">
        <f>IF('Prod 1'!D419="","",'Prod 1'!D419)</f>
        <v/>
      </c>
      <c r="L418" s="119" t="str">
        <f>IF('Prod 1'!I419="","",'Prod 1'!I419+'BH (2)'!C418)</f>
        <v/>
      </c>
      <c r="M418" s="59"/>
      <c r="N418" s="91"/>
      <c r="Q418" s="119" t="str">
        <f t="shared" si="29"/>
        <v/>
      </c>
      <c r="R418" s="92" t="str">
        <f>IF('Prod 1'!D419="","",'Prod 1'!D419)</f>
        <v/>
      </c>
      <c r="S418" s="119" t="str">
        <f>IF('Prod 1'!E419="","",'Prod 1'!E419+'BH (2)'!C418)</f>
        <v/>
      </c>
      <c r="T418" s="59"/>
      <c r="U418" s="91"/>
    </row>
    <row r="419" spans="2:21" ht="24.95" customHeight="1" x14ac:dyDescent="0.25">
      <c r="B419" s="119" t="str">
        <f t="shared" si="27"/>
        <v/>
      </c>
      <c r="C419" s="2">
        <v>4.16E-6</v>
      </c>
      <c r="D419" s="92" t="str">
        <f>IF(DespF!D422="","",DespF!D422)</f>
        <v/>
      </c>
      <c r="E419" s="90" t="str">
        <f>IF(DespF!E422="","",DespF!E422+'BH (2)'!C419)</f>
        <v/>
      </c>
      <c r="F419" s="59"/>
      <c r="G419" s="21"/>
      <c r="I419" s="106">
        <v>416</v>
      </c>
      <c r="J419" s="119" t="str">
        <f t="shared" si="28"/>
        <v/>
      </c>
      <c r="K419" s="92" t="str">
        <f>IF('Prod 1'!D420="","",'Prod 1'!D420)</f>
        <v/>
      </c>
      <c r="L419" s="119" t="str">
        <f>IF('Prod 1'!I420="","",'Prod 1'!I420+'BH (2)'!C419)</f>
        <v/>
      </c>
      <c r="M419" s="59"/>
      <c r="N419" s="91"/>
      <c r="Q419" s="119" t="str">
        <f t="shared" si="29"/>
        <v/>
      </c>
      <c r="R419" s="92" t="str">
        <f>IF('Prod 1'!D420="","",'Prod 1'!D420)</f>
        <v/>
      </c>
      <c r="S419" s="119" t="str">
        <f>IF('Prod 1'!E420="","",'Prod 1'!E420+'BH (2)'!C419)</f>
        <v/>
      </c>
      <c r="T419" s="59"/>
      <c r="U419" s="91"/>
    </row>
    <row r="420" spans="2:21" ht="24.95" customHeight="1" x14ac:dyDescent="0.25">
      <c r="B420" s="119" t="str">
        <f t="shared" si="27"/>
        <v/>
      </c>
      <c r="C420" s="2">
        <v>4.1699999999999999E-6</v>
      </c>
      <c r="D420" s="92" t="str">
        <f>IF(DespF!D423="","",DespF!D423)</f>
        <v/>
      </c>
      <c r="E420" s="90" t="str">
        <f>IF(DespF!E423="","",DespF!E423+'BH (2)'!C420)</f>
        <v/>
      </c>
      <c r="F420" s="59"/>
      <c r="G420" s="21"/>
      <c r="I420" s="106">
        <v>417</v>
      </c>
      <c r="J420" s="119" t="str">
        <f t="shared" si="28"/>
        <v/>
      </c>
      <c r="K420" s="92" t="str">
        <f>IF('Prod 1'!D421="","",'Prod 1'!D421)</f>
        <v/>
      </c>
      <c r="L420" s="119" t="str">
        <f>IF('Prod 1'!I421="","",'Prod 1'!I421+'BH (2)'!C420)</f>
        <v/>
      </c>
      <c r="M420" s="59"/>
      <c r="N420" s="91"/>
      <c r="Q420" s="119" t="str">
        <f t="shared" si="29"/>
        <v/>
      </c>
      <c r="R420" s="92" t="str">
        <f>IF('Prod 1'!D421="","",'Prod 1'!D421)</f>
        <v/>
      </c>
      <c r="S420" s="119" t="str">
        <f>IF('Prod 1'!E421="","",'Prod 1'!E421+'BH (2)'!C420)</f>
        <v/>
      </c>
      <c r="T420" s="59"/>
      <c r="U420" s="91"/>
    </row>
    <row r="421" spans="2:21" ht="24.95" customHeight="1" x14ac:dyDescent="0.25">
      <c r="B421" s="119" t="str">
        <f t="shared" si="27"/>
        <v/>
      </c>
      <c r="C421" s="2">
        <v>4.1799999999999998E-6</v>
      </c>
      <c r="D421" s="92" t="str">
        <f>IF(DespF!D424="","",DespF!D424)</f>
        <v/>
      </c>
      <c r="E421" s="90" t="str">
        <f>IF(DespF!E424="","",DespF!E424+'BH (2)'!C421)</f>
        <v/>
      </c>
      <c r="F421" s="59"/>
      <c r="G421" s="21"/>
      <c r="I421" s="106">
        <v>418</v>
      </c>
      <c r="J421" s="119" t="str">
        <f t="shared" si="28"/>
        <v/>
      </c>
      <c r="K421" s="92" t="str">
        <f>IF('Prod 1'!D422="","",'Prod 1'!D422)</f>
        <v/>
      </c>
      <c r="L421" s="119" t="str">
        <f>IF('Prod 1'!I422="","",'Prod 1'!I422+'BH (2)'!C421)</f>
        <v/>
      </c>
      <c r="M421" s="59"/>
      <c r="N421" s="91"/>
      <c r="Q421" s="119" t="str">
        <f t="shared" si="29"/>
        <v/>
      </c>
      <c r="R421" s="92" t="str">
        <f>IF('Prod 1'!D422="","",'Prod 1'!D422)</f>
        <v/>
      </c>
      <c r="S421" s="119" t="str">
        <f>IF('Prod 1'!E422="","",'Prod 1'!E422+'BH (2)'!C421)</f>
        <v/>
      </c>
      <c r="T421" s="59"/>
      <c r="U421" s="91"/>
    </row>
    <row r="422" spans="2:21" ht="24.95" customHeight="1" x14ac:dyDescent="0.25">
      <c r="B422" s="119" t="str">
        <f t="shared" si="27"/>
        <v/>
      </c>
      <c r="C422" s="2">
        <v>4.1899999999999997E-6</v>
      </c>
      <c r="D422" s="92" t="str">
        <f>IF(DespF!D425="","",DespF!D425)</f>
        <v/>
      </c>
      <c r="E422" s="90" t="str">
        <f>IF(DespF!E425="","",DespF!E425+'BH (2)'!C422)</f>
        <v/>
      </c>
      <c r="F422" s="59"/>
      <c r="G422" s="21"/>
      <c r="I422" s="106">
        <v>419</v>
      </c>
      <c r="J422" s="119" t="str">
        <f t="shared" si="28"/>
        <v/>
      </c>
      <c r="K422" s="92" t="str">
        <f>IF('Prod 1'!D423="","",'Prod 1'!D423)</f>
        <v/>
      </c>
      <c r="L422" s="119" t="str">
        <f>IF('Prod 1'!I423="","",'Prod 1'!I423+'BH (2)'!C422)</f>
        <v/>
      </c>
      <c r="M422" s="59"/>
      <c r="N422" s="91"/>
      <c r="Q422" s="119" t="str">
        <f t="shared" si="29"/>
        <v/>
      </c>
      <c r="R422" s="92" t="str">
        <f>IF('Prod 1'!D423="","",'Prod 1'!D423)</f>
        <v/>
      </c>
      <c r="S422" s="119" t="str">
        <f>IF('Prod 1'!E423="","",'Prod 1'!E423+'BH (2)'!C422)</f>
        <v/>
      </c>
      <c r="T422" s="59"/>
      <c r="U422" s="91"/>
    </row>
    <row r="423" spans="2:21" ht="24.95" customHeight="1" x14ac:dyDescent="0.25">
      <c r="B423" s="119" t="str">
        <f t="shared" si="27"/>
        <v/>
      </c>
      <c r="C423" s="2">
        <v>4.1999999999999996E-6</v>
      </c>
      <c r="D423" s="92" t="str">
        <f>IF(DespF!D426="","",DespF!D426)</f>
        <v/>
      </c>
      <c r="E423" s="90" t="str">
        <f>IF(DespF!E426="","",DespF!E426+'BH (2)'!C423)</f>
        <v/>
      </c>
      <c r="F423" s="59"/>
      <c r="G423" s="21"/>
      <c r="I423" s="106">
        <v>420</v>
      </c>
      <c r="J423" s="119" t="str">
        <f t="shared" si="28"/>
        <v/>
      </c>
      <c r="K423" s="92" t="str">
        <f>IF('Prod 1'!D424="","",'Prod 1'!D424)</f>
        <v/>
      </c>
      <c r="L423" s="119" t="str">
        <f>IF('Prod 1'!I424="","",'Prod 1'!I424+'BH (2)'!C423)</f>
        <v/>
      </c>
      <c r="M423" s="59"/>
      <c r="N423" s="91"/>
      <c r="Q423" s="119" t="str">
        <f t="shared" si="29"/>
        <v/>
      </c>
      <c r="R423" s="92" t="str">
        <f>IF('Prod 1'!D424="","",'Prod 1'!D424)</f>
        <v/>
      </c>
      <c r="S423" s="119" t="str">
        <f>IF('Prod 1'!E424="","",'Prod 1'!E424+'BH (2)'!C423)</f>
        <v/>
      </c>
      <c r="T423" s="59"/>
      <c r="U423" s="91"/>
    </row>
    <row r="424" spans="2:21" ht="24.95" customHeight="1" x14ac:dyDescent="0.25">
      <c r="B424" s="119" t="str">
        <f t="shared" si="27"/>
        <v/>
      </c>
      <c r="C424" s="2">
        <v>4.2100000000000003E-6</v>
      </c>
      <c r="D424" s="92" t="str">
        <f>IF(DespF!D427="","",DespF!D427)</f>
        <v/>
      </c>
      <c r="E424" s="90" t="str">
        <f>IF(DespF!E427="","",DespF!E427+'BH (2)'!C424)</f>
        <v/>
      </c>
      <c r="F424" s="59"/>
      <c r="G424" s="21"/>
      <c r="I424" s="106">
        <v>421</v>
      </c>
      <c r="J424" s="119" t="str">
        <f t="shared" si="28"/>
        <v/>
      </c>
      <c r="K424" s="92" t="str">
        <f>IF('Prod 1'!D425="","",'Prod 1'!D425)</f>
        <v/>
      </c>
      <c r="L424" s="119" t="str">
        <f>IF('Prod 1'!I425="","",'Prod 1'!I425+'BH (2)'!C424)</f>
        <v/>
      </c>
      <c r="M424" s="59"/>
      <c r="N424" s="91"/>
      <c r="Q424" s="119" t="str">
        <f t="shared" si="29"/>
        <v/>
      </c>
      <c r="R424" s="92" t="str">
        <f>IF('Prod 1'!D425="","",'Prod 1'!D425)</f>
        <v/>
      </c>
      <c r="S424" s="119" t="str">
        <f>IF('Prod 1'!E425="","",'Prod 1'!E425+'BH (2)'!C424)</f>
        <v/>
      </c>
      <c r="T424" s="59"/>
      <c r="U424" s="91"/>
    </row>
    <row r="425" spans="2:21" ht="24.95" customHeight="1" x14ac:dyDescent="0.25">
      <c r="B425" s="119" t="str">
        <f t="shared" si="27"/>
        <v/>
      </c>
      <c r="C425" s="2">
        <v>4.2200000000000003E-6</v>
      </c>
      <c r="D425" s="92" t="str">
        <f>IF(DespF!D428="","",DespF!D428)</f>
        <v/>
      </c>
      <c r="E425" s="90" t="str">
        <f>IF(DespF!E428="","",DespF!E428+'BH (2)'!C425)</f>
        <v/>
      </c>
      <c r="F425" s="59"/>
      <c r="G425" s="21"/>
      <c r="I425" s="106">
        <v>422</v>
      </c>
      <c r="J425" s="119" t="str">
        <f t="shared" si="28"/>
        <v/>
      </c>
      <c r="K425" s="92" t="str">
        <f>IF('Prod 1'!D426="","",'Prod 1'!D426)</f>
        <v/>
      </c>
      <c r="L425" s="119" t="str">
        <f>IF('Prod 1'!I426="","",'Prod 1'!I426+'BH (2)'!C425)</f>
        <v/>
      </c>
      <c r="M425" s="59"/>
      <c r="N425" s="91"/>
      <c r="Q425" s="119" t="str">
        <f t="shared" si="29"/>
        <v/>
      </c>
      <c r="R425" s="92" t="str">
        <f>IF('Prod 1'!D426="","",'Prod 1'!D426)</f>
        <v/>
      </c>
      <c r="S425" s="119" t="str">
        <f>IF('Prod 1'!E426="","",'Prod 1'!E426+'BH (2)'!C425)</f>
        <v/>
      </c>
      <c r="T425" s="59"/>
      <c r="U425" s="91"/>
    </row>
    <row r="426" spans="2:21" ht="24.95" customHeight="1" x14ac:dyDescent="0.25">
      <c r="B426" s="119" t="str">
        <f t="shared" si="27"/>
        <v/>
      </c>
      <c r="C426" s="2">
        <v>4.2300000000000002E-6</v>
      </c>
      <c r="D426" s="92" t="str">
        <f>IF(DespF!D429="","",DespF!D429)</f>
        <v/>
      </c>
      <c r="E426" s="90" t="str">
        <f>IF(DespF!E429="","",DespF!E429+'BH (2)'!C426)</f>
        <v/>
      </c>
      <c r="F426" s="59"/>
      <c r="G426" s="21"/>
      <c r="I426" s="106">
        <v>423</v>
      </c>
      <c r="J426" s="119" t="str">
        <f t="shared" si="28"/>
        <v/>
      </c>
      <c r="K426" s="92" t="str">
        <f>IF('Prod 1'!D427="","",'Prod 1'!D427)</f>
        <v/>
      </c>
      <c r="L426" s="119" t="str">
        <f>IF('Prod 1'!I427="","",'Prod 1'!I427+'BH (2)'!C426)</f>
        <v/>
      </c>
      <c r="M426" s="59"/>
      <c r="N426" s="91"/>
      <c r="Q426" s="119" t="str">
        <f t="shared" si="29"/>
        <v/>
      </c>
      <c r="R426" s="92" t="str">
        <f>IF('Prod 1'!D427="","",'Prod 1'!D427)</f>
        <v/>
      </c>
      <c r="S426" s="119" t="str">
        <f>IF('Prod 1'!E427="","",'Prod 1'!E427+'BH (2)'!C426)</f>
        <v/>
      </c>
      <c r="T426" s="59"/>
      <c r="U426" s="91"/>
    </row>
    <row r="427" spans="2:21" ht="24.95" customHeight="1" x14ac:dyDescent="0.25">
      <c r="B427" s="119" t="str">
        <f t="shared" si="27"/>
        <v/>
      </c>
      <c r="C427" s="2">
        <v>4.2400000000000001E-6</v>
      </c>
      <c r="D427" s="92" t="str">
        <f>IF(DespF!D430="","",DespF!D430)</f>
        <v/>
      </c>
      <c r="E427" s="90" t="str">
        <f>IF(DespF!E430="","",DespF!E430+'BH (2)'!C427)</f>
        <v/>
      </c>
      <c r="F427" s="59"/>
      <c r="G427" s="21"/>
      <c r="I427" s="106">
        <v>424</v>
      </c>
      <c r="J427" s="119" t="str">
        <f t="shared" si="28"/>
        <v/>
      </c>
      <c r="K427" s="92" t="str">
        <f>IF('Prod 1'!D428="","",'Prod 1'!D428)</f>
        <v/>
      </c>
      <c r="L427" s="119" t="str">
        <f>IF('Prod 1'!I428="","",'Prod 1'!I428+'BH (2)'!C427)</f>
        <v/>
      </c>
      <c r="M427" s="59"/>
      <c r="N427" s="91"/>
      <c r="Q427" s="119" t="str">
        <f t="shared" si="29"/>
        <v/>
      </c>
      <c r="R427" s="92" t="str">
        <f>IF('Prod 1'!D428="","",'Prod 1'!D428)</f>
        <v/>
      </c>
      <c r="S427" s="119" t="str">
        <f>IF('Prod 1'!E428="","",'Prod 1'!E428+'BH (2)'!C427)</f>
        <v/>
      </c>
      <c r="T427" s="59"/>
      <c r="U427" s="91"/>
    </row>
    <row r="428" spans="2:21" ht="24.95" customHeight="1" x14ac:dyDescent="0.25">
      <c r="B428" s="119" t="str">
        <f t="shared" si="27"/>
        <v/>
      </c>
      <c r="C428" s="2">
        <v>4.25E-6</v>
      </c>
      <c r="D428" s="92" t="str">
        <f>IF(DespF!D431="","",DespF!D431)</f>
        <v/>
      </c>
      <c r="E428" s="90" t="str">
        <f>IF(DespF!E431="","",DespF!E431+'BH (2)'!C428)</f>
        <v/>
      </c>
      <c r="F428" s="59"/>
      <c r="G428" s="21"/>
      <c r="I428" s="106">
        <v>425</v>
      </c>
      <c r="J428" s="119" t="str">
        <f t="shared" si="28"/>
        <v/>
      </c>
      <c r="K428" s="92" t="str">
        <f>IF('Prod 1'!D429="","",'Prod 1'!D429)</f>
        <v/>
      </c>
      <c r="L428" s="119" t="str">
        <f>IF('Prod 1'!I429="","",'Prod 1'!I429+'BH (2)'!C428)</f>
        <v/>
      </c>
      <c r="M428" s="59"/>
      <c r="N428" s="91"/>
      <c r="Q428" s="119" t="str">
        <f t="shared" si="29"/>
        <v/>
      </c>
      <c r="R428" s="92" t="str">
        <f>IF('Prod 1'!D429="","",'Prod 1'!D429)</f>
        <v/>
      </c>
      <c r="S428" s="119" t="str">
        <f>IF('Prod 1'!E429="","",'Prod 1'!E429+'BH (2)'!C428)</f>
        <v/>
      </c>
      <c r="T428" s="59"/>
      <c r="U428" s="91"/>
    </row>
    <row r="429" spans="2:21" ht="24.95" customHeight="1" x14ac:dyDescent="0.25">
      <c r="B429" s="119" t="str">
        <f t="shared" si="27"/>
        <v/>
      </c>
      <c r="C429" s="2">
        <v>4.2599999999999999E-6</v>
      </c>
      <c r="D429" s="92" t="str">
        <f>IF(DespF!D432="","",DespF!D432)</f>
        <v/>
      </c>
      <c r="E429" s="90" t="str">
        <f>IF(DespF!E432="","",DespF!E432+'BH (2)'!C429)</f>
        <v/>
      </c>
      <c r="F429" s="59"/>
      <c r="G429" s="21"/>
      <c r="I429" s="106">
        <v>426</v>
      </c>
      <c r="J429" s="119" t="str">
        <f t="shared" si="28"/>
        <v/>
      </c>
      <c r="K429" s="92" t="str">
        <f>IF('Prod 1'!D430="","",'Prod 1'!D430)</f>
        <v/>
      </c>
      <c r="L429" s="119" t="str">
        <f>IF('Prod 1'!I430="","",'Prod 1'!I430+'BH (2)'!C429)</f>
        <v/>
      </c>
      <c r="M429" s="59"/>
      <c r="N429" s="91"/>
      <c r="Q429" s="119" t="str">
        <f t="shared" si="29"/>
        <v/>
      </c>
      <c r="R429" s="92" t="str">
        <f>IF('Prod 1'!D430="","",'Prod 1'!D430)</f>
        <v/>
      </c>
      <c r="S429" s="119" t="str">
        <f>IF('Prod 1'!E430="","",'Prod 1'!E430+'BH (2)'!C429)</f>
        <v/>
      </c>
      <c r="T429" s="59"/>
      <c r="U429" s="91"/>
    </row>
    <row r="430" spans="2:21" ht="24.95" customHeight="1" x14ac:dyDescent="0.25">
      <c r="B430" s="119" t="str">
        <f t="shared" si="27"/>
        <v/>
      </c>
      <c r="C430" s="2">
        <v>4.2699999999999998E-6</v>
      </c>
      <c r="D430" s="92" t="str">
        <f>IF(DespF!D433="","",DespF!D433)</f>
        <v/>
      </c>
      <c r="E430" s="90" t="str">
        <f>IF(DespF!E433="","",DespF!E433+'BH (2)'!C430)</f>
        <v/>
      </c>
      <c r="F430" s="59"/>
      <c r="G430" s="21"/>
      <c r="I430" s="106">
        <v>427</v>
      </c>
      <c r="J430" s="119" t="str">
        <f t="shared" si="28"/>
        <v/>
      </c>
      <c r="K430" s="92" t="str">
        <f>IF('Prod 1'!D431="","",'Prod 1'!D431)</f>
        <v/>
      </c>
      <c r="L430" s="119" t="str">
        <f>IF('Prod 1'!I431="","",'Prod 1'!I431+'BH (2)'!C430)</f>
        <v/>
      </c>
      <c r="M430" s="59"/>
      <c r="N430" s="91"/>
      <c r="Q430" s="119" t="str">
        <f t="shared" si="29"/>
        <v/>
      </c>
      <c r="R430" s="92" t="str">
        <f>IF('Prod 1'!D431="","",'Prod 1'!D431)</f>
        <v/>
      </c>
      <c r="S430" s="119" t="str">
        <f>IF('Prod 1'!E431="","",'Prod 1'!E431+'BH (2)'!C430)</f>
        <v/>
      </c>
      <c r="T430" s="59"/>
      <c r="U430" s="91"/>
    </row>
    <row r="431" spans="2:21" ht="24.95" customHeight="1" x14ac:dyDescent="0.25">
      <c r="B431" s="119" t="str">
        <f t="shared" si="27"/>
        <v/>
      </c>
      <c r="C431" s="2">
        <v>4.2799999999999997E-6</v>
      </c>
      <c r="D431" s="92" t="str">
        <f>IF(DespF!D434="","",DespF!D434)</f>
        <v/>
      </c>
      <c r="E431" s="90" t="str">
        <f>IF(DespF!E434="","",DespF!E434+'BH (2)'!C431)</f>
        <v/>
      </c>
      <c r="F431" s="59"/>
      <c r="G431" s="21"/>
      <c r="I431" s="106">
        <v>428</v>
      </c>
      <c r="J431" s="119" t="str">
        <f t="shared" si="28"/>
        <v/>
      </c>
      <c r="K431" s="92" t="str">
        <f>IF('Prod 1'!D432="","",'Prod 1'!D432)</f>
        <v/>
      </c>
      <c r="L431" s="119" t="str">
        <f>IF('Prod 1'!I432="","",'Prod 1'!I432+'BH (2)'!C431)</f>
        <v/>
      </c>
      <c r="M431" s="59"/>
      <c r="N431" s="91"/>
      <c r="Q431" s="119" t="str">
        <f t="shared" si="29"/>
        <v/>
      </c>
      <c r="R431" s="92" t="str">
        <f>IF('Prod 1'!D432="","",'Prod 1'!D432)</f>
        <v/>
      </c>
      <c r="S431" s="119" t="str">
        <f>IF('Prod 1'!E432="","",'Prod 1'!E432+'BH (2)'!C431)</f>
        <v/>
      </c>
      <c r="T431" s="59"/>
      <c r="U431" s="91"/>
    </row>
    <row r="432" spans="2:21" ht="24.95" customHeight="1" x14ac:dyDescent="0.25">
      <c r="B432" s="119" t="str">
        <f t="shared" si="27"/>
        <v/>
      </c>
      <c r="C432" s="2">
        <v>4.2899999999999996E-6</v>
      </c>
      <c r="D432" s="92" t="str">
        <f>IF(DespF!D435="","",DespF!D435)</f>
        <v/>
      </c>
      <c r="E432" s="90" t="str">
        <f>IF(DespF!E435="","",DespF!E435+'BH (2)'!C432)</f>
        <v/>
      </c>
      <c r="F432" s="59"/>
      <c r="G432" s="21"/>
      <c r="I432" s="106">
        <v>429</v>
      </c>
      <c r="J432" s="119" t="str">
        <f t="shared" si="28"/>
        <v/>
      </c>
      <c r="K432" s="92" t="str">
        <f>IF('Prod 1'!D433="","",'Prod 1'!D433)</f>
        <v/>
      </c>
      <c r="L432" s="119" t="str">
        <f>IF('Prod 1'!I433="","",'Prod 1'!I433+'BH (2)'!C432)</f>
        <v/>
      </c>
      <c r="M432" s="59"/>
      <c r="N432" s="91"/>
      <c r="Q432" s="119" t="str">
        <f t="shared" si="29"/>
        <v/>
      </c>
      <c r="R432" s="92" t="str">
        <f>IF('Prod 1'!D433="","",'Prod 1'!D433)</f>
        <v/>
      </c>
      <c r="S432" s="119" t="str">
        <f>IF('Prod 1'!E433="","",'Prod 1'!E433+'BH (2)'!C432)</f>
        <v/>
      </c>
      <c r="T432" s="59"/>
      <c r="U432" s="91"/>
    </row>
    <row r="433" spans="2:21" ht="24.95" customHeight="1" x14ac:dyDescent="0.25">
      <c r="B433" s="119" t="str">
        <f t="shared" si="27"/>
        <v/>
      </c>
      <c r="C433" s="2">
        <v>4.3000000000000003E-6</v>
      </c>
      <c r="D433" s="92" t="str">
        <f>IF(DespF!D436="","",DespF!D436)</f>
        <v/>
      </c>
      <c r="E433" s="90" t="str">
        <f>IF(DespF!E436="","",DespF!E436+'BH (2)'!C433)</f>
        <v/>
      </c>
      <c r="F433" s="59"/>
      <c r="G433" s="21"/>
      <c r="I433" s="106">
        <v>430</v>
      </c>
      <c r="J433" s="119" t="str">
        <f t="shared" si="28"/>
        <v/>
      </c>
      <c r="K433" s="92" t="str">
        <f>IF('Prod 1'!D434="","",'Prod 1'!D434)</f>
        <v/>
      </c>
      <c r="L433" s="119" t="str">
        <f>IF('Prod 1'!I434="","",'Prod 1'!I434+'BH (2)'!C433)</f>
        <v/>
      </c>
      <c r="M433" s="59"/>
      <c r="N433" s="91"/>
      <c r="Q433" s="119" t="str">
        <f t="shared" si="29"/>
        <v/>
      </c>
      <c r="R433" s="92" t="str">
        <f>IF('Prod 1'!D434="","",'Prod 1'!D434)</f>
        <v/>
      </c>
      <c r="S433" s="119" t="str">
        <f>IF('Prod 1'!E434="","",'Prod 1'!E434+'BH (2)'!C433)</f>
        <v/>
      </c>
      <c r="T433" s="59"/>
      <c r="U433" s="91"/>
    </row>
    <row r="434" spans="2:21" ht="24.95" customHeight="1" x14ac:dyDescent="0.25">
      <c r="B434" s="119" t="str">
        <f t="shared" si="27"/>
        <v/>
      </c>
      <c r="C434" s="2">
        <v>4.3100000000000002E-6</v>
      </c>
      <c r="D434" s="92" t="str">
        <f>IF(DespF!D437="","",DespF!D437)</f>
        <v/>
      </c>
      <c r="E434" s="90" t="str">
        <f>IF(DespF!E437="","",DespF!E437+'BH (2)'!C434)</f>
        <v/>
      </c>
      <c r="F434" s="59"/>
      <c r="G434" s="21"/>
      <c r="I434" s="106">
        <v>431</v>
      </c>
      <c r="J434" s="119" t="str">
        <f t="shared" si="28"/>
        <v/>
      </c>
      <c r="K434" s="92" t="str">
        <f>IF('Prod 1'!D435="","",'Prod 1'!D435)</f>
        <v/>
      </c>
      <c r="L434" s="119" t="str">
        <f>IF('Prod 1'!I435="","",'Prod 1'!I435+'BH (2)'!C434)</f>
        <v/>
      </c>
      <c r="M434" s="59"/>
      <c r="N434" s="91"/>
      <c r="Q434" s="119" t="str">
        <f t="shared" si="29"/>
        <v/>
      </c>
      <c r="R434" s="92" t="str">
        <f>IF('Prod 1'!D435="","",'Prod 1'!D435)</f>
        <v/>
      </c>
      <c r="S434" s="119" t="str">
        <f>IF('Prod 1'!E435="","",'Prod 1'!E435+'BH (2)'!C434)</f>
        <v/>
      </c>
      <c r="T434" s="59"/>
      <c r="U434" s="91"/>
    </row>
    <row r="435" spans="2:21" ht="24.95" customHeight="1" x14ac:dyDescent="0.25">
      <c r="B435" s="119" t="str">
        <f t="shared" si="27"/>
        <v/>
      </c>
      <c r="C435" s="2">
        <v>4.3200000000000001E-6</v>
      </c>
      <c r="D435" s="92" t="str">
        <f>IF(DespF!D438="","",DespF!D438)</f>
        <v/>
      </c>
      <c r="E435" s="90" t="str">
        <f>IF(DespF!E438="","",DespF!E438+'BH (2)'!C435)</f>
        <v/>
      </c>
      <c r="F435" s="59"/>
      <c r="G435" s="21"/>
      <c r="I435" s="106">
        <v>432</v>
      </c>
      <c r="J435" s="119" t="str">
        <f t="shared" si="28"/>
        <v/>
      </c>
      <c r="K435" s="92" t="str">
        <f>IF('Prod 1'!D436="","",'Prod 1'!D436)</f>
        <v/>
      </c>
      <c r="L435" s="119" t="str">
        <f>IF('Prod 1'!I436="","",'Prod 1'!I436+'BH (2)'!C435)</f>
        <v/>
      </c>
      <c r="M435" s="59"/>
      <c r="N435" s="91"/>
      <c r="Q435" s="119" t="str">
        <f t="shared" si="29"/>
        <v/>
      </c>
      <c r="R435" s="92" t="str">
        <f>IF('Prod 1'!D436="","",'Prod 1'!D436)</f>
        <v/>
      </c>
      <c r="S435" s="119" t="str">
        <f>IF('Prod 1'!E436="","",'Prod 1'!E436+'BH (2)'!C435)</f>
        <v/>
      </c>
      <c r="T435" s="59"/>
      <c r="U435" s="91"/>
    </row>
    <row r="436" spans="2:21" ht="24.95" customHeight="1" x14ac:dyDescent="0.25">
      <c r="B436" s="119" t="str">
        <f t="shared" si="27"/>
        <v/>
      </c>
      <c r="C436" s="2">
        <v>4.33E-6</v>
      </c>
      <c r="D436" s="92" t="str">
        <f>IF(DespF!D439="","",DespF!D439)</f>
        <v/>
      </c>
      <c r="E436" s="90" t="str">
        <f>IF(DespF!E439="","",DespF!E439+'BH (2)'!C436)</f>
        <v/>
      </c>
      <c r="F436" s="59"/>
      <c r="G436" s="21"/>
      <c r="I436" s="106">
        <v>433</v>
      </c>
      <c r="J436" s="119" t="str">
        <f t="shared" si="28"/>
        <v/>
      </c>
      <c r="K436" s="92" t="str">
        <f>IF('Prod 1'!D437="","",'Prod 1'!D437)</f>
        <v/>
      </c>
      <c r="L436" s="119" t="str">
        <f>IF('Prod 1'!I437="","",'Prod 1'!I437+'BH (2)'!C436)</f>
        <v/>
      </c>
      <c r="M436" s="59"/>
      <c r="N436" s="91"/>
      <c r="Q436" s="119" t="str">
        <f t="shared" si="29"/>
        <v/>
      </c>
      <c r="R436" s="92" t="str">
        <f>IF('Prod 1'!D437="","",'Prod 1'!D437)</f>
        <v/>
      </c>
      <c r="S436" s="119" t="str">
        <f>IF('Prod 1'!E437="","",'Prod 1'!E437+'BH (2)'!C436)</f>
        <v/>
      </c>
      <c r="T436" s="59"/>
      <c r="U436" s="91"/>
    </row>
    <row r="437" spans="2:21" ht="24.95" customHeight="1" x14ac:dyDescent="0.25">
      <c r="B437" s="119" t="str">
        <f t="shared" si="27"/>
        <v/>
      </c>
      <c r="C437" s="2">
        <v>4.34E-6</v>
      </c>
      <c r="D437" s="92" t="str">
        <f>IF(DespF!D440="","",DespF!D440)</f>
        <v/>
      </c>
      <c r="E437" s="90" t="str">
        <f>IF(DespF!E440="","",DespF!E440+'BH (2)'!C437)</f>
        <v/>
      </c>
      <c r="F437" s="59"/>
      <c r="G437" s="21"/>
      <c r="I437" s="106">
        <v>434</v>
      </c>
      <c r="J437" s="119" t="str">
        <f t="shared" si="28"/>
        <v/>
      </c>
      <c r="K437" s="92" t="str">
        <f>IF('Prod 1'!D438="","",'Prod 1'!D438)</f>
        <v/>
      </c>
      <c r="L437" s="119" t="str">
        <f>IF('Prod 1'!I438="","",'Prod 1'!I438+'BH (2)'!C437)</f>
        <v/>
      </c>
      <c r="M437" s="59"/>
      <c r="N437" s="91"/>
      <c r="Q437" s="119" t="str">
        <f t="shared" si="29"/>
        <v/>
      </c>
      <c r="R437" s="92" t="str">
        <f>IF('Prod 1'!D438="","",'Prod 1'!D438)</f>
        <v/>
      </c>
      <c r="S437" s="119" t="str">
        <f>IF('Prod 1'!E438="","",'Prod 1'!E438+'BH (2)'!C437)</f>
        <v/>
      </c>
      <c r="T437" s="59"/>
      <c r="U437" s="91"/>
    </row>
    <row r="438" spans="2:21" ht="24.95" customHeight="1" x14ac:dyDescent="0.25">
      <c r="B438" s="119" t="str">
        <f t="shared" si="27"/>
        <v/>
      </c>
      <c r="C438" s="2">
        <v>4.3499999999999999E-6</v>
      </c>
      <c r="D438" s="92" t="str">
        <f>IF(DespF!D441="","",DespF!D441)</f>
        <v/>
      </c>
      <c r="E438" s="90" t="str">
        <f>IF(DespF!E441="","",DespF!E441+'BH (2)'!C438)</f>
        <v/>
      </c>
      <c r="F438" s="59"/>
      <c r="G438" s="21"/>
      <c r="I438" s="106">
        <v>435</v>
      </c>
      <c r="J438" s="119" t="str">
        <f t="shared" si="28"/>
        <v/>
      </c>
      <c r="K438" s="92" t="str">
        <f>IF('Prod 1'!D439="","",'Prod 1'!D439)</f>
        <v/>
      </c>
      <c r="L438" s="119" t="str">
        <f>IF('Prod 1'!I439="","",'Prod 1'!I439+'BH (2)'!C438)</f>
        <v/>
      </c>
      <c r="M438" s="59"/>
      <c r="N438" s="91"/>
      <c r="Q438" s="119" t="str">
        <f t="shared" si="29"/>
        <v/>
      </c>
      <c r="R438" s="92" t="str">
        <f>IF('Prod 1'!D439="","",'Prod 1'!D439)</f>
        <v/>
      </c>
      <c r="S438" s="119" t="str">
        <f>IF('Prod 1'!E439="","",'Prod 1'!E439+'BH (2)'!C438)</f>
        <v/>
      </c>
      <c r="T438" s="59"/>
      <c r="U438" s="91"/>
    </row>
    <row r="439" spans="2:21" ht="24.95" customHeight="1" x14ac:dyDescent="0.25">
      <c r="B439" s="119" t="str">
        <f t="shared" si="27"/>
        <v/>
      </c>
      <c r="C439" s="2">
        <v>4.3599999999999998E-6</v>
      </c>
      <c r="D439" s="92" t="str">
        <f>IF(DespF!D442="","",DespF!D442)</f>
        <v/>
      </c>
      <c r="E439" s="90" t="str">
        <f>IF(DespF!E442="","",DespF!E442+'BH (2)'!C439)</f>
        <v/>
      </c>
      <c r="F439" s="59"/>
      <c r="G439" s="21"/>
      <c r="I439" s="106">
        <v>436</v>
      </c>
      <c r="J439" s="119" t="str">
        <f t="shared" si="28"/>
        <v/>
      </c>
      <c r="K439" s="92" t="str">
        <f>IF('Prod 1'!D440="","",'Prod 1'!D440)</f>
        <v/>
      </c>
      <c r="L439" s="119" t="str">
        <f>IF('Prod 1'!I440="","",'Prod 1'!I440+'BH (2)'!C439)</f>
        <v/>
      </c>
      <c r="M439" s="59"/>
      <c r="N439" s="91"/>
      <c r="Q439" s="119" t="str">
        <f t="shared" si="29"/>
        <v/>
      </c>
      <c r="R439" s="92" t="str">
        <f>IF('Prod 1'!D440="","",'Prod 1'!D440)</f>
        <v/>
      </c>
      <c r="S439" s="119" t="str">
        <f>IF('Prod 1'!E440="","",'Prod 1'!E440+'BH (2)'!C439)</f>
        <v/>
      </c>
      <c r="T439" s="59"/>
      <c r="U439" s="91"/>
    </row>
    <row r="440" spans="2:21" ht="24.95" customHeight="1" x14ac:dyDescent="0.25">
      <c r="B440" s="119" t="str">
        <f t="shared" si="27"/>
        <v/>
      </c>
      <c r="C440" s="2">
        <v>4.3699999999999997E-6</v>
      </c>
      <c r="D440" s="92" t="str">
        <f>IF(DespF!D443="","",DespF!D443)</f>
        <v/>
      </c>
      <c r="E440" s="90" t="str">
        <f>IF(DespF!E443="","",DespF!E443+'BH (2)'!C440)</f>
        <v/>
      </c>
      <c r="F440" s="59"/>
      <c r="G440" s="21"/>
      <c r="I440" s="106">
        <v>437</v>
      </c>
      <c r="J440" s="119" t="str">
        <f t="shared" si="28"/>
        <v/>
      </c>
      <c r="K440" s="92" t="str">
        <f>IF('Prod 1'!D441="","",'Prod 1'!D441)</f>
        <v/>
      </c>
      <c r="L440" s="119" t="str">
        <f>IF('Prod 1'!I441="","",'Prod 1'!I441+'BH (2)'!C440)</f>
        <v/>
      </c>
      <c r="M440" s="59"/>
      <c r="N440" s="91"/>
      <c r="Q440" s="119" t="str">
        <f t="shared" si="29"/>
        <v/>
      </c>
      <c r="R440" s="92" t="str">
        <f>IF('Prod 1'!D441="","",'Prod 1'!D441)</f>
        <v/>
      </c>
      <c r="S440" s="119" t="str">
        <f>IF('Prod 1'!E441="","",'Prod 1'!E441+'BH (2)'!C440)</f>
        <v/>
      </c>
      <c r="T440" s="59"/>
      <c r="U440" s="91"/>
    </row>
    <row r="441" spans="2:21" ht="24.95" customHeight="1" x14ac:dyDescent="0.25">
      <c r="B441" s="119" t="str">
        <f t="shared" si="27"/>
        <v/>
      </c>
      <c r="C441" s="2">
        <v>4.3800000000000004E-6</v>
      </c>
      <c r="D441" s="92" t="str">
        <f>IF(DespF!D444="","",DespF!D444)</f>
        <v/>
      </c>
      <c r="E441" s="90" t="str">
        <f>IF(DespF!E444="","",DespF!E444+'BH (2)'!C441)</f>
        <v/>
      </c>
      <c r="F441" s="59"/>
      <c r="G441" s="21"/>
      <c r="I441" s="106">
        <v>438</v>
      </c>
      <c r="J441" s="119" t="str">
        <f t="shared" si="28"/>
        <v/>
      </c>
      <c r="K441" s="92" t="str">
        <f>IF('Prod 1'!D442="","",'Prod 1'!D442)</f>
        <v/>
      </c>
      <c r="L441" s="119" t="str">
        <f>IF('Prod 1'!I442="","",'Prod 1'!I442+'BH (2)'!C441)</f>
        <v/>
      </c>
      <c r="M441" s="59"/>
      <c r="N441" s="91"/>
      <c r="Q441" s="119" t="str">
        <f t="shared" si="29"/>
        <v/>
      </c>
      <c r="R441" s="92" t="str">
        <f>IF('Prod 1'!D442="","",'Prod 1'!D442)</f>
        <v/>
      </c>
      <c r="S441" s="119" t="str">
        <f>IF('Prod 1'!E442="","",'Prod 1'!E442+'BH (2)'!C441)</f>
        <v/>
      </c>
      <c r="T441" s="59"/>
      <c r="U441" s="91"/>
    </row>
    <row r="442" spans="2:21" ht="24.95" customHeight="1" x14ac:dyDescent="0.25">
      <c r="B442" s="119" t="str">
        <f t="shared" si="27"/>
        <v/>
      </c>
      <c r="C442" s="2">
        <v>4.3900000000000003E-6</v>
      </c>
      <c r="D442" s="92" t="str">
        <f>IF(DespF!D445="","",DespF!D445)</f>
        <v/>
      </c>
      <c r="E442" s="90" t="str">
        <f>IF(DespF!E445="","",DespF!E445+'BH (2)'!C442)</f>
        <v/>
      </c>
      <c r="F442" s="59"/>
      <c r="G442" s="21"/>
      <c r="I442" s="106">
        <v>439</v>
      </c>
      <c r="J442" s="119" t="str">
        <f t="shared" si="28"/>
        <v/>
      </c>
      <c r="K442" s="92" t="str">
        <f>IF('Prod 1'!D443="","",'Prod 1'!D443)</f>
        <v/>
      </c>
      <c r="L442" s="119" t="str">
        <f>IF('Prod 1'!I443="","",'Prod 1'!I443+'BH (2)'!C442)</f>
        <v/>
      </c>
      <c r="M442" s="59"/>
      <c r="N442" s="91"/>
      <c r="Q442" s="119" t="str">
        <f t="shared" si="29"/>
        <v/>
      </c>
      <c r="R442" s="92" t="str">
        <f>IF('Prod 1'!D443="","",'Prod 1'!D443)</f>
        <v/>
      </c>
      <c r="S442" s="119" t="str">
        <f>IF('Prod 1'!E443="","",'Prod 1'!E443+'BH (2)'!C442)</f>
        <v/>
      </c>
      <c r="T442" s="59"/>
      <c r="U442" s="91"/>
    </row>
    <row r="443" spans="2:21" ht="24.95" customHeight="1" x14ac:dyDescent="0.25">
      <c r="B443" s="119" t="str">
        <f t="shared" si="27"/>
        <v/>
      </c>
      <c r="C443" s="2">
        <v>4.4000000000000002E-6</v>
      </c>
      <c r="D443" s="92" t="str">
        <f>IF(DespF!D446="","",DespF!D446)</f>
        <v/>
      </c>
      <c r="E443" s="90" t="str">
        <f>IF(DespF!E446="","",DespF!E446+'BH (2)'!C443)</f>
        <v/>
      </c>
      <c r="F443" s="59"/>
      <c r="G443" s="21"/>
      <c r="I443" s="106">
        <v>440</v>
      </c>
      <c r="J443" s="119" t="str">
        <f t="shared" si="28"/>
        <v/>
      </c>
      <c r="K443" s="92" t="str">
        <f>IF('Prod 1'!D444="","",'Prod 1'!D444)</f>
        <v/>
      </c>
      <c r="L443" s="119" t="str">
        <f>IF('Prod 1'!I444="","",'Prod 1'!I444+'BH (2)'!C443)</f>
        <v/>
      </c>
      <c r="M443" s="59"/>
      <c r="N443" s="91"/>
      <c r="Q443" s="119" t="str">
        <f t="shared" si="29"/>
        <v/>
      </c>
      <c r="R443" s="92" t="str">
        <f>IF('Prod 1'!D444="","",'Prod 1'!D444)</f>
        <v/>
      </c>
      <c r="S443" s="119" t="str">
        <f>IF('Prod 1'!E444="","",'Prod 1'!E444+'BH (2)'!C443)</f>
        <v/>
      </c>
      <c r="T443" s="59"/>
      <c r="U443" s="91"/>
    </row>
    <row r="444" spans="2:21" ht="24.95" customHeight="1" x14ac:dyDescent="0.25">
      <c r="B444" s="119" t="str">
        <f t="shared" si="27"/>
        <v/>
      </c>
      <c r="C444" s="2">
        <v>4.4100000000000001E-6</v>
      </c>
      <c r="D444" s="92" t="str">
        <f>IF(DespF!D447="","",DespF!D447)</f>
        <v/>
      </c>
      <c r="E444" s="90" t="str">
        <f>IF(DespF!E447="","",DespF!E447+'BH (2)'!C444)</f>
        <v/>
      </c>
      <c r="F444" s="59"/>
      <c r="G444" s="21"/>
      <c r="I444" s="106">
        <v>441</v>
      </c>
      <c r="J444" s="119" t="str">
        <f t="shared" si="28"/>
        <v/>
      </c>
      <c r="K444" s="92" t="str">
        <f>IF('Prod 1'!D445="","",'Prod 1'!D445)</f>
        <v/>
      </c>
      <c r="L444" s="119" t="str">
        <f>IF('Prod 1'!I445="","",'Prod 1'!I445+'BH (2)'!C444)</f>
        <v/>
      </c>
      <c r="M444" s="59"/>
      <c r="N444" s="91"/>
      <c r="Q444" s="119" t="str">
        <f t="shared" si="29"/>
        <v/>
      </c>
      <c r="R444" s="92" t="str">
        <f>IF('Prod 1'!D445="","",'Prod 1'!D445)</f>
        <v/>
      </c>
      <c r="S444" s="119" t="str">
        <f>IF('Prod 1'!E445="","",'Prod 1'!E445+'BH (2)'!C444)</f>
        <v/>
      </c>
      <c r="T444" s="59"/>
      <c r="U444" s="91"/>
    </row>
    <row r="445" spans="2:21" ht="24.95" customHeight="1" x14ac:dyDescent="0.25">
      <c r="B445" s="119" t="str">
        <f t="shared" si="27"/>
        <v/>
      </c>
      <c r="C445" s="2">
        <v>4.42E-6</v>
      </c>
      <c r="D445" s="92" t="str">
        <f>IF(DespF!D448="","",DespF!D448)</f>
        <v/>
      </c>
      <c r="E445" s="90" t="str">
        <f>IF(DespF!E448="","",DespF!E448+'BH (2)'!C445)</f>
        <v/>
      </c>
      <c r="F445" s="59"/>
      <c r="G445" s="21"/>
      <c r="I445" s="106">
        <v>442</v>
      </c>
      <c r="J445" s="119" t="str">
        <f t="shared" si="28"/>
        <v/>
      </c>
      <c r="K445" s="92" t="str">
        <f>IF('Prod 1'!D446="","",'Prod 1'!D446)</f>
        <v/>
      </c>
      <c r="L445" s="119" t="str">
        <f>IF('Prod 1'!I446="","",'Prod 1'!I446+'BH (2)'!C445)</f>
        <v/>
      </c>
      <c r="M445" s="59"/>
      <c r="N445" s="91"/>
      <c r="Q445" s="119" t="str">
        <f t="shared" si="29"/>
        <v/>
      </c>
      <c r="R445" s="92" t="str">
        <f>IF('Prod 1'!D446="","",'Prod 1'!D446)</f>
        <v/>
      </c>
      <c r="S445" s="119" t="str">
        <f>IF('Prod 1'!E446="","",'Prod 1'!E446+'BH (2)'!C445)</f>
        <v/>
      </c>
      <c r="T445" s="59"/>
      <c r="U445" s="91"/>
    </row>
    <row r="446" spans="2:21" ht="24.95" customHeight="1" x14ac:dyDescent="0.25">
      <c r="B446" s="119" t="str">
        <f t="shared" si="27"/>
        <v/>
      </c>
      <c r="C446" s="2">
        <v>4.4299999999999999E-6</v>
      </c>
      <c r="D446" s="92" t="str">
        <f>IF(DespF!D449="","",DespF!D449)</f>
        <v/>
      </c>
      <c r="E446" s="90" t="str">
        <f>IF(DespF!E449="","",DespF!E449+'BH (2)'!C446)</f>
        <v/>
      </c>
      <c r="F446" s="59"/>
      <c r="G446" s="21"/>
      <c r="I446" s="106">
        <v>443</v>
      </c>
      <c r="J446" s="119" t="str">
        <f t="shared" si="28"/>
        <v/>
      </c>
      <c r="K446" s="92" t="str">
        <f>IF('Prod 1'!D447="","",'Prod 1'!D447)</f>
        <v/>
      </c>
      <c r="L446" s="119" t="str">
        <f>IF('Prod 1'!I447="","",'Prod 1'!I447+'BH (2)'!C446)</f>
        <v/>
      </c>
      <c r="M446" s="59"/>
      <c r="N446" s="91"/>
      <c r="Q446" s="119" t="str">
        <f t="shared" si="29"/>
        <v/>
      </c>
      <c r="R446" s="92" t="str">
        <f>IF('Prod 1'!D447="","",'Prod 1'!D447)</f>
        <v/>
      </c>
      <c r="S446" s="119" t="str">
        <f>IF('Prod 1'!E447="","",'Prod 1'!E447+'BH (2)'!C446)</f>
        <v/>
      </c>
      <c r="T446" s="59"/>
      <c r="U446" s="91"/>
    </row>
    <row r="447" spans="2:21" ht="24.95" customHeight="1" x14ac:dyDescent="0.25">
      <c r="B447" s="119" t="str">
        <f t="shared" si="27"/>
        <v/>
      </c>
      <c r="C447" s="2">
        <v>4.4399999999999998E-6</v>
      </c>
      <c r="D447" s="92" t="str">
        <f>IF(DespF!D450="","",DespF!D450)</f>
        <v/>
      </c>
      <c r="E447" s="90" t="str">
        <f>IF(DespF!E450="","",DespF!E450+'BH (2)'!C447)</f>
        <v/>
      </c>
      <c r="F447" s="59"/>
      <c r="G447" s="21"/>
      <c r="I447" s="106">
        <v>444</v>
      </c>
      <c r="J447" s="119" t="str">
        <f t="shared" si="28"/>
        <v/>
      </c>
      <c r="K447" s="92" t="str">
        <f>IF('Prod 1'!D448="","",'Prod 1'!D448)</f>
        <v/>
      </c>
      <c r="L447" s="119" t="str">
        <f>IF('Prod 1'!I448="","",'Prod 1'!I448+'BH (2)'!C447)</f>
        <v/>
      </c>
      <c r="M447" s="59"/>
      <c r="N447" s="91"/>
      <c r="Q447" s="119" t="str">
        <f t="shared" si="29"/>
        <v/>
      </c>
      <c r="R447" s="92" t="str">
        <f>IF('Prod 1'!D448="","",'Prod 1'!D448)</f>
        <v/>
      </c>
      <c r="S447" s="119" t="str">
        <f>IF('Prod 1'!E448="","",'Prod 1'!E448+'BH (2)'!C447)</f>
        <v/>
      </c>
      <c r="T447" s="59"/>
      <c r="U447" s="91"/>
    </row>
    <row r="448" spans="2:21" ht="24.95" customHeight="1" x14ac:dyDescent="0.25">
      <c r="B448" s="119" t="str">
        <f t="shared" si="27"/>
        <v/>
      </c>
      <c r="C448" s="2">
        <v>4.4499999999999997E-6</v>
      </c>
      <c r="D448" s="92" t="str">
        <f>IF(DespF!D451="","",DespF!D451)</f>
        <v/>
      </c>
      <c r="E448" s="90" t="str">
        <f>IF(DespF!E451="","",DespF!E451+'BH (2)'!C448)</f>
        <v/>
      </c>
      <c r="F448" s="59"/>
      <c r="G448" s="21"/>
      <c r="I448" s="106">
        <v>445</v>
      </c>
      <c r="J448" s="119" t="str">
        <f t="shared" si="28"/>
        <v/>
      </c>
      <c r="K448" s="92" t="str">
        <f>IF('Prod 1'!D449="","",'Prod 1'!D449)</f>
        <v/>
      </c>
      <c r="L448" s="119" t="str">
        <f>IF('Prod 1'!I449="","",'Prod 1'!I449+'BH (2)'!C448)</f>
        <v/>
      </c>
      <c r="M448" s="59"/>
      <c r="N448" s="91"/>
      <c r="Q448" s="119" t="str">
        <f t="shared" si="29"/>
        <v/>
      </c>
      <c r="R448" s="92" t="str">
        <f>IF('Prod 1'!D449="","",'Prod 1'!D449)</f>
        <v/>
      </c>
      <c r="S448" s="119" t="str">
        <f>IF('Prod 1'!E449="","",'Prod 1'!E449+'BH (2)'!C448)</f>
        <v/>
      </c>
      <c r="T448" s="59"/>
      <c r="U448" s="91"/>
    </row>
    <row r="449" spans="2:21" ht="24.95" customHeight="1" x14ac:dyDescent="0.25">
      <c r="B449" s="119" t="str">
        <f t="shared" si="27"/>
        <v/>
      </c>
      <c r="C449" s="2">
        <v>4.4599999999999996E-6</v>
      </c>
      <c r="D449" s="92" t="str">
        <f>IF(DespF!D452="","",DespF!D452)</f>
        <v/>
      </c>
      <c r="E449" s="90" t="str">
        <f>IF(DespF!E452="","",DespF!E452+'BH (2)'!C449)</f>
        <v/>
      </c>
      <c r="F449" s="59"/>
      <c r="G449" s="21"/>
      <c r="I449" s="106">
        <v>446</v>
      </c>
      <c r="J449" s="119" t="str">
        <f t="shared" si="28"/>
        <v/>
      </c>
      <c r="K449" s="92" t="str">
        <f>IF('Prod 1'!D450="","",'Prod 1'!D450)</f>
        <v/>
      </c>
      <c r="L449" s="119" t="str">
        <f>IF('Prod 1'!I450="","",'Prod 1'!I450+'BH (2)'!C449)</f>
        <v/>
      </c>
      <c r="M449" s="59"/>
      <c r="N449" s="91"/>
      <c r="Q449" s="119" t="str">
        <f t="shared" si="29"/>
        <v/>
      </c>
      <c r="R449" s="92" t="str">
        <f>IF('Prod 1'!D450="","",'Prod 1'!D450)</f>
        <v/>
      </c>
      <c r="S449" s="119" t="str">
        <f>IF('Prod 1'!E450="","",'Prod 1'!E450+'BH (2)'!C449)</f>
        <v/>
      </c>
      <c r="T449" s="59"/>
      <c r="U449" s="91"/>
    </row>
    <row r="450" spans="2:21" ht="24.95" customHeight="1" x14ac:dyDescent="0.25">
      <c r="B450" s="119" t="str">
        <f t="shared" si="27"/>
        <v/>
      </c>
      <c r="C450" s="2">
        <v>4.4700000000000004E-6</v>
      </c>
      <c r="D450" s="92" t="str">
        <f>IF(DespF!D453="","",DespF!D453)</f>
        <v/>
      </c>
      <c r="E450" s="90" t="str">
        <f>IF(DespF!E453="","",DespF!E453+'BH (2)'!C450)</f>
        <v/>
      </c>
      <c r="F450" s="59"/>
      <c r="G450" s="21"/>
      <c r="I450" s="106">
        <v>447</v>
      </c>
      <c r="J450" s="119" t="str">
        <f t="shared" si="28"/>
        <v/>
      </c>
      <c r="K450" s="92" t="str">
        <f>IF('Prod 1'!D451="","",'Prod 1'!D451)</f>
        <v/>
      </c>
      <c r="L450" s="119" t="str">
        <f>IF('Prod 1'!I451="","",'Prod 1'!I451+'BH (2)'!C450)</f>
        <v/>
      </c>
      <c r="M450" s="59"/>
      <c r="N450" s="91"/>
      <c r="Q450" s="119" t="str">
        <f t="shared" si="29"/>
        <v/>
      </c>
      <c r="R450" s="92" t="str">
        <f>IF('Prod 1'!D451="","",'Prod 1'!D451)</f>
        <v/>
      </c>
      <c r="S450" s="119" t="str">
        <f>IF('Prod 1'!E451="","",'Prod 1'!E451+'BH (2)'!C450)</f>
        <v/>
      </c>
      <c r="T450" s="59"/>
      <c r="U450" s="91"/>
    </row>
    <row r="451" spans="2:21" ht="24.95" customHeight="1" x14ac:dyDescent="0.25">
      <c r="B451" s="119" t="str">
        <f t="shared" si="27"/>
        <v/>
      </c>
      <c r="C451" s="2">
        <v>4.4800000000000003E-6</v>
      </c>
      <c r="D451" s="92" t="str">
        <f>IF(DespF!D454="","",DespF!D454)</f>
        <v/>
      </c>
      <c r="E451" s="90" t="str">
        <f>IF(DespF!E454="","",DespF!E454+'BH (2)'!C451)</f>
        <v/>
      </c>
      <c r="F451" s="59"/>
      <c r="G451" s="21"/>
      <c r="I451" s="106">
        <v>448</v>
      </c>
      <c r="J451" s="119" t="str">
        <f t="shared" si="28"/>
        <v/>
      </c>
      <c r="K451" s="92" t="str">
        <f>IF('Prod 1'!D452="","",'Prod 1'!D452)</f>
        <v/>
      </c>
      <c r="L451" s="119" t="str">
        <f>IF('Prod 1'!I452="","",'Prod 1'!I452+'BH (2)'!C451)</f>
        <v/>
      </c>
      <c r="M451" s="59"/>
      <c r="N451" s="91"/>
      <c r="Q451" s="119" t="str">
        <f t="shared" si="29"/>
        <v/>
      </c>
      <c r="R451" s="92" t="str">
        <f>IF('Prod 1'!D452="","",'Prod 1'!D452)</f>
        <v/>
      </c>
      <c r="S451" s="119" t="str">
        <f>IF('Prod 1'!E452="","",'Prod 1'!E452+'BH (2)'!C451)</f>
        <v/>
      </c>
      <c r="T451" s="59"/>
      <c r="U451" s="91"/>
    </row>
    <row r="452" spans="2:21" ht="24.95" customHeight="1" x14ac:dyDescent="0.25">
      <c r="B452" s="119" t="str">
        <f t="shared" si="27"/>
        <v/>
      </c>
      <c r="C452" s="2">
        <v>4.4900000000000002E-6</v>
      </c>
      <c r="D452" s="92" t="str">
        <f>IF(DespF!D455="","",DespF!D455)</f>
        <v/>
      </c>
      <c r="E452" s="90" t="str">
        <f>IF(DespF!E455="","",DespF!E455+'BH (2)'!C452)</f>
        <v/>
      </c>
      <c r="F452" s="59"/>
      <c r="G452" s="21"/>
      <c r="I452" s="106">
        <v>449</v>
      </c>
      <c r="J452" s="119" t="str">
        <f t="shared" si="28"/>
        <v/>
      </c>
      <c r="K452" s="92" t="str">
        <f>IF('Prod 1'!D453="","",'Prod 1'!D453)</f>
        <v/>
      </c>
      <c r="L452" s="119" t="str">
        <f>IF('Prod 1'!I453="","",'Prod 1'!I453+'BH (2)'!C452)</f>
        <v/>
      </c>
      <c r="M452" s="59"/>
      <c r="N452" s="91"/>
      <c r="Q452" s="119" t="str">
        <f t="shared" si="29"/>
        <v/>
      </c>
      <c r="R452" s="92" t="str">
        <f>IF('Prod 1'!D453="","",'Prod 1'!D453)</f>
        <v/>
      </c>
      <c r="S452" s="119" t="str">
        <f>IF('Prod 1'!E453="","",'Prod 1'!E453+'BH (2)'!C452)</f>
        <v/>
      </c>
      <c r="T452" s="59"/>
      <c r="U452" s="91"/>
    </row>
    <row r="453" spans="2:21" ht="24.95" customHeight="1" x14ac:dyDescent="0.25">
      <c r="B453" s="119" t="str">
        <f t="shared" ref="B453:B503" si="30">E453</f>
        <v/>
      </c>
      <c r="C453" s="2">
        <v>4.5000000000000001E-6</v>
      </c>
      <c r="D453" s="92" t="str">
        <f>IF(DespF!D456="","",DespF!D456)</f>
        <v/>
      </c>
      <c r="E453" s="90" t="str">
        <f>IF(DespF!E456="","",DespF!E456+'BH (2)'!C453)</f>
        <v/>
      </c>
      <c r="F453" s="59"/>
      <c r="G453" s="21"/>
      <c r="I453" s="106">
        <v>450</v>
      </c>
      <c r="J453" s="119" t="str">
        <f t="shared" ref="J453:J516" si="31">L453</f>
        <v/>
      </c>
      <c r="K453" s="92" t="str">
        <f>IF('Prod 1'!D454="","",'Prod 1'!D454)</f>
        <v/>
      </c>
      <c r="L453" s="119" t="str">
        <f>IF('Prod 1'!I454="","",'Prod 1'!I454+'BH (2)'!C453)</f>
        <v/>
      </c>
      <c r="M453" s="59"/>
      <c r="N453" s="91"/>
      <c r="Q453" s="119" t="str">
        <f t="shared" ref="Q453:Q516" si="32">S453</f>
        <v/>
      </c>
      <c r="R453" s="92" t="str">
        <f>IF('Prod 1'!D454="","",'Prod 1'!D454)</f>
        <v/>
      </c>
      <c r="S453" s="119" t="str">
        <f>IF('Prod 1'!E454="","",'Prod 1'!E454+'BH (2)'!C453)</f>
        <v/>
      </c>
      <c r="T453" s="59"/>
      <c r="U453" s="91"/>
    </row>
    <row r="454" spans="2:21" ht="24.95" customHeight="1" x14ac:dyDescent="0.25">
      <c r="B454" s="119" t="str">
        <f t="shared" si="30"/>
        <v/>
      </c>
      <c r="C454" s="2">
        <v>4.51E-6</v>
      </c>
      <c r="D454" s="92" t="str">
        <f>IF(DespF!D457="","",DespF!D457)</f>
        <v/>
      </c>
      <c r="E454" s="90" t="str">
        <f>IF(DespF!E457="","",DespF!E457+'BH (2)'!C454)</f>
        <v/>
      </c>
      <c r="F454" s="59"/>
      <c r="G454" s="21"/>
      <c r="I454" s="106">
        <v>451</v>
      </c>
      <c r="J454" s="119" t="str">
        <f t="shared" si="31"/>
        <v/>
      </c>
      <c r="K454" s="92" t="str">
        <f>IF('Prod 1'!D455="","",'Prod 1'!D455)</f>
        <v/>
      </c>
      <c r="L454" s="119" t="str">
        <f>IF('Prod 1'!I455="","",'Prod 1'!I455+'BH (2)'!C454)</f>
        <v/>
      </c>
      <c r="M454" s="59"/>
      <c r="N454" s="91"/>
      <c r="Q454" s="119" t="str">
        <f t="shared" si="32"/>
        <v/>
      </c>
      <c r="R454" s="92" t="str">
        <f>IF('Prod 1'!D455="","",'Prod 1'!D455)</f>
        <v/>
      </c>
      <c r="S454" s="119" t="str">
        <f>IF('Prod 1'!E455="","",'Prod 1'!E455+'BH (2)'!C454)</f>
        <v/>
      </c>
      <c r="T454" s="59"/>
      <c r="U454" s="91"/>
    </row>
    <row r="455" spans="2:21" ht="24.95" customHeight="1" x14ac:dyDescent="0.25">
      <c r="B455" s="119" t="str">
        <f t="shared" si="30"/>
        <v/>
      </c>
      <c r="C455" s="2">
        <v>4.5199999999999999E-6</v>
      </c>
      <c r="D455" s="92" t="str">
        <f>IF(DespF!D458="","",DespF!D458)</f>
        <v/>
      </c>
      <c r="E455" s="90" t="str">
        <f>IF(DespF!E458="","",DespF!E458+'BH (2)'!C455)</f>
        <v/>
      </c>
      <c r="F455" s="59"/>
      <c r="G455" s="21"/>
      <c r="I455" s="106">
        <v>452</v>
      </c>
      <c r="J455" s="119" t="str">
        <f t="shared" si="31"/>
        <v/>
      </c>
      <c r="K455" s="92" t="str">
        <f>IF('Prod 1'!D456="","",'Prod 1'!D456)</f>
        <v/>
      </c>
      <c r="L455" s="119" t="str">
        <f>IF('Prod 1'!I456="","",'Prod 1'!I456+'BH (2)'!C455)</f>
        <v/>
      </c>
      <c r="M455" s="59"/>
      <c r="N455" s="91"/>
      <c r="Q455" s="119" t="str">
        <f t="shared" si="32"/>
        <v/>
      </c>
      <c r="R455" s="92" t="str">
        <f>IF('Prod 1'!D456="","",'Prod 1'!D456)</f>
        <v/>
      </c>
      <c r="S455" s="119" t="str">
        <f>IF('Prod 1'!E456="","",'Prod 1'!E456+'BH (2)'!C455)</f>
        <v/>
      </c>
      <c r="T455" s="59"/>
      <c r="U455" s="91"/>
    </row>
    <row r="456" spans="2:21" ht="24.95" customHeight="1" x14ac:dyDescent="0.25">
      <c r="B456" s="119" t="str">
        <f t="shared" si="30"/>
        <v/>
      </c>
      <c r="C456" s="2">
        <v>4.5299999999999998E-6</v>
      </c>
      <c r="D456" s="92" t="str">
        <f>IF(DespF!D459="","",DespF!D459)</f>
        <v/>
      </c>
      <c r="E456" s="90" t="str">
        <f>IF(DespF!E459="","",DespF!E459+'BH (2)'!C456)</f>
        <v/>
      </c>
      <c r="F456" s="59"/>
      <c r="G456" s="21"/>
      <c r="I456" s="106">
        <v>453</v>
      </c>
      <c r="J456" s="119" t="str">
        <f t="shared" si="31"/>
        <v/>
      </c>
      <c r="K456" s="92" t="str">
        <f>IF('Prod 1'!D457="","",'Prod 1'!D457)</f>
        <v/>
      </c>
      <c r="L456" s="119" t="str">
        <f>IF('Prod 1'!I457="","",'Prod 1'!I457+'BH (2)'!C456)</f>
        <v/>
      </c>
      <c r="M456" s="59"/>
      <c r="N456" s="91"/>
      <c r="Q456" s="119" t="str">
        <f t="shared" si="32"/>
        <v/>
      </c>
      <c r="R456" s="92" t="str">
        <f>IF('Prod 1'!D457="","",'Prod 1'!D457)</f>
        <v/>
      </c>
      <c r="S456" s="119" t="str">
        <f>IF('Prod 1'!E457="","",'Prod 1'!E457+'BH (2)'!C456)</f>
        <v/>
      </c>
      <c r="T456" s="59"/>
      <c r="U456" s="91"/>
    </row>
    <row r="457" spans="2:21" ht="24.95" customHeight="1" x14ac:dyDescent="0.25">
      <c r="B457" s="119" t="str">
        <f t="shared" si="30"/>
        <v/>
      </c>
      <c r="C457" s="2">
        <v>4.5399999999999997E-6</v>
      </c>
      <c r="D457" s="92" t="str">
        <f>IF(DespF!D460="","",DespF!D460)</f>
        <v/>
      </c>
      <c r="E457" s="90" t="str">
        <f>IF(DespF!E460="","",DespF!E460+'BH (2)'!C457)</f>
        <v/>
      </c>
      <c r="F457" s="59"/>
      <c r="G457" s="21"/>
      <c r="I457" s="106">
        <v>454</v>
      </c>
      <c r="J457" s="119" t="str">
        <f t="shared" si="31"/>
        <v/>
      </c>
      <c r="K457" s="92" t="str">
        <f>IF('Prod 1'!D458="","",'Prod 1'!D458)</f>
        <v/>
      </c>
      <c r="L457" s="119" t="str">
        <f>IF('Prod 1'!I458="","",'Prod 1'!I458+'BH (2)'!C457)</f>
        <v/>
      </c>
      <c r="M457" s="59"/>
      <c r="N457" s="91"/>
      <c r="Q457" s="119" t="str">
        <f t="shared" si="32"/>
        <v/>
      </c>
      <c r="R457" s="92" t="str">
        <f>IF('Prod 1'!D458="","",'Prod 1'!D458)</f>
        <v/>
      </c>
      <c r="S457" s="119" t="str">
        <f>IF('Prod 1'!E458="","",'Prod 1'!E458+'BH (2)'!C457)</f>
        <v/>
      </c>
      <c r="T457" s="59"/>
      <c r="U457" s="91"/>
    </row>
    <row r="458" spans="2:21" ht="24.95" customHeight="1" x14ac:dyDescent="0.25">
      <c r="B458" s="119" t="str">
        <f t="shared" si="30"/>
        <v/>
      </c>
      <c r="C458" s="2">
        <v>4.5499999999999996E-6</v>
      </c>
      <c r="D458" s="92" t="str">
        <f>IF(DespF!D461="","",DespF!D461)</f>
        <v/>
      </c>
      <c r="E458" s="90" t="str">
        <f>IF(DespF!E461="","",DespF!E461+'BH (2)'!C458)</f>
        <v/>
      </c>
      <c r="F458" s="59"/>
      <c r="G458" s="21"/>
      <c r="I458" s="106">
        <v>455</v>
      </c>
      <c r="J458" s="119" t="str">
        <f t="shared" si="31"/>
        <v/>
      </c>
      <c r="K458" s="92" t="str">
        <f>IF('Prod 1'!D459="","",'Prod 1'!D459)</f>
        <v/>
      </c>
      <c r="L458" s="119" t="str">
        <f>IF('Prod 1'!I459="","",'Prod 1'!I459+'BH (2)'!C458)</f>
        <v/>
      </c>
      <c r="M458" s="59"/>
      <c r="N458" s="91"/>
      <c r="Q458" s="119" t="str">
        <f t="shared" si="32"/>
        <v/>
      </c>
      <c r="R458" s="92" t="str">
        <f>IF('Prod 1'!D459="","",'Prod 1'!D459)</f>
        <v/>
      </c>
      <c r="S458" s="119" t="str">
        <f>IF('Prod 1'!E459="","",'Prod 1'!E459+'BH (2)'!C458)</f>
        <v/>
      </c>
      <c r="T458" s="59"/>
      <c r="U458" s="91"/>
    </row>
    <row r="459" spans="2:21" ht="24.95" customHeight="1" x14ac:dyDescent="0.25">
      <c r="B459" s="119" t="str">
        <f t="shared" si="30"/>
        <v/>
      </c>
      <c r="C459" s="2">
        <v>4.5600000000000004E-6</v>
      </c>
      <c r="D459" s="92" t="str">
        <f>IF(DespF!D462="","",DespF!D462)</f>
        <v/>
      </c>
      <c r="E459" s="90" t="str">
        <f>IF(DespF!E462="","",DespF!E462+'BH (2)'!C459)</f>
        <v/>
      </c>
      <c r="F459" s="59"/>
      <c r="G459" s="21"/>
      <c r="I459" s="106">
        <v>456</v>
      </c>
      <c r="J459" s="119" t="str">
        <f t="shared" si="31"/>
        <v/>
      </c>
      <c r="K459" s="92" t="str">
        <f>IF('Prod 1'!D460="","",'Prod 1'!D460)</f>
        <v/>
      </c>
      <c r="L459" s="119" t="str">
        <f>IF('Prod 1'!I460="","",'Prod 1'!I460+'BH (2)'!C459)</f>
        <v/>
      </c>
      <c r="M459" s="59"/>
      <c r="N459" s="91"/>
      <c r="Q459" s="119" t="str">
        <f t="shared" si="32"/>
        <v/>
      </c>
      <c r="R459" s="92" t="str">
        <f>IF('Prod 1'!D460="","",'Prod 1'!D460)</f>
        <v/>
      </c>
      <c r="S459" s="119" t="str">
        <f>IF('Prod 1'!E460="","",'Prod 1'!E460+'BH (2)'!C459)</f>
        <v/>
      </c>
      <c r="T459" s="59"/>
      <c r="U459" s="91"/>
    </row>
    <row r="460" spans="2:21" ht="24.95" customHeight="1" x14ac:dyDescent="0.25">
      <c r="B460" s="119" t="str">
        <f t="shared" si="30"/>
        <v/>
      </c>
      <c r="C460" s="2">
        <v>4.5700000000000003E-6</v>
      </c>
      <c r="D460" s="92" t="str">
        <f>IF(DespF!D463="","",DespF!D463)</f>
        <v/>
      </c>
      <c r="E460" s="90" t="str">
        <f>IF(DespF!E463="","",DespF!E463+'BH (2)'!C460)</f>
        <v/>
      </c>
      <c r="F460" s="59"/>
      <c r="G460" s="21"/>
      <c r="I460" s="106">
        <v>457</v>
      </c>
      <c r="J460" s="119" t="str">
        <f t="shared" si="31"/>
        <v/>
      </c>
      <c r="K460" s="92" t="str">
        <f>IF('Prod 1'!D461="","",'Prod 1'!D461)</f>
        <v/>
      </c>
      <c r="L460" s="119" t="str">
        <f>IF('Prod 1'!I461="","",'Prod 1'!I461+'BH (2)'!C460)</f>
        <v/>
      </c>
      <c r="M460" s="59"/>
      <c r="N460" s="91"/>
      <c r="Q460" s="119" t="str">
        <f t="shared" si="32"/>
        <v/>
      </c>
      <c r="R460" s="92" t="str">
        <f>IF('Prod 1'!D461="","",'Prod 1'!D461)</f>
        <v/>
      </c>
      <c r="S460" s="119" t="str">
        <f>IF('Prod 1'!E461="","",'Prod 1'!E461+'BH (2)'!C460)</f>
        <v/>
      </c>
      <c r="T460" s="59"/>
      <c r="U460" s="91"/>
    </row>
    <row r="461" spans="2:21" ht="24.95" customHeight="1" x14ac:dyDescent="0.25">
      <c r="B461" s="119" t="str">
        <f t="shared" si="30"/>
        <v/>
      </c>
      <c r="C461" s="2">
        <v>4.5800000000000002E-6</v>
      </c>
      <c r="D461" s="92" t="str">
        <f>IF(DespF!D464="","",DespF!D464)</f>
        <v/>
      </c>
      <c r="E461" s="90" t="str">
        <f>IF(DespF!E464="","",DespF!E464+'BH (2)'!C461)</f>
        <v/>
      </c>
      <c r="F461" s="59"/>
      <c r="G461" s="21"/>
      <c r="I461" s="106">
        <v>458</v>
      </c>
      <c r="J461" s="119" t="str">
        <f t="shared" si="31"/>
        <v/>
      </c>
      <c r="K461" s="92" t="str">
        <f>IF('Prod 1'!D462="","",'Prod 1'!D462)</f>
        <v/>
      </c>
      <c r="L461" s="119" t="str">
        <f>IF('Prod 1'!I462="","",'Prod 1'!I462+'BH (2)'!C461)</f>
        <v/>
      </c>
      <c r="M461" s="59"/>
      <c r="N461" s="91"/>
      <c r="Q461" s="119" t="str">
        <f t="shared" si="32"/>
        <v/>
      </c>
      <c r="R461" s="92" t="str">
        <f>IF('Prod 1'!D462="","",'Prod 1'!D462)</f>
        <v/>
      </c>
      <c r="S461" s="119" t="str">
        <f>IF('Prod 1'!E462="","",'Prod 1'!E462+'BH (2)'!C461)</f>
        <v/>
      </c>
      <c r="T461" s="59"/>
      <c r="U461" s="91"/>
    </row>
    <row r="462" spans="2:21" ht="24.95" customHeight="1" x14ac:dyDescent="0.25">
      <c r="B462" s="119" t="str">
        <f t="shared" si="30"/>
        <v/>
      </c>
      <c r="C462" s="2">
        <v>4.5900000000000001E-6</v>
      </c>
      <c r="D462" s="92" t="str">
        <f>IF(DespF!D465="","",DespF!D465)</f>
        <v/>
      </c>
      <c r="E462" s="90" t="str">
        <f>IF(DespF!E465="","",DespF!E465+'BH (2)'!C462)</f>
        <v/>
      </c>
      <c r="F462" s="59"/>
      <c r="G462" s="21"/>
      <c r="I462" s="106">
        <v>459</v>
      </c>
      <c r="J462" s="119" t="str">
        <f t="shared" si="31"/>
        <v/>
      </c>
      <c r="K462" s="92" t="str">
        <f>IF('Prod 1'!D463="","",'Prod 1'!D463)</f>
        <v/>
      </c>
      <c r="L462" s="119" t="str">
        <f>IF('Prod 1'!I463="","",'Prod 1'!I463+'BH (2)'!C462)</f>
        <v/>
      </c>
      <c r="M462" s="59"/>
      <c r="N462" s="91"/>
      <c r="Q462" s="119" t="str">
        <f t="shared" si="32"/>
        <v/>
      </c>
      <c r="R462" s="92" t="str">
        <f>IF('Prod 1'!D463="","",'Prod 1'!D463)</f>
        <v/>
      </c>
      <c r="S462" s="119" t="str">
        <f>IF('Prod 1'!E463="","",'Prod 1'!E463+'BH (2)'!C462)</f>
        <v/>
      </c>
      <c r="T462" s="59"/>
      <c r="U462" s="91"/>
    </row>
    <row r="463" spans="2:21" ht="24.95" customHeight="1" x14ac:dyDescent="0.25">
      <c r="B463" s="119" t="str">
        <f t="shared" si="30"/>
        <v/>
      </c>
      <c r="C463" s="2">
        <v>4.6E-6</v>
      </c>
      <c r="D463" s="92" t="str">
        <f>IF(DespF!D466="","",DespF!D466)</f>
        <v/>
      </c>
      <c r="E463" s="90" t="str">
        <f>IF(DespF!E466="","",DespF!E466+'BH (2)'!C463)</f>
        <v/>
      </c>
      <c r="F463" s="59"/>
      <c r="G463" s="21"/>
      <c r="I463" s="106">
        <v>460</v>
      </c>
      <c r="J463" s="119" t="str">
        <f t="shared" si="31"/>
        <v/>
      </c>
      <c r="K463" s="92" t="str">
        <f>IF('Prod 1'!D464="","",'Prod 1'!D464)</f>
        <v/>
      </c>
      <c r="L463" s="119" t="str">
        <f>IF('Prod 1'!I464="","",'Prod 1'!I464+'BH (2)'!C463)</f>
        <v/>
      </c>
      <c r="M463" s="59"/>
      <c r="N463" s="91"/>
      <c r="Q463" s="119" t="str">
        <f t="shared" si="32"/>
        <v/>
      </c>
      <c r="R463" s="92" t="str">
        <f>IF('Prod 1'!D464="","",'Prod 1'!D464)</f>
        <v/>
      </c>
      <c r="S463" s="119" t="str">
        <f>IF('Prod 1'!E464="","",'Prod 1'!E464+'BH (2)'!C463)</f>
        <v/>
      </c>
      <c r="T463" s="59"/>
      <c r="U463" s="91"/>
    </row>
    <row r="464" spans="2:21" ht="24.95" customHeight="1" x14ac:dyDescent="0.25">
      <c r="B464" s="119" t="str">
        <f t="shared" si="30"/>
        <v/>
      </c>
      <c r="C464" s="2">
        <v>4.6099999999999999E-6</v>
      </c>
      <c r="D464" s="92" t="str">
        <f>IF(DespF!D467="","",DespF!D467)</f>
        <v/>
      </c>
      <c r="E464" s="90" t="str">
        <f>IF(DespF!E467="","",DespF!E467+'BH (2)'!C464)</f>
        <v/>
      </c>
      <c r="F464" s="59"/>
      <c r="G464" s="21"/>
      <c r="I464" s="106">
        <v>461</v>
      </c>
      <c r="J464" s="119" t="str">
        <f t="shared" si="31"/>
        <v/>
      </c>
      <c r="K464" s="92" t="str">
        <f>IF('Prod 1'!D465="","",'Prod 1'!D465)</f>
        <v/>
      </c>
      <c r="L464" s="119" t="str">
        <f>IF('Prod 1'!I465="","",'Prod 1'!I465+'BH (2)'!C464)</f>
        <v/>
      </c>
      <c r="M464" s="59"/>
      <c r="N464" s="91"/>
      <c r="Q464" s="119" t="str">
        <f t="shared" si="32"/>
        <v/>
      </c>
      <c r="R464" s="92" t="str">
        <f>IF('Prod 1'!D465="","",'Prod 1'!D465)</f>
        <v/>
      </c>
      <c r="S464" s="119" t="str">
        <f>IF('Prod 1'!E465="","",'Prod 1'!E465+'BH (2)'!C464)</f>
        <v/>
      </c>
      <c r="T464" s="59"/>
      <c r="U464" s="91"/>
    </row>
    <row r="465" spans="2:21" ht="24.95" customHeight="1" x14ac:dyDescent="0.25">
      <c r="B465" s="119" t="str">
        <f t="shared" si="30"/>
        <v/>
      </c>
      <c r="C465" s="2">
        <v>4.6199999999999998E-6</v>
      </c>
      <c r="D465" s="92" t="str">
        <f>IF(DespF!D468="","",DespF!D468)</f>
        <v/>
      </c>
      <c r="E465" s="90" t="str">
        <f>IF(DespF!E468="","",DespF!E468+'BH (2)'!C465)</f>
        <v/>
      </c>
      <c r="F465" s="59"/>
      <c r="G465" s="21"/>
      <c r="I465" s="106">
        <v>462</v>
      </c>
      <c r="J465" s="119" t="str">
        <f t="shared" si="31"/>
        <v/>
      </c>
      <c r="K465" s="92" t="str">
        <f>IF('Prod 1'!D466="","",'Prod 1'!D466)</f>
        <v/>
      </c>
      <c r="L465" s="119" t="str">
        <f>IF('Prod 1'!I466="","",'Prod 1'!I466+'BH (2)'!C465)</f>
        <v/>
      </c>
      <c r="M465" s="59"/>
      <c r="N465" s="91"/>
      <c r="Q465" s="119" t="str">
        <f t="shared" si="32"/>
        <v/>
      </c>
      <c r="R465" s="92" t="str">
        <f>IF('Prod 1'!D466="","",'Prod 1'!D466)</f>
        <v/>
      </c>
      <c r="S465" s="119" t="str">
        <f>IF('Prod 1'!E466="","",'Prod 1'!E466+'BH (2)'!C465)</f>
        <v/>
      </c>
      <c r="T465" s="59"/>
      <c r="U465" s="91"/>
    </row>
    <row r="466" spans="2:21" ht="24.95" customHeight="1" x14ac:dyDescent="0.25">
      <c r="B466" s="119" t="str">
        <f t="shared" si="30"/>
        <v/>
      </c>
      <c r="C466" s="2">
        <v>4.6299999999999997E-6</v>
      </c>
      <c r="D466" s="92" t="str">
        <f>IF(DespF!D469="","",DespF!D469)</f>
        <v/>
      </c>
      <c r="E466" s="90" t="str">
        <f>IF(DespF!E469="","",DespF!E469+'BH (2)'!C466)</f>
        <v/>
      </c>
      <c r="F466" s="59"/>
      <c r="G466" s="21"/>
      <c r="I466" s="106">
        <v>463</v>
      </c>
      <c r="J466" s="119" t="str">
        <f t="shared" si="31"/>
        <v/>
      </c>
      <c r="K466" s="92" t="str">
        <f>IF('Prod 1'!D467="","",'Prod 1'!D467)</f>
        <v/>
      </c>
      <c r="L466" s="119" t="str">
        <f>IF('Prod 1'!I467="","",'Prod 1'!I467+'BH (2)'!C466)</f>
        <v/>
      </c>
      <c r="M466" s="59"/>
      <c r="N466" s="91"/>
      <c r="Q466" s="119" t="str">
        <f t="shared" si="32"/>
        <v/>
      </c>
      <c r="R466" s="92" t="str">
        <f>IF('Prod 1'!D467="","",'Prod 1'!D467)</f>
        <v/>
      </c>
      <c r="S466" s="119" t="str">
        <f>IF('Prod 1'!E467="","",'Prod 1'!E467+'BH (2)'!C466)</f>
        <v/>
      </c>
      <c r="T466" s="59"/>
      <c r="U466" s="91"/>
    </row>
    <row r="467" spans="2:21" ht="24.95" customHeight="1" x14ac:dyDescent="0.25">
      <c r="B467" s="119" t="str">
        <f t="shared" si="30"/>
        <v/>
      </c>
      <c r="C467" s="2">
        <v>4.6399999999999996E-6</v>
      </c>
      <c r="D467" s="92" t="str">
        <f>IF(DespF!D470="","",DespF!D470)</f>
        <v/>
      </c>
      <c r="E467" s="90" t="str">
        <f>IF(DespF!E470="","",DespF!E470+'BH (2)'!C467)</f>
        <v/>
      </c>
      <c r="F467" s="59"/>
      <c r="G467" s="21"/>
      <c r="I467" s="106">
        <v>464</v>
      </c>
      <c r="J467" s="119" t="str">
        <f t="shared" si="31"/>
        <v/>
      </c>
      <c r="K467" s="92" t="str">
        <f>IF('Prod 1'!D468="","",'Prod 1'!D468)</f>
        <v/>
      </c>
      <c r="L467" s="119" t="str">
        <f>IF('Prod 1'!I468="","",'Prod 1'!I468+'BH (2)'!C467)</f>
        <v/>
      </c>
      <c r="M467" s="59"/>
      <c r="N467" s="91"/>
      <c r="Q467" s="119" t="str">
        <f t="shared" si="32"/>
        <v/>
      </c>
      <c r="R467" s="92" t="str">
        <f>IF('Prod 1'!D468="","",'Prod 1'!D468)</f>
        <v/>
      </c>
      <c r="S467" s="119" t="str">
        <f>IF('Prod 1'!E468="","",'Prod 1'!E468+'BH (2)'!C467)</f>
        <v/>
      </c>
      <c r="T467" s="59"/>
      <c r="U467" s="91"/>
    </row>
    <row r="468" spans="2:21" ht="24.95" customHeight="1" x14ac:dyDescent="0.25">
      <c r="B468" s="119" t="str">
        <f t="shared" si="30"/>
        <v/>
      </c>
      <c r="C468" s="2">
        <v>4.6500000000000004E-6</v>
      </c>
      <c r="D468" s="92" t="str">
        <f>IF(DespF!D471="","",DespF!D471)</f>
        <v/>
      </c>
      <c r="E468" s="90" t="str">
        <f>IF(DespF!E471="","",DespF!E471+'BH (2)'!C468)</f>
        <v/>
      </c>
      <c r="F468" s="59"/>
      <c r="G468" s="21"/>
      <c r="I468" s="106">
        <v>465</v>
      </c>
      <c r="J468" s="119" t="str">
        <f t="shared" si="31"/>
        <v/>
      </c>
      <c r="K468" s="92" t="str">
        <f>IF('Prod 1'!D469="","",'Prod 1'!D469)</f>
        <v/>
      </c>
      <c r="L468" s="119" t="str">
        <f>IF('Prod 1'!I469="","",'Prod 1'!I469+'BH (2)'!C468)</f>
        <v/>
      </c>
      <c r="M468" s="59"/>
      <c r="N468" s="91"/>
      <c r="Q468" s="119" t="str">
        <f t="shared" si="32"/>
        <v/>
      </c>
      <c r="R468" s="92" t="str">
        <f>IF('Prod 1'!D469="","",'Prod 1'!D469)</f>
        <v/>
      </c>
      <c r="S468" s="119" t="str">
        <f>IF('Prod 1'!E469="","",'Prod 1'!E469+'BH (2)'!C468)</f>
        <v/>
      </c>
      <c r="T468" s="59"/>
      <c r="U468" s="91"/>
    </row>
    <row r="469" spans="2:21" ht="24.95" customHeight="1" x14ac:dyDescent="0.25">
      <c r="B469" s="119" t="str">
        <f t="shared" si="30"/>
        <v/>
      </c>
      <c r="C469" s="2">
        <v>4.6600000000000003E-6</v>
      </c>
      <c r="D469" s="92" t="str">
        <f>IF(DespF!D472="","",DespF!D472)</f>
        <v/>
      </c>
      <c r="E469" s="90" t="str">
        <f>IF(DespF!E472="","",DespF!E472+'BH (2)'!C469)</f>
        <v/>
      </c>
      <c r="F469" s="59"/>
      <c r="G469" s="21"/>
      <c r="I469" s="106">
        <v>466</v>
      </c>
      <c r="J469" s="119" t="str">
        <f t="shared" si="31"/>
        <v/>
      </c>
      <c r="K469" s="92" t="str">
        <f>IF('Prod 1'!D470="","",'Prod 1'!D470)</f>
        <v/>
      </c>
      <c r="L469" s="119" t="str">
        <f>IF('Prod 1'!I470="","",'Prod 1'!I470+'BH (2)'!C469)</f>
        <v/>
      </c>
      <c r="M469" s="59"/>
      <c r="N469" s="91"/>
      <c r="Q469" s="119" t="str">
        <f t="shared" si="32"/>
        <v/>
      </c>
      <c r="R469" s="92" t="str">
        <f>IF('Prod 1'!D470="","",'Prod 1'!D470)</f>
        <v/>
      </c>
      <c r="S469" s="119" t="str">
        <f>IF('Prod 1'!E470="","",'Prod 1'!E470+'BH (2)'!C469)</f>
        <v/>
      </c>
      <c r="T469" s="59"/>
      <c r="U469" s="91"/>
    </row>
    <row r="470" spans="2:21" ht="24.95" customHeight="1" x14ac:dyDescent="0.25">
      <c r="B470" s="119" t="str">
        <f t="shared" si="30"/>
        <v/>
      </c>
      <c r="C470" s="2">
        <v>4.6700000000000002E-6</v>
      </c>
      <c r="D470" s="92" t="str">
        <f>IF(DespF!D473="","",DespF!D473)</f>
        <v/>
      </c>
      <c r="E470" s="90" t="str">
        <f>IF(DespF!E473="","",DespF!E473+'BH (2)'!C470)</f>
        <v/>
      </c>
      <c r="F470" s="59"/>
      <c r="G470" s="21"/>
      <c r="I470" s="106">
        <v>467</v>
      </c>
      <c r="J470" s="119" t="str">
        <f t="shared" si="31"/>
        <v/>
      </c>
      <c r="K470" s="92" t="str">
        <f>IF('Prod 1'!D471="","",'Prod 1'!D471)</f>
        <v/>
      </c>
      <c r="L470" s="119" t="str">
        <f>IF('Prod 1'!I471="","",'Prod 1'!I471+'BH (2)'!C470)</f>
        <v/>
      </c>
      <c r="M470" s="59"/>
      <c r="N470" s="91"/>
      <c r="Q470" s="119" t="str">
        <f t="shared" si="32"/>
        <v/>
      </c>
      <c r="R470" s="92" t="str">
        <f>IF('Prod 1'!D471="","",'Prod 1'!D471)</f>
        <v/>
      </c>
      <c r="S470" s="119" t="str">
        <f>IF('Prod 1'!E471="","",'Prod 1'!E471+'BH (2)'!C470)</f>
        <v/>
      </c>
      <c r="T470" s="59"/>
      <c r="U470" s="91"/>
    </row>
    <row r="471" spans="2:21" ht="24.95" customHeight="1" x14ac:dyDescent="0.25">
      <c r="B471" s="119" t="str">
        <f t="shared" si="30"/>
        <v/>
      </c>
      <c r="C471" s="2">
        <v>4.6800000000000001E-6</v>
      </c>
      <c r="D471" s="92" t="str">
        <f>IF(DespF!D474="","",DespF!D474)</f>
        <v/>
      </c>
      <c r="E471" s="90" t="str">
        <f>IF(DespF!E474="","",DespF!E474+'BH (2)'!C471)</f>
        <v/>
      </c>
      <c r="F471" s="59"/>
      <c r="G471" s="21"/>
      <c r="I471" s="106">
        <v>468</v>
      </c>
      <c r="J471" s="119" t="str">
        <f t="shared" si="31"/>
        <v/>
      </c>
      <c r="K471" s="92" t="str">
        <f>IF('Prod 1'!D472="","",'Prod 1'!D472)</f>
        <v/>
      </c>
      <c r="L471" s="119" t="str">
        <f>IF('Prod 1'!I472="","",'Prod 1'!I472+'BH (2)'!C471)</f>
        <v/>
      </c>
      <c r="M471" s="59"/>
      <c r="N471" s="91"/>
      <c r="Q471" s="119" t="str">
        <f t="shared" si="32"/>
        <v/>
      </c>
      <c r="R471" s="92" t="str">
        <f>IF('Prod 1'!D472="","",'Prod 1'!D472)</f>
        <v/>
      </c>
      <c r="S471" s="119" t="str">
        <f>IF('Prod 1'!E472="","",'Prod 1'!E472+'BH (2)'!C471)</f>
        <v/>
      </c>
      <c r="T471" s="59"/>
      <c r="U471" s="91"/>
    </row>
    <row r="472" spans="2:21" ht="24.95" customHeight="1" x14ac:dyDescent="0.25">
      <c r="B472" s="119" t="str">
        <f t="shared" si="30"/>
        <v/>
      </c>
      <c r="C472" s="2">
        <v>4.69E-6</v>
      </c>
      <c r="D472" s="92" t="str">
        <f>IF(DespF!D475="","",DespF!D475)</f>
        <v/>
      </c>
      <c r="E472" s="90" t="str">
        <f>IF(DespF!E475="","",DespF!E475+'BH (2)'!C472)</f>
        <v/>
      </c>
      <c r="F472" s="59"/>
      <c r="G472" s="21"/>
      <c r="I472" s="106">
        <v>469</v>
      </c>
      <c r="J472" s="119" t="str">
        <f t="shared" si="31"/>
        <v/>
      </c>
      <c r="K472" s="92" t="str">
        <f>IF('Prod 1'!D473="","",'Prod 1'!D473)</f>
        <v/>
      </c>
      <c r="L472" s="119" t="str">
        <f>IF('Prod 1'!I473="","",'Prod 1'!I473+'BH (2)'!C472)</f>
        <v/>
      </c>
      <c r="M472" s="59"/>
      <c r="N472" s="91"/>
      <c r="Q472" s="119" t="str">
        <f t="shared" si="32"/>
        <v/>
      </c>
      <c r="R472" s="92" t="str">
        <f>IF('Prod 1'!D473="","",'Prod 1'!D473)</f>
        <v/>
      </c>
      <c r="S472" s="119" t="str">
        <f>IF('Prod 1'!E473="","",'Prod 1'!E473+'BH (2)'!C472)</f>
        <v/>
      </c>
      <c r="T472" s="59"/>
      <c r="U472" s="91"/>
    </row>
    <row r="473" spans="2:21" ht="24.95" customHeight="1" x14ac:dyDescent="0.25">
      <c r="B473" s="119" t="str">
        <f t="shared" si="30"/>
        <v/>
      </c>
      <c r="C473" s="2">
        <v>4.6999999999999999E-6</v>
      </c>
      <c r="D473" s="92" t="str">
        <f>IF(DespF!D476="","",DespF!D476)</f>
        <v/>
      </c>
      <c r="E473" s="90" t="str">
        <f>IF(DespF!E476="","",DespF!E476+'BH (2)'!C473)</f>
        <v/>
      </c>
      <c r="F473" s="59"/>
      <c r="G473" s="21"/>
      <c r="I473" s="106">
        <v>470</v>
      </c>
      <c r="J473" s="119" t="str">
        <f t="shared" si="31"/>
        <v/>
      </c>
      <c r="K473" s="92" t="str">
        <f>IF('Prod 1'!D474="","",'Prod 1'!D474)</f>
        <v/>
      </c>
      <c r="L473" s="119" t="str">
        <f>IF('Prod 1'!I474="","",'Prod 1'!I474+'BH (2)'!C473)</f>
        <v/>
      </c>
      <c r="M473" s="59"/>
      <c r="N473" s="91"/>
      <c r="Q473" s="119" t="str">
        <f t="shared" si="32"/>
        <v/>
      </c>
      <c r="R473" s="92" t="str">
        <f>IF('Prod 1'!D474="","",'Prod 1'!D474)</f>
        <v/>
      </c>
      <c r="S473" s="119" t="str">
        <f>IF('Prod 1'!E474="","",'Prod 1'!E474+'BH (2)'!C473)</f>
        <v/>
      </c>
      <c r="T473" s="59"/>
      <c r="U473" s="91"/>
    </row>
    <row r="474" spans="2:21" ht="24.95" customHeight="1" x14ac:dyDescent="0.25">
      <c r="B474" s="119" t="str">
        <f t="shared" si="30"/>
        <v/>
      </c>
      <c r="C474" s="2">
        <v>4.7099999999999998E-6</v>
      </c>
      <c r="D474" s="92" t="str">
        <f>IF(DespF!D477="","",DespF!D477)</f>
        <v/>
      </c>
      <c r="E474" s="90" t="str">
        <f>IF(DespF!E477="","",DespF!E477+'BH (2)'!C474)</f>
        <v/>
      </c>
      <c r="F474" s="59"/>
      <c r="G474" s="21"/>
      <c r="I474" s="106">
        <v>471</v>
      </c>
      <c r="J474" s="119" t="str">
        <f t="shared" si="31"/>
        <v/>
      </c>
      <c r="K474" s="92" t="str">
        <f>IF('Prod 1'!D475="","",'Prod 1'!D475)</f>
        <v/>
      </c>
      <c r="L474" s="119" t="str">
        <f>IF('Prod 1'!I475="","",'Prod 1'!I475+'BH (2)'!C474)</f>
        <v/>
      </c>
      <c r="M474" s="59"/>
      <c r="N474" s="91"/>
      <c r="Q474" s="119" t="str">
        <f t="shared" si="32"/>
        <v/>
      </c>
      <c r="R474" s="92" t="str">
        <f>IF('Prod 1'!D475="","",'Prod 1'!D475)</f>
        <v/>
      </c>
      <c r="S474" s="119" t="str">
        <f>IF('Prod 1'!E475="","",'Prod 1'!E475+'BH (2)'!C474)</f>
        <v/>
      </c>
      <c r="T474" s="59"/>
      <c r="U474" s="91"/>
    </row>
    <row r="475" spans="2:21" ht="24.95" customHeight="1" x14ac:dyDescent="0.25">
      <c r="B475" s="119" t="str">
        <f t="shared" si="30"/>
        <v/>
      </c>
      <c r="C475" s="2">
        <v>4.7199999999999997E-6</v>
      </c>
      <c r="D475" s="92" t="str">
        <f>IF(DespF!D478="","",DespF!D478)</f>
        <v/>
      </c>
      <c r="E475" s="90" t="str">
        <f>IF(DespF!E478="","",DespF!E478+'BH (2)'!C475)</f>
        <v/>
      </c>
      <c r="F475" s="59"/>
      <c r="G475" s="21"/>
      <c r="I475" s="106">
        <v>472</v>
      </c>
      <c r="J475" s="119" t="str">
        <f t="shared" si="31"/>
        <v/>
      </c>
      <c r="K475" s="92" t="str">
        <f>IF('Prod 1'!D476="","",'Prod 1'!D476)</f>
        <v/>
      </c>
      <c r="L475" s="119" t="str">
        <f>IF('Prod 1'!I476="","",'Prod 1'!I476+'BH (2)'!C475)</f>
        <v/>
      </c>
      <c r="M475" s="59"/>
      <c r="N475" s="91"/>
      <c r="Q475" s="119" t="str">
        <f t="shared" si="32"/>
        <v/>
      </c>
      <c r="R475" s="92" t="str">
        <f>IF('Prod 1'!D476="","",'Prod 1'!D476)</f>
        <v/>
      </c>
      <c r="S475" s="119" t="str">
        <f>IF('Prod 1'!E476="","",'Prod 1'!E476+'BH (2)'!C475)</f>
        <v/>
      </c>
      <c r="T475" s="59"/>
      <c r="U475" s="91"/>
    </row>
    <row r="476" spans="2:21" ht="24.95" customHeight="1" x14ac:dyDescent="0.25">
      <c r="B476" s="119" t="str">
        <f t="shared" si="30"/>
        <v/>
      </c>
      <c r="C476" s="2">
        <v>4.7299999999999996E-6</v>
      </c>
      <c r="D476" s="92" t="str">
        <f>IF(DespF!D479="","",DespF!D479)</f>
        <v/>
      </c>
      <c r="E476" s="90" t="str">
        <f>IF(DespF!E479="","",DespF!E479+'BH (2)'!C476)</f>
        <v/>
      </c>
      <c r="F476" s="59"/>
      <c r="G476" s="21"/>
      <c r="I476" s="106">
        <v>473</v>
      </c>
      <c r="J476" s="119" t="str">
        <f t="shared" si="31"/>
        <v/>
      </c>
      <c r="K476" s="92" t="str">
        <f>IF('Prod 1'!D477="","",'Prod 1'!D477)</f>
        <v/>
      </c>
      <c r="L476" s="119" t="str">
        <f>IF('Prod 1'!I477="","",'Prod 1'!I477+'BH (2)'!C476)</f>
        <v/>
      </c>
      <c r="M476" s="59"/>
      <c r="N476" s="91"/>
      <c r="Q476" s="119" t="str">
        <f t="shared" si="32"/>
        <v/>
      </c>
      <c r="R476" s="92" t="str">
        <f>IF('Prod 1'!D477="","",'Prod 1'!D477)</f>
        <v/>
      </c>
      <c r="S476" s="119" t="str">
        <f>IF('Prod 1'!E477="","",'Prod 1'!E477+'BH (2)'!C476)</f>
        <v/>
      </c>
      <c r="T476" s="59"/>
      <c r="U476" s="91"/>
    </row>
    <row r="477" spans="2:21" ht="24.95" customHeight="1" x14ac:dyDescent="0.25">
      <c r="B477" s="119" t="str">
        <f t="shared" si="30"/>
        <v/>
      </c>
      <c r="C477" s="2">
        <v>4.7400000000000004E-6</v>
      </c>
      <c r="D477" s="92" t="str">
        <f>IF(DespF!D480="","",DespF!D480)</f>
        <v/>
      </c>
      <c r="E477" s="90" t="str">
        <f>IF(DespF!E480="","",DespF!E480+'BH (2)'!C477)</f>
        <v/>
      </c>
      <c r="F477" s="59"/>
      <c r="G477" s="21"/>
      <c r="I477" s="106">
        <v>474</v>
      </c>
      <c r="J477" s="119" t="str">
        <f t="shared" si="31"/>
        <v/>
      </c>
      <c r="K477" s="92" t="str">
        <f>IF('Prod 1'!D478="","",'Prod 1'!D478)</f>
        <v/>
      </c>
      <c r="L477" s="119" t="str">
        <f>IF('Prod 1'!I478="","",'Prod 1'!I478+'BH (2)'!C477)</f>
        <v/>
      </c>
      <c r="M477" s="59"/>
      <c r="N477" s="91"/>
      <c r="Q477" s="119" t="str">
        <f t="shared" si="32"/>
        <v/>
      </c>
      <c r="R477" s="92" t="str">
        <f>IF('Prod 1'!D478="","",'Prod 1'!D478)</f>
        <v/>
      </c>
      <c r="S477" s="119" t="str">
        <f>IF('Prod 1'!E478="","",'Prod 1'!E478+'BH (2)'!C477)</f>
        <v/>
      </c>
      <c r="T477" s="59"/>
      <c r="U477" s="91"/>
    </row>
    <row r="478" spans="2:21" ht="24.95" customHeight="1" x14ac:dyDescent="0.25">
      <c r="B478" s="119" t="str">
        <f t="shared" si="30"/>
        <v/>
      </c>
      <c r="C478" s="2">
        <v>4.7500000000000003E-6</v>
      </c>
      <c r="D478" s="92" t="str">
        <f>IF(DespF!D481="","",DespF!D481)</f>
        <v/>
      </c>
      <c r="E478" s="90" t="str">
        <f>IF(DespF!E481="","",DespF!E481+'BH (2)'!C478)</f>
        <v/>
      </c>
      <c r="F478" s="59"/>
      <c r="G478" s="21"/>
      <c r="I478" s="106">
        <v>475</v>
      </c>
      <c r="J478" s="119" t="str">
        <f t="shared" si="31"/>
        <v/>
      </c>
      <c r="K478" s="92" t="str">
        <f>IF('Prod 1'!D479="","",'Prod 1'!D479)</f>
        <v/>
      </c>
      <c r="L478" s="119" t="str">
        <f>IF('Prod 1'!I479="","",'Prod 1'!I479+'BH (2)'!C478)</f>
        <v/>
      </c>
      <c r="M478" s="59"/>
      <c r="N478" s="91"/>
      <c r="Q478" s="119" t="str">
        <f t="shared" si="32"/>
        <v/>
      </c>
      <c r="R478" s="92" t="str">
        <f>IF('Prod 1'!D479="","",'Prod 1'!D479)</f>
        <v/>
      </c>
      <c r="S478" s="119" t="str">
        <f>IF('Prod 1'!E479="","",'Prod 1'!E479+'BH (2)'!C478)</f>
        <v/>
      </c>
      <c r="T478" s="59"/>
      <c r="U478" s="91"/>
    </row>
    <row r="479" spans="2:21" ht="24.95" customHeight="1" x14ac:dyDescent="0.25">
      <c r="B479" s="119" t="str">
        <f t="shared" si="30"/>
        <v/>
      </c>
      <c r="C479" s="2">
        <v>4.7600000000000002E-6</v>
      </c>
      <c r="D479" s="92" t="str">
        <f>IF(DespF!D482="","",DespF!D482)</f>
        <v/>
      </c>
      <c r="E479" s="90" t="str">
        <f>IF(DespF!E482="","",DespF!E482+'BH (2)'!C479)</f>
        <v/>
      </c>
      <c r="F479" s="59"/>
      <c r="G479" s="21"/>
      <c r="I479" s="106">
        <v>476</v>
      </c>
      <c r="J479" s="119" t="str">
        <f t="shared" si="31"/>
        <v/>
      </c>
      <c r="K479" s="92" t="str">
        <f>IF('Prod 1'!D480="","",'Prod 1'!D480)</f>
        <v/>
      </c>
      <c r="L479" s="119" t="str">
        <f>IF('Prod 1'!I480="","",'Prod 1'!I480+'BH (2)'!C479)</f>
        <v/>
      </c>
      <c r="M479" s="59"/>
      <c r="N479" s="91"/>
      <c r="Q479" s="119" t="str">
        <f t="shared" si="32"/>
        <v/>
      </c>
      <c r="R479" s="92" t="str">
        <f>IF('Prod 1'!D480="","",'Prod 1'!D480)</f>
        <v/>
      </c>
      <c r="S479" s="119" t="str">
        <f>IF('Prod 1'!E480="","",'Prod 1'!E480+'BH (2)'!C479)</f>
        <v/>
      </c>
      <c r="T479" s="59"/>
      <c r="U479" s="91"/>
    </row>
    <row r="480" spans="2:21" ht="24.95" customHeight="1" x14ac:dyDescent="0.25">
      <c r="B480" s="119" t="str">
        <f t="shared" si="30"/>
        <v/>
      </c>
      <c r="C480" s="2">
        <v>4.7700000000000001E-6</v>
      </c>
      <c r="D480" s="92" t="str">
        <f>IF(DespF!D483="","",DespF!D483)</f>
        <v/>
      </c>
      <c r="E480" s="90" t="str">
        <f>IF(DespF!E483="","",DespF!E483+'BH (2)'!C480)</f>
        <v/>
      </c>
      <c r="F480" s="59"/>
      <c r="G480" s="21"/>
      <c r="I480" s="106">
        <v>477</v>
      </c>
      <c r="J480" s="119" t="str">
        <f t="shared" si="31"/>
        <v/>
      </c>
      <c r="K480" s="92" t="str">
        <f>IF('Prod 1'!D481="","",'Prod 1'!D481)</f>
        <v/>
      </c>
      <c r="L480" s="119" t="str">
        <f>IF('Prod 1'!I481="","",'Prod 1'!I481+'BH (2)'!C480)</f>
        <v/>
      </c>
      <c r="M480" s="59"/>
      <c r="N480" s="91"/>
      <c r="Q480" s="119" t="str">
        <f t="shared" si="32"/>
        <v/>
      </c>
      <c r="R480" s="92" t="str">
        <f>IF('Prod 1'!D481="","",'Prod 1'!D481)</f>
        <v/>
      </c>
      <c r="S480" s="119" t="str">
        <f>IF('Prod 1'!E481="","",'Prod 1'!E481+'BH (2)'!C480)</f>
        <v/>
      </c>
      <c r="T480" s="59"/>
      <c r="U480" s="91"/>
    </row>
    <row r="481" spans="2:21" ht="24.95" customHeight="1" x14ac:dyDescent="0.25">
      <c r="B481" s="119" t="str">
        <f t="shared" si="30"/>
        <v/>
      </c>
      <c r="C481" s="2">
        <v>4.78E-6</v>
      </c>
      <c r="D481" s="92" t="str">
        <f>IF(DespF!D484="","",DespF!D484)</f>
        <v/>
      </c>
      <c r="E481" s="90" t="str">
        <f>IF(DespF!E484="","",DespF!E484+'BH (2)'!C481)</f>
        <v/>
      </c>
      <c r="F481" s="59"/>
      <c r="G481" s="21"/>
      <c r="I481" s="106">
        <v>478</v>
      </c>
      <c r="J481" s="119" t="str">
        <f t="shared" si="31"/>
        <v/>
      </c>
      <c r="K481" s="92" t="str">
        <f>IF('Prod 1'!D482="","",'Prod 1'!D482)</f>
        <v/>
      </c>
      <c r="L481" s="119" t="str">
        <f>IF('Prod 1'!I482="","",'Prod 1'!I482+'BH (2)'!C481)</f>
        <v/>
      </c>
      <c r="M481" s="59"/>
      <c r="N481" s="91"/>
      <c r="Q481" s="119" t="str">
        <f t="shared" si="32"/>
        <v/>
      </c>
      <c r="R481" s="92" t="str">
        <f>IF('Prod 1'!D482="","",'Prod 1'!D482)</f>
        <v/>
      </c>
      <c r="S481" s="119" t="str">
        <f>IF('Prod 1'!E482="","",'Prod 1'!E482+'BH (2)'!C481)</f>
        <v/>
      </c>
      <c r="T481" s="59"/>
      <c r="U481" s="91"/>
    </row>
    <row r="482" spans="2:21" ht="24.95" customHeight="1" x14ac:dyDescent="0.25">
      <c r="B482" s="119" t="str">
        <f t="shared" si="30"/>
        <v/>
      </c>
      <c r="C482" s="2">
        <v>4.7899999999999999E-6</v>
      </c>
      <c r="D482" s="92" t="str">
        <f>IF(DespF!D485="","",DespF!D485)</f>
        <v/>
      </c>
      <c r="E482" s="90" t="str">
        <f>IF(DespF!E485="","",DespF!E485+'BH (2)'!C482)</f>
        <v/>
      </c>
      <c r="F482" s="59"/>
      <c r="G482" s="21"/>
      <c r="I482" s="106">
        <v>479</v>
      </c>
      <c r="J482" s="119" t="str">
        <f t="shared" si="31"/>
        <v/>
      </c>
      <c r="K482" s="92" t="str">
        <f>IF('Prod 1'!D483="","",'Prod 1'!D483)</f>
        <v/>
      </c>
      <c r="L482" s="119" t="str">
        <f>IF('Prod 1'!I483="","",'Prod 1'!I483+'BH (2)'!C482)</f>
        <v/>
      </c>
      <c r="M482" s="59"/>
      <c r="N482" s="91"/>
      <c r="Q482" s="119" t="str">
        <f t="shared" si="32"/>
        <v/>
      </c>
      <c r="R482" s="92" t="str">
        <f>IF('Prod 1'!D483="","",'Prod 1'!D483)</f>
        <v/>
      </c>
      <c r="S482" s="119" t="str">
        <f>IF('Prod 1'!E483="","",'Prod 1'!E483+'BH (2)'!C482)</f>
        <v/>
      </c>
      <c r="T482" s="59"/>
      <c r="U482" s="91"/>
    </row>
    <row r="483" spans="2:21" ht="24.95" customHeight="1" x14ac:dyDescent="0.25">
      <c r="B483" s="119" t="str">
        <f t="shared" si="30"/>
        <v/>
      </c>
      <c r="C483" s="2">
        <v>4.7999999999999998E-6</v>
      </c>
      <c r="D483" s="92" t="str">
        <f>IF(DespF!D486="","",DespF!D486)</f>
        <v/>
      </c>
      <c r="E483" s="90" t="str">
        <f>IF(DespF!E486="","",DespF!E486+'BH (2)'!C483)</f>
        <v/>
      </c>
      <c r="F483" s="59"/>
      <c r="G483" s="21"/>
      <c r="I483" s="106">
        <v>480</v>
      </c>
      <c r="J483" s="119" t="str">
        <f t="shared" si="31"/>
        <v/>
      </c>
      <c r="K483" s="92" t="str">
        <f>IF('Prod 1'!D484="","",'Prod 1'!D484)</f>
        <v/>
      </c>
      <c r="L483" s="119" t="str">
        <f>IF('Prod 1'!I484="","",'Prod 1'!I484+'BH (2)'!C483)</f>
        <v/>
      </c>
      <c r="M483" s="59"/>
      <c r="N483" s="91"/>
      <c r="Q483" s="119" t="str">
        <f t="shared" si="32"/>
        <v/>
      </c>
      <c r="R483" s="92" t="str">
        <f>IF('Prod 1'!D484="","",'Prod 1'!D484)</f>
        <v/>
      </c>
      <c r="S483" s="119" t="str">
        <f>IF('Prod 1'!E484="","",'Prod 1'!E484+'BH (2)'!C483)</f>
        <v/>
      </c>
      <c r="T483" s="59"/>
      <c r="U483" s="91"/>
    </row>
    <row r="484" spans="2:21" ht="24.95" customHeight="1" x14ac:dyDescent="0.25">
      <c r="B484" s="119" t="str">
        <f t="shared" si="30"/>
        <v/>
      </c>
      <c r="C484" s="2">
        <v>4.8099999999999997E-6</v>
      </c>
      <c r="D484" s="92" t="str">
        <f>IF(DespF!D487="","",DespF!D487)</f>
        <v/>
      </c>
      <c r="E484" s="90" t="str">
        <f>IF(DespF!E487="","",DespF!E487+'BH (2)'!C484)</f>
        <v/>
      </c>
      <c r="F484" s="59"/>
      <c r="G484" s="21"/>
      <c r="I484" s="106">
        <v>481</v>
      </c>
      <c r="J484" s="119" t="str">
        <f t="shared" si="31"/>
        <v/>
      </c>
      <c r="K484" s="92" t="str">
        <f>IF('Prod 1'!D485="","",'Prod 1'!D485)</f>
        <v/>
      </c>
      <c r="L484" s="119" t="str">
        <f>IF('Prod 1'!I485="","",'Prod 1'!I485+'BH (2)'!C484)</f>
        <v/>
      </c>
      <c r="M484" s="59"/>
      <c r="N484" s="91"/>
      <c r="Q484" s="119" t="str">
        <f t="shared" si="32"/>
        <v/>
      </c>
      <c r="R484" s="92" t="str">
        <f>IF('Prod 1'!D485="","",'Prod 1'!D485)</f>
        <v/>
      </c>
      <c r="S484" s="119" t="str">
        <f>IF('Prod 1'!E485="","",'Prod 1'!E485+'BH (2)'!C484)</f>
        <v/>
      </c>
      <c r="T484" s="59"/>
      <c r="U484" s="91"/>
    </row>
    <row r="485" spans="2:21" ht="24.95" customHeight="1" x14ac:dyDescent="0.25">
      <c r="B485" s="119" t="str">
        <f t="shared" si="30"/>
        <v/>
      </c>
      <c r="C485" s="2">
        <v>4.8199999999999996E-6</v>
      </c>
      <c r="D485" s="92" t="str">
        <f>IF(DespF!D488="","",DespF!D488)</f>
        <v/>
      </c>
      <c r="E485" s="90" t="str">
        <f>IF(DespF!E488="","",DespF!E488+'BH (2)'!C485)</f>
        <v/>
      </c>
      <c r="F485" s="59"/>
      <c r="G485" s="21"/>
      <c r="I485" s="106">
        <v>482</v>
      </c>
      <c r="J485" s="119" t="str">
        <f t="shared" si="31"/>
        <v/>
      </c>
      <c r="K485" s="92" t="str">
        <f>IF('Prod 1'!D486="","",'Prod 1'!D486)</f>
        <v/>
      </c>
      <c r="L485" s="119" t="str">
        <f>IF('Prod 1'!I486="","",'Prod 1'!I486+'BH (2)'!C485)</f>
        <v/>
      </c>
      <c r="M485" s="59"/>
      <c r="N485" s="91"/>
      <c r="Q485" s="119" t="str">
        <f t="shared" si="32"/>
        <v/>
      </c>
      <c r="R485" s="92" t="str">
        <f>IF('Prod 1'!D486="","",'Prod 1'!D486)</f>
        <v/>
      </c>
      <c r="S485" s="119" t="str">
        <f>IF('Prod 1'!E486="","",'Prod 1'!E486+'BH (2)'!C485)</f>
        <v/>
      </c>
      <c r="T485" s="59"/>
      <c r="U485" s="91"/>
    </row>
    <row r="486" spans="2:21" ht="24.95" customHeight="1" x14ac:dyDescent="0.25">
      <c r="B486" s="119" t="str">
        <f t="shared" si="30"/>
        <v/>
      </c>
      <c r="C486" s="2">
        <v>4.8300000000000003E-6</v>
      </c>
      <c r="D486" s="92" t="str">
        <f>IF(DespF!D489="","",DespF!D489)</f>
        <v/>
      </c>
      <c r="E486" s="90" t="str">
        <f>IF(DespF!E489="","",DespF!E489+'BH (2)'!C486)</f>
        <v/>
      </c>
      <c r="F486" s="59"/>
      <c r="G486" s="21"/>
      <c r="I486" s="106">
        <v>483</v>
      </c>
      <c r="J486" s="119" t="str">
        <f t="shared" si="31"/>
        <v/>
      </c>
      <c r="K486" s="92" t="str">
        <f>IF('Prod 1'!D487="","",'Prod 1'!D487)</f>
        <v/>
      </c>
      <c r="L486" s="119" t="str">
        <f>IF('Prod 1'!I487="","",'Prod 1'!I487+'BH (2)'!C486)</f>
        <v/>
      </c>
      <c r="M486" s="59"/>
      <c r="N486" s="91"/>
      <c r="Q486" s="119" t="str">
        <f t="shared" si="32"/>
        <v/>
      </c>
      <c r="R486" s="92" t="str">
        <f>IF('Prod 1'!D487="","",'Prod 1'!D487)</f>
        <v/>
      </c>
      <c r="S486" s="119" t="str">
        <f>IF('Prod 1'!E487="","",'Prod 1'!E487+'BH (2)'!C486)</f>
        <v/>
      </c>
      <c r="T486" s="59"/>
      <c r="U486" s="91"/>
    </row>
    <row r="487" spans="2:21" ht="24.95" customHeight="1" x14ac:dyDescent="0.25">
      <c r="B487" s="119" t="str">
        <f t="shared" si="30"/>
        <v/>
      </c>
      <c r="C487" s="2">
        <v>4.8400000000000002E-6</v>
      </c>
      <c r="D487" s="92" t="str">
        <f>IF(DespF!D490="","",DespF!D490)</f>
        <v/>
      </c>
      <c r="E487" s="90" t="str">
        <f>IF(DespF!E490="","",DespF!E490+'BH (2)'!C487)</f>
        <v/>
      </c>
      <c r="F487" s="59"/>
      <c r="G487" s="21"/>
      <c r="I487" s="106">
        <v>484</v>
      </c>
      <c r="J487" s="119" t="str">
        <f t="shared" si="31"/>
        <v/>
      </c>
      <c r="K487" s="92" t="str">
        <f>IF('Prod 1'!D488="","",'Prod 1'!D488)</f>
        <v/>
      </c>
      <c r="L487" s="119" t="str">
        <f>IF('Prod 1'!I488="","",'Prod 1'!I488+'BH (2)'!C487)</f>
        <v/>
      </c>
      <c r="M487" s="59"/>
      <c r="N487" s="91"/>
      <c r="Q487" s="119" t="str">
        <f t="shared" si="32"/>
        <v/>
      </c>
      <c r="R487" s="92" t="str">
        <f>IF('Prod 1'!D488="","",'Prod 1'!D488)</f>
        <v/>
      </c>
      <c r="S487" s="119" t="str">
        <f>IF('Prod 1'!E488="","",'Prod 1'!E488+'BH (2)'!C487)</f>
        <v/>
      </c>
      <c r="T487" s="59"/>
      <c r="U487" s="91"/>
    </row>
    <row r="488" spans="2:21" ht="24.95" customHeight="1" x14ac:dyDescent="0.25">
      <c r="B488" s="119" t="str">
        <f t="shared" si="30"/>
        <v/>
      </c>
      <c r="C488" s="2">
        <v>4.8500000000000002E-6</v>
      </c>
      <c r="D488" s="92" t="str">
        <f>IF(DespF!D491="","",DespF!D491)</f>
        <v/>
      </c>
      <c r="E488" s="90" t="str">
        <f>IF(DespF!E491="","",DespF!E491+'BH (2)'!C488)</f>
        <v/>
      </c>
      <c r="F488" s="59"/>
      <c r="G488" s="21"/>
      <c r="I488" s="106">
        <v>485</v>
      </c>
      <c r="J488" s="119" t="str">
        <f t="shared" si="31"/>
        <v/>
      </c>
      <c r="K488" s="92" t="str">
        <f>IF('Prod 1'!D489="","",'Prod 1'!D489)</f>
        <v/>
      </c>
      <c r="L488" s="119" t="str">
        <f>IF('Prod 1'!I489="","",'Prod 1'!I489+'BH (2)'!C488)</f>
        <v/>
      </c>
      <c r="M488" s="59"/>
      <c r="N488" s="91"/>
      <c r="Q488" s="119" t="str">
        <f t="shared" si="32"/>
        <v/>
      </c>
      <c r="R488" s="92" t="str">
        <f>IF('Prod 1'!D489="","",'Prod 1'!D489)</f>
        <v/>
      </c>
      <c r="S488" s="119" t="str">
        <f>IF('Prod 1'!E489="","",'Prod 1'!E489+'BH (2)'!C488)</f>
        <v/>
      </c>
      <c r="T488" s="59"/>
      <c r="U488" s="91"/>
    </row>
    <row r="489" spans="2:21" ht="24.95" customHeight="1" x14ac:dyDescent="0.25">
      <c r="B489" s="119" t="str">
        <f t="shared" si="30"/>
        <v/>
      </c>
      <c r="C489" s="2">
        <v>4.8600000000000001E-6</v>
      </c>
      <c r="D489" s="92" t="str">
        <f>IF(DespF!D492="","",DespF!D492)</f>
        <v/>
      </c>
      <c r="E489" s="90" t="str">
        <f>IF(DespF!E492="","",DespF!E492+'BH (2)'!C489)</f>
        <v/>
      </c>
      <c r="F489" s="59"/>
      <c r="G489" s="21"/>
      <c r="I489" s="106">
        <v>486</v>
      </c>
      <c r="J489" s="119" t="str">
        <f t="shared" si="31"/>
        <v/>
      </c>
      <c r="K489" s="92" t="str">
        <f>IF('Prod 1'!D490="","",'Prod 1'!D490)</f>
        <v/>
      </c>
      <c r="L489" s="119" t="str">
        <f>IF('Prod 1'!I490="","",'Prod 1'!I490+'BH (2)'!C489)</f>
        <v/>
      </c>
      <c r="M489" s="59"/>
      <c r="N489" s="91"/>
      <c r="Q489" s="119" t="str">
        <f t="shared" si="32"/>
        <v/>
      </c>
      <c r="R489" s="92" t="str">
        <f>IF('Prod 1'!D490="","",'Prod 1'!D490)</f>
        <v/>
      </c>
      <c r="S489" s="119" t="str">
        <f>IF('Prod 1'!E490="","",'Prod 1'!E490+'BH (2)'!C489)</f>
        <v/>
      </c>
      <c r="T489" s="59"/>
      <c r="U489" s="91"/>
    </row>
    <row r="490" spans="2:21" ht="24.95" customHeight="1" x14ac:dyDescent="0.25">
      <c r="B490" s="119" t="str">
        <f t="shared" si="30"/>
        <v/>
      </c>
      <c r="C490" s="2">
        <v>4.87E-6</v>
      </c>
      <c r="D490" s="92" t="str">
        <f>IF(DespF!D493="","",DespF!D493)</f>
        <v/>
      </c>
      <c r="E490" s="90" t="str">
        <f>IF(DespF!E493="","",DespF!E493+'BH (2)'!C490)</f>
        <v/>
      </c>
      <c r="F490" s="59"/>
      <c r="G490" s="21"/>
      <c r="I490" s="106">
        <v>487</v>
      </c>
      <c r="J490" s="119" t="str">
        <f t="shared" si="31"/>
        <v/>
      </c>
      <c r="K490" s="92" t="str">
        <f>IF('Prod 1'!D491="","",'Prod 1'!D491)</f>
        <v/>
      </c>
      <c r="L490" s="119" t="str">
        <f>IF('Prod 1'!I491="","",'Prod 1'!I491+'BH (2)'!C490)</f>
        <v/>
      </c>
      <c r="M490" s="59"/>
      <c r="N490" s="91"/>
      <c r="Q490" s="119" t="str">
        <f t="shared" si="32"/>
        <v/>
      </c>
      <c r="R490" s="92" t="str">
        <f>IF('Prod 1'!D491="","",'Prod 1'!D491)</f>
        <v/>
      </c>
      <c r="S490" s="119" t="str">
        <f>IF('Prod 1'!E491="","",'Prod 1'!E491+'BH (2)'!C490)</f>
        <v/>
      </c>
      <c r="T490" s="59"/>
      <c r="U490" s="91"/>
    </row>
    <row r="491" spans="2:21" ht="24.95" customHeight="1" x14ac:dyDescent="0.25">
      <c r="B491" s="119" t="str">
        <f t="shared" si="30"/>
        <v/>
      </c>
      <c r="C491" s="2">
        <v>4.8799999999999999E-6</v>
      </c>
      <c r="D491" s="92" t="str">
        <f>IF(DespF!D494="","",DespF!D494)</f>
        <v/>
      </c>
      <c r="E491" s="90" t="str">
        <f>IF(DespF!E494="","",DespF!E494+'BH (2)'!C491)</f>
        <v/>
      </c>
      <c r="F491" s="59"/>
      <c r="G491" s="21"/>
      <c r="I491" s="106">
        <v>488</v>
      </c>
      <c r="J491" s="119" t="str">
        <f t="shared" si="31"/>
        <v/>
      </c>
      <c r="K491" s="92" t="str">
        <f>IF('Prod 1'!D492="","",'Prod 1'!D492)</f>
        <v/>
      </c>
      <c r="L491" s="119" t="str">
        <f>IF('Prod 1'!I492="","",'Prod 1'!I492+'BH (2)'!C491)</f>
        <v/>
      </c>
      <c r="M491" s="59"/>
      <c r="N491" s="91"/>
      <c r="Q491" s="119" t="str">
        <f t="shared" si="32"/>
        <v/>
      </c>
      <c r="R491" s="92" t="str">
        <f>IF('Prod 1'!D492="","",'Prod 1'!D492)</f>
        <v/>
      </c>
      <c r="S491" s="119" t="str">
        <f>IF('Prod 1'!E492="","",'Prod 1'!E492+'BH (2)'!C491)</f>
        <v/>
      </c>
      <c r="T491" s="59"/>
      <c r="U491" s="91"/>
    </row>
    <row r="492" spans="2:21" ht="24.95" customHeight="1" x14ac:dyDescent="0.25">
      <c r="B492" s="119" t="str">
        <f t="shared" si="30"/>
        <v/>
      </c>
      <c r="C492" s="2">
        <v>4.8899999999999998E-6</v>
      </c>
      <c r="D492" s="92" t="str">
        <f>IF(DespF!D495="","",DespF!D495)</f>
        <v/>
      </c>
      <c r="E492" s="90" t="str">
        <f>IF(DespF!E495="","",DespF!E495+'BH (2)'!C492)</f>
        <v/>
      </c>
      <c r="F492" s="59"/>
      <c r="G492" s="21"/>
      <c r="I492" s="106">
        <v>489</v>
      </c>
      <c r="J492" s="119" t="str">
        <f t="shared" si="31"/>
        <v/>
      </c>
      <c r="K492" s="92" t="str">
        <f>IF('Prod 1'!D493="","",'Prod 1'!D493)</f>
        <v/>
      </c>
      <c r="L492" s="119" t="str">
        <f>IF('Prod 1'!I493="","",'Prod 1'!I493+'BH (2)'!C492)</f>
        <v/>
      </c>
      <c r="M492" s="59"/>
      <c r="N492" s="91"/>
      <c r="Q492" s="119" t="str">
        <f t="shared" si="32"/>
        <v/>
      </c>
      <c r="R492" s="92" t="str">
        <f>IF('Prod 1'!D493="","",'Prod 1'!D493)</f>
        <v/>
      </c>
      <c r="S492" s="119" t="str">
        <f>IF('Prod 1'!E493="","",'Prod 1'!E493+'BH (2)'!C492)</f>
        <v/>
      </c>
      <c r="T492" s="59"/>
      <c r="U492" s="91"/>
    </row>
    <row r="493" spans="2:21" ht="24.95" customHeight="1" x14ac:dyDescent="0.25">
      <c r="B493" s="119" t="str">
        <f t="shared" si="30"/>
        <v/>
      </c>
      <c r="C493" s="2">
        <v>4.8999999999999997E-6</v>
      </c>
      <c r="D493" s="92" t="str">
        <f>IF(DespF!D496="","",DespF!D496)</f>
        <v/>
      </c>
      <c r="E493" s="90" t="str">
        <f>IF(DespF!E496="","",DespF!E496+'BH (2)'!C493)</f>
        <v/>
      </c>
      <c r="F493" s="59"/>
      <c r="G493" s="21"/>
      <c r="I493" s="106">
        <v>490</v>
      </c>
      <c r="J493" s="119" t="str">
        <f t="shared" si="31"/>
        <v/>
      </c>
      <c r="K493" s="92" t="str">
        <f>IF('Prod 1'!D494="","",'Prod 1'!D494)</f>
        <v/>
      </c>
      <c r="L493" s="119" t="str">
        <f>IF('Prod 1'!I494="","",'Prod 1'!I494+'BH (2)'!C493)</f>
        <v/>
      </c>
      <c r="M493" s="59"/>
      <c r="N493" s="91"/>
      <c r="Q493" s="119" t="str">
        <f t="shared" si="32"/>
        <v/>
      </c>
      <c r="R493" s="92" t="str">
        <f>IF('Prod 1'!D494="","",'Prod 1'!D494)</f>
        <v/>
      </c>
      <c r="S493" s="119" t="str">
        <f>IF('Prod 1'!E494="","",'Prod 1'!E494+'BH (2)'!C493)</f>
        <v/>
      </c>
      <c r="T493" s="59"/>
      <c r="U493" s="91"/>
    </row>
    <row r="494" spans="2:21" ht="24.95" customHeight="1" x14ac:dyDescent="0.25">
      <c r="B494" s="119" t="str">
        <f t="shared" si="30"/>
        <v/>
      </c>
      <c r="C494" s="2">
        <v>4.9099999999999996E-6</v>
      </c>
      <c r="D494" s="92" t="str">
        <f>IF(DespF!D497="","",DespF!D497)</f>
        <v/>
      </c>
      <c r="E494" s="90" t="str">
        <f>IF(DespF!E497="","",DespF!E497+'BH (2)'!C494)</f>
        <v/>
      </c>
      <c r="F494" s="59"/>
      <c r="G494" s="21"/>
      <c r="I494" s="106">
        <v>491</v>
      </c>
      <c r="J494" s="119" t="str">
        <f t="shared" si="31"/>
        <v/>
      </c>
      <c r="K494" s="92" t="str">
        <f>IF('Prod 1'!D495="","",'Prod 1'!D495)</f>
        <v/>
      </c>
      <c r="L494" s="119" t="str">
        <f>IF('Prod 1'!I495="","",'Prod 1'!I495+'BH (2)'!C494)</f>
        <v/>
      </c>
      <c r="M494" s="59"/>
      <c r="N494" s="91"/>
      <c r="Q494" s="119" t="str">
        <f t="shared" si="32"/>
        <v/>
      </c>
      <c r="R494" s="92" t="str">
        <f>IF('Prod 1'!D495="","",'Prod 1'!D495)</f>
        <v/>
      </c>
      <c r="S494" s="119" t="str">
        <f>IF('Prod 1'!E495="","",'Prod 1'!E495+'BH (2)'!C494)</f>
        <v/>
      </c>
      <c r="T494" s="59"/>
      <c r="U494" s="91"/>
    </row>
    <row r="495" spans="2:21" ht="24.95" customHeight="1" x14ac:dyDescent="0.25">
      <c r="B495" s="119" t="str">
        <f t="shared" si="30"/>
        <v/>
      </c>
      <c r="C495" s="2">
        <v>4.9200000000000003E-6</v>
      </c>
      <c r="D495" s="92" t="str">
        <f>IF(DespF!D498="","",DespF!D498)</f>
        <v/>
      </c>
      <c r="E495" s="90" t="str">
        <f>IF(DespF!E498="","",DespF!E498+'BH (2)'!C495)</f>
        <v/>
      </c>
      <c r="F495" s="59"/>
      <c r="G495" s="21"/>
      <c r="I495" s="106">
        <v>492</v>
      </c>
      <c r="J495" s="119" t="str">
        <f t="shared" si="31"/>
        <v/>
      </c>
      <c r="K495" s="92" t="str">
        <f>IF('Prod 1'!D496="","",'Prod 1'!D496)</f>
        <v/>
      </c>
      <c r="L495" s="119" t="str">
        <f>IF('Prod 1'!I496="","",'Prod 1'!I496+'BH (2)'!C495)</f>
        <v/>
      </c>
      <c r="M495" s="59"/>
      <c r="N495" s="91"/>
      <c r="Q495" s="119" t="str">
        <f t="shared" si="32"/>
        <v/>
      </c>
      <c r="R495" s="92" t="str">
        <f>IF('Prod 1'!D496="","",'Prod 1'!D496)</f>
        <v/>
      </c>
      <c r="S495" s="119" t="str">
        <f>IF('Prod 1'!E496="","",'Prod 1'!E496+'BH (2)'!C495)</f>
        <v/>
      </c>
      <c r="T495" s="59"/>
      <c r="U495" s="91"/>
    </row>
    <row r="496" spans="2:21" ht="24.95" customHeight="1" x14ac:dyDescent="0.25">
      <c r="B496" s="119" t="str">
        <f t="shared" si="30"/>
        <v/>
      </c>
      <c r="C496" s="2">
        <v>4.9300000000000002E-6</v>
      </c>
      <c r="D496" s="92" t="str">
        <f>IF(DespF!D499="","",DespF!D499)</f>
        <v/>
      </c>
      <c r="E496" s="90" t="str">
        <f>IF(DespF!E499="","",DespF!E499+'BH (2)'!C496)</f>
        <v/>
      </c>
      <c r="F496" s="59"/>
      <c r="G496" s="21"/>
      <c r="I496" s="106">
        <v>493</v>
      </c>
      <c r="J496" s="119" t="str">
        <f t="shared" si="31"/>
        <v/>
      </c>
      <c r="K496" s="92" t="str">
        <f>IF('Prod 1'!D497="","",'Prod 1'!D497)</f>
        <v/>
      </c>
      <c r="L496" s="119" t="str">
        <f>IF('Prod 1'!I497="","",'Prod 1'!I497+'BH (2)'!C496)</f>
        <v/>
      </c>
      <c r="M496" s="59"/>
      <c r="N496" s="91"/>
      <c r="Q496" s="119" t="str">
        <f t="shared" si="32"/>
        <v/>
      </c>
      <c r="R496" s="92" t="str">
        <f>IF('Prod 1'!D497="","",'Prod 1'!D497)</f>
        <v/>
      </c>
      <c r="S496" s="119" t="str">
        <f>IF('Prod 1'!E497="","",'Prod 1'!E497+'BH (2)'!C496)</f>
        <v/>
      </c>
      <c r="T496" s="59"/>
      <c r="U496" s="91"/>
    </row>
    <row r="497" spans="2:21" ht="24.95" customHeight="1" x14ac:dyDescent="0.25">
      <c r="B497" s="119" t="str">
        <f t="shared" si="30"/>
        <v/>
      </c>
      <c r="C497" s="2">
        <v>4.9400000000000001E-6</v>
      </c>
      <c r="D497" s="92" t="str">
        <f>IF(DespF!D500="","",DespF!D500)</f>
        <v/>
      </c>
      <c r="E497" s="90" t="str">
        <f>IF(DespF!E500="","",DespF!E500+'BH (2)'!C497)</f>
        <v/>
      </c>
      <c r="F497" s="59"/>
      <c r="G497" s="21"/>
      <c r="I497" s="106">
        <v>494</v>
      </c>
      <c r="J497" s="119" t="str">
        <f t="shared" si="31"/>
        <v/>
      </c>
      <c r="K497" s="92" t="str">
        <f>IF('Prod 1'!D498="","",'Prod 1'!D498)</f>
        <v/>
      </c>
      <c r="L497" s="119" t="str">
        <f>IF('Prod 1'!I498="","",'Prod 1'!I498+'BH (2)'!C497)</f>
        <v/>
      </c>
      <c r="M497" s="59"/>
      <c r="N497" s="91"/>
      <c r="Q497" s="119" t="str">
        <f t="shared" si="32"/>
        <v/>
      </c>
      <c r="R497" s="92" t="str">
        <f>IF('Prod 1'!D498="","",'Prod 1'!D498)</f>
        <v/>
      </c>
      <c r="S497" s="119" t="str">
        <f>IF('Prod 1'!E498="","",'Prod 1'!E498+'BH (2)'!C497)</f>
        <v/>
      </c>
      <c r="T497" s="59"/>
      <c r="U497" s="91"/>
    </row>
    <row r="498" spans="2:21" ht="24.95" customHeight="1" x14ac:dyDescent="0.25">
      <c r="B498" s="119" t="str">
        <f t="shared" si="30"/>
        <v/>
      </c>
      <c r="C498" s="2">
        <v>4.95E-6</v>
      </c>
      <c r="D498" s="92" t="str">
        <f>IF(DespF!D501="","",DespF!D501)</f>
        <v/>
      </c>
      <c r="E498" s="90" t="str">
        <f>IF(DespF!E501="","",DespF!E501+'BH (2)'!C498)</f>
        <v/>
      </c>
      <c r="F498" s="59"/>
      <c r="G498" s="21"/>
      <c r="I498" s="106">
        <v>495</v>
      </c>
      <c r="J498" s="119" t="str">
        <f t="shared" si="31"/>
        <v/>
      </c>
      <c r="K498" s="92" t="str">
        <f>IF('Prod 1'!D499="","",'Prod 1'!D499)</f>
        <v/>
      </c>
      <c r="L498" s="119" t="str">
        <f>IF('Prod 1'!I499="","",'Prod 1'!I499+'BH (2)'!C498)</f>
        <v/>
      </c>
      <c r="M498" s="59"/>
      <c r="N498" s="91"/>
      <c r="Q498" s="119" t="str">
        <f t="shared" si="32"/>
        <v/>
      </c>
      <c r="R498" s="92" t="str">
        <f>IF('Prod 1'!D499="","",'Prod 1'!D499)</f>
        <v/>
      </c>
      <c r="S498" s="119" t="str">
        <f>IF('Prod 1'!E499="","",'Prod 1'!E499+'BH (2)'!C498)</f>
        <v/>
      </c>
      <c r="T498" s="59"/>
      <c r="U498" s="91"/>
    </row>
    <row r="499" spans="2:21" ht="24.95" customHeight="1" x14ac:dyDescent="0.25">
      <c r="B499" s="119" t="str">
        <f t="shared" si="30"/>
        <v/>
      </c>
      <c r="C499" s="2">
        <v>4.9599999999999999E-6</v>
      </c>
      <c r="D499" s="92" t="str">
        <f>IF(DespF!D502="","",DespF!D502)</f>
        <v/>
      </c>
      <c r="E499" s="90" t="str">
        <f>IF(DespF!E502="","",DespF!E502+'BH (2)'!C499)</f>
        <v/>
      </c>
      <c r="F499" s="59"/>
      <c r="G499" s="21"/>
      <c r="I499" s="106">
        <v>496</v>
      </c>
      <c r="J499" s="119" t="str">
        <f t="shared" si="31"/>
        <v/>
      </c>
      <c r="K499" s="92" t="str">
        <f>IF('Prod 1'!D500="","",'Prod 1'!D500)</f>
        <v/>
      </c>
      <c r="L499" s="119" t="str">
        <f>IF('Prod 1'!I500="","",'Prod 1'!I500+'BH (2)'!C499)</f>
        <v/>
      </c>
      <c r="M499" s="59"/>
      <c r="N499" s="91"/>
      <c r="Q499" s="119" t="str">
        <f t="shared" si="32"/>
        <v/>
      </c>
      <c r="R499" s="92" t="str">
        <f>IF('Prod 1'!D500="","",'Prod 1'!D500)</f>
        <v/>
      </c>
      <c r="S499" s="119" t="str">
        <f>IF('Prod 1'!E500="","",'Prod 1'!E500+'BH (2)'!C499)</f>
        <v/>
      </c>
      <c r="T499" s="59"/>
      <c r="U499" s="91"/>
    </row>
    <row r="500" spans="2:21" ht="24.95" customHeight="1" x14ac:dyDescent="0.25">
      <c r="B500" s="119" t="str">
        <f t="shared" si="30"/>
        <v/>
      </c>
      <c r="C500" s="2">
        <v>4.9699999999999998E-6</v>
      </c>
      <c r="D500" s="92" t="str">
        <f>IF(DespF!D503="","",DespF!D503)</f>
        <v/>
      </c>
      <c r="E500" s="90" t="str">
        <f>IF(DespF!E503="","",DespF!E503+'BH (2)'!C500)</f>
        <v/>
      </c>
      <c r="F500" s="59"/>
      <c r="G500" s="21"/>
      <c r="I500" s="106">
        <v>497</v>
      </c>
      <c r="J500" s="119" t="str">
        <f t="shared" si="31"/>
        <v/>
      </c>
      <c r="K500" s="92" t="str">
        <f>IF('Prod 1'!D501="","",'Prod 1'!D501)</f>
        <v/>
      </c>
      <c r="L500" s="119" t="str">
        <f>IF('Prod 1'!I501="","",'Prod 1'!I501+'BH (2)'!C500)</f>
        <v/>
      </c>
      <c r="M500" s="59"/>
      <c r="N500" s="91"/>
      <c r="Q500" s="119" t="str">
        <f t="shared" si="32"/>
        <v/>
      </c>
      <c r="R500" s="92" t="str">
        <f>IF('Prod 1'!D501="","",'Prod 1'!D501)</f>
        <v/>
      </c>
      <c r="S500" s="119" t="str">
        <f>IF('Prod 1'!E501="","",'Prod 1'!E501+'BH (2)'!C500)</f>
        <v/>
      </c>
      <c r="T500" s="59"/>
      <c r="U500" s="91"/>
    </row>
    <row r="501" spans="2:21" ht="24.95" customHeight="1" x14ac:dyDescent="0.25">
      <c r="B501" s="119" t="str">
        <f t="shared" si="30"/>
        <v/>
      </c>
      <c r="C501" s="2">
        <v>4.9799999999999998E-6</v>
      </c>
      <c r="D501" s="92" t="str">
        <f>IF(DespF!D504="","",DespF!D504)</f>
        <v/>
      </c>
      <c r="E501" s="90" t="str">
        <f>IF(DespF!E504="","",DespF!E504+'BH (2)'!C501)</f>
        <v/>
      </c>
      <c r="F501" s="59"/>
      <c r="G501" s="21"/>
      <c r="I501" s="106">
        <v>498</v>
      </c>
      <c r="J501" s="119" t="str">
        <f t="shared" si="31"/>
        <v/>
      </c>
      <c r="K501" s="92" t="str">
        <f>IF('Prod 1'!D502="","",'Prod 1'!D502)</f>
        <v/>
      </c>
      <c r="L501" s="119" t="str">
        <f>IF('Prod 1'!I502="","",'Prod 1'!I502+'BH (2)'!C501)</f>
        <v/>
      </c>
      <c r="M501" s="59"/>
      <c r="N501" s="91"/>
      <c r="Q501" s="119" t="str">
        <f t="shared" si="32"/>
        <v/>
      </c>
      <c r="R501" s="92" t="str">
        <f>IF('Prod 1'!D502="","",'Prod 1'!D502)</f>
        <v/>
      </c>
      <c r="S501" s="119" t="str">
        <f>IF('Prod 1'!E502="","",'Prod 1'!E502+'BH (2)'!C501)</f>
        <v/>
      </c>
      <c r="T501" s="59"/>
      <c r="U501" s="91"/>
    </row>
    <row r="502" spans="2:21" ht="24.95" customHeight="1" x14ac:dyDescent="0.25">
      <c r="B502" s="119" t="str">
        <f t="shared" si="30"/>
        <v/>
      </c>
      <c r="C502" s="2">
        <v>4.9899999999999997E-6</v>
      </c>
      <c r="D502" s="92" t="str">
        <f>IF(DespF!D505="","",DespF!D505)</f>
        <v/>
      </c>
      <c r="E502" s="90" t="str">
        <f>IF(DespF!E505="","",DespF!E505+'BH (2)'!C502)</f>
        <v/>
      </c>
      <c r="F502" s="59"/>
      <c r="G502" s="21"/>
      <c r="I502" s="106">
        <v>499</v>
      </c>
      <c r="J502" s="119" t="str">
        <f t="shared" si="31"/>
        <v/>
      </c>
      <c r="K502" s="92" t="str">
        <f>IF('Prod 1'!D503="","",'Prod 1'!D503)</f>
        <v/>
      </c>
      <c r="L502" s="119" t="str">
        <f>IF('Prod 1'!I503="","",'Prod 1'!I503+'BH (2)'!C502)</f>
        <v/>
      </c>
      <c r="M502" s="59"/>
      <c r="N502" s="91"/>
      <c r="Q502" s="119" t="str">
        <f t="shared" si="32"/>
        <v/>
      </c>
      <c r="R502" s="92" t="str">
        <f>IF('Prod 1'!D503="","",'Prod 1'!D503)</f>
        <v/>
      </c>
      <c r="S502" s="119" t="str">
        <f>IF('Prod 1'!E503="","",'Prod 1'!E503+'BH (2)'!C502)</f>
        <v/>
      </c>
      <c r="T502" s="59"/>
      <c r="U502" s="91"/>
    </row>
    <row r="503" spans="2:21" ht="24.95" customHeight="1" x14ac:dyDescent="0.25">
      <c r="B503" s="119" t="str">
        <f t="shared" si="30"/>
        <v/>
      </c>
      <c r="C503" s="2">
        <v>5.0000000000000004E-6</v>
      </c>
      <c r="D503" s="92" t="str">
        <f>IF(DespF!D506="","",DespF!D506)</f>
        <v/>
      </c>
      <c r="E503" s="90" t="str">
        <f>IF(DespF!E506="","",DespF!E506+'BH (2)'!C503)</f>
        <v/>
      </c>
      <c r="F503" s="59"/>
      <c r="G503" s="21"/>
      <c r="I503" s="106">
        <v>500</v>
      </c>
      <c r="J503" s="119" t="str">
        <f t="shared" si="31"/>
        <v/>
      </c>
      <c r="K503" s="92" t="str">
        <f>IF('Prod 1'!D504="","",'Prod 1'!D504)</f>
        <v/>
      </c>
      <c r="L503" s="119" t="str">
        <f>IF('Prod 1'!I504="","",'Prod 1'!I504+'BH (2)'!C503)</f>
        <v/>
      </c>
      <c r="M503" s="59"/>
      <c r="N503" s="91"/>
      <c r="Q503" s="119" t="str">
        <f t="shared" si="32"/>
        <v/>
      </c>
      <c r="R503" s="92" t="str">
        <f>IF('Prod 1'!D504="","",'Prod 1'!D504)</f>
        <v/>
      </c>
      <c r="S503" s="119" t="str">
        <f>IF('Prod 1'!E504="","",'Prod 1'!E504+'BH (2)'!C503)</f>
        <v/>
      </c>
      <c r="T503" s="59"/>
      <c r="U503" s="91"/>
    </row>
    <row r="504" spans="2:21" ht="24.95" customHeight="1" x14ac:dyDescent="0.25">
      <c r="I504" s="106">
        <v>501</v>
      </c>
      <c r="J504" s="119" t="str">
        <f t="shared" si="31"/>
        <v/>
      </c>
      <c r="K504" s="92" t="str">
        <f>IF('Prod 1'!D505="","",'Prod 1'!D505)</f>
        <v/>
      </c>
      <c r="L504" s="119" t="str">
        <f>IF('Prod 1'!I505="","",'Prod 1'!I505+'BH (2)'!C504)</f>
        <v/>
      </c>
      <c r="M504" s="59"/>
      <c r="N504" s="91"/>
      <c r="Q504" s="119" t="str">
        <f t="shared" si="32"/>
        <v/>
      </c>
      <c r="R504" s="92" t="str">
        <f>IF('Prod 1'!D505="","",'Prod 1'!D505)</f>
        <v/>
      </c>
      <c r="S504" s="119" t="str">
        <f>IF('Prod 1'!E505="","",'Prod 1'!E505+'BH (2)'!C504)</f>
        <v/>
      </c>
      <c r="T504" s="59"/>
      <c r="U504" s="91"/>
    </row>
    <row r="505" spans="2:21" ht="24.95" customHeight="1" x14ac:dyDescent="0.25">
      <c r="I505" s="106">
        <v>502</v>
      </c>
      <c r="J505" s="119" t="str">
        <f t="shared" si="31"/>
        <v/>
      </c>
      <c r="K505" s="92" t="str">
        <f>IF('Prod 1'!D506="","",'Prod 1'!D506)</f>
        <v/>
      </c>
      <c r="L505" s="119" t="str">
        <f>IF('Prod 1'!I506="","",'Prod 1'!I506+'BH (2)'!C505)</f>
        <v/>
      </c>
      <c r="M505" s="59"/>
      <c r="N505" s="91"/>
      <c r="Q505" s="119" t="str">
        <f t="shared" si="32"/>
        <v/>
      </c>
      <c r="R505" s="92" t="str">
        <f>IF('Prod 1'!D506="","",'Prod 1'!D506)</f>
        <v/>
      </c>
      <c r="S505" s="119" t="str">
        <f>IF('Prod 1'!E506="","",'Prod 1'!E506+'BH (2)'!C505)</f>
        <v/>
      </c>
      <c r="T505" s="59"/>
      <c r="U505" s="91"/>
    </row>
    <row r="506" spans="2:21" ht="24.95" customHeight="1" x14ac:dyDescent="0.25">
      <c r="I506" s="106">
        <v>503</v>
      </c>
      <c r="J506" s="119" t="str">
        <f t="shared" si="31"/>
        <v/>
      </c>
      <c r="K506" s="92" t="str">
        <f>IF('Prod 1'!D507="","",'Prod 1'!D507)</f>
        <v/>
      </c>
      <c r="L506" s="119" t="str">
        <f>IF('Prod 1'!I507="","",'Prod 1'!I507+'BH (2)'!C506)</f>
        <v/>
      </c>
      <c r="M506" s="59"/>
      <c r="N506" s="91"/>
      <c r="Q506" s="119" t="str">
        <f t="shared" si="32"/>
        <v/>
      </c>
      <c r="R506" s="92" t="str">
        <f>IF('Prod 1'!D507="","",'Prod 1'!D507)</f>
        <v/>
      </c>
      <c r="S506" s="119" t="str">
        <f>IF('Prod 1'!E507="","",'Prod 1'!E507+'BH (2)'!C506)</f>
        <v/>
      </c>
      <c r="T506" s="59"/>
      <c r="U506" s="91"/>
    </row>
    <row r="507" spans="2:21" ht="24.95" customHeight="1" x14ac:dyDescent="0.25">
      <c r="I507" s="106">
        <v>504</v>
      </c>
      <c r="J507" s="119" t="str">
        <f t="shared" si="31"/>
        <v/>
      </c>
      <c r="K507" s="92" t="str">
        <f>IF('Prod 1'!D508="","",'Prod 1'!D508)</f>
        <v/>
      </c>
      <c r="L507" s="119" t="str">
        <f>IF('Prod 1'!I508="","",'Prod 1'!I508+'BH (2)'!C507)</f>
        <v/>
      </c>
      <c r="M507" s="59"/>
      <c r="N507" s="91"/>
      <c r="Q507" s="119" t="str">
        <f t="shared" si="32"/>
        <v/>
      </c>
      <c r="R507" s="92" t="str">
        <f>IF('Prod 1'!D508="","",'Prod 1'!D508)</f>
        <v/>
      </c>
      <c r="S507" s="119" t="str">
        <f>IF('Prod 1'!E508="","",'Prod 1'!E508+'BH (2)'!C507)</f>
        <v/>
      </c>
      <c r="T507" s="59"/>
      <c r="U507" s="91"/>
    </row>
    <row r="508" spans="2:21" ht="24.95" customHeight="1" x14ac:dyDescent="0.25">
      <c r="I508" s="106">
        <v>505</v>
      </c>
      <c r="J508" s="119" t="str">
        <f t="shared" si="31"/>
        <v/>
      </c>
      <c r="K508" s="92" t="str">
        <f>IF('Prod 1'!D509="","",'Prod 1'!D509)</f>
        <v/>
      </c>
      <c r="L508" s="119" t="str">
        <f>IF('Prod 1'!I509="","",'Prod 1'!I509+'BH (2)'!C508)</f>
        <v/>
      </c>
      <c r="M508" s="59"/>
      <c r="N508" s="91"/>
      <c r="Q508" s="119" t="str">
        <f t="shared" si="32"/>
        <v/>
      </c>
      <c r="R508" s="92" t="str">
        <f>IF('Prod 1'!D509="","",'Prod 1'!D509)</f>
        <v/>
      </c>
      <c r="S508" s="119" t="str">
        <f>IF('Prod 1'!E509="","",'Prod 1'!E509+'BH (2)'!C508)</f>
        <v/>
      </c>
      <c r="T508" s="59"/>
      <c r="U508" s="91"/>
    </row>
    <row r="509" spans="2:21" ht="24.95" customHeight="1" x14ac:dyDescent="0.25">
      <c r="I509" s="106">
        <v>506</v>
      </c>
      <c r="J509" s="119" t="str">
        <f t="shared" si="31"/>
        <v/>
      </c>
      <c r="K509" s="92" t="str">
        <f>IF('Prod 1'!D510="","",'Prod 1'!D510)</f>
        <v/>
      </c>
      <c r="L509" s="119" t="str">
        <f>IF('Prod 1'!I510="","",'Prod 1'!I510+'BH (2)'!C509)</f>
        <v/>
      </c>
      <c r="M509" s="59"/>
      <c r="N509" s="91"/>
      <c r="Q509" s="119" t="str">
        <f t="shared" si="32"/>
        <v/>
      </c>
      <c r="R509" s="92" t="str">
        <f>IF('Prod 1'!D510="","",'Prod 1'!D510)</f>
        <v/>
      </c>
      <c r="S509" s="119" t="str">
        <f>IF('Prod 1'!E510="","",'Prod 1'!E510+'BH (2)'!C509)</f>
        <v/>
      </c>
      <c r="T509" s="59"/>
      <c r="U509" s="91"/>
    </row>
    <row r="510" spans="2:21" ht="24.95" customHeight="1" x14ac:dyDescent="0.25">
      <c r="I510" s="106">
        <v>507</v>
      </c>
      <c r="J510" s="119" t="str">
        <f t="shared" si="31"/>
        <v/>
      </c>
      <c r="K510" s="92" t="str">
        <f>IF('Prod 1'!D511="","",'Prod 1'!D511)</f>
        <v/>
      </c>
      <c r="L510" s="119" t="str">
        <f>IF('Prod 1'!I511="","",'Prod 1'!I511+'BH (2)'!C510)</f>
        <v/>
      </c>
      <c r="M510" s="59"/>
      <c r="N510" s="91"/>
      <c r="Q510" s="119" t="str">
        <f t="shared" si="32"/>
        <v/>
      </c>
      <c r="R510" s="92" t="str">
        <f>IF('Prod 1'!D511="","",'Prod 1'!D511)</f>
        <v/>
      </c>
      <c r="S510" s="119" t="str">
        <f>IF('Prod 1'!E511="","",'Prod 1'!E511+'BH (2)'!C510)</f>
        <v/>
      </c>
      <c r="T510" s="59"/>
      <c r="U510" s="91"/>
    </row>
    <row r="511" spans="2:21" ht="24.95" customHeight="1" x14ac:dyDescent="0.25">
      <c r="I511" s="106">
        <v>508</v>
      </c>
      <c r="J511" s="119" t="str">
        <f t="shared" si="31"/>
        <v/>
      </c>
      <c r="K511" s="92" t="str">
        <f>IF('Prod 1'!D512="","",'Prod 1'!D512)</f>
        <v/>
      </c>
      <c r="L511" s="119" t="str">
        <f>IF('Prod 1'!I512="","",'Prod 1'!I512+'BH (2)'!C511)</f>
        <v/>
      </c>
      <c r="M511" s="59"/>
      <c r="N511" s="91"/>
      <c r="Q511" s="119" t="str">
        <f t="shared" si="32"/>
        <v/>
      </c>
      <c r="R511" s="92" t="str">
        <f>IF('Prod 1'!D512="","",'Prod 1'!D512)</f>
        <v/>
      </c>
      <c r="S511" s="119" t="str">
        <f>IF('Prod 1'!E512="","",'Prod 1'!E512+'BH (2)'!C511)</f>
        <v/>
      </c>
      <c r="T511" s="59"/>
      <c r="U511" s="91"/>
    </row>
    <row r="512" spans="2:21" ht="24.95" customHeight="1" x14ac:dyDescent="0.25">
      <c r="I512" s="106">
        <v>509</v>
      </c>
      <c r="J512" s="119" t="str">
        <f t="shared" si="31"/>
        <v/>
      </c>
      <c r="K512" s="92" t="str">
        <f>IF('Prod 1'!D513="","",'Prod 1'!D513)</f>
        <v/>
      </c>
      <c r="L512" s="119" t="str">
        <f>IF('Prod 1'!I513="","",'Prod 1'!I513+'BH (2)'!C512)</f>
        <v/>
      </c>
      <c r="M512" s="59"/>
      <c r="N512" s="91"/>
      <c r="Q512" s="119" t="str">
        <f t="shared" si="32"/>
        <v/>
      </c>
      <c r="R512" s="92" t="str">
        <f>IF('Prod 1'!D513="","",'Prod 1'!D513)</f>
        <v/>
      </c>
      <c r="S512" s="119" t="str">
        <f>IF('Prod 1'!E513="","",'Prod 1'!E513+'BH (2)'!C512)</f>
        <v/>
      </c>
      <c r="T512" s="59"/>
      <c r="U512" s="91"/>
    </row>
    <row r="513" spans="9:21" ht="24.95" customHeight="1" x14ac:dyDescent="0.25">
      <c r="I513" s="106">
        <v>510</v>
      </c>
      <c r="J513" s="119" t="str">
        <f t="shared" si="31"/>
        <v/>
      </c>
      <c r="K513" s="92" t="str">
        <f>IF('Prod 1'!D514="","",'Prod 1'!D514)</f>
        <v/>
      </c>
      <c r="L513" s="119" t="str">
        <f>IF('Prod 1'!I514="","",'Prod 1'!I514+'BH (2)'!C513)</f>
        <v/>
      </c>
      <c r="M513" s="59"/>
      <c r="N513" s="91"/>
      <c r="Q513" s="119" t="str">
        <f t="shared" si="32"/>
        <v/>
      </c>
      <c r="R513" s="92" t="str">
        <f>IF('Prod 1'!D514="","",'Prod 1'!D514)</f>
        <v/>
      </c>
      <c r="S513" s="119" t="str">
        <f>IF('Prod 1'!E514="","",'Prod 1'!E514+'BH (2)'!C513)</f>
        <v/>
      </c>
      <c r="T513" s="59"/>
      <c r="U513" s="91"/>
    </row>
    <row r="514" spans="9:21" ht="24.95" customHeight="1" x14ac:dyDescent="0.25">
      <c r="I514" s="106">
        <v>511</v>
      </c>
      <c r="J514" s="119" t="str">
        <f t="shared" si="31"/>
        <v/>
      </c>
      <c r="K514" s="92" t="str">
        <f>IF('Prod 1'!D515="","",'Prod 1'!D515)</f>
        <v/>
      </c>
      <c r="L514" s="119" t="str">
        <f>IF('Prod 1'!I515="","",'Prod 1'!I515+'BH (2)'!C514)</f>
        <v/>
      </c>
      <c r="M514" s="59"/>
      <c r="N514" s="91"/>
      <c r="Q514" s="119" t="str">
        <f t="shared" si="32"/>
        <v/>
      </c>
      <c r="R514" s="92" t="str">
        <f>IF('Prod 1'!D515="","",'Prod 1'!D515)</f>
        <v/>
      </c>
      <c r="S514" s="119" t="str">
        <f>IF('Prod 1'!E515="","",'Prod 1'!E515+'BH (2)'!C514)</f>
        <v/>
      </c>
      <c r="T514" s="59"/>
      <c r="U514" s="91"/>
    </row>
    <row r="515" spans="9:21" ht="24.95" customHeight="1" x14ac:dyDescent="0.25">
      <c r="I515" s="106">
        <v>512</v>
      </c>
      <c r="J515" s="119" t="str">
        <f t="shared" si="31"/>
        <v/>
      </c>
      <c r="K515" s="92" t="str">
        <f>IF('Prod 1'!D516="","",'Prod 1'!D516)</f>
        <v/>
      </c>
      <c r="L515" s="119" t="str">
        <f>IF('Prod 1'!I516="","",'Prod 1'!I516+'BH (2)'!C515)</f>
        <v/>
      </c>
      <c r="M515" s="59"/>
      <c r="N515" s="91"/>
      <c r="Q515" s="119" t="str">
        <f t="shared" si="32"/>
        <v/>
      </c>
      <c r="R515" s="92" t="str">
        <f>IF('Prod 1'!D516="","",'Prod 1'!D516)</f>
        <v/>
      </c>
      <c r="S515" s="119" t="str">
        <f>IF('Prod 1'!E516="","",'Prod 1'!E516+'BH (2)'!C515)</f>
        <v/>
      </c>
      <c r="T515" s="59"/>
      <c r="U515" s="91"/>
    </row>
    <row r="516" spans="9:21" ht="24.95" customHeight="1" x14ac:dyDescent="0.25">
      <c r="I516" s="106">
        <v>513</v>
      </c>
      <c r="J516" s="119" t="str">
        <f t="shared" si="31"/>
        <v/>
      </c>
      <c r="K516" s="92" t="str">
        <f>IF('Prod 1'!D517="","",'Prod 1'!D517)</f>
        <v/>
      </c>
      <c r="L516" s="119" t="str">
        <f>IF('Prod 1'!I517="","",'Prod 1'!I517+'BH (2)'!C516)</f>
        <v/>
      </c>
      <c r="M516" s="59"/>
      <c r="N516" s="91"/>
      <c r="Q516" s="119" t="str">
        <f t="shared" si="32"/>
        <v/>
      </c>
      <c r="R516" s="92" t="str">
        <f>IF('Prod 1'!D517="","",'Prod 1'!D517)</f>
        <v/>
      </c>
      <c r="S516" s="119" t="str">
        <f>IF('Prod 1'!E517="","",'Prod 1'!E517+'BH (2)'!C516)</f>
        <v/>
      </c>
      <c r="T516" s="59"/>
      <c r="U516" s="91"/>
    </row>
    <row r="517" spans="9:21" ht="24.95" customHeight="1" x14ac:dyDescent="0.25">
      <c r="I517" s="106">
        <v>514</v>
      </c>
      <c r="J517" s="119" t="str">
        <f t="shared" ref="J517:J580" si="33">L517</f>
        <v/>
      </c>
      <c r="K517" s="92" t="str">
        <f>IF('Prod 1'!D518="","",'Prod 1'!D518)</f>
        <v/>
      </c>
      <c r="L517" s="119" t="str">
        <f>IF('Prod 1'!I518="","",'Prod 1'!I518+'BH (2)'!C517)</f>
        <v/>
      </c>
      <c r="M517" s="59"/>
      <c r="N517" s="91"/>
      <c r="Q517" s="119" t="str">
        <f t="shared" ref="Q517:Q580" si="34">S517</f>
        <v/>
      </c>
      <c r="R517" s="92" t="str">
        <f>IF('Prod 1'!D518="","",'Prod 1'!D518)</f>
        <v/>
      </c>
      <c r="S517" s="119" t="str">
        <f>IF('Prod 1'!E518="","",'Prod 1'!E518+'BH (2)'!C517)</f>
        <v/>
      </c>
      <c r="T517" s="59"/>
      <c r="U517" s="91"/>
    </row>
    <row r="518" spans="9:21" ht="24.95" customHeight="1" x14ac:dyDescent="0.25">
      <c r="I518" s="106">
        <v>515</v>
      </c>
      <c r="J518" s="119" t="str">
        <f t="shared" si="33"/>
        <v/>
      </c>
      <c r="K518" s="92" t="str">
        <f>IF('Prod 1'!D519="","",'Prod 1'!D519)</f>
        <v/>
      </c>
      <c r="L518" s="119" t="str">
        <f>IF('Prod 1'!I519="","",'Prod 1'!I519+'BH (2)'!C518)</f>
        <v/>
      </c>
      <c r="M518" s="59"/>
      <c r="N518" s="91"/>
      <c r="Q518" s="119" t="str">
        <f t="shared" si="34"/>
        <v/>
      </c>
      <c r="R518" s="92" t="str">
        <f>IF('Prod 1'!D519="","",'Prod 1'!D519)</f>
        <v/>
      </c>
      <c r="S518" s="119" t="str">
        <f>IF('Prod 1'!E519="","",'Prod 1'!E519+'BH (2)'!C518)</f>
        <v/>
      </c>
      <c r="T518" s="59"/>
      <c r="U518" s="91"/>
    </row>
    <row r="519" spans="9:21" ht="24.95" customHeight="1" x14ac:dyDescent="0.25">
      <c r="I519" s="106">
        <v>516</v>
      </c>
      <c r="J519" s="119" t="str">
        <f t="shared" si="33"/>
        <v/>
      </c>
      <c r="K519" s="92" t="str">
        <f>IF('Prod 1'!D520="","",'Prod 1'!D520)</f>
        <v/>
      </c>
      <c r="L519" s="119" t="str">
        <f>IF('Prod 1'!I520="","",'Prod 1'!I520+'BH (2)'!C519)</f>
        <v/>
      </c>
      <c r="M519" s="59"/>
      <c r="N519" s="91"/>
      <c r="Q519" s="119" t="str">
        <f t="shared" si="34"/>
        <v/>
      </c>
      <c r="R519" s="92" t="str">
        <f>IF('Prod 1'!D520="","",'Prod 1'!D520)</f>
        <v/>
      </c>
      <c r="S519" s="119" t="str">
        <f>IF('Prod 1'!E520="","",'Prod 1'!E520+'BH (2)'!C519)</f>
        <v/>
      </c>
      <c r="T519" s="59"/>
      <c r="U519" s="91"/>
    </row>
    <row r="520" spans="9:21" ht="24.95" customHeight="1" x14ac:dyDescent="0.25">
      <c r="I520" s="106">
        <v>517</v>
      </c>
      <c r="J520" s="119" t="str">
        <f t="shared" si="33"/>
        <v/>
      </c>
      <c r="K520" s="92" t="str">
        <f>IF('Prod 1'!D521="","",'Prod 1'!D521)</f>
        <v/>
      </c>
      <c r="L520" s="119" t="str">
        <f>IF('Prod 1'!I521="","",'Prod 1'!I521+'BH (2)'!C520)</f>
        <v/>
      </c>
      <c r="M520" s="59"/>
      <c r="N520" s="91"/>
      <c r="Q520" s="119" t="str">
        <f t="shared" si="34"/>
        <v/>
      </c>
      <c r="R520" s="92" t="str">
        <f>IF('Prod 1'!D521="","",'Prod 1'!D521)</f>
        <v/>
      </c>
      <c r="S520" s="119" t="str">
        <f>IF('Prod 1'!E521="","",'Prod 1'!E521+'BH (2)'!C520)</f>
        <v/>
      </c>
      <c r="T520" s="59"/>
      <c r="U520" s="91"/>
    </row>
    <row r="521" spans="9:21" ht="24.95" customHeight="1" x14ac:dyDescent="0.25">
      <c r="I521" s="106">
        <v>518</v>
      </c>
      <c r="J521" s="119" t="str">
        <f t="shared" si="33"/>
        <v/>
      </c>
      <c r="K521" s="92" t="str">
        <f>IF('Prod 1'!D522="","",'Prod 1'!D522)</f>
        <v/>
      </c>
      <c r="L521" s="119" t="str">
        <f>IF('Prod 1'!I522="","",'Prod 1'!I522+'BH (2)'!C521)</f>
        <v/>
      </c>
      <c r="M521" s="59"/>
      <c r="N521" s="91"/>
      <c r="Q521" s="119" t="str">
        <f t="shared" si="34"/>
        <v/>
      </c>
      <c r="R521" s="92" t="str">
        <f>IF('Prod 1'!D522="","",'Prod 1'!D522)</f>
        <v/>
      </c>
      <c r="S521" s="119" t="str">
        <f>IF('Prod 1'!E522="","",'Prod 1'!E522+'BH (2)'!C521)</f>
        <v/>
      </c>
      <c r="T521" s="59"/>
      <c r="U521" s="91"/>
    </row>
    <row r="522" spans="9:21" ht="24.95" customHeight="1" x14ac:dyDescent="0.25">
      <c r="I522" s="106">
        <v>519</v>
      </c>
      <c r="J522" s="119" t="str">
        <f t="shared" si="33"/>
        <v/>
      </c>
      <c r="K522" s="92" t="str">
        <f>IF('Prod 1'!D523="","",'Prod 1'!D523)</f>
        <v/>
      </c>
      <c r="L522" s="119" t="str">
        <f>IF('Prod 1'!I523="","",'Prod 1'!I523+'BH (2)'!C522)</f>
        <v/>
      </c>
      <c r="M522" s="59"/>
      <c r="N522" s="91"/>
      <c r="Q522" s="119" t="str">
        <f t="shared" si="34"/>
        <v/>
      </c>
      <c r="R522" s="92" t="str">
        <f>IF('Prod 1'!D523="","",'Prod 1'!D523)</f>
        <v/>
      </c>
      <c r="S522" s="119" t="str">
        <f>IF('Prod 1'!E523="","",'Prod 1'!E523+'BH (2)'!C522)</f>
        <v/>
      </c>
      <c r="T522" s="59"/>
      <c r="U522" s="91"/>
    </row>
    <row r="523" spans="9:21" ht="24.95" customHeight="1" x14ac:dyDescent="0.25">
      <c r="I523" s="106">
        <v>520</v>
      </c>
      <c r="J523" s="119" t="str">
        <f t="shared" si="33"/>
        <v/>
      </c>
      <c r="K523" s="92" t="str">
        <f>IF('Prod 1'!D524="","",'Prod 1'!D524)</f>
        <v/>
      </c>
      <c r="L523" s="119" t="str">
        <f>IF('Prod 1'!I524="","",'Prod 1'!I524+'BH (2)'!C523)</f>
        <v/>
      </c>
      <c r="M523" s="59"/>
      <c r="N523" s="91"/>
      <c r="Q523" s="119" t="str">
        <f t="shared" si="34"/>
        <v/>
      </c>
      <c r="R523" s="92" t="str">
        <f>IF('Prod 1'!D524="","",'Prod 1'!D524)</f>
        <v/>
      </c>
      <c r="S523" s="119" t="str">
        <f>IF('Prod 1'!E524="","",'Prod 1'!E524+'BH (2)'!C523)</f>
        <v/>
      </c>
      <c r="T523" s="59"/>
      <c r="U523" s="91"/>
    </row>
    <row r="524" spans="9:21" ht="24.95" customHeight="1" x14ac:dyDescent="0.25">
      <c r="I524" s="106">
        <v>521</v>
      </c>
      <c r="J524" s="119" t="str">
        <f t="shared" si="33"/>
        <v/>
      </c>
      <c r="K524" s="92" t="str">
        <f>IF('Prod 1'!D525="","",'Prod 1'!D525)</f>
        <v/>
      </c>
      <c r="L524" s="119" t="str">
        <f>IF('Prod 1'!I525="","",'Prod 1'!I525+'BH (2)'!C524)</f>
        <v/>
      </c>
      <c r="M524" s="59"/>
      <c r="N524" s="91"/>
      <c r="Q524" s="119" t="str">
        <f t="shared" si="34"/>
        <v/>
      </c>
      <c r="R524" s="92" t="str">
        <f>IF('Prod 1'!D525="","",'Prod 1'!D525)</f>
        <v/>
      </c>
      <c r="S524" s="119" t="str">
        <f>IF('Prod 1'!E525="","",'Prod 1'!E525+'BH (2)'!C524)</f>
        <v/>
      </c>
      <c r="T524" s="59"/>
      <c r="U524" s="91"/>
    </row>
    <row r="525" spans="9:21" ht="24.95" customHeight="1" x14ac:dyDescent="0.25">
      <c r="I525" s="106">
        <v>522</v>
      </c>
      <c r="J525" s="119" t="str">
        <f t="shared" si="33"/>
        <v/>
      </c>
      <c r="K525" s="92" t="str">
        <f>IF('Prod 1'!D526="","",'Prod 1'!D526)</f>
        <v/>
      </c>
      <c r="L525" s="119" t="str">
        <f>IF('Prod 1'!I526="","",'Prod 1'!I526+'BH (2)'!C525)</f>
        <v/>
      </c>
      <c r="M525" s="59"/>
      <c r="N525" s="91"/>
      <c r="Q525" s="119" t="str">
        <f t="shared" si="34"/>
        <v/>
      </c>
      <c r="R525" s="92" t="str">
        <f>IF('Prod 1'!D526="","",'Prod 1'!D526)</f>
        <v/>
      </c>
      <c r="S525" s="119" t="str">
        <f>IF('Prod 1'!E526="","",'Prod 1'!E526+'BH (2)'!C525)</f>
        <v/>
      </c>
      <c r="T525" s="59"/>
      <c r="U525" s="91"/>
    </row>
    <row r="526" spans="9:21" ht="24.95" customHeight="1" x14ac:dyDescent="0.25">
      <c r="I526" s="106">
        <v>523</v>
      </c>
      <c r="J526" s="119" t="str">
        <f t="shared" si="33"/>
        <v/>
      </c>
      <c r="K526" s="92" t="str">
        <f>IF('Prod 1'!D527="","",'Prod 1'!D527)</f>
        <v/>
      </c>
      <c r="L526" s="119" t="str">
        <f>IF('Prod 1'!I527="","",'Prod 1'!I527+'BH (2)'!C526)</f>
        <v/>
      </c>
      <c r="M526" s="59"/>
      <c r="N526" s="91"/>
      <c r="Q526" s="119" t="str">
        <f t="shared" si="34"/>
        <v/>
      </c>
      <c r="R526" s="92" t="str">
        <f>IF('Prod 1'!D527="","",'Prod 1'!D527)</f>
        <v/>
      </c>
      <c r="S526" s="119" t="str">
        <f>IF('Prod 1'!E527="","",'Prod 1'!E527+'BH (2)'!C526)</f>
        <v/>
      </c>
      <c r="T526" s="59"/>
      <c r="U526" s="91"/>
    </row>
    <row r="527" spans="9:21" ht="24.95" customHeight="1" x14ac:dyDescent="0.25">
      <c r="I527" s="106">
        <v>524</v>
      </c>
      <c r="J527" s="119" t="str">
        <f t="shared" si="33"/>
        <v/>
      </c>
      <c r="K527" s="92" t="str">
        <f>IF('Prod 1'!D528="","",'Prod 1'!D528)</f>
        <v/>
      </c>
      <c r="L527" s="119" t="str">
        <f>IF('Prod 1'!I528="","",'Prod 1'!I528+'BH (2)'!C527)</f>
        <v/>
      </c>
      <c r="M527" s="59"/>
      <c r="N527" s="91"/>
      <c r="Q527" s="119" t="str">
        <f t="shared" si="34"/>
        <v/>
      </c>
      <c r="R527" s="92" t="str">
        <f>IF('Prod 1'!D528="","",'Prod 1'!D528)</f>
        <v/>
      </c>
      <c r="S527" s="119" t="str">
        <f>IF('Prod 1'!E528="","",'Prod 1'!E528+'BH (2)'!C527)</f>
        <v/>
      </c>
      <c r="T527" s="59"/>
      <c r="U527" s="91"/>
    </row>
    <row r="528" spans="9:21" ht="24.95" customHeight="1" x14ac:dyDescent="0.25">
      <c r="I528" s="106">
        <v>525</v>
      </c>
      <c r="J528" s="119" t="str">
        <f t="shared" si="33"/>
        <v/>
      </c>
      <c r="K528" s="92" t="str">
        <f>IF('Prod 1'!D529="","",'Prod 1'!D529)</f>
        <v/>
      </c>
      <c r="L528" s="119" t="str">
        <f>IF('Prod 1'!I529="","",'Prod 1'!I529+'BH (2)'!C528)</f>
        <v/>
      </c>
      <c r="M528" s="59"/>
      <c r="N528" s="91"/>
      <c r="Q528" s="119" t="str">
        <f t="shared" si="34"/>
        <v/>
      </c>
      <c r="R528" s="92" t="str">
        <f>IF('Prod 1'!D529="","",'Prod 1'!D529)</f>
        <v/>
      </c>
      <c r="S528" s="119" t="str">
        <f>IF('Prod 1'!E529="","",'Prod 1'!E529+'BH (2)'!C528)</f>
        <v/>
      </c>
      <c r="T528" s="59"/>
      <c r="U528" s="91"/>
    </row>
    <row r="529" spans="9:21" ht="24.95" customHeight="1" x14ac:dyDescent="0.25">
      <c r="I529" s="106">
        <v>526</v>
      </c>
      <c r="J529" s="119" t="str">
        <f t="shared" si="33"/>
        <v/>
      </c>
      <c r="K529" s="92" t="str">
        <f>IF('Prod 1'!D530="","",'Prod 1'!D530)</f>
        <v/>
      </c>
      <c r="L529" s="119" t="str">
        <f>IF('Prod 1'!I530="","",'Prod 1'!I530+'BH (2)'!C529)</f>
        <v/>
      </c>
      <c r="M529" s="59"/>
      <c r="N529" s="91"/>
      <c r="Q529" s="119" t="str">
        <f t="shared" si="34"/>
        <v/>
      </c>
      <c r="R529" s="92" t="str">
        <f>IF('Prod 1'!D530="","",'Prod 1'!D530)</f>
        <v/>
      </c>
      <c r="S529" s="119" t="str">
        <f>IF('Prod 1'!E530="","",'Prod 1'!E530+'BH (2)'!C529)</f>
        <v/>
      </c>
      <c r="T529" s="59"/>
      <c r="U529" s="91"/>
    </row>
    <row r="530" spans="9:21" ht="24.95" customHeight="1" x14ac:dyDescent="0.25">
      <c r="I530" s="106">
        <v>527</v>
      </c>
      <c r="J530" s="119" t="str">
        <f t="shared" si="33"/>
        <v/>
      </c>
      <c r="K530" s="92" t="str">
        <f>IF('Prod 1'!D531="","",'Prod 1'!D531)</f>
        <v/>
      </c>
      <c r="L530" s="119" t="str">
        <f>IF('Prod 1'!I531="","",'Prod 1'!I531+'BH (2)'!C530)</f>
        <v/>
      </c>
      <c r="M530" s="59"/>
      <c r="N530" s="91"/>
      <c r="Q530" s="119" t="str">
        <f t="shared" si="34"/>
        <v/>
      </c>
      <c r="R530" s="92" t="str">
        <f>IF('Prod 1'!D531="","",'Prod 1'!D531)</f>
        <v/>
      </c>
      <c r="S530" s="119" t="str">
        <f>IF('Prod 1'!E531="","",'Prod 1'!E531+'BH (2)'!C530)</f>
        <v/>
      </c>
      <c r="T530" s="59"/>
      <c r="U530" s="91"/>
    </row>
    <row r="531" spans="9:21" ht="24.95" customHeight="1" x14ac:dyDescent="0.25">
      <c r="I531" s="106">
        <v>528</v>
      </c>
      <c r="J531" s="119" t="str">
        <f t="shared" si="33"/>
        <v/>
      </c>
      <c r="K531" s="92" t="str">
        <f>IF('Prod 1'!D532="","",'Prod 1'!D532)</f>
        <v/>
      </c>
      <c r="L531" s="119" t="str">
        <f>IF('Prod 1'!I532="","",'Prod 1'!I532+'BH (2)'!C531)</f>
        <v/>
      </c>
      <c r="M531" s="59"/>
      <c r="N531" s="91"/>
      <c r="Q531" s="119" t="str">
        <f t="shared" si="34"/>
        <v/>
      </c>
      <c r="R531" s="92" t="str">
        <f>IF('Prod 1'!D532="","",'Prod 1'!D532)</f>
        <v/>
      </c>
      <c r="S531" s="119" t="str">
        <f>IF('Prod 1'!E532="","",'Prod 1'!E532+'BH (2)'!C531)</f>
        <v/>
      </c>
      <c r="T531" s="59"/>
      <c r="U531" s="91"/>
    </row>
    <row r="532" spans="9:21" ht="24.95" customHeight="1" x14ac:dyDescent="0.25">
      <c r="I532" s="106">
        <v>529</v>
      </c>
      <c r="J532" s="119" t="str">
        <f t="shared" si="33"/>
        <v/>
      </c>
      <c r="K532" s="92" t="str">
        <f>IF('Prod 1'!D533="","",'Prod 1'!D533)</f>
        <v/>
      </c>
      <c r="L532" s="119" t="str">
        <f>IF('Prod 1'!I533="","",'Prod 1'!I533+'BH (2)'!C532)</f>
        <v/>
      </c>
      <c r="M532" s="59"/>
      <c r="N532" s="91"/>
      <c r="Q532" s="119" t="str">
        <f t="shared" si="34"/>
        <v/>
      </c>
      <c r="R532" s="92" t="str">
        <f>IF('Prod 1'!D533="","",'Prod 1'!D533)</f>
        <v/>
      </c>
      <c r="S532" s="119" t="str">
        <f>IF('Prod 1'!E533="","",'Prod 1'!E533+'BH (2)'!C532)</f>
        <v/>
      </c>
      <c r="T532" s="59"/>
      <c r="U532" s="91"/>
    </row>
    <row r="533" spans="9:21" ht="24.95" customHeight="1" x14ac:dyDescent="0.25">
      <c r="I533" s="106">
        <v>530</v>
      </c>
      <c r="J533" s="119" t="str">
        <f t="shared" si="33"/>
        <v/>
      </c>
      <c r="K533" s="92" t="str">
        <f>IF('Prod 1'!D534="","",'Prod 1'!D534)</f>
        <v/>
      </c>
      <c r="L533" s="119" t="str">
        <f>IF('Prod 1'!I534="","",'Prod 1'!I534+'BH (2)'!C533)</f>
        <v/>
      </c>
      <c r="M533" s="59"/>
      <c r="N533" s="91"/>
      <c r="Q533" s="119" t="str">
        <f t="shared" si="34"/>
        <v/>
      </c>
      <c r="R533" s="92" t="str">
        <f>IF('Prod 1'!D534="","",'Prod 1'!D534)</f>
        <v/>
      </c>
      <c r="S533" s="119" t="str">
        <f>IF('Prod 1'!E534="","",'Prod 1'!E534+'BH (2)'!C533)</f>
        <v/>
      </c>
      <c r="T533" s="59"/>
      <c r="U533" s="91"/>
    </row>
    <row r="534" spans="9:21" ht="24.95" customHeight="1" x14ac:dyDescent="0.25">
      <c r="I534" s="106">
        <v>531</v>
      </c>
      <c r="J534" s="119" t="str">
        <f t="shared" si="33"/>
        <v/>
      </c>
      <c r="K534" s="92" t="str">
        <f>IF('Prod 1'!D535="","",'Prod 1'!D535)</f>
        <v/>
      </c>
      <c r="L534" s="119" t="str">
        <f>IF('Prod 1'!I535="","",'Prod 1'!I535+'BH (2)'!C534)</f>
        <v/>
      </c>
      <c r="M534" s="59"/>
      <c r="N534" s="91"/>
      <c r="Q534" s="119" t="str">
        <f t="shared" si="34"/>
        <v/>
      </c>
      <c r="R534" s="92" t="str">
        <f>IF('Prod 1'!D535="","",'Prod 1'!D535)</f>
        <v/>
      </c>
      <c r="S534" s="119" t="str">
        <f>IF('Prod 1'!E535="","",'Prod 1'!E535+'BH (2)'!C534)</f>
        <v/>
      </c>
      <c r="T534" s="59"/>
      <c r="U534" s="91"/>
    </row>
    <row r="535" spans="9:21" ht="24.95" customHeight="1" x14ac:dyDescent="0.25">
      <c r="I535" s="106">
        <v>532</v>
      </c>
      <c r="J535" s="119" t="str">
        <f t="shared" si="33"/>
        <v/>
      </c>
      <c r="K535" s="92" t="str">
        <f>IF('Prod 1'!D536="","",'Prod 1'!D536)</f>
        <v/>
      </c>
      <c r="L535" s="119" t="str">
        <f>IF('Prod 1'!I536="","",'Prod 1'!I536+'BH (2)'!C535)</f>
        <v/>
      </c>
      <c r="M535" s="59"/>
      <c r="N535" s="91"/>
      <c r="Q535" s="119" t="str">
        <f t="shared" si="34"/>
        <v/>
      </c>
      <c r="R535" s="92" t="str">
        <f>IF('Prod 1'!D536="","",'Prod 1'!D536)</f>
        <v/>
      </c>
      <c r="S535" s="119" t="str">
        <f>IF('Prod 1'!E536="","",'Prod 1'!E536+'BH (2)'!C535)</f>
        <v/>
      </c>
      <c r="T535" s="59"/>
      <c r="U535" s="91"/>
    </row>
    <row r="536" spans="9:21" ht="24.95" customHeight="1" x14ac:dyDescent="0.25">
      <c r="I536" s="106">
        <v>533</v>
      </c>
      <c r="J536" s="119" t="str">
        <f t="shared" si="33"/>
        <v/>
      </c>
      <c r="K536" s="92" t="str">
        <f>IF('Prod 1'!D537="","",'Prod 1'!D537)</f>
        <v/>
      </c>
      <c r="L536" s="119" t="str">
        <f>IF('Prod 1'!I537="","",'Prod 1'!I537+'BH (2)'!C536)</f>
        <v/>
      </c>
      <c r="M536" s="59"/>
      <c r="N536" s="91"/>
      <c r="Q536" s="119" t="str">
        <f t="shared" si="34"/>
        <v/>
      </c>
      <c r="R536" s="92" t="str">
        <f>IF('Prod 1'!D537="","",'Prod 1'!D537)</f>
        <v/>
      </c>
      <c r="S536" s="119" t="str">
        <f>IF('Prod 1'!E537="","",'Prod 1'!E537+'BH (2)'!C536)</f>
        <v/>
      </c>
      <c r="T536" s="59"/>
      <c r="U536" s="91"/>
    </row>
    <row r="537" spans="9:21" ht="24.95" customHeight="1" x14ac:dyDescent="0.25">
      <c r="I537" s="106">
        <v>534</v>
      </c>
      <c r="J537" s="119" t="str">
        <f t="shared" si="33"/>
        <v/>
      </c>
      <c r="K537" s="92" t="str">
        <f>IF('Prod 1'!D538="","",'Prod 1'!D538)</f>
        <v/>
      </c>
      <c r="L537" s="119" t="str">
        <f>IF('Prod 1'!I538="","",'Prod 1'!I538+'BH (2)'!C537)</f>
        <v/>
      </c>
      <c r="M537" s="59"/>
      <c r="N537" s="91"/>
      <c r="Q537" s="119" t="str">
        <f t="shared" si="34"/>
        <v/>
      </c>
      <c r="R537" s="92" t="str">
        <f>IF('Prod 1'!D538="","",'Prod 1'!D538)</f>
        <v/>
      </c>
      <c r="S537" s="119" t="str">
        <f>IF('Prod 1'!E538="","",'Prod 1'!E538+'BH (2)'!C537)</f>
        <v/>
      </c>
      <c r="T537" s="59"/>
      <c r="U537" s="91"/>
    </row>
    <row r="538" spans="9:21" ht="24.95" customHeight="1" x14ac:dyDescent="0.25">
      <c r="I538" s="106">
        <v>535</v>
      </c>
      <c r="J538" s="119" t="str">
        <f t="shared" si="33"/>
        <v/>
      </c>
      <c r="K538" s="92" t="str">
        <f>IF('Prod 1'!D539="","",'Prod 1'!D539)</f>
        <v/>
      </c>
      <c r="L538" s="119" t="str">
        <f>IF('Prod 1'!I539="","",'Prod 1'!I539+'BH (2)'!C538)</f>
        <v/>
      </c>
      <c r="M538" s="59"/>
      <c r="N538" s="91"/>
      <c r="Q538" s="119" t="str">
        <f t="shared" si="34"/>
        <v/>
      </c>
      <c r="R538" s="92" t="str">
        <f>IF('Prod 1'!D539="","",'Prod 1'!D539)</f>
        <v/>
      </c>
      <c r="S538" s="119" t="str">
        <f>IF('Prod 1'!E539="","",'Prod 1'!E539+'BH (2)'!C538)</f>
        <v/>
      </c>
      <c r="T538" s="59"/>
      <c r="U538" s="91"/>
    </row>
    <row r="539" spans="9:21" ht="24.95" customHeight="1" x14ac:dyDescent="0.25">
      <c r="I539" s="106">
        <v>536</v>
      </c>
      <c r="J539" s="119" t="str">
        <f t="shared" si="33"/>
        <v/>
      </c>
      <c r="K539" s="92" t="str">
        <f>IF('Prod 1'!D540="","",'Prod 1'!D540)</f>
        <v/>
      </c>
      <c r="L539" s="119" t="str">
        <f>IF('Prod 1'!I540="","",'Prod 1'!I540+'BH (2)'!C539)</f>
        <v/>
      </c>
      <c r="M539" s="59"/>
      <c r="N539" s="91"/>
      <c r="Q539" s="119" t="str">
        <f t="shared" si="34"/>
        <v/>
      </c>
      <c r="R539" s="92" t="str">
        <f>IF('Prod 1'!D540="","",'Prod 1'!D540)</f>
        <v/>
      </c>
      <c r="S539" s="119" t="str">
        <f>IF('Prod 1'!E540="","",'Prod 1'!E540+'BH (2)'!C539)</f>
        <v/>
      </c>
      <c r="T539" s="59"/>
      <c r="U539" s="91"/>
    </row>
    <row r="540" spans="9:21" ht="24.95" customHeight="1" x14ac:dyDescent="0.25">
      <c r="I540" s="106">
        <v>537</v>
      </c>
      <c r="J540" s="119" t="str">
        <f t="shared" si="33"/>
        <v/>
      </c>
      <c r="K540" s="92" t="str">
        <f>IF('Prod 1'!D541="","",'Prod 1'!D541)</f>
        <v/>
      </c>
      <c r="L540" s="119" t="str">
        <f>IF('Prod 1'!I541="","",'Prod 1'!I541+'BH (2)'!C540)</f>
        <v/>
      </c>
      <c r="M540" s="59"/>
      <c r="N540" s="91"/>
      <c r="Q540" s="119" t="str">
        <f t="shared" si="34"/>
        <v/>
      </c>
      <c r="R540" s="92" t="str">
        <f>IF('Prod 1'!D541="","",'Prod 1'!D541)</f>
        <v/>
      </c>
      <c r="S540" s="119" t="str">
        <f>IF('Prod 1'!E541="","",'Prod 1'!E541+'BH (2)'!C540)</f>
        <v/>
      </c>
      <c r="T540" s="59"/>
      <c r="U540" s="91"/>
    </row>
    <row r="541" spans="9:21" ht="24.95" customHeight="1" x14ac:dyDescent="0.25">
      <c r="I541" s="106">
        <v>538</v>
      </c>
      <c r="J541" s="119" t="str">
        <f t="shared" si="33"/>
        <v/>
      </c>
      <c r="K541" s="92" t="str">
        <f>IF('Prod 1'!D542="","",'Prod 1'!D542)</f>
        <v/>
      </c>
      <c r="L541" s="119" t="str">
        <f>IF('Prod 1'!I542="","",'Prod 1'!I542+'BH (2)'!C541)</f>
        <v/>
      </c>
      <c r="M541" s="59"/>
      <c r="N541" s="91"/>
      <c r="Q541" s="119" t="str">
        <f t="shared" si="34"/>
        <v/>
      </c>
      <c r="R541" s="92" t="str">
        <f>IF('Prod 1'!D542="","",'Prod 1'!D542)</f>
        <v/>
      </c>
      <c r="S541" s="119" t="str">
        <f>IF('Prod 1'!E542="","",'Prod 1'!E542+'BH (2)'!C541)</f>
        <v/>
      </c>
      <c r="T541" s="59"/>
      <c r="U541" s="91"/>
    </row>
    <row r="542" spans="9:21" ht="24.95" customHeight="1" x14ac:dyDescent="0.25">
      <c r="I542" s="106">
        <v>539</v>
      </c>
      <c r="J542" s="119" t="str">
        <f t="shared" si="33"/>
        <v/>
      </c>
      <c r="K542" s="92" t="str">
        <f>IF('Prod 1'!D543="","",'Prod 1'!D543)</f>
        <v/>
      </c>
      <c r="L542" s="119" t="str">
        <f>IF('Prod 1'!I543="","",'Prod 1'!I543+'BH (2)'!C542)</f>
        <v/>
      </c>
      <c r="M542" s="59"/>
      <c r="N542" s="91"/>
      <c r="Q542" s="119" t="str">
        <f t="shared" si="34"/>
        <v/>
      </c>
      <c r="R542" s="92" t="str">
        <f>IF('Prod 1'!D543="","",'Prod 1'!D543)</f>
        <v/>
      </c>
      <c r="S542" s="119" t="str">
        <f>IF('Prod 1'!E543="","",'Prod 1'!E543+'BH (2)'!C542)</f>
        <v/>
      </c>
      <c r="T542" s="59"/>
      <c r="U542" s="91"/>
    </row>
    <row r="543" spans="9:21" ht="24.95" customHeight="1" x14ac:dyDescent="0.25">
      <c r="I543" s="106">
        <v>540</v>
      </c>
      <c r="J543" s="119" t="str">
        <f t="shared" si="33"/>
        <v/>
      </c>
      <c r="K543" s="92" t="str">
        <f>IF('Prod 1'!D544="","",'Prod 1'!D544)</f>
        <v/>
      </c>
      <c r="L543" s="119" t="str">
        <f>IF('Prod 1'!I544="","",'Prod 1'!I544+'BH (2)'!C543)</f>
        <v/>
      </c>
      <c r="M543" s="59"/>
      <c r="N543" s="91"/>
      <c r="Q543" s="119" t="str">
        <f t="shared" si="34"/>
        <v/>
      </c>
      <c r="R543" s="92" t="str">
        <f>IF('Prod 1'!D544="","",'Prod 1'!D544)</f>
        <v/>
      </c>
      <c r="S543" s="119" t="str">
        <f>IF('Prod 1'!E544="","",'Prod 1'!E544+'BH (2)'!C543)</f>
        <v/>
      </c>
      <c r="T543" s="59"/>
      <c r="U543" s="91"/>
    </row>
    <row r="544" spans="9:21" ht="24.95" customHeight="1" x14ac:dyDescent="0.25">
      <c r="I544" s="106">
        <v>541</v>
      </c>
      <c r="J544" s="119" t="str">
        <f t="shared" si="33"/>
        <v/>
      </c>
      <c r="K544" s="92" t="str">
        <f>IF('Prod 1'!D545="","",'Prod 1'!D545)</f>
        <v/>
      </c>
      <c r="L544" s="119" t="str">
        <f>IF('Prod 1'!I545="","",'Prod 1'!I545+'BH (2)'!C544)</f>
        <v/>
      </c>
      <c r="M544" s="59"/>
      <c r="N544" s="91"/>
      <c r="Q544" s="119" t="str">
        <f t="shared" si="34"/>
        <v/>
      </c>
      <c r="R544" s="92" t="str">
        <f>IF('Prod 1'!D545="","",'Prod 1'!D545)</f>
        <v/>
      </c>
      <c r="S544" s="119" t="str">
        <f>IF('Prod 1'!E545="","",'Prod 1'!E545+'BH (2)'!C544)</f>
        <v/>
      </c>
      <c r="T544" s="59"/>
      <c r="U544" s="91"/>
    </row>
    <row r="545" spans="9:21" ht="24.95" customHeight="1" x14ac:dyDescent="0.25">
      <c r="I545" s="106">
        <v>542</v>
      </c>
      <c r="J545" s="119" t="str">
        <f t="shared" si="33"/>
        <v/>
      </c>
      <c r="K545" s="92" t="str">
        <f>IF('Prod 1'!D546="","",'Prod 1'!D546)</f>
        <v/>
      </c>
      <c r="L545" s="119" t="str">
        <f>IF('Prod 1'!I546="","",'Prod 1'!I546+'BH (2)'!C545)</f>
        <v/>
      </c>
      <c r="M545" s="59"/>
      <c r="N545" s="91"/>
      <c r="Q545" s="119" t="str">
        <f t="shared" si="34"/>
        <v/>
      </c>
      <c r="R545" s="92" t="str">
        <f>IF('Prod 1'!D546="","",'Prod 1'!D546)</f>
        <v/>
      </c>
      <c r="S545" s="119" t="str">
        <f>IF('Prod 1'!E546="","",'Prod 1'!E546+'BH (2)'!C545)</f>
        <v/>
      </c>
      <c r="T545" s="59"/>
      <c r="U545" s="91"/>
    </row>
    <row r="546" spans="9:21" ht="24.95" customHeight="1" x14ac:dyDescent="0.25">
      <c r="I546" s="106">
        <v>543</v>
      </c>
      <c r="J546" s="119" t="str">
        <f t="shared" si="33"/>
        <v/>
      </c>
      <c r="K546" s="92" t="str">
        <f>IF('Prod 1'!D547="","",'Prod 1'!D547)</f>
        <v/>
      </c>
      <c r="L546" s="119" t="str">
        <f>IF('Prod 1'!I547="","",'Prod 1'!I547+'BH (2)'!C546)</f>
        <v/>
      </c>
      <c r="M546" s="59"/>
      <c r="N546" s="91"/>
      <c r="Q546" s="119" t="str">
        <f t="shared" si="34"/>
        <v/>
      </c>
      <c r="R546" s="92" t="str">
        <f>IF('Prod 1'!D547="","",'Prod 1'!D547)</f>
        <v/>
      </c>
      <c r="S546" s="119" t="str">
        <f>IF('Prod 1'!E547="","",'Prod 1'!E547+'BH (2)'!C546)</f>
        <v/>
      </c>
      <c r="T546" s="59"/>
      <c r="U546" s="91"/>
    </row>
    <row r="547" spans="9:21" ht="24.95" customHeight="1" x14ac:dyDescent="0.25">
      <c r="I547" s="106">
        <v>544</v>
      </c>
      <c r="J547" s="119" t="str">
        <f t="shared" si="33"/>
        <v/>
      </c>
      <c r="K547" s="92" t="str">
        <f>IF('Prod 1'!D548="","",'Prod 1'!D548)</f>
        <v/>
      </c>
      <c r="L547" s="119" t="str">
        <f>IF('Prod 1'!I548="","",'Prod 1'!I548+'BH (2)'!C547)</f>
        <v/>
      </c>
      <c r="M547" s="59"/>
      <c r="N547" s="91"/>
      <c r="Q547" s="119" t="str">
        <f t="shared" si="34"/>
        <v/>
      </c>
      <c r="R547" s="92" t="str">
        <f>IF('Prod 1'!D548="","",'Prod 1'!D548)</f>
        <v/>
      </c>
      <c r="S547" s="119" t="str">
        <f>IF('Prod 1'!E548="","",'Prod 1'!E548+'BH (2)'!C547)</f>
        <v/>
      </c>
      <c r="T547" s="59"/>
      <c r="U547" s="91"/>
    </row>
    <row r="548" spans="9:21" ht="24.95" customHeight="1" x14ac:dyDescent="0.25">
      <c r="I548" s="106">
        <v>545</v>
      </c>
      <c r="J548" s="119" t="str">
        <f t="shared" si="33"/>
        <v/>
      </c>
      <c r="K548" s="92" t="str">
        <f>IF('Prod 1'!D549="","",'Prod 1'!D549)</f>
        <v/>
      </c>
      <c r="L548" s="119" t="str">
        <f>IF('Prod 1'!I549="","",'Prod 1'!I549+'BH (2)'!C548)</f>
        <v/>
      </c>
      <c r="M548" s="59"/>
      <c r="N548" s="91"/>
      <c r="Q548" s="119" t="str">
        <f t="shared" si="34"/>
        <v/>
      </c>
      <c r="R548" s="92" t="str">
        <f>IF('Prod 1'!D549="","",'Prod 1'!D549)</f>
        <v/>
      </c>
      <c r="S548" s="119" t="str">
        <f>IF('Prod 1'!E549="","",'Prod 1'!E549+'BH (2)'!C548)</f>
        <v/>
      </c>
      <c r="T548" s="59"/>
      <c r="U548" s="91"/>
    </row>
    <row r="549" spans="9:21" ht="24.95" customHeight="1" x14ac:dyDescent="0.25">
      <c r="I549" s="106">
        <v>546</v>
      </c>
      <c r="J549" s="119" t="str">
        <f t="shared" si="33"/>
        <v/>
      </c>
      <c r="K549" s="92" t="str">
        <f>IF('Prod 1'!D550="","",'Prod 1'!D550)</f>
        <v/>
      </c>
      <c r="L549" s="119" t="str">
        <f>IF('Prod 1'!I550="","",'Prod 1'!I550+'BH (2)'!C549)</f>
        <v/>
      </c>
      <c r="M549" s="59"/>
      <c r="N549" s="91"/>
      <c r="Q549" s="119" t="str">
        <f t="shared" si="34"/>
        <v/>
      </c>
      <c r="R549" s="92" t="str">
        <f>IF('Prod 1'!D550="","",'Prod 1'!D550)</f>
        <v/>
      </c>
      <c r="S549" s="119" t="str">
        <f>IF('Prod 1'!E550="","",'Prod 1'!E550+'BH (2)'!C549)</f>
        <v/>
      </c>
      <c r="T549" s="59"/>
      <c r="U549" s="91"/>
    </row>
    <row r="550" spans="9:21" ht="24.95" customHeight="1" x14ac:dyDescent="0.25">
      <c r="I550" s="106">
        <v>547</v>
      </c>
      <c r="J550" s="119" t="str">
        <f t="shared" si="33"/>
        <v/>
      </c>
      <c r="K550" s="92" t="str">
        <f>IF('Prod 1'!D551="","",'Prod 1'!D551)</f>
        <v/>
      </c>
      <c r="L550" s="119" t="str">
        <f>IF('Prod 1'!I551="","",'Prod 1'!I551+'BH (2)'!C550)</f>
        <v/>
      </c>
      <c r="M550" s="59"/>
      <c r="N550" s="91"/>
      <c r="Q550" s="119" t="str">
        <f t="shared" si="34"/>
        <v/>
      </c>
      <c r="R550" s="92" t="str">
        <f>IF('Prod 1'!D551="","",'Prod 1'!D551)</f>
        <v/>
      </c>
      <c r="S550" s="119" t="str">
        <f>IF('Prod 1'!E551="","",'Prod 1'!E551+'BH (2)'!C550)</f>
        <v/>
      </c>
      <c r="T550" s="59"/>
      <c r="U550" s="91"/>
    </row>
    <row r="551" spans="9:21" ht="24.95" customHeight="1" x14ac:dyDescent="0.25">
      <c r="I551" s="106">
        <v>548</v>
      </c>
      <c r="J551" s="119" t="str">
        <f t="shared" si="33"/>
        <v/>
      </c>
      <c r="K551" s="92" t="str">
        <f>IF('Prod 1'!D552="","",'Prod 1'!D552)</f>
        <v/>
      </c>
      <c r="L551" s="119" t="str">
        <f>IF('Prod 1'!I552="","",'Prod 1'!I552+'BH (2)'!C551)</f>
        <v/>
      </c>
      <c r="M551" s="59"/>
      <c r="N551" s="91"/>
      <c r="Q551" s="119" t="str">
        <f t="shared" si="34"/>
        <v/>
      </c>
      <c r="R551" s="92" t="str">
        <f>IF('Prod 1'!D552="","",'Prod 1'!D552)</f>
        <v/>
      </c>
      <c r="S551" s="119" t="str">
        <f>IF('Prod 1'!E552="","",'Prod 1'!E552+'BH (2)'!C551)</f>
        <v/>
      </c>
      <c r="T551" s="59"/>
      <c r="U551" s="91"/>
    </row>
    <row r="552" spans="9:21" ht="24.95" customHeight="1" x14ac:dyDescent="0.25">
      <c r="I552" s="106">
        <v>549</v>
      </c>
      <c r="J552" s="119" t="str">
        <f t="shared" si="33"/>
        <v/>
      </c>
      <c r="K552" s="92" t="str">
        <f>IF('Prod 1'!D553="","",'Prod 1'!D553)</f>
        <v/>
      </c>
      <c r="L552" s="119" t="str">
        <f>IF('Prod 1'!I553="","",'Prod 1'!I553+'BH (2)'!C552)</f>
        <v/>
      </c>
      <c r="M552" s="59"/>
      <c r="N552" s="91"/>
      <c r="Q552" s="119" t="str">
        <f t="shared" si="34"/>
        <v/>
      </c>
      <c r="R552" s="92" t="str">
        <f>IF('Prod 1'!D553="","",'Prod 1'!D553)</f>
        <v/>
      </c>
      <c r="S552" s="119" t="str">
        <f>IF('Prod 1'!E553="","",'Prod 1'!E553+'BH (2)'!C552)</f>
        <v/>
      </c>
      <c r="T552" s="59"/>
      <c r="U552" s="91"/>
    </row>
    <row r="553" spans="9:21" ht="24.95" customHeight="1" x14ac:dyDescent="0.25">
      <c r="I553" s="106">
        <v>550</v>
      </c>
      <c r="J553" s="119" t="str">
        <f t="shared" si="33"/>
        <v/>
      </c>
      <c r="K553" s="92" t="str">
        <f>IF('Prod 1'!D554="","",'Prod 1'!D554)</f>
        <v/>
      </c>
      <c r="L553" s="119" t="str">
        <f>IF('Prod 1'!I554="","",'Prod 1'!I554+'BH (2)'!C553)</f>
        <v/>
      </c>
      <c r="M553" s="59"/>
      <c r="N553" s="91"/>
      <c r="Q553" s="119" t="str">
        <f t="shared" si="34"/>
        <v/>
      </c>
      <c r="R553" s="92" t="str">
        <f>IF('Prod 1'!D554="","",'Prod 1'!D554)</f>
        <v/>
      </c>
      <c r="S553" s="119" t="str">
        <f>IF('Prod 1'!E554="","",'Prod 1'!E554+'BH (2)'!C553)</f>
        <v/>
      </c>
      <c r="T553" s="59"/>
      <c r="U553" s="91"/>
    </row>
    <row r="554" spans="9:21" ht="24.95" customHeight="1" x14ac:dyDescent="0.25">
      <c r="I554" s="106">
        <v>551</v>
      </c>
      <c r="J554" s="119" t="str">
        <f t="shared" si="33"/>
        <v/>
      </c>
      <c r="K554" s="92" t="str">
        <f>IF('Prod 1'!D555="","",'Prod 1'!D555)</f>
        <v/>
      </c>
      <c r="L554" s="119" t="str">
        <f>IF('Prod 1'!I555="","",'Prod 1'!I555+'BH (2)'!C554)</f>
        <v/>
      </c>
      <c r="M554" s="59"/>
      <c r="N554" s="91"/>
      <c r="Q554" s="119" t="str">
        <f t="shared" si="34"/>
        <v/>
      </c>
      <c r="R554" s="92" t="str">
        <f>IF('Prod 1'!D555="","",'Prod 1'!D555)</f>
        <v/>
      </c>
      <c r="S554" s="119" t="str">
        <f>IF('Prod 1'!E555="","",'Prod 1'!E555+'BH (2)'!C554)</f>
        <v/>
      </c>
      <c r="T554" s="59"/>
      <c r="U554" s="91"/>
    </row>
    <row r="555" spans="9:21" ht="24.95" customHeight="1" x14ac:dyDescent="0.25">
      <c r="I555" s="106">
        <v>552</v>
      </c>
      <c r="J555" s="119" t="str">
        <f t="shared" si="33"/>
        <v/>
      </c>
      <c r="K555" s="92" t="str">
        <f>IF('Prod 1'!D556="","",'Prod 1'!D556)</f>
        <v/>
      </c>
      <c r="L555" s="119" t="str">
        <f>IF('Prod 1'!I556="","",'Prod 1'!I556+'BH (2)'!C555)</f>
        <v/>
      </c>
      <c r="M555" s="59"/>
      <c r="N555" s="91"/>
      <c r="Q555" s="119" t="str">
        <f t="shared" si="34"/>
        <v/>
      </c>
      <c r="R555" s="92" t="str">
        <f>IF('Prod 1'!D556="","",'Prod 1'!D556)</f>
        <v/>
      </c>
      <c r="S555" s="119" t="str">
        <f>IF('Prod 1'!E556="","",'Prod 1'!E556+'BH (2)'!C555)</f>
        <v/>
      </c>
      <c r="T555" s="59"/>
      <c r="U555" s="91"/>
    </row>
    <row r="556" spans="9:21" ht="24.95" customHeight="1" x14ac:dyDescent="0.25">
      <c r="I556" s="106">
        <v>553</v>
      </c>
      <c r="J556" s="119" t="str">
        <f t="shared" si="33"/>
        <v/>
      </c>
      <c r="K556" s="92" t="str">
        <f>IF('Prod 1'!D557="","",'Prod 1'!D557)</f>
        <v/>
      </c>
      <c r="L556" s="119" t="str">
        <f>IF('Prod 1'!I557="","",'Prod 1'!I557+'BH (2)'!C556)</f>
        <v/>
      </c>
      <c r="M556" s="59"/>
      <c r="N556" s="91"/>
      <c r="Q556" s="119" t="str">
        <f t="shared" si="34"/>
        <v/>
      </c>
      <c r="R556" s="92" t="str">
        <f>IF('Prod 1'!D557="","",'Prod 1'!D557)</f>
        <v/>
      </c>
      <c r="S556" s="119" t="str">
        <f>IF('Prod 1'!E557="","",'Prod 1'!E557+'BH (2)'!C556)</f>
        <v/>
      </c>
      <c r="T556" s="59"/>
      <c r="U556" s="91"/>
    </row>
    <row r="557" spans="9:21" ht="24.95" customHeight="1" x14ac:dyDescent="0.25">
      <c r="I557" s="106">
        <v>554</v>
      </c>
      <c r="J557" s="119" t="str">
        <f t="shared" si="33"/>
        <v/>
      </c>
      <c r="K557" s="92" t="str">
        <f>IF('Prod 1'!D558="","",'Prod 1'!D558)</f>
        <v/>
      </c>
      <c r="L557" s="119" t="str">
        <f>IF('Prod 1'!I558="","",'Prod 1'!I558+'BH (2)'!C557)</f>
        <v/>
      </c>
      <c r="M557" s="59"/>
      <c r="N557" s="91"/>
      <c r="Q557" s="119" t="str">
        <f t="shared" si="34"/>
        <v/>
      </c>
      <c r="R557" s="92" t="str">
        <f>IF('Prod 1'!D558="","",'Prod 1'!D558)</f>
        <v/>
      </c>
      <c r="S557" s="119" t="str">
        <f>IF('Prod 1'!E558="","",'Prod 1'!E558+'BH (2)'!C557)</f>
        <v/>
      </c>
      <c r="T557" s="59"/>
      <c r="U557" s="91"/>
    </row>
    <row r="558" spans="9:21" ht="24.95" customHeight="1" x14ac:dyDescent="0.25">
      <c r="I558" s="106">
        <v>555</v>
      </c>
      <c r="J558" s="119" t="str">
        <f t="shared" si="33"/>
        <v/>
      </c>
      <c r="K558" s="92" t="str">
        <f>IF('Prod 1'!D559="","",'Prod 1'!D559)</f>
        <v/>
      </c>
      <c r="L558" s="119" t="str">
        <f>IF('Prod 1'!I559="","",'Prod 1'!I559+'BH (2)'!C558)</f>
        <v/>
      </c>
      <c r="M558" s="59"/>
      <c r="N558" s="91"/>
      <c r="Q558" s="119" t="str">
        <f t="shared" si="34"/>
        <v/>
      </c>
      <c r="R558" s="92" t="str">
        <f>IF('Prod 1'!D559="","",'Prod 1'!D559)</f>
        <v/>
      </c>
      <c r="S558" s="119" t="str">
        <f>IF('Prod 1'!E559="","",'Prod 1'!E559+'BH (2)'!C558)</f>
        <v/>
      </c>
      <c r="T558" s="59"/>
      <c r="U558" s="91"/>
    </row>
    <row r="559" spans="9:21" ht="24.95" customHeight="1" x14ac:dyDescent="0.25">
      <c r="I559" s="106">
        <v>556</v>
      </c>
      <c r="J559" s="119" t="str">
        <f t="shared" si="33"/>
        <v/>
      </c>
      <c r="K559" s="92" t="str">
        <f>IF('Prod 1'!D560="","",'Prod 1'!D560)</f>
        <v/>
      </c>
      <c r="L559" s="119" t="str">
        <f>IF('Prod 1'!I560="","",'Prod 1'!I560+'BH (2)'!C559)</f>
        <v/>
      </c>
      <c r="M559" s="59"/>
      <c r="N559" s="91"/>
      <c r="Q559" s="119" t="str">
        <f t="shared" si="34"/>
        <v/>
      </c>
      <c r="R559" s="92" t="str">
        <f>IF('Prod 1'!D560="","",'Prod 1'!D560)</f>
        <v/>
      </c>
      <c r="S559" s="119" t="str">
        <f>IF('Prod 1'!E560="","",'Prod 1'!E560+'BH (2)'!C559)</f>
        <v/>
      </c>
      <c r="T559" s="59"/>
      <c r="U559" s="91"/>
    </row>
    <row r="560" spans="9:21" ht="24.95" customHeight="1" x14ac:dyDescent="0.25">
      <c r="I560" s="106">
        <v>557</v>
      </c>
      <c r="J560" s="119" t="str">
        <f t="shared" si="33"/>
        <v/>
      </c>
      <c r="K560" s="92" t="str">
        <f>IF('Prod 1'!D561="","",'Prod 1'!D561)</f>
        <v/>
      </c>
      <c r="L560" s="119" t="str">
        <f>IF('Prod 1'!I561="","",'Prod 1'!I561+'BH (2)'!C560)</f>
        <v/>
      </c>
      <c r="M560" s="59"/>
      <c r="N560" s="91"/>
      <c r="Q560" s="119" t="str">
        <f t="shared" si="34"/>
        <v/>
      </c>
      <c r="R560" s="92" t="str">
        <f>IF('Prod 1'!D561="","",'Prod 1'!D561)</f>
        <v/>
      </c>
      <c r="S560" s="119" t="str">
        <f>IF('Prod 1'!E561="","",'Prod 1'!E561+'BH (2)'!C560)</f>
        <v/>
      </c>
      <c r="T560" s="59"/>
      <c r="U560" s="91"/>
    </row>
    <row r="561" spans="9:21" ht="24.95" customHeight="1" x14ac:dyDescent="0.25">
      <c r="I561" s="106">
        <v>558</v>
      </c>
      <c r="J561" s="119" t="str">
        <f t="shared" si="33"/>
        <v/>
      </c>
      <c r="K561" s="92" t="str">
        <f>IF('Prod 1'!D562="","",'Prod 1'!D562)</f>
        <v/>
      </c>
      <c r="L561" s="119" t="str">
        <f>IF('Prod 1'!I562="","",'Prod 1'!I562+'BH (2)'!C561)</f>
        <v/>
      </c>
      <c r="M561" s="59"/>
      <c r="N561" s="91"/>
      <c r="Q561" s="119" t="str">
        <f t="shared" si="34"/>
        <v/>
      </c>
      <c r="R561" s="92" t="str">
        <f>IF('Prod 1'!D562="","",'Prod 1'!D562)</f>
        <v/>
      </c>
      <c r="S561" s="119" t="str">
        <f>IF('Prod 1'!E562="","",'Prod 1'!E562+'BH (2)'!C561)</f>
        <v/>
      </c>
      <c r="T561" s="59"/>
      <c r="U561" s="91"/>
    </row>
    <row r="562" spans="9:21" ht="24.95" customHeight="1" x14ac:dyDescent="0.25">
      <c r="I562" s="106">
        <v>559</v>
      </c>
      <c r="J562" s="119" t="str">
        <f t="shared" si="33"/>
        <v/>
      </c>
      <c r="K562" s="92" t="str">
        <f>IF('Prod 1'!D563="","",'Prod 1'!D563)</f>
        <v/>
      </c>
      <c r="L562" s="119" t="str">
        <f>IF('Prod 1'!I563="","",'Prod 1'!I563+'BH (2)'!C562)</f>
        <v/>
      </c>
      <c r="M562" s="59"/>
      <c r="N562" s="91"/>
      <c r="Q562" s="119" t="str">
        <f t="shared" si="34"/>
        <v/>
      </c>
      <c r="R562" s="92" t="str">
        <f>IF('Prod 1'!D563="","",'Prod 1'!D563)</f>
        <v/>
      </c>
      <c r="S562" s="119" t="str">
        <f>IF('Prod 1'!E563="","",'Prod 1'!E563+'BH (2)'!C562)</f>
        <v/>
      </c>
      <c r="T562" s="59"/>
      <c r="U562" s="91"/>
    </row>
    <row r="563" spans="9:21" ht="24.95" customHeight="1" x14ac:dyDescent="0.25">
      <c r="I563" s="106">
        <v>560</v>
      </c>
      <c r="J563" s="119" t="str">
        <f t="shared" si="33"/>
        <v/>
      </c>
      <c r="K563" s="92" t="str">
        <f>IF('Prod 1'!D564="","",'Prod 1'!D564)</f>
        <v/>
      </c>
      <c r="L563" s="119" t="str">
        <f>IF('Prod 1'!I564="","",'Prod 1'!I564+'BH (2)'!C563)</f>
        <v/>
      </c>
      <c r="M563" s="59"/>
      <c r="N563" s="91"/>
      <c r="Q563" s="119" t="str">
        <f t="shared" si="34"/>
        <v/>
      </c>
      <c r="R563" s="92" t="str">
        <f>IF('Prod 1'!D564="","",'Prod 1'!D564)</f>
        <v/>
      </c>
      <c r="S563" s="119" t="str">
        <f>IF('Prod 1'!E564="","",'Prod 1'!E564+'BH (2)'!C563)</f>
        <v/>
      </c>
      <c r="T563" s="59"/>
      <c r="U563" s="91"/>
    </row>
    <row r="564" spans="9:21" ht="24.95" customHeight="1" x14ac:dyDescent="0.25">
      <c r="I564" s="106">
        <v>561</v>
      </c>
      <c r="J564" s="119" t="str">
        <f t="shared" si="33"/>
        <v/>
      </c>
      <c r="K564" s="92" t="str">
        <f>IF('Prod 1'!D565="","",'Prod 1'!D565)</f>
        <v/>
      </c>
      <c r="L564" s="119" t="str">
        <f>IF('Prod 1'!I565="","",'Prod 1'!I565+'BH (2)'!C564)</f>
        <v/>
      </c>
      <c r="M564" s="59"/>
      <c r="N564" s="91"/>
      <c r="Q564" s="119" t="str">
        <f t="shared" si="34"/>
        <v/>
      </c>
      <c r="R564" s="92" t="str">
        <f>IF('Prod 1'!D565="","",'Prod 1'!D565)</f>
        <v/>
      </c>
      <c r="S564" s="119" t="str">
        <f>IF('Prod 1'!E565="","",'Prod 1'!E565+'BH (2)'!C564)</f>
        <v/>
      </c>
      <c r="T564" s="59"/>
      <c r="U564" s="91"/>
    </row>
    <row r="565" spans="9:21" ht="24.95" customHeight="1" x14ac:dyDescent="0.25">
      <c r="I565" s="106">
        <v>562</v>
      </c>
      <c r="J565" s="119" t="str">
        <f t="shared" si="33"/>
        <v/>
      </c>
      <c r="K565" s="92" t="str">
        <f>IF('Prod 1'!D566="","",'Prod 1'!D566)</f>
        <v/>
      </c>
      <c r="L565" s="119" t="str">
        <f>IF('Prod 1'!I566="","",'Prod 1'!I566+'BH (2)'!C565)</f>
        <v/>
      </c>
      <c r="M565" s="59"/>
      <c r="N565" s="91"/>
      <c r="Q565" s="119" t="str">
        <f t="shared" si="34"/>
        <v/>
      </c>
      <c r="R565" s="92" t="str">
        <f>IF('Prod 1'!D566="","",'Prod 1'!D566)</f>
        <v/>
      </c>
      <c r="S565" s="119" t="str">
        <f>IF('Prod 1'!E566="","",'Prod 1'!E566+'BH (2)'!C565)</f>
        <v/>
      </c>
      <c r="T565" s="59"/>
      <c r="U565" s="91"/>
    </row>
    <row r="566" spans="9:21" ht="24.95" customHeight="1" x14ac:dyDescent="0.25">
      <c r="I566" s="106">
        <v>563</v>
      </c>
      <c r="J566" s="119" t="str">
        <f t="shared" si="33"/>
        <v/>
      </c>
      <c r="K566" s="92" t="str">
        <f>IF('Prod 1'!D567="","",'Prod 1'!D567)</f>
        <v/>
      </c>
      <c r="L566" s="119" t="str">
        <f>IF('Prod 1'!I567="","",'Prod 1'!I567+'BH (2)'!C566)</f>
        <v/>
      </c>
      <c r="M566" s="59"/>
      <c r="N566" s="91"/>
      <c r="Q566" s="119" t="str">
        <f t="shared" si="34"/>
        <v/>
      </c>
      <c r="R566" s="92" t="str">
        <f>IF('Prod 1'!D567="","",'Prod 1'!D567)</f>
        <v/>
      </c>
      <c r="S566" s="119" t="str">
        <f>IF('Prod 1'!E567="","",'Prod 1'!E567+'BH (2)'!C566)</f>
        <v/>
      </c>
      <c r="T566" s="59"/>
      <c r="U566" s="91"/>
    </row>
    <row r="567" spans="9:21" ht="24.95" customHeight="1" x14ac:dyDescent="0.25">
      <c r="I567" s="106">
        <v>564</v>
      </c>
      <c r="J567" s="119" t="str">
        <f t="shared" si="33"/>
        <v/>
      </c>
      <c r="K567" s="92" t="str">
        <f>IF('Prod 1'!D568="","",'Prod 1'!D568)</f>
        <v/>
      </c>
      <c r="L567" s="119" t="str">
        <f>IF('Prod 1'!I568="","",'Prod 1'!I568+'BH (2)'!C567)</f>
        <v/>
      </c>
      <c r="M567" s="59"/>
      <c r="N567" s="91"/>
      <c r="Q567" s="119" t="str">
        <f t="shared" si="34"/>
        <v/>
      </c>
      <c r="R567" s="92" t="str">
        <f>IF('Prod 1'!D568="","",'Prod 1'!D568)</f>
        <v/>
      </c>
      <c r="S567" s="119" t="str">
        <f>IF('Prod 1'!E568="","",'Prod 1'!E568+'BH (2)'!C567)</f>
        <v/>
      </c>
      <c r="T567" s="59"/>
      <c r="U567" s="91"/>
    </row>
    <row r="568" spans="9:21" ht="24.95" customHeight="1" x14ac:dyDescent="0.25">
      <c r="I568" s="106">
        <v>565</v>
      </c>
      <c r="J568" s="119" t="str">
        <f t="shared" si="33"/>
        <v/>
      </c>
      <c r="K568" s="92" t="str">
        <f>IF('Prod 1'!D569="","",'Prod 1'!D569)</f>
        <v/>
      </c>
      <c r="L568" s="119" t="str">
        <f>IF('Prod 1'!I569="","",'Prod 1'!I569+'BH (2)'!C568)</f>
        <v/>
      </c>
      <c r="M568" s="59"/>
      <c r="N568" s="91"/>
      <c r="Q568" s="119" t="str">
        <f t="shared" si="34"/>
        <v/>
      </c>
      <c r="R568" s="92" t="str">
        <f>IF('Prod 1'!D569="","",'Prod 1'!D569)</f>
        <v/>
      </c>
      <c r="S568" s="119" t="str">
        <f>IF('Prod 1'!E569="","",'Prod 1'!E569+'BH (2)'!C568)</f>
        <v/>
      </c>
      <c r="T568" s="59"/>
      <c r="U568" s="91"/>
    </row>
    <row r="569" spans="9:21" ht="24.95" customHeight="1" x14ac:dyDescent="0.25">
      <c r="I569" s="106">
        <v>566</v>
      </c>
      <c r="J569" s="119" t="str">
        <f t="shared" si="33"/>
        <v/>
      </c>
      <c r="K569" s="92" t="str">
        <f>IF('Prod 1'!D570="","",'Prod 1'!D570)</f>
        <v/>
      </c>
      <c r="L569" s="119" t="str">
        <f>IF('Prod 1'!I570="","",'Prod 1'!I570+'BH (2)'!C569)</f>
        <v/>
      </c>
      <c r="M569" s="59"/>
      <c r="N569" s="91"/>
      <c r="Q569" s="119" t="str">
        <f t="shared" si="34"/>
        <v/>
      </c>
      <c r="R569" s="92" t="str">
        <f>IF('Prod 1'!D570="","",'Prod 1'!D570)</f>
        <v/>
      </c>
      <c r="S569" s="119" t="str">
        <f>IF('Prod 1'!E570="","",'Prod 1'!E570+'BH (2)'!C569)</f>
        <v/>
      </c>
      <c r="T569" s="59"/>
      <c r="U569" s="91"/>
    </row>
    <row r="570" spans="9:21" ht="24.95" customHeight="1" x14ac:dyDescent="0.25">
      <c r="I570" s="106">
        <v>567</v>
      </c>
      <c r="J570" s="119" t="str">
        <f t="shared" si="33"/>
        <v/>
      </c>
      <c r="K570" s="92" t="str">
        <f>IF('Prod 1'!D571="","",'Prod 1'!D571)</f>
        <v/>
      </c>
      <c r="L570" s="119" t="str">
        <f>IF('Prod 1'!I571="","",'Prod 1'!I571+'BH (2)'!C570)</f>
        <v/>
      </c>
      <c r="M570" s="59"/>
      <c r="N570" s="91"/>
      <c r="Q570" s="119" t="str">
        <f t="shared" si="34"/>
        <v/>
      </c>
      <c r="R570" s="92" t="str">
        <f>IF('Prod 1'!D571="","",'Prod 1'!D571)</f>
        <v/>
      </c>
      <c r="S570" s="119" t="str">
        <f>IF('Prod 1'!E571="","",'Prod 1'!E571+'BH (2)'!C570)</f>
        <v/>
      </c>
      <c r="T570" s="59"/>
      <c r="U570" s="91"/>
    </row>
    <row r="571" spans="9:21" ht="24.95" customHeight="1" x14ac:dyDescent="0.25">
      <c r="I571" s="106">
        <v>568</v>
      </c>
      <c r="J571" s="119" t="str">
        <f t="shared" si="33"/>
        <v/>
      </c>
      <c r="K571" s="92" t="str">
        <f>IF('Prod 1'!D572="","",'Prod 1'!D572)</f>
        <v/>
      </c>
      <c r="L571" s="119" t="str">
        <f>IF('Prod 1'!I572="","",'Prod 1'!I572+'BH (2)'!C571)</f>
        <v/>
      </c>
      <c r="M571" s="59"/>
      <c r="N571" s="91"/>
      <c r="Q571" s="119" t="str">
        <f t="shared" si="34"/>
        <v/>
      </c>
      <c r="R571" s="92" t="str">
        <f>IF('Prod 1'!D572="","",'Prod 1'!D572)</f>
        <v/>
      </c>
      <c r="S571" s="119" t="str">
        <f>IF('Prod 1'!E572="","",'Prod 1'!E572+'BH (2)'!C571)</f>
        <v/>
      </c>
      <c r="T571" s="59"/>
      <c r="U571" s="91"/>
    </row>
    <row r="572" spans="9:21" ht="24.95" customHeight="1" x14ac:dyDescent="0.25">
      <c r="I572" s="106">
        <v>569</v>
      </c>
      <c r="J572" s="119" t="str">
        <f t="shared" si="33"/>
        <v/>
      </c>
      <c r="K572" s="92" t="str">
        <f>IF('Prod 1'!D573="","",'Prod 1'!D573)</f>
        <v/>
      </c>
      <c r="L572" s="119" t="str">
        <f>IF('Prod 1'!I573="","",'Prod 1'!I573+'BH (2)'!C572)</f>
        <v/>
      </c>
      <c r="M572" s="59"/>
      <c r="N572" s="91"/>
      <c r="Q572" s="119" t="str">
        <f t="shared" si="34"/>
        <v/>
      </c>
      <c r="R572" s="92" t="str">
        <f>IF('Prod 1'!D573="","",'Prod 1'!D573)</f>
        <v/>
      </c>
      <c r="S572" s="119" t="str">
        <f>IF('Prod 1'!E573="","",'Prod 1'!E573+'BH (2)'!C572)</f>
        <v/>
      </c>
      <c r="T572" s="59"/>
      <c r="U572" s="91"/>
    </row>
    <row r="573" spans="9:21" ht="24.95" customHeight="1" x14ac:dyDescent="0.25">
      <c r="I573" s="106">
        <v>570</v>
      </c>
      <c r="J573" s="119" t="str">
        <f t="shared" si="33"/>
        <v/>
      </c>
      <c r="K573" s="92" t="str">
        <f>IF('Prod 1'!D574="","",'Prod 1'!D574)</f>
        <v/>
      </c>
      <c r="L573" s="119" t="str">
        <f>IF('Prod 1'!I574="","",'Prod 1'!I574+'BH (2)'!C573)</f>
        <v/>
      </c>
      <c r="M573" s="59"/>
      <c r="N573" s="91"/>
      <c r="Q573" s="119" t="str">
        <f t="shared" si="34"/>
        <v/>
      </c>
      <c r="R573" s="92" t="str">
        <f>IF('Prod 1'!D574="","",'Prod 1'!D574)</f>
        <v/>
      </c>
      <c r="S573" s="119" t="str">
        <f>IF('Prod 1'!E574="","",'Prod 1'!E574+'BH (2)'!C573)</f>
        <v/>
      </c>
      <c r="T573" s="59"/>
      <c r="U573" s="91"/>
    </row>
    <row r="574" spans="9:21" ht="24.95" customHeight="1" x14ac:dyDescent="0.25">
      <c r="I574" s="106">
        <v>571</v>
      </c>
      <c r="J574" s="119" t="str">
        <f t="shared" si="33"/>
        <v/>
      </c>
      <c r="K574" s="92" t="str">
        <f>IF('Prod 1'!D575="","",'Prod 1'!D575)</f>
        <v/>
      </c>
      <c r="L574" s="119" t="str">
        <f>IF('Prod 1'!I575="","",'Prod 1'!I575+'BH (2)'!C574)</f>
        <v/>
      </c>
      <c r="M574" s="59"/>
      <c r="N574" s="91"/>
      <c r="Q574" s="119" t="str">
        <f t="shared" si="34"/>
        <v/>
      </c>
      <c r="R574" s="92" t="str">
        <f>IF('Prod 1'!D575="","",'Prod 1'!D575)</f>
        <v/>
      </c>
      <c r="S574" s="119" t="str">
        <f>IF('Prod 1'!E575="","",'Prod 1'!E575+'BH (2)'!C574)</f>
        <v/>
      </c>
      <c r="T574" s="59"/>
      <c r="U574" s="91"/>
    </row>
    <row r="575" spans="9:21" ht="24.95" customHeight="1" x14ac:dyDescent="0.25">
      <c r="I575" s="106">
        <v>572</v>
      </c>
      <c r="J575" s="119" t="str">
        <f t="shared" si="33"/>
        <v/>
      </c>
      <c r="K575" s="92" t="str">
        <f>IF('Prod 1'!D576="","",'Prod 1'!D576)</f>
        <v/>
      </c>
      <c r="L575" s="119" t="str">
        <f>IF('Prod 1'!I576="","",'Prod 1'!I576+'BH (2)'!C575)</f>
        <v/>
      </c>
      <c r="M575" s="59"/>
      <c r="N575" s="91"/>
      <c r="Q575" s="119" t="str">
        <f t="shared" si="34"/>
        <v/>
      </c>
      <c r="R575" s="92" t="str">
        <f>IF('Prod 1'!D576="","",'Prod 1'!D576)</f>
        <v/>
      </c>
      <c r="S575" s="119" t="str">
        <f>IF('Prod 1'!E576="","",'Prod 1'!E576+'BH (2)'!C575)</f>
        <v/>
      </c>
      <c r="T575" s="59"/>
      <c r="U575" s="91"/>
    </row>
    <row r="576" spans="9:21" ht="24.95" customHeight="1" x14ac:dyDescent="0.25">
      <c r="I576" s="106">
        <v>573</v>
      </c>
      <c r="J576" s="119" t="str">
        <f t="shared" si="33"/>
        <v/>
      </c>
      <c r="K576" s="92" t="str">
        <f>IF('Prod 1'!D577="","",'Prod 1'!D577)</f>
        <v/>
      </c>
      <c r="L576" s="119" t="str">
        <f>IF('Prod 1'!I577="","",'Prod 1'!I577+'BH (2)'!C576)</f>
        <v/>
      </c>
      <c r="M576" s="59"/>
      <c r="N576" s="91"/>
      <c r="Q576" s="119" t="str">
        <f t="shared" si="34"/>
        <v/>
      </c>
      <c r="R576" s="92" t="str">
        <f>IF('Prod 1'!D577="","",'Prod 1'!D577)</f>
        <v/>
      </c>
      <c r="S576" s="119" t="str">
        <f>IF('Prod 1'!E577="","",'Prod 1'!E577+'BH (2)'!C576)</f>
        <v/>
      </c>
      <c r="T576" s="59"/>
      <c r="U576" s="91"/>
    </row>
    <row r="577" spans="9:21" ht="24.95" customHeight="1" x14ac:dyDescent="0.25">
      <c r="I577" s="106">
        <v>574</v>
      </c>
      <c r="J577" s="119" t="str">
        <f t="shared" si="33"/>
        <v/>
      </c>
      <c r="K577" s="92" t="str">
        <f>IF('Prod 1'!D578="","",'Prod 1'!D578)</f>
        <v/>
      </c>
      <c r="L577" s="119" t="str">
        <f>IF('Prod 1'!I578="","",'Prod 1'!I578+'BH (2)'!C577)</f>
        <v/>
      </c>
      <c r="M577" s="59"/>
      <c r="N577" s="91"/>
      <c r="Q577" s="119" t="str">
        <f t="shared" si="34"/>
        <v/>
      </c>
      <c r="R577" s="92" t="str">
        <f>IF('Prod 1'!D578="","",'Prod 1'!D578)</f>
        <v/>
      </c>
      <c r="S577" s="119" t="str">
        <f>IF('Prod 1'!E578="","",'Prod 1'!E578+'BH (2)'!C577)</f>
        <v/>
      </c>
      <c r="T577" s="59"/>
      <c r="U577" s="91"/>
    </row>
    <row r="578" spans="9:21" ht="24.95" customHeight="1" x14ac:dyDescent="0.25">
      <c r="I578" s="106">
        <v>575</v>
      </c>
      <c r="J578" s="119" t="str">
        <f t="shared" si="33"/>
        <v/>
      </c>
      <c r="K578" s="92" t="str">
        <f>IF('Prod 1'!D579="","",'Prod 1'!D579)</f>
        <v/>
      </c>
      <c r="L578" s="119" t="str">
        <f>IF('Prod 1'!I579="","",'Prod 1'!I579+'BH (2)'!C578)</f>
        <v/>
      </c>
      <c r="M578" s="59"/>
      <c r="N578" s="91"/>
      <c r="Q578" s="119" t="str">
        <f t="shared" si="34"/>
        <v/>
      </c>
      <c r="R578" s="92" t="str">
        <f>IF('Prod 1'!D579="","",'Prod 1'!D579)</f>
        <v/>
      </c>
      <c r="S578" s="119" t="str">
        <f>IF('Prod 1'!E579="","",'Prod 1'!E579+'BH (2)'!C578)</f>
        <v/>
      </c>
      <c r="T578" s="59"/>
      <c r="U578" s="91"/>
    </row>
    <row r="579" spans="9:21" ht="24.95" customHeight="1" x14ac:dyDescent="0.25">
      <c r="I579" s="106">
        <v>576</v>
      </c>
      <c r="J579" s="119" t="str">
        <f t="shared" si="33"/>
        <v/>
      </c>
      <c r="K579" s="92" t="str">
        <f>IF('Prod 1'!D580="","",'Prod 1'!D580)</f>
        <v/>
      </c>
      <c r="L579" s="119" t="str">
        <f>IF('Prod 1'!I580="","",'Prod 1'!I580+'BH (2)'!C579)</f>
        <v/>
      </c>
      <c r="M579" s="59"/>
      <c r="N579" s="91"/>
      <c r="Q579" s="119" t="str">
        <f t="shared" si="34"/>
        <v/>
      </c>
      <c r="R579" s="92" t="str">
        <f>IF('Prod 1'!D580="","",'Prod 1'!D580)</f>
        <v/>
      </c>
      <c r="S579" s="119" t="str">
        <f>IF('Prod 1'!E580="","",'Prod 1'!E580+'BH (2)'!C579)</f>
        <v/>
      </c>
      <c r="T579" s="59"/>
      <c r="U579" s="91"/>
    </row>
    <row r="580" spans="9:21" ht="24.95" customHeight="1" x14ac:dyDescent="0.25">
      <c r="I580" s="106">
        <v>577</v>
      </c>
      <c r="J580" s="119" t="str">
        <f t="shared" si="33"/>
        <v/>
      </c>
      <c r="K580" s="92" t="str">
        <f>IF('Prod 1'!D581="","",'Prod 1'!D581)</f>
        <v/>
      </c>
      <c r="L580" s="119" t="str">
        <f>IF('Prod 1'!I581="","",'Prod 1'!I581+'BH (2)'!C580)</f>
        <v/>
      </c>
      <c r="M580" s="59"/>
      <c r="N580" s="91"/>
      <c r="Q580" s="119" t="str">
        <f t="shared" si="34"/>
        <v/>
      </c>
      <c r="R580" s="92" t="str">
        <f>IF('Prod 1'!D581="","",'Prod 1'!D581)</f>
        <v/>
      </c>
      <c r="S580" s="119" t="str">
        <f>IF('Prod 1'!E581="","",'Prod 1'!E581+'BH (2)'!C580)</f>
        <v/>
      </c>
      <c r="T580" s="59"/>
      <c r="U580" s="91"/>
    </row>
    <row r="581" spans="9:21" ht="24.95" customHeight="1" x14ac:dyDescent="0.25">
      <c r="I581" s="106">
        <v>578</v>
      </c>
      <c r="J581" s="119" t="str">
        <f t="shared" ref="J581:J644" si="35">L581</f>
        <v/>
      </c>
      <c r="K581" s="92" t="str">
        <f>IF('Prod 1'!D582="","",'Prod 1'!D582)</f>
        <v/>
      </c>
      <c r="L581" s="119" t="str">
        <f>IF('Prod 1'!I582="","",'Prod 1'!I582+'BH (2)'!C581)</f>
        <v/>
      </c>
      <c r="M581" s="59"/>
      <c r="N581" s="91"/>
      <c r="Q581" s="119" t="str">
        <f t="shared" ref="Q581:Q644" si="36">S581</f>
        <v/>
      </c>
      <c r="R581" s="92" t="str">
        <f>IF('Prod 1'!D582="","",'Prod 1'!D582)</f>
        <v/>
      </c>
      <c r="S581" s="119" t="str">
        <f>IF('Prod 1'!E582="","",'Prod 1'!E582+'BH (2)'!C581)</f>
        <v/>
      </c>
      <c r="T581" s="59"/>
      <c r="U581" s="91"/>
    </row>
    <row r="582" spans="9:21" ht="24.95" customHeight="1" x14ac:dyDescent="0.25">
      <c r="I582" s="106">
        <v>579</v>
      </c>
      <c r="J582" s="119" t="str">
        <f t="shared" si="35"/>
        <v/>
      </c>
      <c r="K582" s="92" t="str">
        <f>IF('Prod 1'!D583="","",'Prod 1'!D583)</f>
        <v/>
      </c>
      <c r="L582" s="119" t="str">
        <f>IF('Prod 1'!I583="","",'Prod 1'!I583+'BH (2)'!C582)</f>
        <v/>
      </c>
      <c r="M582" s="59"/>
      <c r="N582" s="91"/>
      <c r="Q582" s="119" t="str">
        <f t="shared" si="36"/>
        <v/>
      </c>
      <c r="R582" s="92" t="str">
        <f>IF('Prod 1'!D583="","",'Prod 1'!D583)</f>
        <v/>
      </c>
      <c r="S582" s="119" t="str">
        <f>IF('Prod 1'!E583="","",'Prod 1'!E583+'BH (2)'!C582)</f>
        <v/>
      </c>
      <c r="T582" s="59"/>
      <c r="U582" s="91"/>
    </row>
    <row r="583" spans="9:21" ht="24.95" customHeight="1" x14ac:dyDescent="0.25">
      <c r="I583" s="106">
        <v>580</v>
      </c>
      <c r="J583" s="119" t="str">
        <f t="shared" si="35"/>
        <v/>
      </c>
      <c r="K583" s="92" t="str">
        <f>IF('Prod 1'!D584="","",'Prod 1'!D584)</f>
        <v/>
      </c>
      <c r="L583" s="119" t="str">
        <f>IF('Prod 1'!I584="","",'Prod 1'!I584+'BH (2)'!C583)</f>
        <v/>
      </c>
      <c r="M583" s="59"/>
      <c r="N583" s="91"/>
      <c r="Q583" s="119" t="str">
        <f t="shared" si="36"/>
        <v/>
      </c>
      <c r="R583" s="92" t="str">
        <f>IF('Prod 1'!D584="","",'Prod 1'!D584)</f>
        <v/>
      </c>
      <c r="S583" s="119" t="str">
        <f>IF('Prod 1'!E584="","",'Prod 1'!E584+'BH (2)'!C583)</f>
        <v/>
      </c>
      <c r="T583" s="59"/>
      <c r="U583" s="91"/>
    </row>
    <row r="584" spans="9:21" ht="24.95" customHeight="1" x14ac:dyDescent="0.25">
      <c r="I584" s="106">
        <v>581</v>
      </c>
      <c r="J584" s="119" t="str">
        <f t="shared" si="35"/>
        <v/>
      </c>
      <c r="K584" s="92" t="str">
        <f>IF('Prod 1'!D585="","",'Prod 1'!D585)</f>
        <v/>
      </c>
      <c r="L584" s="119" t="str">
        <f>IF('Prod 1'!I585="","",'Prod 1'!I585+'BH (2)'!C584)</f>
        <v/>
      </c>
      <c r="M584" s="59"/>
      <c r="N584" s="91"/>
      <c r="Q584" s="119" t="str">
        <f t="shared" si="36"/>
        <v/>
      </c>
      <c r="R584" s="92" t="str">
        <f>IF('Prod 1'!D585="","",'Prod 1'!D585)</f>
        <v/>
      </c>
      <c r="S584" s="119" t="str">
        <f>IF('Prod 1'!E585="","",'Prod 1'!E585+'BH (2)'!C584)</f>
        <v/>
      </c>
      <c r="T584" s="59"/>
      <c r="U584" s="91"/>
    </row>
    <row r="585" spans="9:21" ht="24.95" customHeight="1" x14ac:dyDescent="0.25">
      <c r="I585" s="106">
        <v>582</v>
      </c>
      <c r="J585" s="119" t="str">
        <f t="shared" si="35"/>
        <v/>
      </c>
      <c r="K585" s="92" t="str">
        <f>IF('Prod 1'!D586="","",'Prod 1'!D586)</f>
        <v/>
      </c>
      <c r="L585" s="119" t="str">
        <f>IF('Prod 1'!I586="","",'Prod 1'!I586+'BH (2)'!C585)</f>
        <v/>
      </c>
      <c r="M585" s="59"/>
      <c r="N585" s="91"/>
      <c r="Q585" s="119" t="str">
        <f t="shared" si="36"/>
        <v/>
      </c>
      <c r="R585" s="92" t="str">
        <f>IF('Prod 1'!D586="","",'Prod 1'!D586)</f>
        <v/>
      </c>
      <c r="S585" s="119" t="str">
        <f>IF('Prod 1'!E586="","",'Prod 1'!E586+'BH (2)'!C585)</f>
        <v/>
      </c>
      <c r="T585" s="59"/>
      <c r="U585" s="91"/>
    </row>
    <row r="586" spans="9:21" ht="24.95" customHeight="1" x14ac:dyDescent="0.25">
      <c r="I586" s="106">
        <v>583</v>
      </c>
      <c r="J586" s="119" t="str">
        <f t="shared" si="35"/>
        <v/>
      </c>
      <c r="K586" s="92" t="str">
        <f>IF('Prod 1'!D587="","",'Prod 1'!D587)</f>
        <v/>
      </c>
      <c r="L586" s="119" t="str">
        <f>IF('Prod 1'!I587="","",'Prod 1'!I587+'BH (2)'!C586)</f>
        <v/>
      </c>
      <c r="M586" s="59"/>
      <c r="N586" s="91"/>
      <c r="Q586" s="119" t="str">
        <f t="shared" si="36"/>
        <v/>
      </c>
      <c r="R586" s="92" t="str">
        <f>IF('Prod 1'!D587="","",'Prod 1'!D587)</f>
        <v/>
      </c>
      <c r="S586" s="119" t="str">
        <f>IF('Prod 1'!E587="","",'Prod 1'!E587+'BH (2)'!C586)</f>
        <v/>
      </c>
      <c r="T586" s="59"/>
      <c r="U586" s="91"/>
    </row>
    <row r="587" spans="9:21" ht="24.95" customHeight="1" x14ac:dyDescent="0.25">
      <c r="I587" s="106">
        <v>584</v>
      </c>
      <c r="J587" s="119" t="str">
        <f t="shared" si="35"/>
        <v/>
      </c>
      <c r="K587" s="92" t="str">
        <f>IF('Prod 1'!D588="","",'Prod 1'!D588)</f>
        <v/>
      </c>
      <c r="L587" s="119" t="str">
        <f>IF('Prod 1'!I588="","",'Prod 1'!I588+'BH (2)'!C587)</f>
        <v/>
      </c>
      <c r="M587" s="59"/>
      <c r="N587" s="91"/>
      <c r="Q587" s="119" t="str">
        <f t="shared" si="36"/>
        <v/>
      </c>
      <c r="R587" s="92" t="str">
        <f>IF('Prod 1'!D588="","",'Prod 1'!D588)</f>
        <v/>
      </c>
      <c r="S587" s="119" t="str">
        <f>IF('Prod 1'!E588="","",'Prod 1'!E588+'BH (2)'!C587)</f>
        <v/>
      </c>
      <c r="T587" s="59"/>
      <c r="U587" s="91"/>
    </row>
    <row r="588" spans="9:21" ht="24.95" customHeight="1" x14ac:dyDescent="0.25">
      <c r="I588" s="106">
        <v>585</v>
      </c>
      <c r="J588" s="119" t="str">
        <f t="shared" si="35"/>
        <v/>
      </c>
      <c r="K588" s="92" t="str">
        <f>IF('Prod 1'!D589="","",'Prod 1'!D589)</f>
        <v/>
      </c>
      <c r="L588" s="119" t="str">
        <f>IF('Prod 1'!I589="","",'Prod 1'!I589+'BH (2)'!C588)</f>
        <v/>
      </c>
      <c r="M588" s="59"/>
      <c r="N588" s="91"/>
      <c r="Q588" s="119" t="str">
        <f t="shared" si="36"/>
        <v/>
      </c>
      <c r="R588" s="92" t="str">
        <f>IF('Prod 1'!D589="","",'Prod 1'!D589)</f>
        <v/>
      </c>
      <c r="S588" s="119" t="str">
        <f>IF('Prod 1'!E589="","",'Prod 1'!E589+'BH (2)'!C588)</f>
        <v/>
      </c>
      <c r="T588" s="59"/>
      <c r="U588" s="91"/>
    </row>
    <row r="589" spans="9:21" ht="24.95" customHeight="1" x14ac:dyDescent="0.25">
      <c r="I589" s="106">
        <v>586</v>
      </c>
      <c r="J589" s="119" t="str">
        <f t="shared" si="35"/>
        <v/>
      </c>
      <c r="K589" s="92" t="str">
        <f>IF('Prod 1'!D590="","",'Prod 1'!D590)</f>
        <v/>
      </c>
      <c r="L589" s="119" t="str">
        <f>IF('Prod 1'!I590="","",'Prod 1'!I590+'BH (2)'!C589)</f>
        <v/>
      </c>
      <c r="M589" s="59"/>
      <c r="N589" s="91"/>
      <c r="Q589" s="119" t="str">
        <f t="shared" si="36"/>
        <v/>
      </c>
      <c r="R589" s="92" t="str">
        <f>IF('Prod 1'!D590="","",'Prod 1'!D590)</f>
        <v/>
      </c>
      <c r="S589" s="119" t="str">
        <f>IF('Prod 1'!E590="","",'Prod 1'!E590+'BH (2)'!C589)</f>
        <v/>
      </c>
      <c r="T589" s="59"/>
      <c r="U589" s="91"/>
    </row>
    <row r="590" spans="9:21" ht="24.95" customHeight="1" x14ac:dyDescent="0.25">
      <c r="I590" s="106">
        <v>587</v>
      </c>
      <c r="J590" s="119" t="str">
        <f t="shared" si="35"/>
        <v/>
      </c>
      <c r="K590" s="92" t="str">
        <f>IF('Prod 1'!D591="","",'Prod 1'!D591)</f>
        <v/>
      </c>
      <c r="L590" s="119" t="str">
        <f>IF('Prod 1'!I591="","",'Prod 1'!I591+'BH (2)'!C590)</f>
        <v/>
      </c>
      <c r="M590" s="59"/>
      <c r="N590" s="91"/>
      <c r="Q590" s="119" t="str">
        <f t="shared" si="36"/>
        <v/>
      </c>
      <c r="R590" s="92" t="str">
        <f>IF('Prod 1'!D591="","",'Prod 1'!D591)</f>
        <v/>
      </c>
      <c r="S590" s="119" t="str">
        <f>IF('Prod 1'!E591="","",'Prod 1'!E591+'BH (2)'!C590)</f>
        <v/>
      </c>
      <c r="T590" s="59"/>
      <c r="U590" s="91"/>
    </row>
    <row r="591" spans="9:21" ht="24.95" customHeight="1" x14ac:dyDescent="0.25">
      <c r="I591" s="106">
        <v>588</v>
      </c>
      <c r="J591" s="119" t="str">
        <f t="shared" si="35"/>
        <v/>
      </c>
      <c r="K591" s="92" t="str">
        <f>IF('Prod 1'!D592="","",'Prod 1'!D592)</f>
        <v/>
      </c>
      <c r="L591" s="119" t="str">
        <f>IF('Prod 1'!I592="","",'Prod 1'!I592+'BH (2)'!C591)</f>
        <v/>
      </c>
      <c r="M591" s="59"/>
      <c r="N591" s="91"/>
      <c r="Q591" s="119" t="str">
        <f t="shared" si="36"/>
        <v/>
      </c>
      <c r="R591" s="92" t="str">
        <f>IF('Prod 1'!D592="","",'Prod 1'!D592)</f>
        <v/>
      </c>
      <c r="S591" s="119" t="str">
        <f>IF('Prod 1'!E592="","",'Prod 1'!E592+'BH (2)'!C591)</f>
        <v/>
      </c>
      <c r="T591" s="59"/>
      <c r="U591" s="91"/>
    </row>
    <row r="592" spans="9:21" ht="24.95" customHeight="1" x14ac:dyDescent="0.25">
      <c r="I592" s="106">
        <v>589</v>
      </c>
      <c r="J592" s="119" t="str">
        <f t="shared" si="35"/>
        <v/>
      </c>
      <c r="K592" s="92" t="str">
        <f>IF('Prod 1'!D593="","",'Prod 1'!D593)</f>
        <v/>
      </c>
      <c r="L592" s="119" t="str">
        <f>IF('Prod 1'!I593="","",'Prod 1'!I593+'BH (2)'!C592)</f>
        <v/>
      </c>
      <c r="M592" s="59"/>
      <c r="N592" s="91"/>
      <c r="Q592" s="119" t="str">
        <f t="shared" si="36"/>
        <v/>
      </c>
      <c r="R592" s="92" t="str">
        <f>IF('Prod 1'!D593="","",'Prod 1'!D593)</f>
        <v/>
      </c>
      <c r="S592" s="119" t="str">
        <f>IF('Prod 1'!E593="","",'Prod 1'!E593+'BH (2)'!C592)</f>
        <v/>
      </c>
      <c r="T592" s="59"/>
      <c r="U592" s="91"/>
    </row>
    <row r="593" spans="9:21" ht="24.95" customHeight="1" x14ac:dyDescent="0.25">
      <c r="I593" s="106">
        <v>590</v>
      </c>
      <c r="J593" s="119" t="str">
        <f t="shared" si="35"/>
        <v/>
      </c>
      <c r="K593" s="92" t="str">
        <f>IF('Prod 1'!D594="","",'Prod 1'!D594)</f>
        <v/>
      </c>
      <c r="L593" s="119" t="str">
        <f>IF('Prod 1'!I594="","",'Prod 1'!I594+'BH (2)'!C593)</f>
        <v/>
      </c>
      <c r="M593" s="59"/>
      <c r="N593" s="91"/>
      <c r="Q593" s="119" t="str">
        <f t="shared" si="36"/>
        <v/>
      </c>
      <c r="R593" s="92" t="str">
        <f>IF('Prod 1'!D594="","",'Prod 1'!D594)</f>
        <v/>
      </c>
      <c r="S593" s="119" t="str">
        <f>IF('Prod 1'!E594="","",'Prod 1'!E594+'BH (2)'!C593)</f>
        <v/>
      </c>
      <c r="T593" s="59"/>
      <c r="U593" s="91"/>
    </row>
    <row r="594" spans="9:21" ht="24.95" customHeight="1" x14ac:dyDescent="0.25">
      <c r="I594" s="106">
        <v>591</v>
      </c>
      <c r="J594" s="119" t="str">
        <f t="shared" si="35"/>
        <v/>
      </c>
      <c r="K594" s="92" t="str">
        <f>IF('Prod 1'!D595="","",'Prod 1'!D595)</f>
        <v/>
      </c>
      <c r="L594" s="119" t="str">
        <f>IF('Prod 1'!I595="","",'Prod 1'!I595+'BH (2)'!C594)</f>
        <v/>
      </c>
      <c r="M594" s="59"/>
      <c r="N594" s="91"/>
      <c r="Q594" s="119" t="str">
        <f t="shared" si="36"/>
        <v/>
      </c>
      <c r="R594" s="92" t="str">
        <f>IF('Prod 1'!D595="","",'Prod 1'!D595)</f>
        <v/>
      </c>
      <c r="S594" s="119" t="str">
        <f>IF('Prod 1'!E595="","",'Prod 1'!E595+'BH (2)'!C594)</f>
        <v/>
      </c>
      <c r="T594" s="59"/>
      <c r="U594" s="91"/>
    </row>
    <row r="595" spans="9:21" ht="24.95" customHeight="1" x14ac:dyDescent="0.25">
      <c r="I595" s="106">
        <v>592</v>
      </c>
      <c r="J595" s="119" t="str">
        <f t="shared" si="35"/>
        <v/>
      </c>
      <c r="K595" s="92" t="str">
        <f>IF('Prod 1'!D596="","",'Prod 1'!D596)</f>
        <v/>
      </c>
      <c r="L595" s="119" t="str">
        <f>IF('Prod 1'!I596="","",'Prod 1'!I596+'BH (2)'!C595)</f>
        <v/>
      </c>
      <c r="M595" s="59"/>
      <c r="N595" s="91"/>
      <c r="Q595" s="119" t="str">
        <f t="shared" si="36"/>
        <v/>
      </c>
      <c r="R595" s="92" t="str">
        <f>IF('Prod 1'!D596="","",'Prod 1'!D596)</f>
        <v/>
      </c>
      <c r="S595" s="119" t="str">
        <f>IF('Prod 1'!E596="","",'Prod 1'!E596+'BH (2)'!C595)</f>
        <v/>
      </c>
      <c r="T595" s="59"/>
      <c r="U595" s="91"/>
    </row>
    <row r="596" spans="9:21" ht="24.95" customHeight="1" x14ac:dyDescent="0.25">
      <c r="I596" s="106">
        <v>593</v>
      </c>
      <c r="J596" s="119" t="str">
        <f t="shared" si="35"/>
        <v/>
      </c>
      <c r="K596" s="92" t="str">
        <f>IF('Prod 1'!D597="","",'Prod 1'!D597)</f>
        <v/>
      </c>
      <c r="L596" s="119" t="str">
        <f>IF('Prod 1'!I597="","",'Prod 1'!I597+'BH (2)'!C596)</f>
        <v/>
      </c>
      <c r="M596" s="59"/>
      <c r="N596" s="91"/>
      <c r="Q596" s="119" t="str">
        <f t="shared" si="36"/>
        <v/>
      </c>
      <c r="R596" s="92" t="str">
        <f>IF('Prod 1'!D597="","",'Prod 1'!D597)</f>
        <v/>
      </c>
      <c r="S596" s="119" t="str">
        <f>IF('Prod 1'!E597="","",'Prod 1'!E597+'BH (2)'!C596)</f>
        <v/>
      </c>
      <c r="T596" s="59"/>
      <c r="U596" s="91"/>
    </row>
    <row r="597" spans="9:21" ht="24.95" customHeight="1" x14ac:dyDescent="0.25">
      <c r="I597" s="106">
        <v>594</v>
      </c>
      <c r="J597" s="119" t="str">
        <f t="shared" si="35"/>
        <v/>
      </c>
      <c r="K597" s="92" t="str">
        <f>IF('Prod 1'!D598="","",'Prod 1'!D598)</f>
        <v/>
      </c>
      <c r="L597" s="119" t="str">
        <f>IF('Prod 1'!I598="","",'Prod 1'!I598+'BH (2)'!C597)</f>
        <v/>
      </c>
      <c r="M597" s="59"/>
      <c r="N597" s="91"/>
      <c r="Q597" s="119" t="str">
        <f t="shared" si="36"/>
        <v/>
      </c>
      <c r="R597" s="92" t="str">
        <f>IF('Prod 1'!D598="","",'Prod 1'!D598)</f>
        <v/>
      </c>
      <c r="S597" s="119" t="str">
        <f>IF('Prod 1'!E598="","",'Prod 1'!E598+'BH (2)'!C597)</f>
        <v/>
      </c>
      <c r="T597" s="59"/>
      <c r="U597" s="91"/>
    </row>
    <row r="598" spans="9:21" ht="24.95" customHeight="1" x14ac:dyDescent="0.25">
      <c r="I598" s="106">
        <v>595</v>
      </c>
      <c r="J598" s="119" t="str">
        <f t="shared" si="35"/>
        <v/>
      </c>
      <c r="K598" s="92" t="str">
        <f>IF('Prod 1'!D599="","",'Prod 1'!D599)</f>
        <v/>
      </c>
      <c r="L598" s="119" t="str">
        <f>IF('Prod 1'!I599="","",'Prod 1'!I599+'BH (2)'!C598)</f>
        <v/>
      </c>
      <c r="M598" s="59"/>
      <c r="N598" s="91"/>
      <c r="Q598" s="119" t="str">
        <f t="shared" si="36"/>
        <v/>
      </c>
      <c r="R598" s="92" t="str">
        <f>IF('Prod 1'!D599="","",'Prod 1'!D599)</f>
        <v/>
      </c>
      <c r="S598" s="119" t="str">
        <f>IF('Prod 1'!E599="","",'Prod 1'!E599+'BH (2)'!C598)</f>
        <v/>
      </c>
      <c r="T598" s="59"/>
      <c r="U598" s="91"/>
    </row>
    <row r="599" spans="9:21" ht="24.95" customHeight="1" x14ac:dyDescent="0.25">
      <c r="I599" s="106">
        <v>596</v>
      </c>
      <c r="J599" s="119" t="str">
        <f t="shared" si="35"/>
        <v/>
      </c>
      <c r="K599" s="92" t="str">
        <f>IF('Prod 1'!D600="","",'Prod 1'!D600)</f>
        <v/>
      </c>
      <c r="L599" s="119" t="str">
        <f>IF('Prod 1'!I600="","",'Prod 1'!I600+'BH (2)'!C599)</f>
        <v/>
      </c>
      <c r="M599" s="59"/>
      <c r="N599" s="91"/>
      <c r="Q599" s="119" t="str">
        <f t="shared" si="36"/>
        <v/>
      </c>
      <c r="R599" s="92" t="str">
        <f>IF('Prod 1'!D600="","",'Prod 1'!D600)</f>
        <v/>
      </c>
      <c r="S599" s="119" t="str">
        <f>IF('Prod 1'!E600="","",'Prod 1'!E600+'BH (2)'!C599)</f>
        <v/>
      </c>
      <c r="T599" s="59"/>
      <c r="U599" s="91"/>
    </row>
    <row r="600" spans="9:21" ht="24.95" customHeight="1" x14ac:dyDescent="0.25">
      <c r="I600" s="106">
        <v>597</v>
      </c>
      <c r="J600" s="119" t="str">
        <f t="shared" si="35"/>
        <v/>
      </c>
      <c r="K600" s="92" t="str">
        <f>IF('Prod 1'!D601="","",'Prod 1'!D601)</f>
        <v/>
      </c>
      <c r="L600" s="119" t="str">
        <f>IF('Prod 1'!I601="","",'Prod 1'!I601+'BH (2)'!C600)</f>
        <v/>
      </c>
      <c r="M600" s="59"/>
      <c r="N600" s="91"/>
      <c r="Q600" s="119" t="str">
        <f t="shared" si="36"/>
        <v/>
      </c>
      <c r="R600" s="92" t="str">
        <f>IF('Prod 1'!D601="","",'Prod 1'!D601)</f>
        <v/>
      </c>
      <c r="S600" s="119" t="str">
        <f>IF('Prod 1'!E601="","",'Prod 1'!E601+'BH (2)'!C600)</f>
        <v/>
      </c>
      <c r="T600" s="59"/>
      <c r="U600" s="91"/>
    </row>
    <row r="601" spans="9:21" ht="24.95" customHeight="1" x14ac:dyDescent="0.25">
      <c r="I601" s="106">
        <v>598</v>
      </c>
      <c r="J601" s="119" t="str">
        <f t="shared" si="35"/>
        <v/>
      </c>
      <c r="K601" s="92" t="str">
        <f>IF('Prod 1'!D602="","",'Prod 1'!D602)</f>
        <v/>
      </c>
      <c r="L601" s="119" t="str">
        <f>IF('Prod 1'!I602="","",'Prod 1'!I602+'BH (2)'!C601)</f>
        <v/>
      </c>
      <c r="M601" s="59"/>
      <c r="N601" s="91"/>
      <c r="Q601" s="119" t="str">
        <f t="shared" si="36"/>
        <v/>
      </c>
      <c r="R601" s="92" t="str">
        <f>IF('Prod 1'!D602="","",'Prod 1'!D602)</f>
        <v/>
      </c>
      <c r="S601" s="119" t="str">
        <f>IF('Prod 1'!E602="","",'Prod 1'!E602+'BH (2)'!C601)</f>
        <v/>
      </c>
      <c r="T601" s="59"/>
      <c r="U601" s="91"/>
    </row>
    <row r="602" spans="9:21" ht="24.95" customHeight="1" x14ac:dyDescent="0.25">
      <c r="I602" s="106">
        <v>599</v>
      </c>
      <c r="J602" s="119" t="str">
        <f t="shared" si="35"/>
        <v/>
      </c>
      <c r="K602" s="92" t="str">
        <f>IF('Prod 1'!D603="","",'Prod 1'!D603)</f>
        <v/>
      </c>
      <c r="L602" s="119" t="str">
        <f>IF('Prod 1'!I603="","",'Prod 1'!I603+'BH (2)'!C602)</f>
        <v/>
      </c>
      <c r="M602" s="59"/>
      <c r="N602" s="91"/>
      <c r="Q602" s="119" t="str">
        <f t="shared" si="36"/>
        <v/>
      </c>
      <c r="R602" s="92" t="str">
        <f>IF('Prod 1'!D603="","",'Prod 1'!D603)</f>
        <v/>
      </c>
      <c r="S602" s="119" t="str">
        <f>IF('Prod 1'!E603="","",'Prod 1'!E603+'BH (2)'!C602)</f>
        <v/>
      </c>
      <c r="T602" s="59"/>
      <c r="U602" s="91"/>
    </row>
    <row r="603" spans="9:21" ht="24.95" customHeight="1" x14ac:dyDescent="0.25">
      <c r="I603" s="106">
        <v>600</v>
      </c>
      <c r="J603" s="119" t="str">
        <f t="shared" si="35"/>
        <v/>
      </c>
      <c r="K603" s="92" t="str">
        <f>IF('Prod 1'!D604="","",'Prod 1'!D604)</f>
        <v/>
      </c>
      <c r="L603" s="119" t="str">
        <f>IF('Prod 1'!I604="","",'Prod 1'!I604+'BH (2)'!C603)</f>
        <v/>
      </c>
      <c r="M603" s="59"/>
      <c r="N603" s="91"/>
      <c r="Q603" s="119" t="str">
        <f t="shared" si="36"/>
        <v/>
      </c>
      <c r="R603" s="92" t="str">
        <f>IF('Prod 1'!D604="","",'Prod 1'!D604)</f>
        <v/>
      </c>
      <c r="S603" s="119" t="str">
        <f>IF('Prod 1'!E604="","",'Prod 1'!E604+'BH (2)'!C603)</f>
        <v/>
      </c>
      <c r="T603" s="59"/>
      <c r="U603" s="91"/>
    </row>
    <row r="604" spans="9:21" ht="24.95" customHeight="1" x14ac:dyDescent="0.25">
      <c r="I604" s="106">
        <v>601</v>
      </c>
      <c r="J604" s="119" t="str">
        <f t="shared" si="35"/>
        <v/>
      </c>
      <c r="K604" s="92" t="str">
        <f>IF('Prod 1'!D605="","",'Prod 1'!D605)</f>
        <v/>
      </c>
      <c r="L604" s="119" t="str">
        <f>IF('Prod 1'!I605="","",'Prod 1'!I605+'BH (2)'!C604)</f>
        <v/>
      </c>
      <c r="M604" s="59"/>
      <c r="N604" s="91"/>
      <c r="Q604" s="119" t="str">
        <f t="shared" si="36"/>
        <v/>
      </c>
      <c r="R604" s="92" t="str">
        <f>IF('Prod 1'!D605="","",'Prod 1'!D605)</f>
        <v/>
      </c>
      <c r="S604" s="119" t="str">
        <f>IF('Prod 1'!E605="","",'Prod 1'!E605+'BH (2)'!C604)</f>
        <v/>
      </c>
      <c r="T604" s="59"/>
      <c r="U604" s="91"/>
    </row>
    <row r="605" spans="9:21" ht="24.95" customHeight="1" x14ac:dyDescent="0.25">
      <c r="I605" s="106">
        <v>602</v>
      </c>
      <c r="J605" s="119" t="str">
        <f t="shared" si="35"/>
        <v/>
      </c>
      <c r="K605" s="92" t="str">
        <f>IF('Prod 1'!D606="","",'Prod 1'!D606)</f>
        <v/>
      </c>
      <c r="L605" s="119" t="str">
        <f>IF('Prod 1'!I606="","",'Prod 1'!I606+'BH (2)'!C605)</f>
        <v/>
      </c>
      <c r="M605" s="59"/>
      <c r="N605" s="91"/>
      <c r="Q605" s="119" t="str">
        <f t="shared" si="36"/>
        <v/>
      </c>
      <c r="R605" s="92" t="str">
        <f>IF('Prod 1'!D606="","",'Prod 1'!D606)</f>
        <v/>
      </c>
      <c r="S605" s="119" t="str">
        <f>IF('Prod 1'!E606="","",'Prod 1'!E606+'BH (2)'!C605)</f>
        <v/>
      </c>
      <c r="T605" s="59"/>
      <c r="U605" s="91"/>
    </row>
    <row r="606" spans="9:21" ht="24.95" customHeight="1" x14ac:dyDescent="0.25">
      <c r="I606" s="106">
        <v>603</v>
      </c>
      <c r="J606" s="119" t="str">
        <f t="shared" si="35"/>
        <v/>
      </c>
      <c r="K606" s="92" t="str">
        <f>IF('Prod 1'!D607="","",'Prod 1'!D607)</f>
        <v/>
      </c>
      <c r="L606" s="119" t="str">
        <f>IF('Prod 1'!I607="","",'Prod 1'!I607+'BH (2)'!C606)</f>
        <v/>
      </c>
      <c r="M606" s="59"/>
      <c r="N606" s="91"/>
      <c r="Q606" s="119" t="str">
        <f t="shared" si="36"/>
        <v/>
      </c>
      <c r="R606" s="92" t="str">
        <f>IF('Prod 1'!D607="","",'Prod 1'!D607)</f>
        <v/>
      </c>
      <c r="S606" s="119" t="str">
        <f>IF('Prod 1'!E607="","",'Prod 1'!E607+'BH (2)'!C606)</f>
        <v/>
      </c>
      <c r="T606" s="59"/>
      <c r="U606" s="91"/>
    </row>
    <row r="607" spans="9:21" ht="24.95" customHeight="1" x14ac:dyDescent="0.25">
      <c r="I607" s="106">
        <v>604</v>
      </c>
      <c r="J607" s="119" t="str">
        <f t="shared" si="35"/>
        <v/>
      </c>
      <c r="K607" s="92" t="str">
        <f>IF('Prod 1'!D608="","",'Prod 1'!D608)</f>
        <v/>
      </c>
      <c r="L607" s="119" t="str">
        <f>IF('Prod 1'!I608="","",'Prod 1'!I608+'BH (2)'!C607)</f>
        <v/>
      </c>
      <c r="M607" s="59"/>
      <c r="N607" s="91"/>
      <c r="Q607" s="119" t="str">
        <f t="shared" si="36"/>
        <v/>
      </c>
      <c r="R607" s="92" t="str">
        <f>IF('Prod 1'!D608="","",'Prod 1'!D608)</f>
        <v/>
      </c>
      <c r="S607" s="119" t="str">
        <f>IF('Prod 1'!E608="","",'Prod 1'!E608+'BH (2)'!C607)</f>
        <v/>
      </c>
      <c r="T607" s="59"/>
      <c r="U607" s="91"/>
    </row>
    <row r="608" spans="9:21" ht="24.95" customHeight="1" x14ac:dyDescent="0.25">
      <c r="I608" s="106">
        <v>605</v>
      </c>
      <c r="J608" s="119" t="str">
        <f t="shared" si="35"/>
        <v/>
      </c>
      <c r="K608" s="92" t="str">
        <f>IF('Prod 1'!D609="","",'Prod 1'!D609)</f>
        <v/>
      </c>
      <c r="L608" s="119" t="str">
        <f>IF('Prod 1'!I609="","",'Prod 1'!I609+'BH (2)'!C608)</f>
        <v/>
      </c>
      <c r="M608" s="59"/>
      <c r="N608" s="91"/>
      <c r="Q608" s="119" t="str">
        <f t="shared" si="36"/>
        <v/>
      </c>
      <c r="R608" s="92" t="str">
        <f>IF('Prod 1'!D609="","",'Prod 1'!D609)</f>
        <v/>
      </c>
      <c r="S608" s="119" t="str">
        <f>IF('Prod 1'!E609="","",'Prod 1'!E609+'BH (2)'!C608)</f>
        <v/>
      </c>
      <c r="T608" s="59"/>
      <c r="U608" s="91"/>
    </row>
    <row r="609" spans="9:21" ht="24.95" customHeight="1" x14ac:dyDescent="0.25">
      <c r="I609" s="106">
        <v>606</v>
      </c>
      <c r="J609" s="119" t="str">
        <f t="shared" si="35"/>
        <v/>
      </c>
      <c r="K609" s="92" t="str">
        <f>IF('Prod 1'!D610="","",'Prod 1'!D610)</f>
        <v/>
      </c>
      <c r="L609" s="119" t="str">
        <f>IF('Prod 1'!I610="","",'Prod 1'!I610+'BH (2)'!C609)</f>
        <v/>
      </c>
      <c r="M609" s="59"/>
      <c r="N609" s="91"/>
      <c r="Q609" s="119" t="str">
        <f t="shared" si="36"/>
        <v/>
      </c>
      <c r="R609" s="92" t="str">
        <f>IF('Prod 1'!D610="","",'Prod 1'!D610)</f>
        <v/>
      </c>
      <c r="S609" s="119" t="str">
        <f>IF('Prod 1'!E610="","",'Prod 1'!E610+'BH (2)'!C609)</f>
        <v/>
      </c>
      <c r="T609" s="59"/>
      <c r="U609" s="91"/>
    </row>
    <row r="610" spans="9:21" ht="24.95" customHeight="1" x14ac:dyDescent="0.25">
      <c r="I610" s="106">
        <v>607</v>
      </c>
      <c r="J610" s="119" t="str">
        <f t="shared" si="35"/>
        <v/>
      </c>
      <c r="K610" s="92" t="str">
        <f>IF('Prod 1'!D611="","",'Prod 1'!D611)</f>
        <v/>
      </c>
      <c r="L610" s="119" t="str">
        <f>IF('Prod 1'!I611="","",'Prod 1'!I611+'BH (2)'!C610)</f>
        <v/>
      </c>
      <c r="M610" s="59"/>
      <c r="N610" s="91"/>
      <c r="Q610" s="119" t="str">
        <f t="shared" si="36"/>
        <v/>
      </c>
      <c r="R610" s="92" t="str">
        <f>IF('Prod 1'!D611="","",'Prod 1'!D611)</f>
        <v/>
      </c>
      <c r="S610" s="119" t="str">
        <f>IF('Prod 1'!E611="","",'Prod 1'!E611+'BH (2)'!C610)</f>
        <v/>
      </c>
      <c r="T610" s="59"/>
      <c r="U610" s="91"/>
    </row>
    <row r="611" spans="9:21" ht="24.95" customHeight="1" x14ac:dyDescent="0.25">
      <c r="I611" s="106">
        <v>608</v>
      </c>
      <c r="J611" s="119" t="str">
        <f t="shared" si="35"/>
        <v/>
      </c>
      <c r="K611" s="92" t="str">
        <f>IF('Prod 1'!D612="","",'Prod 1'!D612)</f>
        <v/>
      </c>
      <c r="L611" s="119" t="str">
        <f>IF('Prod 1'!I612="","",'Prod 1'!I612+'BH (2)'!C611)</f>
        <v/>
      </c>
      <c r="M611" s="59"/>
      <c r="N611" s="91"/>
      <c r="Q611" s="119" t="str">
        <f t="shared" si="36"/>
        <v/>
      </c>
      <c r="R611" s="92" t="str">
        <f>IF('Prod 1'!D612="","",'Prod 1'!D612)</f>
        <v/>
      </c>
      <c r="S611" s="119" t="str">
        <f>IF('Prod 1'!E612="","",'Prod 1'!E612+'BH (2)'!C611)</f>
        <v/>
      </c>
      <c r="T611" s="59"/>
      <c r="U611" s="91"/>
    </row>
    <row r="612" spans="9:21" ht="24.95" customHeight="1" x14ac:dyDescent="0.25">
      <c r="I612" s="106">
        <v>609</v>
      </c>
      <c r="J612" s="119" t="str">
        <f t="shared" si="35"/>
        <v/>
      </c>
      <c r="K612" s="92" t="str">
        <f>IF('Prod 1'!D613="","",'Prod 1'!D613)</f>
        <v/>
      </c>
      <c r="L612" s="119" t="str">
        <f>IF('Prod 1'!I613="","",'Prod 1'!I613+'BH (2)'!C612)</f>
        <v/>
      </c>
      <c r="M612" s="59"/>
      <c r="N612" s="91"/>
      <c r="Q612" s="119" t="str">
        <f t="shared" si="36"/>
        <v/>
      </c>
      <c r="R612" s="92" t="str">
        <f>IF('Prod 1'!D613="","",'Prod 1'!D613)</f>
        <v/>
      </c>
      <c r="S612" s="119" t="str">
        <f>IF('Prod 1'!E613="","",'Prod 1'!E613+'BH (2)'!C612)</f>
        <v/>
      </c>
      <c r="T612" s="59"/>
      <c r="U612" s="91"/>
    </row>
    <row r="613" spans="9:21" ht="24.95" customHeight="1" x14ac:dyDescent="0.25">
      <c r="I613" s="106">
        <v>610</v>
      </c>
      <c r="J613" s="119" t="str">
        <f t="shared" si="35"/>
        <v/>
      </c>
      <c r="K613" s="92" t="str">
        <f>IF('Prod 1'!D614="","",'Prod 1'!D614)</f>
        <v/>
      </c>
      <c r="L613" s="119" t="str">
        <f>IF('Prod 1'!I614="","",'Prod 1'!I614+'BH (2)'!C613)</f>
        <v/>
      </c>
      <c r="M613" s="59"/>
      <c r="N613" s="91"/>
      <c r="Q613" s="119" t="str">
        <f t="shared" si="36"/>
        <v/>
      </c>
      <c r="R613" s="92" t="str">
        <f>IF('Prod 1'!D614="","",'Prod 1'!D614)</f>
        <v/>
      </c>
      <c r="S613" s="119" t="str">
        <f>IF('Prod 1'!E614="","",'Prod 1'!E614+'BH (2)'!C613)</f>
        <v/>
      </c>
      <c r="T613" s="59"/>
      <c r="U613" s="91"/>
    </row>
    <row r="614" spans="9:21" ht="24.95" customHeight="1" x14ac:dyDescent="0.25">
      <c r="I614" s="106">
        <v>611</v>
      </c>
      <c r="J614" s="119" t="str">
        <f t="shared" si="35"/>
        <v/>
      </c>
      <c r="K614" s="92" t="str">
        <f>IF('Prod 1'!D615="","",'Prod 1'!D615)</f>
        <v/>
      </c>
      <c r="L614" s="119" t="str">
        <f>IF('Prod 1'!I615="","",'Prod 1'!I615+'BH (2)'!C614)</f>
        <v/>
      </c>
      <c r="M614" s="59"/>
      <c r="N614" s="91"/>
      <c r="Q614" s="119" t="str">
        <f t="shared" si="36"/>
        <v/>
      </c>
      <c r="R614" s="92" t="str">
        <f>IF('Prod 1'!D615="","",'Prod 1'!D615)</f>
        <v/>
      </c>
      <c r="S614" s="119" t="str">
        <f>IF('Prod 1'!E615="","",'Prod 1'!E615+'BH (2)'!C614)</f>
        <v/>
      </c>
      <c r="T614" s="59"/>
      <c r="U614" s="91"/>
    </row>
    <row r="615" spans="9:21" ht="24.95" customHeight="1" x14ac:dyDescent="0.25">
      <c r="I615" s="106">
        <v>612</v>
      </c>
      <c r="J615" s="119" t="str">
        <f t="shared" si="35"/>
        <v/>
      </c>
      <c r="K615" s="92" t="str">
        <f>IF('Prod 1'!D616="","",'Prod 1'!D616)</f>
        <v/>
      </c>
      <c r="L615" s="119" t="str">
        <f>IF('Prod 1'!I616="","",'Prod 1'!I616+'BH (2)'!C615)</f>
        <v/>
      </c>
      <c r="M615" s="59"/>
      <c r="N615" s="91"/>
      <c r="Q615" s="119" t="str">
        <f t="shared" si="36"/>
        <v/>
      </c>
      <c r="R615" s="92" t="str">
        <f>IF('Prod 1'!D616="","",'Prod 1'!D616)</f>
        <v/>
      </c>
      <c r="S615" s="119" t="str">
        <f>IF('Prod 1'!E616="","",'Prod 1'!E616+'BH (2)'!C615)</f>
        <v/>
      </c>
      <c r="T615" s="59"/>
      <c r="U615" s="91"/>
    </row>
    <row r="616" spans="9:21" ht="24.95" customHeight="1" x14ac:dyDescent="0.25">
      <c r="I616" s="106">
        <v>613</v>
      </c>
      <c r="J616" s="119" t="str">
        <f t="shared" si="35"/>
        <v/>
      </c>
      <c r="K616" s="92" t="str">
        <f>IF('Prod 1'!D617="","",'Prod 1'!D617)</f>
        <v/>
      </c>
      <c r="L616" s="119" t="str">
        <f>IF('Prod 1'!I617="","",'Prod 1'!I617+'BH (2)'!C616)</f>
        <v/>
      </c>
      <c r="M616" s="59"/>
      <c r="N616" s="91"/>
      <c r="Q616" s="119" t="str">
        <f t="shared" si="36"/>
        <v/>
      </c>
      <c r="R616" s="92" t="str">
        <f>IF('Prod 1'!D617="","",'Prod 1'!D617)</f>
        <v/>
      </c>
      <c r="S616" s="119" t="str">
        <f>IF('Prod 1'!E617="","",'Prod 1'!E617+'BH (2)'!C616)</f>
        <v/>
      </c>
      <c r="T616" s="59"/>
      <c r="U616" s="91"/>
    </row>
    <row r="617" spans="9:21" ht="24.95" customHeight="1" x14ac:dyDescent="0.25">
      <c r="I617" s="106">
        <v>614</v>
      </c>
      <c r="J617" s="119" t="str">
        <f t="shared" si="35"/>
        <v/>
      </c>
      <c r="K617" s="92" t="str">
        <f>IF('Prod 1'!D618="","",'Prod 1'!D618)</f>
        <v/>
      </c>
      <c r="L617" s="119" t="str">
        <f>IF('Prod 1'!I618="","",'Prod 1'!I618+'BH (2)'!C617)</f>
        <v/>
      </c>
      <c r="M617" s="59"/>
      <c r="N617" s="91"/>
      <c r="Q617" s="119" t="str">
        <f t="shared" si="36"/>
        <v/>
      </c>
      <c r="R617" s="92" t="str">
        <f>IF('Prod 1'!D618="","",'Prod 1'!D618)</f>
        <v/>
      </c>
      <c r="S617" s="119" t="str">
        <f>IF('Prod 1'!E618="","",'Prod 1'!E618+'BH (2)'!C617)</f>
        <v/>
      </c>
      <c r="T617" s="59"/>
      <c r="U617" s="91"/>
    </row>
    <row r="618" spans="9:21" ht="24.95" customHeight="1" x14ac:dyDescent="0.25">
      <c r="I618" s="106">
        <v>615</v>
      </c>
      <c r="J618" s="119" t="str">
        <f t="shared" si="35"/>
        <v/>
      </c>
      <c r="K618" s="92" t="str">
        <f>IF('Prod 1'!D619="","",'Prod 1'!D619)</f>
        <v/>
      </c>
      <c r="L618" s="119" t="str">
        <f>IF('Prod 1'!I619="","",'Prod 1'!I619+'BH (2)'!C618)</f>
        <v/>
      </c>
      <c r="M618" s="59"/>
      <c r="N618" s="91"/>
      <c r="Q618" s="119" t="str">
        <f t="shared" si="36"/>
        <v/>
      </c>
      <c r="R618" s="92" t="str">
        <f>IF('Prod 1'!D619="","",'Prod 1'!D619)</f>
        <v/>
      </c>
      <c r="S618" s="119" t="str">
        <f>IF('Prod 1'!E619="","",'Prod 1'!E619+'BH (2)'!C618)</f>
        <v/>
      </c>
      <c r="T618" s="59"/>
      <c r="U618" s="91"/>
    </row>
    <row r="619" spans="9:21" ht="24.95" customHeight="1" x14ac:dyDescent="0.25">
      <c r="I619" s="106">
        <v>616</v>
      </c>
      <c r="J619" s="119" t="str">
        <f t="shared" si="35"/>
        <v/>
      </c>
      <c r="K619" s="92" t="str">
        <f>IF('Prod 1'!D620="","",'Prod 1'!D620)</f>
        <v/>
      </c>
      <c r="L619" s="119" t="str">
        <f>IF('Prod 1'!I620="","",'Prod 1'!I620+'BH (2)'!C619)</f>
        <v/>
      </c>
      <c r="M619" s="59"/>
      <c r="N619" s="91"/>
      <c r="Q619" s="119" t="str">
        <f t="shared" si="36"/>
        <v/>
      </c>
      <c r="R619" s="92" t="str">
        <f>IF('Prod 1'!D620="","",'Prod 1'!D620)</f>
        <v/>
      </c>
      <c r="S619" s="119" t="str">
        <f>IF('Prod 1'!E620="","",'Prod 1'!E620+'BH (2)'!C619)</f>
        <v/>
      </c>
      <c r="T619" s="59"/>
      <c r="U619" s="91"/>
    </row>
    <row r="620" spans="9:21" ht="24.95" customHeight="1" x14ac:dyDescent="0.25">
      <c r="I620" s="106">
        <v>617</v>
      </c>
      <c r="J620" s="119" t="str">
        <f t="shared" si="35"/>
        <v/>
      </c>
      <c r="K620" s="92" t="str">
        <f>IF('Prod 1'!D621="","",'Prod 1'!D621)</f>
        <v/>
      </c>
      <c r="L620" s="119" t="str">
        <f>IF('Prod 1'!I621="","",'Prod 1'!I621+'BH (2)'!C620)</f>
        <v/>
      </c>
      <c r="M620" s="59"/>
      <c r="N620" s="91"/>
      <c r="Q620" s="119" t="str">
        <f t="shared" si="36"/>
        <v/>
      </c>
      <c r="R620" s="92" t="str">
        <f>IF('Prod 1'!D621="","",'Prod 1'!D621)</f>
        <v/>
      </c>
      <c r="S620" s="119" t="str">
        <f>IF('Prod 1'!E621="","",'Prod 1'!E621+'BH (2)'!C620)</f>
        <v/>
      </c>
      <c r="T620" s="59"/>
      <c r="U620" s="91"/>
    </row>
    <row r="621" spans="9:21" ht="24.95" customHeight="1" x14ac:dyDescent="0.25">
      <c r="I621" s="106">
        <v>618</v>
      </c>
      <c r="J621" s="119" t="str">
        <f t="shared" si="35"/>
        <v/>
      </c>
      <c r="K621" s="92" t="str">
        <f>IF('Prod 1'!D622="","",'Prod 1'!D622)</f>
        <v/>
      </c>
      <c r="L621" s="119" t="str">
        <f>IF('Prod 1'!I622="","",'Prod 1'!I622+'BH (2)'!C621)</f>
        <v/>
      </c>
      <c r="M621" s="59"/>
      <c r="N621" s="91"/>
      <c r="Q621" s="119" t="str">
        <f t="shared" si="36"/>
        <v/>
      </c>
      <c r="R621" s="92" t="str">
        <f>IF('Prod 1'!D622="","",'Prod 1'!D622)</f>
        <v/>
      </c>
      <c r="S621" s="119" t="str">
        <f>IF('Prod 1'!E622="","",'Prod 1'!E622+'BH (2)'!C621)</f>
        <v/>
      </c>
      <c r="T621" s="59"/>
      <c r="U621" s="91"/>
    </row>
    <row r="622" spans="9:21" ht="24.95" customHeight="1" x14ac:dyDescent="0.25">
      <c r="I622" s="106">
        <v>619</v>
      </c>
      <c r="J622" s="119" t="str">
        <f t="shared" si="35"/>
        <v/>
      </c>
      <c r="K622" s="92" t="str">
        <f>IF('Prod 1'!D623="","",'Prod 1'!D623)</f>
        <v/>
      </c>
      <c r="L622" s="119" t="str">
        <f>IF('Prod 1'!I623="","",'Prod 1'!I623+'BH (2)'!C622)</f>
        <v/>
      </c>
      <c r="M622" s="59"/>
      <c r="N622" s="91"/>
      <c r="Q622" s="119" t="str">
        <f t="shared" si="36"/>
        <v/>
      </c>
      <c r="R622" s="92" t="str">
        <f>IF('Prod 1'!D623="","",'Prod 1'!D623)</f>
        <v/>
      </c>
      <c r="S622" s="119" t="str">
        <f>IF('Prod 1'!E623="","",'Prod 1'!E623+'BH (2)'!C622)</f>
        <v/>
      </c>
      <c r="T622" s="59"/>
      <c r="U622" s="91"/>
    </row>
    <row r="623" spans="9:21" ht="24.95" customHeight="1" x14ac:dyDescent="0.25">
      <c r="I623" s="106">
        <v>620</v>
      </c>
      <c r="J623" s="119" t="str">
        <f t="shared" si="35"/>
        <v/>
      </c>
      <c r="K623" s="92" t="str">
        <f>IF('Prod 1'!D624="","",'Prod 1'!D624)</f>
        <v/>
      </c>
      <c r="L623" s="119" t="str">
        <f>IF('Prod 1'!I624="","",'Prod 1'!I624+'BH (2)'!C623)</f>
        <v/>
      </c>
      <c r="M623" s="59"/>
      <c r="N623" s="91"/>
      <c r="Q623" s="119" t="str">
        <f t="shared" si="36"/>
        <v/>
      </c>
      <c r="R623" s="92" t="str">
        <f>IF('Prod 1'!D624="","",'Prod 1'!D624)</f>
        <v/>
      </c>
      <c r="S623" s="119" t="str">
        <f>IF('Prod 1'!E624="","",'Prod 1'!E624+'BH (2)'!C623)</f>
        <v/>
      </c>
      <c r="T623" s="59"/>
      <c r="U623" s="91"/>
    </row>
    <row r="624" spans="9:21" ht="24.95" customHeight="1" x14ac:dyDescent="0.25">
      <c r="I624" s="106">
        <v>621</v>
      </c>
      <c r="J624" s="119" t="str">
        <f t="shared" si="35"/>
        <v/>
      </c>
      <c r="K624" s="92" t="str">
        <f>IF('Prod 1'!D625="","",'Prod 1'!D625)</f>
        <v/>
      </c>
      <c r="L624" s="119" t="str">
        <f>IF('Prod 1'!I625="","",'Prod 1'!I625+'BH (2)'!C624)</f>
        <v/>
      </c>
      <c r="M624" s="59"/>
      <c r="N624" s="91"/>
      <c r="Q624" s="119" t="str">
        <f t="shared" si="36"/>
        <v/>
      </c>
      <c r="R624" s="92" t="str">
        <f>IF('Prod 1'!D625="","",'Prod 1'!D625)</f>
        <v/>
      </c>
      <c r="S624" s="119" t="str">
        <f>IF('Prod 1'!E625="","",'Prod 1'!E625+'BH (2)'!C624)</f>
        <v/>
      </c>
      <c r="T624" s="59"/>
      <c r="U624" s="91"/>
    </row>
    <row r="625" spans="9:21" ht="24.95" customHeight="1" x14ac:dyDescent="0.25">
      <c r="I625" s="106">
        <v>622</v>
      </c>
      <c r="J625" s="119" t="str">
        <f t="shared" si="35"/>
        <v/>
      </c>
      <c r="K625" s="92" t="str">
        <f>IF('Prod 1'!D626="","",'Prod 1'!D626)</f>
        <v/>
      </c>
      <c r="L625" s="119" t="str">
        <f>IF('Prod 1'!I626="","",'Prod 1'!I626+'BH (2)'!C625)</f>
        <v/>
      </c>
      <c r="M625" s="59"/>
      <c r="N625" s="91"/>
      <c r="Q625" s="119" t="str">
        <f t="shared" si="36"/>
        <v/>
      </c>
      <c r="R625" s="92" t="str">
        <f>IF('Prod 1'!D626="","",'Prod 1'!D626)</f>
        <v/>
      </c>
      <c r="S625" s="119" t="str">
        <f>IF('Prod 1'!E626="","",'Prod 1'!E626+'BH (2)'!C625)</f>
        <v/>
      </c>
      <c r="T625" s="59"/>
      <c r="U625" s="91"/>
    </row>
    <row r="626" spans="9:21" ht="24.95" customHeight="1" x14ac:dyDescent="0.25">
      <c r="I626" s="106">
        <v>623</v>
      </c>
      <c r="J626" s="119" t="str">
        <f t="shared" si="35"/>
        <v/>
      </c>
      <c r="K626" s="92" t="str">
        <f>IF('Prod 1'!D627="","",'Prod 1'!D627)</f>
        <v/>
      </c>
      <c r="L626" s="119" t="str">
        <f>IF('Prod 1'!I627="","",'Prod 1'!I627+'BH (2)'!C626)</f>
        <v/>
      </c>
      <c r="M626" s="59"/>
      <c r="N626" s="91"/>
      <c r="Q626" s="119" t="str">
        <f t="shared" si="36"/>
        <v/>
      </c>
      <c r="R626" s="92" t="str">
        <f>IF('Prod 1'!D627="","",'Prod 1'!D627)</f>
        <v/>
      </c>
      <c r="S626" s="119" t="str">
        <f>IF('Prod 1'!E627="","",'Prod 1'!E627+'BH (2)'!C626)</f>
        <v/>
      </c>
      <c r="T626" s="59"/>
      <c r="U626" s="91"/>
    </row>
    <row r="627" spans="9:21" ht="24.95" customHeight="1" x14ac:dyDescent="0.25">
      <c r="I627" s="106">
        <v>624</v>
      </c>
      <c r="J627" s="119" t="str">
        <f t="shared" si="35"/>
        <v/>
      </c>
      <c r="K627" s="92" t="str">
        <f>IF('Prod 1'!D628="","",'Prod 1'!D628)</f>
        <v/>
      </c>
      <c r="L627" s="119" t="str">
        <f>IF('Prod 1'!I628="","",'Prod 1'!I628+'BH (2)'!C627)</f>
        <v/>
      </c>
      <c r="M627" s="59"/>
      <c r="N627" s="91"/>
      <c r="Q627" s="119" t="str">
        <f t="shared" si="36"/>
        <v/>
      </c>
      <c r="R627" s="92" t="str">
        <f>IF('Prod 1'!D628="","",'Prod 1'!D628)</f>
        <v/>
      </c>
      <c r="S627" s="119" t="str">
        <f>IF('Prod 1'!E628="","",'Prod 1'!E628+'BH (2)'!C627)</f>
        <v/>
      </c>
      <c r="T627" s="59"/>
      <c r="U627" s="91"/>
    </row>
    <row r="628" spans="9:21" ht="24.95" customHeight="1" x14ac:dyDescent="0.25">
      <c r="I628" s="106">
        <v>625</v>
      </c>
      <c r="J628" s="119" t="str">
        <f t="shared" si="35"/>
        <v/>
      </c>
      <c r="K628" s="92" t="str">
        <f>IF('Prod 1'!D629="","",'Prod 1'!D629)</f>
        <v/>
      </c>
      <c r="L628" s="119" t="str">
        <f>IF('Prod 1'!I629="","",'Prod 1'!I629+'BH (2)'!C628)</f>
        <v/>
      </c>
      <c r="M628" s="59"/>
      <c r="N628" s="91"/>
      <c r="Q628" s="119" t="str">
        <f t="shared" si="36"/>
        <v/>
      </c>
      <c r="R628" s="92" t="str">
        <f>IF('Prod 1'!D629="","",'Prod 1'!D629)</f>
        <v/>
      </c>
      <c r="S628" s="119" t="str">
        <f>IF('Prod 1'!E629="","",'Prod 1'!E629+'BH (2)'!C628)</f>
        <v/>
      </c>
      <c r="T628" s="59"/>
      <c r="U628" s="91"/>
    </row>
    <row r="629" spans="9:21" ht="24.95" customHeight="1" x14ac:dyDescent="0.25">
      <c r="I629" s="106">
        <v>626</v>
      </c>
      <c r="J629" s="119" t="str">
        <f t="shared" si="35"/>
        <v/>
      </c>
      <c r="K629" s="92" t="str">
        <f>IF('Prod 1'!D630="","",'Prod 1'!D630)</f>
        <v/>
      </c>
      <c r="L629" s="119" t="str">
        <f>IF('Prod 1'!I630="","",'Prod 1'!I630+'BH (2)'!C629)</f>
        <v/>
      </c>
      <c r="M629" s="59"/>
      <c r="N629" s="91"/>
      <c r="Q629" s="119" t="str">
        <f t="shared" si="36"/>
        <v/>
      </c>
      <c r="R629" s="92" t="str">
        <f>IF('Prod 1'!D630="","",'Prod 1'!D630)</f>
        <v/>
      </c>
      <c r="S629" s="119" t="str">
        <f>IF('Prod 1'!E630="","",'Prod 1'!E630+'BH (2)'!C629)</f>
        <v/>
      </c>
      <c r="T629" s="59"/>
      <c r="U629" s="91"/>
    </row>
    <row r="630" spans="9:21" ht="24.95" customHeight="1" x14ac:dyDescent="0.25">
      <c r="I630" s="106">
        <v>627</v>
      </c>
      <c r="J630" s="119" t="str">
        <f t="shared" si="35"/>
        <v/>
      </c>
      <c r="K630" s="92" t="str">
        <f>IF('Prod 1'!D631="","",'Prod 1'!D631)</f>
        <v/>
      </c>
      <c r="L630" s="119" t="str">
        <f>IF('Prod 1'!I631="","",'Prod 1'!I631+'BH (2)'!C630)</f>
        <v/>
      </c>
      <c r="M630" s="59"/>
      <c r="N630" s="91"/>
      <c r="Q630" s="119" t="str">
        <f t="shared" si="36"/>
        <v/>
      </c>
      <c r="R630" s="92" t="str">
        <f>IF('Prod 1'!D631="","",'Prod 1'!D631)</f>
        <v/>
      </c>
      <c r="S630" s="119" t="str">
        <f>IF('Prod 1'!E631="","",'Prod 1'!E631+'BH (2)'!C630)</f>
        <v/>
      </c>
      <c r="T630" s="59"/>
      <c r="U630" s="91"/>
    </row>
    <row r="631" spans="9:21" ht="24.95" customHeight="1" x14ac:dyDescent="0.25">
      <c r="I631" s="106">
        <v>628</v>
      </c>
      <c r="J631" s="119" t="str">
        <f t="shared" si="35"/>
        <v/>
      </c>
      <c r="K631" s="92" t="str">
        <f>IF('Prod 1'!D632="","",'Prod 1'!D632)</f>
        <v/>
      </c>
      <c r="L631" s="119" t="str">
        <f>IF('Prod 1'!I632="","",'Prod 1'!I632+'BH (2)'!C631)</f>
        <v/>
      </c>
      <c r="M631" s="59"/>
      <c r="N631" s="91"/>
      <c r="Q631" s="119" t="str">
        <f t="shared" si="36"/>
        <v/>
      </c>
      <c r="R631" s="92" t="str">
        <f>IF('Prod 1'!D632="","",'Prod 1'!D632)</f>
        <v/>
      </c>
      <c r="S631" s="119" t="str">
        <f>IF('Prod 1'!E632="","",'Prod 1'!E632+'BH (2)'!C631)</f>
        <v/>
      </c>
      <c r="T631" s="59"/>
      <c r="U631" s="91"/>
    </row>
    <row r="632" spans="9:21" ht="24.95" customHeight="1" x14ac:dyDescent="0.25">
      <c r="I632" s="106">
        <v>629</v>
      </c>
      <c r="J632" s="119" t="str">
        <f t="shared" si="35"/>
        <v/>
      </c>
      <c r="K632" s="92" t="str">
        <f>IF('Prod 1'!D633="","",'Prod 1'!D633)</f>
        <v/>
      </c>
      <c r="L632" s="119" t="str">
        <f>IF('Prod 1'!I633="","",'Prod 1'!I633+'BH (2)'!C632)</f>
        <v/>
      </c>
      <c r="M632" s="59"/>
      <c r="N632" s="91"/>
      <c r="Q632" s="119" t="str">
        <f t="shared" si="36"/>
        <v/>
      </c>
      <c r="R632" s="92" t="str">
        <f>IF('Prod 1'!D633="","",'Prod 1'!D633)</f>
        <v/>
      </c>
      <c r="S632" s="119" t="str">
        <f>IF('Prod 1'!E633="","",'Prod 1'!E633+'BH (2)'!C632)</f>
        <v/>
      </c>
      <c r="T632" s="59"/>
      <c r="U632" s="91"/>
    </row>
    <row r="633" spans="9:21" ht="24.95" customHeight="1" x14ac:dyDescent="0.25">
      <c r="I633" s="106">
        <v>630</v>
      </c>
      <c r="J633" s="119" t="str">
        <f t="shared" si="35"/>
        <v/>
      </c>
      <c r="K633" s="92" t="str">
        <f>IF('Prod 1'!D634="","",'Prod 1'!D634)</f>
        <v/>
      </c>
      <c r="L633" s="119" t="str">
        <f>IF('Prod 1'!I634="","",'Prod 1'!I634+'BH (2)'!C633)</f>
        <v/>
      </c>
      <c r="M633" s="59"/>
      <c r="N633" s="91"/>
      <c r="Q633" s="119" t="str">
        <f t="shared" si="36"/>
        <v/>
      </c>
      <c r="R633" s="92" t="str">
        <f>IF('Prod 1'!D634="","",'Prod 1'!D634)</f>
        <v/>
      </c>
      <c r="S633" s="119" t="str">
        <f>IF('Prod 1'!E634="","",'Prod 1'!E634+'BH (2)'!C633)</f>
        <v/>
      </c>
      <c r="T633" s="59"/>
      <c r="U633" s="91"/>
    </row>
    <row r="634" spans="9:21" ht="24.95" customHeight="1" x14ac:dyDescent="0.25">
      <c r="I634" s="106">
        <v>631</v>
      </c>
      <c r="J634" s="119" t="str">
        <f t="shared" si="35"/>
        <v/>
      </c>
      <c r="K634" s="92" t="str">
        <f>IF('Prod 1'!D635="","",'Prod 1'!D635)</f>
        <v/>
      </c>
      <c r="L634" s="119" t="str">
        <f>IF('Prod 1'!I635="","",'Prod 1'!I635+'BH (2)'!C634)</f>
        <v/>
      </c>
      <c r="M634" s="59"/>
      <c r="N634" s="91"/>
      <c r="Q634" s="119" t="str">
        <f t="shared" si="36"/>
        <v/>
      </c>
      <c r="R634" s="92" t="str">
        <f>IF('Prod 1'!D635="","",'Prod 1'!D635)</f>
        <v/>
      </c>
      <c r="S634" s="119" t="str">
        <f>IF('Prod 1'!E635="","",'Prod 1'!E635+'BH (2)'!C634)</f>
        <v/>
      </c>
      <c r="T634" s="59"/>
      <c r="U634" s="91"/>
    </row>
    <row r="635" spans="9:21" ht="24.95" customHeight="1" x14ac:dyDescent="0.25">
      <c r="I635" s="106">
        <v>632</v>
      </c>
      <c r="J635" s="119" t="str">
        <f t="shared" si="35"/>
        <v/>
      </c>
      <c r="K635" s="92" t="str">
        <f>IF('Prod 1'!D636="","",'Prod 1'!D636)</f>
        <v/>
      </c>
      <c r="L635" s="119" t="str">
        <f>IF('Prod 1'!I636="","",'Prod 1'!I636+'BH (2)'!C635)</f>
        <v/>
      </c>
      <c r="M635" s="59"/>
      <c r="N635" s="91"/>
      <c r="Q635" s="119" t="str">
        <f t="shared" si="36"/>
        <v/>
      </c>
      <c r="R635" s="92" t="str">
        <f>IF('Prod 1'!D636="","",'Prod 1'!D636)</f>
        <v/>
      </c>
      <c r="S635" s="119" t="str">
        <f>IF('Prod 1'!E636="","",'Prod 1'!E636+'BH (2)'!C635)</f>
        <v/>
      </c>
      <c r="T635" s="59"/>
      <c r="U635" s="91"/>
    </row>
    <row r="636" spans="9:21" ht="24.95" customHeight="1" x14ac:dyDescent="0.25">
      <c r="I636" s="106">
        <v>633</v>
      </c>
      <c r="J636" s="119" t="str">
        <f t="shared" si="35"/>
        <v/>
      </c>
      <c r="K636" s="92" t="str">
        <f>IF('Prod 1'!D637="","",'Prod 1'!D637)</f>
        <v/>
      </c>
      <c r="L636" s="119" t="str">
        <f>IF('Prod 1'!I637="","",'Prod 1'!I637+'BH (2)'!C636)</f>
        <v/>
      </c>
      <c r="M636" s="59"/>
      <c r="N636" s="91"/>
      <c r="Q636" s="119" t="str">
        <f t="shared" si="36"/>
        <v/>
      </c>
      <c r="R636" s="92" t="str">
        <f>IF('Prod 1'!D637="","",'Prod 1'!D637)</f>
        <v/>
      </c>
      <c r="S636" s="119" t="str">
        <f>IF('Prod 1'!E637="","",'Prod 1'!E637+'BH (2)'!C636)</f>
        <v/>
      </c>
      <c r="T636" s="59"/>
      <c r="U636" s="91"/>
    </row>
    <row r="637" spans="9:21" ht="24.95" customHeight="1" x14ac:dyDescent="0.25">
      <c r="I637" s="106">
        <v>634</v>
      </c>
      <c r="J637" s="119" t="str">
        <f t="shared" si="35"/>
        <v/>
      </c>
      <c r="K637" s="92" t="str">
        <f>IF('Prod 1'!D638="","",'Prod 1'!D638)</f>
        <v/>
      </c>
      <c r="L637" s="119" t="str">
        <f>IF('Prod 1'!I638="","",'Prod 1'!I638+'BH (2)'!C637)</f>
        <v/>
      </c>
      <c r="M637" s="59"/>
      <c r="N637" s="91"/>
      <c r="Q637" s="119" t="str">
        <f t="shared" si="36"/>
        <v/>
      </c>
      <c r="R637" s="92" t="str">
        <f>IF('Prod 1'!D638="","",'Prod 1'!D638)</f>
        <v/>
      </c>
      <c r="S637" s="119" t="str">
        <f>IF('Prod 1'!E638="","",'Prod 1'!E638+'BH (2)'!C637)</f>
        <v/>
      </c>
      <c r="T637" s="59"/>
      <c r="U637" s="91"/>
    </row>
    <row r="638" spans="9:21" ht="24.95" customHeight="1" x14ac:dyDescent="0.25">
      <c r="I638" s="106">
        <v>635</v>
      </c>
      <c r="J638" s="119" t="str">
        <f t="shared" si="35"/>
        <v/>
      </c>
      <c r="K638" s="92" t="str">
        <f>IF('Prod 1'!D639="","",'Prod 1'!D639)</f>
        <v/>
      </c>
      <c r="L638" s="119" t="str">
        <f>IF('Prod 1'!I639="","",'Prod 1'!I639+'BH (2)'!C638)</f>
        <v/>
      </c>
      <c r="M638" s="59"/>
      <c r="N638" s="91"/>
      <c r="Q638" s="119" t="str">
        <f t="shared" si="36"/>
        <v/>
      </c>
      <c r="R638" s="92" t="str">
        <f>IF('Prod 1'!D639="","",'Prod 1'!D639)</f>
        <v/>
      </c>
      <c r="S638" s="119" t="str">
        <f>IF('Prod 1'!E639="","",'Prod 1'!E639+'BH (2)'!C638)</f>
        <v/>
      </c>
      <c r="T638" s="59"/>
      <c r="U638" s="91"/>
    </row>
    <row r="639" spans="9:21" ht="24.95" customHeight="1" x14ac:dyDescent="0.25">
      <c r="I639" s="106">
        <v>636</v>
      </c>
      <c r="J639" s="119" t="str">
        <f t="shared" si="35"/>
        <v/>
      </c>
      <c r="K639" s="92" t="str">
        <f>IF('Prod 1'!D640="","",'Prod 1'!D640)</f>
        <v/>
      </c>
      <c r="L639" s="119" t="str">
        <f>IF('Prod 1'!I640="","",'Prod 1'!I640+'BH (2)'!C639)</f>
        <v/>
      </c>
      <c r="M639" s="59"/>
      <c r="N639" s="91"/>
      <c r="Q639" s="119" t="str">
        <f t="shared" si="36"/>
        <v/>
      </c>
      <c r="R639" s="92" t="str">
        <f>IF('Prod 1'!D640="","",'Prod 1'!D640)</f>
        <v/>
      </c>
      <c r="S639" s="119" t="str">
        <f>IF('Prod 1'!E640="","",'Prod 1'!E640+'BH (2)'!C639)</f>
        <v/>
      </c>
      <c r="T639" s="59"/>
      <c r="U639" s="91"/>
    </row>
    <row r="640" spans="9:21" ht="24.95" customHeight="1" x14ac:dyDescent="0.25">
      <c r="I640" s="106">
        <v>637</v>
      </c>
      <c r="J640" s="119" t="str">
        <f t="shared" si="35"/>
        <v/>
      </c>
      <c r="K640" s="92" t="str">
        <f>IF('Prod 1'!D641="","",'Prod 1'!D641)</f>
        <v/>
      </c>
      <c r="L640" s="119" t="str">
        <f>IF('Prod 1'!I641="","",'Prod 1'!I641+'BH (2)'!C640)</f>
        <v/>
      </c>
      <c r="M640" s="59"/>
      <c r="N640" s="91"/>
      <c r="Q640" s="119" t="str">
        <f t="shared" si="36"/>
        <v/>
      </c>
      <c r="R640" s="92" t="str">
        <f>IF('Prod 1'!D641="","",'Prod 1'!D641)</f>
        <v/>
      </c>
      <c r="S640" s="119" t="str">
        <f>IF('Prod 1'!E641="","",'Prod 1'!E641+'BH (2)'!C640)</f>
        <v/>
      </c>
      <c r="T640" s="59"/>
      <c r="U640" s="91"/>
    </row>
    <row r="641" spans="9:21" ht="24.95" customHeight="1" x14ac:dyDescent="0.25">
      <c r="I641" s="106">
        <v>638</v>
      </c>
      <c r="J641" s="119" t="str">
        <f t="shared" si="35"/>
        <v/>
      </c>
      <c r="K641" s="92" t="str">
        <f>IF('Prod 1'!D642="","",'Prod 1'!D642)</f>
        <v/>
      </c>
      <c r="L641" s="119" t="str">
        <f>IF('Prod 1'!I642="","",'Prod 1'!I642+'BH (2)'!C641)</f>
        <v/>
      </c>
      <c r="M641" s="59"/>
      <c r="N641" s="91"/>
      <c r="Q641" s="119" t="str">
        <f t="shared" si="36"/>
        <v/>
      </c>
      <c r="R641" s="92" t="str">
        <f>IF('Prod 1'!D642="","",'Prod 1'!D642)</f>
        <v/>
      </c>
      <c r="S641" s="119" t="str">
        <f>IF('Prod 1'!E642="","",'Prod 1'!E642+'BH (2)'!C641)</f>
        <v/>
      </c>
      <c r="T641" s="59"/>
      <c r="U641" s="91"/>
    </row>
    <row r="642" spans="9:21" ht="24.95" customHeight="1" x14ac:dyDescent="0.25">
      <c r="I642" s="106">
        <v>639</v>
      </c>
      <c r="J642" s="119" t="str">
        <f t="shared" si="35"/>
        <v/>
      </c>
      <c r="K642" s="92" t="str">
        <f>IF('Prod 1'!D643="","",'Prod 1'!D643)</f>
        <v/>
      </c>
      <c r="L642" s="119" t="str">
        <f>IF('Prod 1'!I643="","",'Prod 1'!I643+'BH (2)'!C642)</f>
        <v/>
      </c>
      <c r="M642" s="59"/>
      <c r="N642" s="91"/>
      <c r="Q642" s="119" t="str">
        <f t="shared" si="36"/>
        <v/>
      </c>
      <c r="R642" s="92" t="str">
        <f>IF('Prod 1'!D643="","",'Prod 1'!D643)</f>
        <v/>
      </c>
      <c r="S642" s="119" t="str">
        <f>IF('Prod 1'!E643="","",'Prod 1'!E643+'BH (2)'!C642)</f>
        <v/>
      </c>
      <c r="T642" s="59"/>
      <c r="U642" s="91"/>
    </row>
    <row r="643" spans="9:21" ht="24.95" customHeight="1" x14ac:dyDescent="0.25">
      <c r="I643" s="106">
        <v>640</v>
      </c>
      <c r="J643" s="119" t="str">
        <f t="shared" si="35"/>
        <v/>
      </c>
      <c r="K643" s="92" t="str">
        <f>IF('Prod 1'!D644="","",'Prod 1'!D644)</f>
        <v/>
      </c>
      <c r="L643" s="119" t="str">
        <f>IF('Prod 1'!I644="","",'Prod 1'!I644+'BH (2)'!C643)</f>
        <v/>
      </c>
      <c r="M643" s="59"/>
      <c r="N643" s="91"/>
      <c r="Q643" s="119" t="str">
        <f t="shared" si="36"/>
        <v/>
      </c>
      <c r="R643" s="92" t="str">
        <f>IF('Prod 1'!D644="","",'Prod 1'!D644)</f>
        <v/>
      </c>
      <c r="S643" s="119" t="str">
        <f>IF('Prod 1'!E644="","",'Prod 1'!E644+'BH (2)'!C643)</f>
        <v/>
      </c>
      <c r="T643" s="59"/>
      <c r="U643" s="91"/>
    </row>
    <row r="644" spans="9:21" ht="24.95" customHeight="1" x14ac:dyDescent="0.25">
      <c r="I644" s="106">
        <v>641</v>
      </c>
      <c r="J644" s="119" t="str">
        <f t="shared" si="35"/>
        <v/>
      </c>
      <c r="K644" s="92" t="str">
        <f>IF('Prod 1'!D645="","",'Prod 1'!D645)</f>
        <v/>
      </c>
      <c r="L644" s="119" t="str">
        <f>IF('Prod 1'!I645="","",'Prod 1'!I645+'BH (2)'!C644)</f>
        <v/>
      </c>
      <c r="M644" s="59"/>
      <c r="N644" s="91"/>
      <c r="Q644" s="119" t="str">
        <f t="shared" si="36"/>
        <v/>
      </c>
      <c r="R644" s="92" t="str">
        <f>IF('Prod 1'!D645="","",'Prod 1'!D645)</f>
        <v/>
      </c>
      <c r="S644" s="119" t="str">
        <f>IF('Prod 1'!E645="","",'Prod 1'!E645+'BH (2)'!C644)</f>
        <v/>
      </c>
      <c r="T644" s="59"/>
      <c r="U644" s="91"/>
    </row>
    <row r="645" spans="9:21" ht="24.95" customHeight="1" x14ac:dyDescent="0.25">
      <c r="I645" s="106">
        <v>642</v>
      </c>
      <c r="J645" s="119" t="str">
        <f t="shared" ref="J645:J708" si="37">L645</f>
        <v/>
      </c>
      <c r="K645" s="92" t="str">
        <f>IF('Prod 1'!D646="","",'Prod 1'!D646)</f>
        <v/>
      </c>
      <c r="L645" s="119" t="str">
        <f>IF('Prod 1'!I646="","",'Prod 1'!I646+'BH (2)'!C645)</f>
        <v/>
      </c>
      <c r="M645" s="59"/>
      <c r="N645" s="91"/>
      <c r="Q645" s="119" t="str">
        <f t="shared" ref="Q645:Q708" si="38">S645</f>
        <v/>
      </c>
      <c r="R645" s="92" t="str">
        <f>IF('Prod 1'!D646="","",'Prod 1'!D646)</f>
        <v/>
      </c>
      <c r="S645" s="119" t="str">
        <f>IF('Prod 1'!E646="","",'Prod 1'!E646+'BH (2)'!C645)</f>
        <v/>
      </c>
      <c r="T645" s="59"/>
      <c r="U645" s="91"/>
    </row>
    <row r="646" spans="9:21" ht="24.95" customHeight="1" x14ac:dyDescent="0.25">
      <c r="I646" s="106">
        <v>643</v>
      </c>
      <c r="J646" s="119" t="str">
        <f t="shared" si="37"/>
        <v/>
      </c>
      <c r="K646" s="92" t="str">
        <f>IF('Prod 1'!D647="","",'Prod 1'!D647)</f>
        <v/>
      </c>
      <c r="L646" s="119" t="str">
        <f>IF('Prod 1'!I647="","",'Prod 1'!I647+'BH (2)'!C646)</f>
        <v/>
      </c>
      <c r="M646" s="59"/>
      <c r="N646" s="91"/>
      <c r="Q646" s="119" t="str">
        <f t="shared" si="38"/>
        <v/>
      </c>
      <c r="R646" s="92" t="str">
        <f>IF('Prod 1'!D647="","",'Prod 1'!D647)</f>
        <v/>
      </c>
      <c r="S646" s="119" t="str">
        <f>IF('Prod 1'!E647="","",'Prod 1'!E647+'BH (2)'!C646)</f>
        <v/>
      </c>
      <c r="T646" s="59"/>
      <c r="U646" s="91"/>
    </row>
    <row r="647" spans="9:21" ht="24.95" customHeight="1" x14ac:dyDescent="0.25">
      <c r="I647" s="106">
        <v>644</v>
      </c>
      <c r="J647" s="119" t="str">
        <f t="shared" si="37"/>
        <v/>
      </c>
      <c r="K647" s="92" t="str">
        <f>IF('Prod 1'!D648="","",'Prod 1'!D648)</f>
        <v/>
      </c>
      <c r="L647" s="119" t="str">
        <f>IF('Prod 1'!I648="","",'Prod 1'!I648+'BH (2)'!C647)</f>
        <v/>
      </c>
      <c r="M647" s="59"/>
      <c r="N647" s="91"/>
      <c r="Q647" s="119" t="str">
        <f t="shared" si="38"/>
        <v/>
      </c>
      <c r="R647" s="92" t="str">
        <f>IF('Prod 1'!D648="","",'Prod 1'!D648)</f>
        <v/>
      </c>
      <c r="S647" s="119" t="str">
        <f>IF('Prod 1'!E648="","",'Prod 1'!E648+'BH (2)'!C647)</f>
        <v/>
      </c>
      <c r="T647" s="59"/>
      <c r="U647" s="91"/>
    </row>
    <row r="648" spans="9:21" ht="24.95" customHeight="1" x14ac:dyDescent="0.25">
      <c r="I648" s="106">
        <v>645</v>
      </c>
      <c r="J648" s="119" t="str">
        <f t="shared" si="37"/>
        <v/>
      </c>
      <c r="K648" s="92" t="str">
        <f>IF('Prod 1'!D649="","",'Prod 1'!D649)</f>
        <v/>
      </c>
      <c r="L648" s="119" t="str">
        <f>IF('Prod 1'!I649="","",'Prod 1'!I649+'BH (2)'!C648)</f>
        <v/>
      </c>
      <c r="M648" s="59"/>
      <c r="N648" s="91"/>
      <c r="Q648" s="119" t="str">
        <f t="shared" si="38"/>
        <v/>
      </c>
      <c r="R648" s="92" t="str">
        <f>IF('Prod 1'!D649="","",'Prod 1'!D649)</f>
        <v/>
      </c>
      <c r="S648" s="119" t="str">
        <f>IF('Prod 1'!E649="","",'Prod 1'!E649+'BH (2)'!C648)</f>
        <v/>
      </c>
      <c r="T648" s="59"/>
      <c r="U648" s="91"/>
    </row>
    <row r="649" spans="9:21" ht="24.95" customHeight="1" x14ac:dyDescent="0.25">
      <c r="I649" s="106">
        <v>646</v>
      </c>
      <c r="J649" s="119" t="str">
        <f t="shared" si="37"/>
        <v/>
      </c>
      <c r="K649" s="92" t="str">
        <f>IF('Prod 1'!D650="","",'Prod 1'!D650)</f>
        <v/>
      </c>
      <c r="L649" s="119" t="str">
        <f>IF('Prod 1'!I650="","",'Prod 1'!I650+'BH (2)'!C649)</f>
        <v/>
      </c>
      <c r="M649" s="59"/>
      <c r="N649" s="91"/>
      <c r="Q649" s="119" t="str">
        <f t="shared" si="38"/>
        <v/>
      </c>
      <c r="R649" s="92" t="str">
        <f>IF('Prod 1'!D650="","",'Prod 1'!D650)</f>
        <v/>
      </c>
      <c r="S649" s="119" t="str">
        <f>IF('Prod 1'!E650="","",'Prod 1'!E650+'BH (2)'!C649)</f>
        <v/>
      </c>
      <c r="T649" s="59"/>
      <c r="U649" s="91"/>
    </row>
    <row r="650" spans="9:21" ht="24.95" customHeight="1" x14ac:dyDescent="0.25">
      <c r="I650" s="106">
        <v>647</v>
      </c>
      <c r="J650" s="119" t="str">
        <f t="shared" si="37"/>
        <v/>
      </c>
      <c r="K650" s="92" t="str">
        <f>IF('Prod 1'!D651="","",'Prod 1'!D651)</f>
        <v/>
      </c>
      <c r="L650" s="119" t="str">
        <f>IF('Prod 1'!I651="","",'Prod 1'!I651+'BH (2)'!C650)</f>
        <v/>
      </c>
      <c r="M650" s="59"/>
      <c r="N650" s="91"/>
      <c r="Q650" s="119" t="str">
        <f t="shared" si="38"/>
        <v/>
      </c>
      <c r="R650" s="92" t="str">
        <f>IF('Prod 1'!D651="","",'Prod 1'!D651)</f>
        <v/>
      </c>
      <c r="S650" s="119" t="str">
        <f>IF('Prod 1'!E651="","",'Prod 1'!E651+'BH (2)'!C650)</f>
        <v/>
      </c>
      <c r="T650" s="59"/>
      <c r="U650" s="91"/>
    </row>
    <row r="651" spans="9:21" ht="24.95" customHeight="1" x14ac:dyDescent="0.25">
      <c r="I651" s="106">
        <v>648</v>
      </c>
      <c r="J651" s="119" t="str">
        <f t="shared" si="37"/>
        <v/>
      </c>
      <c r="K651" s="92" t="str">
        <f>IF('Prod 1'!D652="","",'Prod 1'!D652)</f>
        <v/>
      </c>
      <c r="L651" s="119" t="str">
        <f>IF('Prod 1'!I652="","",'Prod 1'!I652+'BH (2)'!C651)</f>
        <v/>
      </c>
      <c r="M651" s="59"/>
      <c r="N651" s="91"/>
      <c r="Q651" s="119" t="str">
        <f t="shared" si="38"/>
        <v/>
      </c>
      <c r="R651" s="92" t="str">
        <f>IF('Prod 1'!D652="","",'Prod 1'!D652)</f>
        <v/>
      </c>
      <c r="S651" s="119" t="str">
        <f>IF('Prod 1'!E652="","",'Prod 1'!E652+'BH (2)'!C651)</f>
        <v/>
      </c>
      <c r="T651" s="59"/>
      <c r="U651" s="91"/>
    </row>
    <row r="652" spans="9:21" ht="24.95" customHeight="1" x14ac:dyDescent="0.25">
      <c r="I652" s="106">
        <v>649</v>
      </c>
      <c r="J652" s="119" t="str">
        <f t="shared" si="37"/>
        <v/>
      </c>
      <c r="K652" s="92" t="str">
        <f>IF('Prod 1'!D653="","",'Prod 1'!D653)</f>
        <v/>
      </c>
      <c r="L652" s="119" t="str">
        <f>IF('Prod 1'!I653="","",'Prod 1'!I653+'BH (2)'!C652)</f>
        <v/>
      </c>
      <c r="M652" s="59"/>
      <c r="N652" s="91"/>
      <c r="Q652" s="119" t="str">
        <f t="shared" si="38"/>
        <v/>
      </c>
      <c r="R652" s="92" t="str">
        <f>IF('Prod 1'!D653="","",'Prod 1'!D653)</f>
        <v/>
      </c>
      <c r="S652" s="119" t="str">
        <f>IF('Prod 1'!E653="","",'Prod 1'!E653+'BH (2)'!C652)</f>
        <v/>
      </c>
      <c r="T652" s="59"/>
      <c r="U652" s="91"/>
    </row>
    <row r="653" spans="9:21" ht="24.95" customHeight="1" x14ac:dyDescent="0.25">
      <c r="I653" s="106">
        <v>650</v>
      </c>
      <c r="J653" s="119" t="str">
        <f t="shared" si="37"/>
        <v/>
      </c>
      <c r="K653" s="92" t="str">
        <f>IF('Prod 1'!D654="","",'Prod 1'!D654)</f>
        <v/>
      </c>
      <c r="L653" s="119" t="str">
        <f>IF('Prod 1'!I654="","",'Prod 1'!I654+'BH (2)'!C653)</f>
        <v/>
      </c>
      <c r="M653" s="59"/>
      <c r="N653" s="91"/>
      <c r="Q653" s="119" t="str">
        <f t="shared" si="38"/>
        <v/>
      </c>
      <c r="R653" s="92" t="str">
        <f>IF('Prod 1'!D654="","",'Prod 1'!D654)</f>
        <v/>
      </c>
      <c r="S653" s="119" t="str">
        <f>IF('Prod 1'!E654="","",'Prod 1'!E654+'BH (2)'!C653)</f>
        <v/>
      </c>
      <c r="T653" s="59"/>
      <c r="U653" s="91"/>
    </row>
    <row r="654" spans="9:21" ht="24.95" customHeight="1" x14ac:dyDescent="0.25">
      <c r="I654" s="106">
        <v>651</v>
      </c>
      <c r="J654" s="119" t="str">
        <f t="shared" si="37"/>
        <v/>
      </c>
      <c r="K654" s="92" t="str">
        <f>IF('Prod 1'!D655="","",'Prod 1'!D655)</f>
        <v/>
      </c>
      <c r="L654" s="119" t="str">
        <f>IF('Prod 1'!I655="","",'Prod 1'!I655+'BH (2)'!C654)</f>
        <v/>
      </c>
      <c r="M654" s="59"/>
      <c r="N654" s="91"/>
      <c r="Q654" s="119" t="str">
        <f t="shared" si="38"/>
        <v/>
      </c>
      <c r="R654" s="92" t="str">
        <f>IF('Prod 1'!D655="","",'Prod 1'!D655)</f>
        <v/>
      </c>
      <c r="S654" s="119" t="str">
        <f>IF('Prod 1'!E655="","",'Prod 1'!E655+'BH (2)'!C654)</f>
        <v/>
      </c>
      <c r="T654" s="59"/>
      <c r="U654" s="91"/>
    </row>
    <row r="655" spans="9:21" ht="24.95" customHeight="1" x14ac:dyDescent="0.25">
      <c r="I655" s="106">
        <v>652</v>
      </c>
      <c r="J655" s="119" t="str">
        <f t="shared" si="37"/>
        <v/>
      </c>
      <c r="K655" s="92" t="str">
        <f>IF('Prod 1'!D656="","",'Prod 1'!D656)</f>
        <v/>
      </c>
      <c r="L655" s="119" t="str">
        <f>IF('Prod 1'!I656="","",'Prod 1'!I656+'BH (2)'!C655)</f>
        <v/>
      </c>
      <c r="M655" s="59"/>
      <c r="N655" s="91"/>
      <c r="Q655" s="119" t="str">
        <f t="shared" si="38"/>
        <v/>
      </c>
      <c r="R655" s="92" t="str">
        <f>IF('Prod 1'!D656="","",'Prod 1'!D656)</f>
        <v/>
      </c>
      <c r="S655" s="119" t="str">
        <f>IF('Prod 1'!E656="","",'Prod 1'!E656+'BH (2)'!C655)</f>
        <v/>
      </c>
      <c r="T655" s="59"/>
      <c r="U655" s="91"/>
    </row>
    <row r="656" spans="9:21" ht="24.95" customHeight="1" x14ac:dyDescent="0.25">
      <c r="I656" s="106">
        <v>653</v>
      </c>
      <c r="J656" s="119" t="str">
        <f t="shared" si="37"/>
        <v/>
      </c>
      <c r="K656" s="92" t="str">
        <f>IF('Prod 1'!D657="","",'Prod 1'!D657)</f>
        <v/>
      </c>
      <c r="L656" s="119" t="str">
        <f>IF('Prod 1'!I657="","",'Prod 1'!I657+'BH (2)'!C656)</f>
        <v/>
      </c>
      <c r="M656" s="59"/>
      <c r="N656" s="91"/>
      <c r="Q656" s="119" t="str">
        <f t="shared" si="38"/>
        <v/>
      </c>
      <c r="R656" s="92" t="str">
        <f>IF('Prod 1'!D657="","",'Prod 1'!D657)</f>
        <v/>
      </c>
      <c r="S656" s="119" t="str">
        <f>IF('Prod 1'!E657="","",'Prod 1'!E657+'BH (2)'!C656)</f>
        <v/>
      </c>
      <c r="T656" s="59"/>
      <c r="U656" s="91"/>
    </row>
    <row r="657" spans="9:21" ht="24.95" customHeight="1" x14ac:dyDescent="0.25">
      <c r="I657" s="106">
        <v>654</v>
      </c>
      <c r="J657" s="119" t="str">
        <f t="shared" si="37"/>
        <v/>
      </c>
      <c r="K657" s="92" t="str">
        <f>IF('Prod 1'!D658="","",'Prod 1'!D658)</f>
        <v/>
      </c>
      <c r="L657" s="119" t="str">
        <f>IF('Prod 1'!I658="","",'Prod 1'!I658+'BH (2)'!C657)</f>
        <v/>
      </c>
      <c r="M657" s="59"/>
      <c r="N657" s="91"/>
      <c r="Q657" s="119" t="str">
        <f t="shared" si="38"/>
        <v/>
      </c>
      <c r="R657" s="92" t="str">
        <f>IF('Prod 1'!D658="","",'Prod 1'!D658)</f>
        <v/>
      </c>
      <c r="S657" s="119" t="str">
        <f>IF('Prod 1'!E658="","",'Prod 1'!E658+'BH (2)'!C657)</f>
        <v/>
      </c>
      <c r="T657" s="59"/>
      <c r="U657" s="91"/>
    </row>
    <row r="658" spans="9:21" ht="24.95" customHeight="1" x14ac:dyDescent="0.25">
      <c r="I658" s="106">
        <v>655</v>
      </c>
      <c r="J658" s="119" t="str">
        <f t="shared" si="37"/>
        <v/>
      </c>
      <c r="K658" s="92" t="str">
        <f>IF('Prod 1'!D659="","",'Prod 1'!D659)</f>
        <v/>
      </c>
      <c r="L658" s="119" t="str">
        <f>IF('Prod 1'!I659="","",'Prod 1'!I659+'BH (2)'!C658)</f>
        <v/>
      </c>
      <c r="M658" s="59"/>
      <c r="N658" s="91"/>
      <c r="Q658" s="119" t="str">
        <f t="shared" si="38"/>
        <v/>
      </c>
      <c r="R658" s="92" t="str">
        <f>IF('Prod 1'!D659="","",'Prod 1'!D659)</f>
        <v/>
      </c>
      <c r="S658" s="119" t="str">
        <f>IF('Prod 1'!E659="","",'Prod 1'!E659+'BH (2)'!C658)</f>
        <v/>
      </c>
      <c r="T658" s="59"/>
      <c r="U658" s="91"/>
    </row>
    <row r="659" spans="9:21" ht="24.95" customHeight="1" x14ac:dyDescent="0.25">
      <c r="I659" s="106">
        <v>656</v>
      </c>
      <c r="J659" s="119" t="str">
        <f t="shared" si="37"/>
        <v/>
      </c>
      <c r="K659" s="92" t="str">
        <f>IF('Prod 1'!D660="","",'Prod 1'!D660)</f>
        <v/>
      </c>
      <c r="L659" s="119" t="str">
        <f>IF('Prod 1'!I660="","",'Prod 1'!I660+'BH (2)'!C659)</f>
        <v/>
      </c>
      <c r="M659" s="59"/>
      <c r="N659" s="91"/>
      <c r="Q659" s="119" t="str">
        <f t="shared" si="38"/>
        <v/>
      </c>
      <c r="R659" s="92" t="str">
        <f>IF('Prod 1'!D660="","",'Prod 1'!D660)</f>
        <v/>
      </c>
      <c r="S659" s="119" t="str">
        <f>IF('Prod 1'!E660="","",'Prod 1'!E660+'BH (2)'!C659)</f>
        <v/>
      </c>
      <c r="T659" s="59"/>
      <c r="U659" s="91"/>
    </row>
    <row r="660" spans="9:21" ht="24.95" customHeight="1" x14ac:dyDescent="0.25">
      <c r="I660" s="106">
        <v>657</v>
      </c>
      <c r="J660" s="119" t="str">
        <f t="shared" si="37"/>
        <v/>
      </c>
      <c r="K660" s="92" t="str">
        <f>IF('Prod 1'!D661="","",'Prod 1'!D661)</f>
        <v/>
      </c>
      <c r="L660" s="119" t="str">
        <f>IF('Prod 1'!I661="","",'Prod 1'!I661+'BH (2)'!C660)</f>
        <v/>
      </c>
      <c r="M660" s="59"/>
      <c r="N660" s="91"/>
      <c r="Q660" s="119" t="str">
        <f t="shared" si="38"/>
        <v/>
      </c>
      <c r="R660" s="92" t="str">
        <f>IF('Prod 1'!D661="","",'Prod 1'!D661)</f>
        <v/>
      </c>
      <c r="S660" s="119" t="str">
        <f>IF('Prod 1'!E661="","",'Prod 1'!E661+'BH (2)'!C660)</f>
        <v/>
      </c>
      <c r="T660" s="59"/>
      <c r="U660" s="91"/>
    </row>
    <row r="661" spans="9:21" ht="24.95" customHeight="1" x14ac:dyDescent="0.25">
      <c r="I661" s="106">
        <v>658</v>
      </c>
      <c r="J661" s="119" t="str">
        <f t="shared" si="37"/>
        <v/>
      </c>
      <c r="K661" s="92" t="str">
        <f>IF('Prod 1'!D662="","",'Prod 1'!D662)</f>
        <v/>
      </c>
      <c r="L661" s="119" t="str">
        <f>IF('Prod 1'!I662="","",'Prod 1'!I662+'BH (2)'!C661)</f>
        <v/>
      </c>
      <c r="M661" s="59"/>
      <c r="N661" s="91"/>
      <c r="Q661" s="119" t="str">
        <f t="shared" si="38"/>
        <v/>
      </c>
      <c r="R661" s="92" t="str">
        <f>IF('Prod 1'!D662="","",'Prod 1'!D662)</f>
        <v/>
      </c>
      <c r="S661" s="119" t="str">
        <f>IF('Prod 1'!E662="","",'Prod 1'!E662+'BH (2)'!C661)</f>
        <v/>
      </c>
      <c r="T661" s="59"/>
      <c r="U661" s="91"/>
    </row>
    <row r="662" spans="9:21" ht="24.95" customHeight="1" x14ac:dyDescent="0.25">
      <c r="I662" s="106">
        <v>659</v>
      </c>
      <c r="J662" s="119" t="str">
        <f t="shared" si="37"/>
        <v/>
      </c>
      <c r="K662" s="92" t="str">
        <f>IF('Prod 1'!D663="","",'Prod 1'!D663)</f>
        <v/>
      </c>
      <c r="L662" s="119" t="str">
        <f>IF('Prod 1'!I663="","",'Prod 1'!I663+'BH (2)'!C662)</f>
        <v/>
      </c>
      <c r="M662" s="59"/>
      <c r="N662" s="91"/>
      <c r="Q662" s="119" t="str">
        <f t="shared" si="38"/>
        <v/>
      </c>
      <c r="R662" s="92" t="str">
        <f>IF('Prod 1'!D663="","",'Prod 1'!D663)</f>
        <v/>
      </c>
      <c r="S662" s="119" t="str">
        <f>IF('Prod 1'!E663="","",'Prod 1'!E663+'BH (2)'!C662)</f>
        <v/>
      </c>
      <c r="T662" s="59"/>
      <c r="U662" s="91"/>
    </row>
    <row r="663" spans="9:21" ht="24.95" customHeight="1" x14ac:dyDescent="0.25">
      <c r="I663" s="106">
        <v>660</v>
      </c>
      <c r="J663" s="119" t="str">
        <f t="shared" si="37"/>
        <v/>
      </c>
      <c r="K663" s="92" t="str">
        <f>IF('Prod 1'!D664="","",'Prod 1'!D664)</f>
        <v/>
      </c>
      <c r="L663" s="119" t="str">
        <f>IF('Prod 1'!I664="","",'Prod 1'!I664+'BH (2)'!C663)</f>
        <v/>
      </c>
      <c r="M663" s="59"/>
      <c r="N663" s="91"/>
      <c r="Q663" s="119" t="str">
        <f t="shared" si="38"/>
        <v/>
      </c>
      <c r="R663" s="92" t="str">
        <f>IF('Prod 1'!D664="","",'Prod 1'!D664)</f>
        <v/>
      </c>
      <c r="S663" s="119" t="str">
        <f>IF('Prod 1'!E664="","",'Prod 1'!E664+'BH (2)'!C663)</f>
        <v/>
      </c>
      <c r="T663" s="59"/>
      <c r="U663" s="91"/>
    </row>
    <row r="664" spans="9:21" ht="24.95" customHeight="1" x14ac:dyDescent="0.25">
      <c r="I664" s="106">
        <v>661</v>
      </c>
      <c r="J664" s="119" t="str">
        <f t="shared" si="37"/>
        <v/>
      </c>
      <c r="K664" s="92" t="str">
        <f>IF('Prod 1'!D665="","",'Prod 1'!D665)</f>
        <v/>
      </c>
      <c r="L664" s="119" t="str">
        <f>IF('Prod 1'!I665="","",'Prod 1'!I665+'BH (2)'!C664)</f>
        <v/>
      </c>
      <c r="M664" s="59"/>
      <c r="N664" s="91"/>
      <c r="Q664" s="119" t="str">
        <f t="shared" si="38"/>
        <v/>
      </c>
      <c r="R664" s="92" t="str">
        <f>IF('Prod 1'!D665="","",'Prod 1'!D665)</f>
        <v/>
      </c>
      <c r="S664" s="119" t="str">
        <f>IF('Prod 1'!E665="","",'Prod 1'!E665+'BH (2)'!C664)</f>
        <v/>
      </c>
      <c r="T664" s="59"/>
      <c r="U664" s="91"/>
    </row>
    <row r="665" spans="9:21" ht="24.95" customHeight="1" x14ac:dyDescent="0.25">
      <c r="I665" s="106">
        <v>662</v>
      </c>
      <c r="J665" s="119" t="str">
        <f t="shared" si="37"/>
        <v/>
      </c>
      <c r="K665" s="92" t="str">
        <f>IF('Prod 1'!D666="","",'Prod 1'!D666)</f>
        <v/>
      </c>
      <c r="L665" s="119" t="str">
        <f>IF('Prod 1'!I666="","",'Prod 1'!I666+'BH (2)'!C665)</f>
        <v/>
      </c>
      <c r="M665" s="59"/>
      <c r="N665" s="91"/>
      <c r="Q665" s="119" t="str">
        <f t="shared" si="38"/>
        <v/>
      </c>
      <c r="R665" s="92" t="str">
        <f>IF('Prod 1'!D666="","",'Prod 1'!D666)</f>
        <v/>
      </c>
      <c r="S665" s="119" t="str">
        <f>IF('Prod 1'!E666="","",'Prod 1'!E666+'BH (2)'!C665)</f>
        <v/>
      </c>
      <c r="T665" s="59"/>
      <c r="U665" s="91"/>
    </row>
    <row r="666" spans="9:21" ht="24.95" customHeight="1" x14ac:dyDescent="0.25">
      <c r="I666" s="106">
        <v>663</v>
      </c>
      <c r="J666" s="119" t="str">
        <f t="shared" si="37"/>
        <v/>
      </c>
      <c r="K666" s="92" t="str">
        <f>IF('Prod 1'!D667="","",'Prod 1'!D667)</f>
        <v/>
      </c>
      <c r="L666" s="119" t="str">
        <f>IF('Prod 1'!I667="","",'Prod 1'!I667+'BH (2)'!C666)</f>
        <v/>
      </c>
      <c r="M666" s="59"/>
      <c r="N666" s="91"/>
      <c r="Q666" s="119" t="str">
        <f t="shared" si="38"/>
        <v/>
      </c>
      <c r="R666" s="92" t="str">
        <f>IF('Prod 1'!D667="","",'Prod 1'!D667)</f>
        <v/>
      </c>
      <c r="S666" s="119" t="str">
        <f>IF('Prod 1'!E667="","",'Prod 1'!E667+'BH (2)'!C666)</f>
        <v/>
      </c>
      <c r="T666" s="59"/>
      <c r="U666" s="91"/>
    </row>
    <row r="667" spans="9:21" ht="24.95" customHeight="1" x14ac:dyDescent="0.25">
      <c r="I667" s="106">
        <v>664</v>
      </c>
      <c r="J667" s="119" t="str">
        <f t="shared" si="37"/>
        <v/>
      </c>
      <c r="K667" s="92" t="str">
        <f>IF('Prod 1'!D668="","",'Prod 1'!D668)</f>
        <v/>
      </c>
      <c r="L667" s="119" t="str">
        <f>IF('Prod 1'!I668="","",'Prod 1'!I668+'BH (2)'!C667)</f>
        <v/>
      </c>
      <c r="M667" s="59"/>
      <c r="N667" s="91"/>
      <c r="Q667" s="119" t="str">
        <f t="shared" si="38"/>
        <v/>
      </c>
      <c r="R667" s="92" t="str">
        <f>IF('Prod 1'!D668="","",'Prod 1'!D668)</f>
        <v/>
      </c>
      <c r="S667" s="119" t="str">
        <f>IF('Prod 1'!E668="","",'Prod 1'!E668+'BH (2)'!C667)</f>
        <v/>
      </c>
      <c r="T667" s="59"/>
      <c r="U667" s="91"/>
    </row>
    <row r="668" spans="9:21" ht="24.95" customHeight="1" x14ac:dyDescent="0.25">
      <c r="I668" s="106">
        <v>665</v>
      </c>
      <c r="J668" s="119" t="str">
        <f t="shared" si="37"/>
        <v/>
      </c>
      <c r="K668" s="92" t="str">
        <f>IF('Prod 1'!D669="","",'Prod 1'!D669)</f>
        <v/>
      </c>
      <c r="L668" s="119" t="str">
        <f>IF('Prod 1'!I669="","",'Prod 1'!I669+'BH (2)'!C668)</f>
        <v/>
      </c>
      <c r="M668" s="59"/>
      <c r="N668" s="91"/>
      <c r="Q668" s="119" t="str">
        <f t="shared" si="38"/>
        <v/>
      </c>
      <c r="R668" s="92" t="str">
        <f>IF('Prod 1'!D669="","",'Prod 1'!D669)</f>
        <v/>
      </c>
      <c r="S668" s="119" t="str">
        <f>IF('Prod 1'!E669="","",'Prod 1'!E669+'BH (2)'!C668)</f>
        <v/>
      </c>
      <c r="T668" s="59"/>
      <c r="U668" s="91"/>
    </row>
    <row r="669" spans="9:21" ht="24.95" customHeight="1" x14ac:dyDescent="0.25">
      <c r="I669" s="106">
        <v>666</v>
      </c>
      <c r="J669" s="119" t="str">
        <f t="shared" si="37"/>
        <v/>
      </c>
      <c r="K669" s="92" t="str">
        <f>IF('Prod 1'!D670="","",'Prod 1'!D670)</f>
        <v/>
      </c>
      <c r="L669" s="119" t="str">
        <f>IF('Prod 1'!I670="","",'Prod 1'!I670+'BH (2)'!C669)</f>
        <v/>
      </c>
      <c r="M669" s="59"/>
      <c r="N669" s="91"/>
      <c r="Q669" s="119" t="str">
        <f t="shared" si="38"/>
        <v/>
      </c>
      <c r="R669" s="92" t="str">
        <f>IF('Prod 1'!D670="","",'Prod 1'!D670)</f>
        <v/>
      </c>
      <c r="S669" s="119" t="str">
        <f>IF('Prod 1'!E670="","",'Prod 1'!E670+'BH (2)'!C669)</f>
        <v/>
      </c>
      <c r="T669" s="59"/>
      <c r="U669" s="91"/>
    </row>
    <row r="670" spans="9:21" ht="24.95" customHeight="1" x14ac:dyDescent="0.25">
      <c r="I670" s="106">
        <v>667</v>
      </c>
      <c r="J670" s="119" t="str">
        <f t="shared" si="37"/>
        <v/>
      </c>
      <c r="K670" s="92" t="str">
        <f>IF('Prod 1'!D671="","",'Prod 1'!D671)</f>
        <v/>
      </c>
      <c r="L670" s="119" t="str">
        <f>IF('Prod 1'!I671="","",'Prod 1'!I671+'BH (2)'!C670)</f>
        <v/>
      </c>
      <c r="M670" s="59"/>
      <c r="N670" s="91"/>
      <c r="Q670" s="119" t="str">
        <f t="shared" si="38"/>
        <v/>
      </c>
      <c r="R670" s="92" t="str">
        <f>IF('Prod 1'!D671="","",'Prod 1'!D671)</f>
        <v/>
      </c>
      <c r="S670" s="119" t="str">
        <f>IF('Prod 1'!E671="","",'Prod 1'!E671+'BH (2)'!C670)</f>
        <v/>
      </c>
      <c r="T670" s="59"/>
      <c r="U670" s="91"/>
    </row>
    <row r="671" spans="9:21" ht="24.95" customHeight="1" x14ac:dyDescent="0.25">
      <c r="I671" s="106">
        <v>668</v>
      </c>
      <c r="J671" s="119" t="str">
        <f t="shared" si="37"/>
        <v/>
      </c>
      <c r="K671" s="92" t="str">
        <f>IF('Prod 1'!D672="","",'Prod 1'!D672)</f>
        <v/>
      </c>
      <c r="L671" s="119" t="str">
        <f>IF('Prod 1'!I672="","",'Prod 1'!I672+'BH (2)'!C671)</f>
        <v/>
      </c>
      <c r="M671" s="59"/>
      <c r="N671" s="91"/>
      <c r="Q671" s="119" t="str">
        <f t="shared" si="38"/>
        <v/>
      </c>
      <c r="R671" s="92" t="str">
        <f>IF('Prod 1'!D672="","",'Prod 1'!D672)</f>
        <v/>
      </c>
      <c r="S671" s="119" t="str">
        <f>IF('Prod 1'!E672="","",'Prod 1'!E672+'BH (2)'!C671)</f>
        <v/>
      </c>
      <c r="T671" s="59"/>
      <c r="U671" s="91"/>
    </row>
    <row r="672" spans="9:21" ht="24.95" customHeight="1" x14ac:dyDescent="0.25">
      <c r="I672" s="106">
        <v>669</v>
      </c>
      <c r="J672" s="119" t="str">
        <f t="shared" si="37"/>
        <v/>
      </c>
      <c r="K672" s="92" t="str">
        <f>IF('Prod 1'!D673="","",'Prod 1'!D673)</f>
        <v/>
      </c>
      <c r="L672" s="119" t="str">
        <f>IF('Prod 1'!I673="","",'Prod 1'!I673+'BH (2)'!C672)</f>
        <v/>
      </c>
      <c r="M672" s="59"/>
      <c r="N672" s="91"/>
      <c r="Q672" s="119" t="str">
        <f t="shared" si="38"/>
        <v/>
      </c>
      <c r="R672" s="92" t="str">
        <f>IF('Prod 1'!D673="","",'Prod 1'!D673)</f>
        <v/>
      </c>
      <c r="S672" s="119" t="str">
        <f>IF('Prod 1'!E673="","",'Prod 1'!E673+'BH (2)'!C672)</f>
        <v/>
      </c>
      <c r="T672" s="59"/>
      <c r="U672" s="91"/>
    </row>
    <row r="673" spans="9:21" ht="24.95" customHeight="1" x14ac:dyDescent="0.25">
      <c r="I673" s="106">
        <v>670</v>
      </c>
      <c r="J673" s="119" t="str">
        <f t="shared" si="37"/>
        <v/>
      </c>
      <c r="K673" s="92" t="str">
        <f>IF('Prod 1'!D674="","",'Prod 1'!D674)</f>
        <v/>
      </c>
      <c r="L673" s="119" t="str">
        <f>IF('Prod 1'!I674="","",'Prod 1'!I674+'BH (2)'!C673)</f>
        <v/>
      </c>
      <c r="M673" s="59"/>
      <c r="N673" s="91"/>
      <c r="Q673" s="119" t="str">
        <f t="shared" si="38"/>
        <v/>
      </c>
      <c r="R673" s="92" t="str">
        <f>IF('Prod 1'!D674="","",'Prod 1'!D674)</f>
        <v/>
      </c>
      <c r="S673" s="119" t="str">
        <f>IF('Prod 1'!E674="","",'Prod 1'!E674+'BH (2)'!C673)</f>
        <v/>
      </c>
      <c r="T673" s="59"/>
      <c r="U673" s="91"/>
    </row>
    <row r="674" spans="9:21" ht="24.95" customHeight="1" x14ac:dyDescent="0.25">
      <c r="I674" s="106">
        <v>671</v>
      </c>
      <c r="J674" s="119" t="str">
        <f t="shared" si="37"/>
        <v/>
      </c>
      <c r="K674" s="92" t="str">
        <f>IF('Prod 1'!D675="","",'Prod 1'!D675)</f>
        <v/>
      </c>
      <c r="L674" s="119" t="str">
        <f>IF('Prod 1'!I675="","",'Prod 1'!I675+'BH (2)'!C674)</f>
        <v/>
      </c>
      <c r="M674" s="59"/>
      <c r="N674" s="91"/>
      <c r="Q674" s="119" t="str">
        <f t="shared" si="38"/>
        <v/>
      </c>
      <c r="R674" s="92" t="str">
        <f>IF('Prod 1'!D675="","",'Prod 1'!D675)</f>
        <v/>
      </c>
      <c r="S674" s="119" t="str">
        <f>IF('Prod 1'!E675="","",'Prod 1'!E675+'BH (2)'!C674)</f>
        <v/>
      </c>
      <c r="T674" s="59"/>
      <c r="U674" s="91"/>
    </row>
    <row r="675" spans="9:21" ht="24.95" customHeight="1" x14ac:dyDescent="0.25">
      <c r="I675" s="106">
        <v>672</v>
      </c>
      <c r="J675" s="119" t="str">
        <f t="shared" si="37"/>
        <v/>
      </c>
      <c r="K675" s="92" t="str">
        <f>IF('Prod 1'!D676="","",'Prod 1'!D676)</f>
        <v/>
      </c>
      <c r="L675" s="119" t="str">
        <f>IF('Prod 1'!I676="","",'Prod 1'!I676+'BH (2)'!C675)</f>
        <v/>
      </c>
      <c r="M675" s="59"/>
      <c r="N675" s="91"/>
      <c r="Q675" s="119" t="str">
        <f t="shared" si="38"/>
        <v/>
      </c>
      <c r="R675" s="92" t="str">
        <f>IF('Prod 1'!D676="","",'Prod 1'!D676)</f>
        <v/>
      </c>
      <c r="S675" s="119" t="str">
        <f>IF('Prod 1'!E676="","",'Prod 1'!E676+'BH (2)'!C675)</f>
        <v/>
      </c>
      <c r="T675" s="59"/>
      <c r="U675" s="91"/>
    </row>
    <row r="676" spans="9:21" ht="24.95" customHeight="1" x14ac:dyDescent="0.25">
      <c r="I676" s="106">
        <v>673</v>
      </c>
      <c r="J676" s="119" t="str">
        <f t="shared" si="37"/>
        <v/>
      </c>
      <c r="K676" s="92" t="str">
        <f>IF('Prod 1'!D677="","",'Prod 1'!D677)</f>
        <v/>
      </c>
      <c r="L676" s="119" t="str">
        <f>IF('Prod 1'!I677="","",'Prod 1'!I677+'BH (2)'!C676)</f>
        <v/>
      </c>
      <c r="M676" s="59"/>
      <c r="N676" s="91"/>
      <c r="Q676" s="119" t="str">
        <f t="shared" si="38"/>
        <v/>
      </c>
      <c r="R676" s="92" t="str">
        <f>IF('Prod 1'!D677="","",'Prod 1'!D677)</f>
        <v/>
      </c>
      <c r="S676" s="119" t="str">
        <f>IF('Prod 1'!E677="","",'Prod 1'!E677+'BH (2)'!C676)</f>
        <v/>
      </c>
      <c r="T676" s="59"/>
      <c r="U676" s="91"/>
    </row>
    <row r="677" spans="9:21" ht="24.95" customHeight="1" x14ac:dyDescent="0.25">
      <c r="I677" s="106">
        <v>674</v>
      </c>
      <c r="J677" s="119" t="str">
        <f t="shared" si="37"/>
        <v/>
      </c>
      <c r="K677" s="92" t="str">
        <f>IF('Prod 1'!D678="","",'Prod 1'!D678)</f>
        <v/>
      </c>
      <c r="L677" s="119" t="str">
        <f>IF('Prod 1'!I678="","",'Prod 1'!I678+'BH (2)'!C677)</f>
        <v/>
      </c>
      <c r="M677" s="59"/>
      <c r="N677" s="91"/>
      <c r="Q677" s="119" t="str">
        <f t="shared" si="38"/>
        <v/>
      </c>
      <c r="R677" s="92" t="str">
        <f>IF('Prod 1'!D678="","",'Prod 1'!D678)</f>
        <v/>
      </c>
      <c r="S677" s="119" t="str">
        <f>IF('Prod 1'!E678="","",'Prod 1'!E678+'BH (2)'!C677)</f>
        <v/>
      </c>
      <c r="T677" s="59"/>
      <c r="U677" s="91"/>
    </row>
    <row r="678" spans="9:21" ht="24.95" customHeight="1" x14ac:dyDescent="0.25">
      <c r="I678" s="106">
        <v>675</v>
      </c>
      <c r="J678" s="119" t="str">
        <f t="shared" si="37"/>
        <v/>
      </c>
      <c r="K678" s="92" t="str">
        <f>IF('Prod 1'!D679="","",'Prod 1'!D679)</f>
        <v/>
      </c>
      <c r="L678" s="119" t="str">
        <f>IF('Prod 1'!I679="","",'Prod 1'!I679+'BH (2)'!C678)</f>
        <v/>
      </c>
      <c r="M678" s="59"/>
      <c r="N678" s="91"/>
      <c r="Q678" s="119" t="str">
        <f t="shared" si="38"/>
        <v/>
      </c>
      <c r="R678" s="92" t="str">
        <f>IF('Prod 1'!D679="","",'Prod 1'!D679)</f>
        <v/>
      </c>
      <c r="S678" s="119" t="str">
        <f>IF('Prod 1'!E679="","",'Prod 1'!E679+'BH (2)'!C678)</f>
        <v/>
      </c>
      <c r="T678" s="59"/>
      <c r="U678" s="91"/>
    </row>
    <row r="679" spans="9:21" ht="24.95" customHeight="1" x14ac:dyDescent="0.25">
      <c r="I679" s="106">
        <v>676</v>
      </c>
      <c r="J679" s="119" t="str">
        <f t="shared" si="37"/>
        <v/>
      </c>
      <c r="K679" s="92" t="str">
        <f>IF('Prod 1'!D680="","",'Prod 1'!D680)</f>
        <v/>
      </c>
      <c r="L679" s="119" t="str">
        <f>IF('Prod 1'!I680="","",'Prod 1'!I680+'BH (2)'!C679)</f>
        <v/>
      </c>
      <c r="M679" s="59"/>
      <c r="N679" s="91"/>
      <c r="Q679" s="119" t="str">
        <f t="shared" si="38"/>
        <v/>
      </c>
      <c r="R679" s="92" t="str">
        <f>IF('Prod 1'!D680="","",'Prod 1'!D680)</f>
        <v/>
      </c>
      <c r="S679" s="119" t="str">
        <f>IF('Prod 1'!E680="","",'Prod 1'!E680+'BH (2)'!C679)</f>
        <v/>
      </c>
      <c r="T679" s="59"/>
      <c r="U679" s="91"/>
    </row>
    <row r="680" spans="9:21" ht="24.95" customHeight="1" x14ac:dyDescent="0.25">
      <c r="I680" s="106">
        <v>677</v>
      </c>
      <c r="J680" s="119" t="str">
        <f t="shared" si="37"/>
        <v/>
      </c>
      <c r="K680" s="92" t="str">
        <f>IF('Prod 1'!D681="","",'Prod 1'!D681)</f>
        <v/>
      </c>
      <c r="L680" s="119" t="str">
        <f>IF('Prod 1'!I681="","",'Prod 1'!I681+'BH (2)'!C680)</f>
        <v/>
      </c>
      <c r="M680" s="59"/>
      <c r="N680" s="91"/>
      <c r="Q680" s="119" t="str">
        <f t="shared" si="38"/>
        <v/>
      </c>
      <c r="R680" s="92" t="str">
        <f>IF('Prod 1'!D681="","",'Prod 1'!D681)</f>
        <v/>
      </c>
      <c r="S680" s="119" t="str">
        <f>IF('Prod 1'!E681="","",'Prod 1'!E681+'BH (2)'!C680)</f>
        <v/>
      </c>
      <c r="T680" s="59"/>
      <c r="U680" s="91"/>
    </row>
    <row r="681" spans="9:21" ht="24.95" customHeight="1" x14ac:dyDescent="0.25">
      <c r="I681" s="106">
        <v>678</v>
      </c>
      <c r="J681" s="119" t="str">
        <f t="shared" si="37"/>
        <v/>
      </c>
      <c r="K681" s="92" t="str">
        <f>IF('Prod 1'!D682="","",'Prod 1'!D682)</f>
        <v/>
      </c>
      <c r="L681" s="119" t="str">
        <f>IF('Prod 1'!I682="","",'Prod 1'!I682+'BH (2)'!C681)</f>
        <v/>
      </c>
      <c r="M681" s="59"/>
      <c r="N681" s="91"/>
      <c r="Q681" s="119" t="str">
        <f t="shared" si="38"/>
        <v/>
      </c>
      <c r="R681" s="92" t="str">
        <f>IF('Prod 1'!D682="","",'Prod 1'!D682)</f>
        <v/>
      </c>
      <c r="S681" s="119" t="str">
        <f>IF('Prod 1'!E682="","",'Prod 1'!E682+'BH (2)'!C681)</f>
        <v/>
      </c>
      <c r="T681" s="59"/>
      <c r="U681" s="91"/>
    </row>
    <row r="682" spans="9:21" ht="24.95" customHeight="1" x14ac:dyDescent="0.25">
      <c r="I682" s="106">
        <v>679</v>
      </c>
      <c r="J682" s="119" t="str">
        <f t="shared" si="37"/>
        <v/>
      </c>
      <c r="K682" s="92" t="str">
        <f>IF('Prod 1'!D683="","",'Prod 1'!D683)</f>
        <v/>
      </c>
      <c r="L682" s="119" t="str">
        <f>IF('Prod 1'!I683="","",'Prod 1'!I683+'BH (2)'!C682)</f>
        <v/>
      </c>
      <c r="M682" s="59"/>
      <c r="N682" s="91"/>
      <c r="Q682" s="119" t="str">
        <f t="shared" si="38"/>
        <v/>
      </c>
      <c r="R682" s="92" t="str">
        <f>IF('Prod 1'!D683="","",'Prod 1'!D683)</f>
        <v/>
      </c>
      <c r="S682" s="119" t="str">
        <f>IF('Prod 1'!E683="","",'Prod 1'!E683+'BH (2)'!C682)</f>
        <v/>
      </c>
      <c r="T682" s="59"/>
      <c r="U682" s="91"/>
    </row>
    <row r="683" spans="9:21" ht="24.95" customHeight="1" x14ac:dyDescent="0.25">
      <c r="I683" s="106">
        <v>680</v>
      </c>
      <c r="J683" s="119" t="str">
        <f t="shared" si="37"/>
        <v/>
      </c>
      <c r="K683" s="92" t="str">
        <f>IF('Prod 1'!D684="","",'Prod 1'!D684)</f>
        <v/>
      </c>
      <c r="L683" s="119" t="str">
        <f>IF('Prod 1'!I684="","",'Prod 1'!I684+'BH (2)'!C683)</f>
        <v/>
      </c>
      <c r="M683" s="59"/>
      <c r="N683" s="91"/>
      <c r="Q683" s="119" t="str">
        <f t="shared" si="38"/>
        <v/>
      </c>
      <c r="R683" s="92" t="str">
        <f>IF('Prod 1'!D684="","",'Prod 1'!D684)</f>
        <v/>
      </c>
      <c r="S683" s="119" t="str">
        <f>IF('Prod 1'!E684="","",'Prod 1'!E684+'BH (2)'!C683)</f>
        <v/>
      </c>
      <c r="T683" s="59"/>
      <c r="U683" s="91"/>
    </row>
    <row r="684" spans="9:21" ht="24.95" customHeight="1" x14ac:dyDescent="0.25">
      <c r="I684" s="106">
        <v>681</v>
      </c>
      <c r="J684" s="119" t="str">
        <f t="shared" si="37"/>
        <v/>
      </c>
      <c r="K684" s="92" t="str">
        <f>IF('Prod 1'!D685="","",'Prod 1'!D685)</f>
        <v/>
      </c>
      <c r="L684" s="119" t="str">
        <f>IF('Prod 1'!I685="","",'Prod 1'!I685+'BH (2)'!C684)</f>
        <v/>
      </c>
      <c r="M684" s="59"/>
      <c r="N684" s="91"/>
      <c r="Q684" s="119" t="str">
        <f t="shared" si="38"/>
        <v/>
      </c>
      <c r="R684" s="92" t="str">
        <f>IF('Prod 1'!D685="","",'Prod 1'!D685)</f>
        <v/>
      </c>
      <c r="S684" s="119" t="str">
        <f>IF('Prod 1'!E685="","",'Prod 1'!E685+'BH (2)'!C684)</f>
        <v/>
      </c>
      <c r="T684" s="59"/>
      <c r="U684" s="91"/>
    </row>
    <row r="685" spans="9:21" ht="24.95" customHeight="1" x14ac:dyDescent="0.25">
      <c r="I685" s="106">
        <v>682</v>
      </c>
      <c r="J685" s="119" t="str">
        <f t="shared" si="37"/>
        <v/>
      </c>
      <c r="K685" s="92" t="str">
        <f>IF('Prod 1'!D686="","",'Prod 1'!D686)</f>
        <v/>
      </c>
      <c r="L685" s="119" t="str">
        <f>IF('Prod 1'!I686="","",'Prod 1'!I686+'BH (2)'!C685)</f>
        <v/>
      </c>
      <c r="M685" s="59"/>
      <c r="N685" s="91"/>
      <c r="Q685" s="119" t="str">
        <f t="shared" si="38"/>
        <v/>
      </c>
      <c r="R685" s="92" t="str">
        <f>IF('Prod 1'!D686="","",'Prod 1'!D686)</f>
        <v/>
      </c>
      <c r="S685" s="119" t="str">
        <f>IF('Prod 1'!E686="","",'Prod 1'!E686+'BH (2)'!C685)</f>
        <v/>
      </c>
      <c r="T685" s="59"/>
      <c r="U685" s="91"/>
    </row>
    <row r="686" spans="9:21" ht="24.95" customHeight="1" x14ac:dyDescent="0.25">
      <c r="I686" s="106">
        <v>683</v>
      </c>
      <c r="J686" s="119" t="str">
        <f t="shared" si="37"/>
        <v/>
      </c>
      <c r="K686" s="92" t="str">
        <f>IF('Prod 1'!D687="","",'Prod 1'!D687)</f>
        <v/>
      </c>
      <c r="L686" s="119" t="str">
        <f>IF('Prod 1'!I687="","",'Prod 1'!I687+'BH (2)'!C686)</f>
        <v/>
      </c>
      <c r="M686" s="59"/>
      <c r="N686" s="91"/>
      <c r="Q686" s="119" t="str">
        <f t="shared" si="38"/>
        <v/>
      </c>
      <c r="R686" s="92" t="str">
        <f>IF('Prod 1'!D687="","",'Prod 1'!D687)</f>
        <v/>
      </c>
      <c r="S686" s="119" t="str">
        <f>IF('Prod 1'!E687="","",'Prod 1'!E687+'BH (2)'!C686)</f>
        <v/>
      </c>
      <c r="T686" s="59"/>
      <c r="U686" s="91"/>
    </row>
    <row r="687" spans="9:21" ht="24.95" customHeight="1" x14ac:dyDescent="0.25">
      <c r="I687" s="106">
        <v>684</v>
      </c>
      <c r="J687" s="119" t="str">
        <f t="shared" si="37"/>
        <v/>
      </c>
      <c r="K687" s="92" t="str">
        <f>IF('Prod 1'!D688="","",'Prod 1'!D688)</f>
        <v/>
      </c>
      <c r="L687" s="119" t="str">
        <f>IF('Prod 1'!I688="","",'Prod 1'!I688+'BH (2)'!C687)</f>
        <v/>
      </c>
      <c r="M687" s="59"/>
      <c r="N687" s="91"/>
      <c r="Q687" s="119" t="str">
        <f t="shared" si="38"/>
        <v/>
      </c>
      <c r="R687" s="92" t="str">
        <f>IF('Prod 1'!D688="","",'Prod 1'!D688)</f>
        <v/>
      </c>
      <c r="S687" s="119" t="str">
        <f>IF('Prod 1'!E688="","",'Prod 1'!E688+'BH (2)'!C687)</f>
        <v/>
      </c>
      <c r="T687" s="59"/>
      <c r="U687" s="91"/>
    </row>
    <row r="688" spans="9:21" ht="24.95" customHeight="1" x14ac:dyDescent="0.25">
      <c r="I688" s="106">
        <v>685</v>
      </c>
      <c r="J688" s="119" t="str">
        <f t="shared" si="37"/>
        <v/>
      </c>
      <c r="K688" s="92" t="str">
        <f>IF('Prod 1'!D689="","",'Prod 1'!D689)</f>
        <v/>
      </c>
      <c r="L688" s="119" t="str">
        <f>IF('Prod 1'!I689="","",'Prod 1'!I689+'BH (2)'!C688)</f>
        <v/>
      </c>
      <c r="M688" s="59"/>
      <c r="N688" s="91"/>
      <c r="Q688" s="119" t="str">
        <f t="shared" si="38"/>
        <v/>
      </c>
      <c r="R688" s="92" t="str">
        <f>IF('Prod 1'!D689="","",'Prod 1'!D689)</f>
        <v/>
      </c>
      <c r="S688" s="119" t="str">
        <f>IF('Prod 1'!E689="","",'Prod 1'!E689+'BH (2)'!C688)</f>
        <v/>
      </c>
      <c r="T688" s="59"/>
      <c r="U688" s="91"/>
    </row>
    <row r="689" spans="9:21" ht="24.95" customHeight="1" x14ac:dyDescent="0.25">
      <c r="I689" s="106">
        <v>686</v>
      </c>
      <c r="J689" s="119" t="str">
        <f t="shared" si="37"/>
        <v/>
      </c>
      <c r="K689" s="92" t="str">
        <f>IF('Prod 1'!D690="","",'Prod 1'!D690)</f>
        <v/>
      </c>
      <c r="L689" s="119" t="str">
        <f>IF('Prod 1'!I690="","",'Prod 1'!I690+'BH (2)'!C689)</f>
        <v/>
      </c>
      <c r="M689" s="59"/>
      <c r="N689" s="91"/>
      <c r="Q689" s="119" t="str">
        <f t="shared" si="38"/>
        <v/>
      </c>
      <c r="R689" s="92" t="str">
        <f>IF('Prod 1'!D690="","",'Prod 1'!D690)</f>
        <v/>
      </c>
      <c r="S689" s="119" t="str">
        <f>IF('Prod 1'!E690="","",'Prod 1'!E690+'BH (2)'!C689)</f>
        <v/>
      </c>
      <c r="T689" s="59"/>
      <c r="U689" s="91"/>
    </row>
    <row r="690" spans="9:21" ht="24.95" customHeight="1" x14ac:dyDescent="0.25">
      <c r="I690" s="106">
        <v>687</v>
      </c>
      <c r="J690" s="119" t="str">
        <f t="shared" si="37"/>
        <v/>
      </c>
      <c r="K690" s="92" t="str">
        <f>IF('Prod 1'!D691="","",'Prod 1'!D691)</f>
        <v/>
      </c>
      <c r="L690" s="119" t="str">
        <f>IF('Prod 1'!I691="","",'Prod 1'!I691+'BH (2)'!C690)</f>
        <v/>
      </c>
      <c r="M690" s="59"/>
      <c r="N690" s="91"/>
      <c r="Q690" s="119" t="str">
        <f t="shared" si="38"/>
        <v/>
      </c>
      <c r="R690" s="92" t="str">
        <f>IF('Prod 1'!D691="","",'Prod 1'!D691)</f>
        <v/>
      </c>
      <c r="S690" s="119" t="str">
        <f>IF('Prod 1'!E691="","",'Prod 1'!E691+'BH (2)'!C690)</f>
        <v/>
      </c>
      <c r="T690" s="59"/>
      <c r="U690" s="91"/>
    </row>
    <row r="691" spans="9:21" ht="24.95" customHeight="1" x14ac:dyDescent="0.25">
      <c r="I691" s="106">
        <v>688</v>
      </c>
      <c r="J691" s="119" t="str">
        <f t="shared" si="37"/>
        <v/>
      </c>
      <c r="K691" s="92" t="str">
        <f>IF('Prod 1'!D692="","",'Prod 1'!D692)</f>
        <v/>
      </c>
      <c r="L691" s="119" t="str">
        <f>IF('Prod 1'!I692="","",'Prod 1'!I692+'BH (2)'!C691)</f>
        <v/>
      </c>
      <c r="M691" s="59"/>
      <c r="N691" s="91"/>
      <c r="Q691" s="119" t="str">
        <f t="shared" si="38"/>
        <v/>
      </c>
      <c r="R691" s="92" t="str">
        <f>IF('Prod 1'!D692="","",'Prod 1'!D692)</f>
        <v/>
      </c>
      <c r="S691" s="119" t="str">
        <f>IF('Prod 1'!E692="","",'Prod 1'!E692+'BH (2)'!C691)</f>
        <v/>
      </c>
      <c r="T691" s="59"/>
      <c r="U691" s="91"/>
    </row>
    <row r="692" spans="9:21" ht="24.95" customHeight="1" x14ac:dyDescent="0.25">
      <c r="I692" s="106">
        <v>689</v>
      </c>
      <c r="J692" s="119" t="str">
        <f t="shared" si="37"/>
        <v/>
      </c>
      <c r="K692" s="92" t="str">
        <f>IF('Prod 1'!D693="","",'Prod 1'!D693)</f>
        <v/>
      </c>
      <c r="L692" s="119" t="str">
        <f>IF('Prod 1'!I693="","",'Prod 1'!I693+'BH (2)'!C692)</f>
        <v/>
      </c>
      <c r="M692" s="59"/>
      <c r="N692" s="91"/>
      <c r="Q692" s="119" t="str">
        <f t="shared" si="38"/>
        <v/>
      </c>
      <c r="R692" s="92" t="str">
        <f>IF('Prod 1'!D693="","",'Prod 1'!D693)</f>
        <v/>
      </c>
      <c r="S692" s="119" t="str">
        <f>IF('Prod 1'!E693="","",'Prod 1'!E693+'BH (2)'!C692)</f>
        <v/>
      </c>
      <c r="T692" s="59"/>
      <c r="U692" s="91"/>
    </row>
    <row r="693" spans="9:21" ht="24.95" customHeight="1" x14ac:dyDescent="0.25">
      <c r="I693" s="106">
        <v>690</v>
      </c>
      <c r="J693" s="119" t="str">
        <f t="shared" si="37"/>
        <v/>
      </c>
      <c r="K693" s="92" t="str">
        <f>IF('Prod 1'!D694="","",'Prod 1'!D694)</f>
        <v/>
      </c>
      <c r="L693" s="119" t="str">
        <f>IF('Prod 1'!I694="","",'Prod 1'!I694+'BH (2)'!C693)</f>
        <v/>
      </c>
      <c r="M693" s="59"/>
      <c r="N693" s="91"/>
      <c r="Q693" s="119" t="str">
        <f t="shared" si="38"/>
        <v/>
      </c>
      <c r="R693" s="92" t="str">
        <f>IF('Prod 1'!D694="","",'Prod 1'!D694)</f>
        <v/>
      </c>
      <c r="S693" s="119" t="str">
        <f>IF('Prod 1'!E694="","",'Prod 1'!E694+'BH (2)'!C693)</f>
        <v/>
      </c>
      <c r="T693" s="59"/>
      <c r="U693" s="91"/>
    </row>
    <row r="694" spans="9:21" ht="24.95" customHeight="1" x14ac:dyDescent="0.25">
      <c r="I694" s="106">
        <v>691</v>
      </c>
      <c r="J694" s="119" t="str">
        <f t="shared" si="37"/>
        <v/>
      </c>
      <c r="K694" s="92" t="str">
        <f>IF('Prod 1'!D695="","",'Prod 1'!D695)</f>
        <v/>
      </c>
      <c r="L694" s="119" t="str">
        <f>IF('Prod 1'!I695="","",'Prod 1'!I695+'BH (2)'!C694)</f>
        <v/>
      </c>
      <c r="M694" s="59"/>
      <c r="N694" s="91"/>
      <c r="Q694" s="119" t="str">
        <f t="shared" si="38"/>
        <v/>
      </c>
      <c r="R694" s="92" t="str">
        <f>IF('Prod 1'!D695="","",'Prod 1'!D695)</f>
        <v/>
      </c>
      <c r="S694" s="119" t="str">
        <f>IF('Prod 1'!E695="","",'Prod 1'!E695+'BH (2)'!C694)</f>
        <v/>
      </c>
      <c r="T694" s="59"/>
      <c r="U694" s="91"/>
    </row>
    <row r="695" spans="9:21" ht="24.95" customHeight="1" x14ac:dyDescent="0.25">
      <c r="I695" s="106">
        <v>692</v>
      </c>
      <c r="J695" s="119" t="str">
        <f t="shared" si="37"/>
        <v/>
      </c>
      <c r="K695" s="92" t="str">
        <f>IF('Prod 1'!D696="","",'Prod 1'!D696)</f>
        <v/>
      </c>
      <c r="L695" s="119" t="str">
        <f>IF('Prod 1'!I696="","",'Prod 1'!I696+'BH (2)'!C695)</f>
        <v/>
      </c>
      <c r="M695" s="59"/>
      <c r="N695" s="91"/>
      <c r="Q695" s="119" t="str">
        <f t="shared" si="38"/>
        <v/>
      </c>
      <c r="R695" s="92" t="str">
        <f>IF('Prod 1'!D696="","",'Prod 1'!D696)</f>
        <v/>
      </c>
      <c r="S695" s="119" t="str">
        <f>IF('Prod 1'!E696="","",'Prod 1'!E696+'BH (2)'!C695)</f>
        <v/>
      </c>
      <c r="T695" s="59"/>
      <c r="U695" s="91"/>
    </row>
    <row r="696" spans="9:21" ht="24.95" customHeight="1" x14ac:dyDescent="0.25">
      <c r="I696" s="106">
        <v>693</v>
      </c>
      <c r="J696" s="119" t="str">
        <f t="shared" si="37"/>
        <v/>
      </c>
      <c r="K696" s="92" t="str">
        <f>IF('Prod 1'!D697="","",'Prod 1'!D697)</f>
        <v/>
      </c>
      <c r="L696" s="119" t="str">
        <f>IF('Prod 1'!I697="","",'Prod 1'!I697+'BH (2)'!C696)</f>
        <v/>
      </c>
      <c r="M696" s="59"/>
      <c r="N696" s="91"/>
      <c r="Q696" s="119" t="str">
        <f t="shared" si="38"/>
        <v/>
      </c>
      <c r="R696" s="92" t="str">
        <f>IF('Prod 1'!D697="","",'Prod 1'!D697)</f>
        <v/>
      </c>
      <c r="S696" s="119" t="str">
        <f>IF('Prod 1'!E697="","",'Prod 1'!E697+'BH (2)'!C696)</f>
        <v/>
      </c>
      <c r="T696" s="59"/>
      <c r="U696" s="91"/>
    </row>
    <row r="697" spans="9:21" ht="24.95" customHeight="1" x14ac:dyDescent="0.25">
      <c r="I697" s="106">
        <v>694</v>
      </c>
      <c r="J697" s="119" t="str">
        <f t="shared" si="37"/>
        <v/>
      </c>
      <c r="K697" s="92" t="str">
        <f>IF('Prod 1'!D698="","",'Prod 1'!D698)</f>
        <v/>
      </c>
      <c r="L697" s="119" t="str">
        <f>IF('Prod 1'!I698="","",'Prod 1'!I698+'BH (2)'!C697)</f>
        <v/>
      </c>
      <c r="M697" s="59"/>
      <c r="N697" s="91"/>
      <c r="Q697" s="119" t="str">
        <f t="shared" si="38"/>
        <v/>
      </c>
      <c r="R697" s="92" t="str">
        <f>IF('Prod 1'!D698="","",'Prod 1'!D698)</f>
        <v/>
      </c>
      <c r="S697" s="119" t="str">
        <f>IF('Prod 1'!E698="","",'Prod 1'!E698+'BH (2)'!C697)</f>
        <v/>
      </c>
      <c r="T697" s="59"/>
      <c r="U697" s="91"/>
    </row>
    <row r="698" spans="9:21" ht="24.95" customHeight="1" x14ac:dyDescent="0.25">
      <c r="I698" s="106">
        <v>695</v>
      </c>
      <c r="J698" s="119" t="str">
        <f t="shared" si="37"/>
        <v/>
      </c>
      <c r="K698" s="92" t="str">
        <f>IF('Prod 1'!D699="","",'Prod 1'!D699)</f>
        <v/>
      </c>
      <c r="L698" s="119" t="str">
        <f>IF('Prod 1'!I699="","",'Prod 1'!I699+'BH (2)'!C698)</f>
        <v/>
      </c>
      <c r="M698" s="59"/>
      <c r="N698" s="91"/>
      <c r="Q698" s="119" t="str">
        <f t="shared" si="38"/>
        <v/>
      </c>
      <c r="R698" s="92" t="str">
        <f>IF('Prod 1'!D699="","",'Prod 1'!D699)</f>
        <v/>
      </c>
      <c r="S698" s="119" t="str">
        <f>IF('Prod 1'!E699="","",'Prod 1'!E699+'BH (2)'!C698)</f>
        <v/>
      </c>
      <c r="T698" s="59"/>
      <c r="U698" s="91"/>
    </row>
    <row r="699" spans="9:21" ht="24.95" customHeight="1" x14ac:dyDescent="0.25">
      <c r="I699" s="106">
        <v>696</v>
      </c>
      <c r="J699" s="119" t="str">
        <f t="shared" si="37"/>
        <v/>
      </c>
      <c r="K699" s="92" t="str">
        <f>IF('Prod 1'!D700="","",'Prod 1'!D700)</f>
        <v/>
      </c>
      <c r="L699" s="119" t="str">
        <f>IF('Prod 1'!I700="","",'Prod 1'!I700+'BH (2)'!C699)</f>
        <v/>
      </c>
      <c r="M699" s="59"/>
      <c r="N699" s="91"/>
      <c r="Q699" s="119" t="str">
        <f t="shared" si="38"/>
        <v/>
      </c>
      <c r="R699" s="92" t="str">
        <f>IF('Prod 1'!D700="","",'Prod 1'!D700)</f>
        <v/>
      </c>
      <c r="S699" s="119" t="str">
        <f>IF('Prod 1'!E700="","",'Prod 1'!E700+'BH (2)'!C699)</f>
        <v/>
      </c>
      <c r="T699" s="59"/>
      <c r="U699" s="91"/>
    </row>
    <row r="700" spans="9:21" ht="24.95" customHeight="1" x14ac:dyDescent="0.25">
      <c r="I700" s="106">
        <v>697</v>
      </c>
      <c r="J700" s="119" t="str">
        <f t="shared" si="37"/>
        <v/>
      </c>
      <c r="K700" s="92" t="str">
        <f>IF('Prod 1'!D701="","",'Prod 1'!D701)</f>
        <v/>
      </c>
      <c r="L700" s="119" t="str">
        <f>IF('Prod 1'!I701="","",'Prod 1'!I701+'BH (2)'!C700)</f>
        <v/>
      </c>
      <c r="M700" s="59"/>
      <c r="N700" s="91"/>
      <c r="Q700" s="119" t="str">
        <f t="shared" si="38"/>
        <v/>
      </c>
      <c r="R700" s="92" t="str">
        <f>IF('Prod 1'!D701="","",'Prod 1'!D701)</f>
        <v/>
      </c>
      <c r="S700" s="119" t="str">
        <f>IF('Prod 1'!E701="","",'Prod 1'!E701+'BH (2)'!C700)</f>
        <v/>
      </c>
      <c r="T700" s="59"/>
      <c r="U700" s="91"/>
    </row>
    <row r="701" spans="9:21" ht="24.95" customHeight="1" x14ac:dyDescent="0.25">
      <c r="I701" s="106">
        <v>698</v>
      </c>
      <c r="J701" s="119" t="str">
        <f t="shared" si="37"/>
        <v/>
      </c>
      <c r="K701" s="92" t="str">
        <f>IF('Prod 1'!D702="","",'Prod 1'!D702)</f>
        <v/>
      </c>
      <c r="L701" s="119" t="str">
        <f>IF('Prod 1'!I702="","",'Prod 1'!I702+'BH (2)'!C701)</f>
        <v/>
      </c>
      <c r="M701" s="59"/>
      <c r="N701" s="91"/>
      <c r="Q701" s="119" t="str">
        <f t="shared" si="38"/>
        <v/>
      </c>
      <c r="R701" s="92" t="str">
        <f>IF('Prod 1'!D702="","",'Prod 1'!D702)</f>
        <v/>
      </c>
      <c r="S701" s="119" t="str">
        <f>IF('Prod 1'!E702="","",'Prod 1'!E702+'BH (2)'!C701)</f>
        <v/>
      </c>
      <c r="T701" s="59"/>
      <c r="U701" s="91"/>
    </row>
    <row r="702" spans="9:21" ht="24.95" customHeight="1" x14ac:dyDescent="0.25">
      <c r="I702" s="106">
        <v>699</v>
      </c>
      <c r="J702" s="119" t="str">
        <f t="shared" si="37"/>
        <v/>
      </c>
      <c r="K702" s="92" t="str">
        <f>IF('Prod 1'!D703="","",'Prod 1'!D703)</f>
        <v/>
      </c>
      <c r="L702" s="119" t="str">
        <f>IF('Prod 1'!I703="","",'Prod 1'!I703+'BH (2)'!C702)</f>
        <v/>
      </c>
      <c r="M702" s="59"/>
      <c r="N702" s="91"/>
      <c r="Q702" s="119" t="str">
        <f t="shared" si="38"/>
        <v/>
      </c>
      <c r="R702" s="92" t="str">
        <f>IF('Prod 1'!D703="","",'Prod 1'!D703)</f>
        <v/>
      </c>
      <c r="S702" s="119" t="str">
        <f>IF('Prod 1'!E703="","",'Prod 1'!E703+'BH (2)'!C702)</f>
        <v/>
      </c>
      <c r="T702" s="59"/>
      <c r="U702" s="91"/>
    </row>
    <row r="703" spans="9:21" ht="24.95" customHeight="1" x14ac:dyDescent="0.25">
      <c r="I703" s="106">
        <v>700</v>
      </c>
      <c r="J703" s="119" t="str">
        <f t="shared" si="37"/>
        <v/>
      </c>
      <c r="K703" s="92" t="str">
        <f>IF('Prod 1'!D704="","",'Prod 1'!D704)</f>
        <v/>
      </c>
      <c r="L703" s="119" t="str">
        <f>IF('Prod 1'!I704="","",'Prod 1'!I704+'BH (2)'!C703)</f>
        <v/>
      </c>
      <c r="M703" s="59"/>
      <c r="N703" s="91"/>
      <c r="Q703" s="119" t="str">
        <f t="shared" si="38"/>
        <v/>
      </c>
      <c r="R703" s="92" t="str">
        <f>IF('Prod 1'!D704="","",'Prod 1'!D704)</f>
        <v/>
      </c>
      <c r="S703" s="119" t="str">
        <f>IF('Prod 1'!E704="","",'Prod 1'!E704+'BH (2)'!C703)</f>
        <v/>
      </c>
      <c r="T703" s="59"/>
      <c r="U703" s="91"/>
    </row>
    <row r="704" spans="9:21" ht="24.95" customHeight="1" x14ac:dyDescent="0.25">
      <c r="I704" s="106">
        <v>701</v>
      </c>
      <c r="J704" s="119" t="str">
        <f t="shared" si="37"/>
        <v/>
      </c>
      <c r="K704" s="92" t="str">
        <f>IF('Prod 1'!D705="","",'Prod 1'!D705)</f>
        <v/>
      </c>
      <c r="L704" s="119" t="str">
        <f>IF('Prod 1'!I705="","",'Prod 1'!I705+'BH (2)'!C704)</f>
        <v/>
      </c>
      <c r="M704" s="59"/>
      <c r="N704" s="91"/>
      <c r="Q704" s="119" t="str">
        <f t="shared" si="38"/>
        <v/>
      </c>
      <c r="R704" s="92" t="str">
        <f>IF('Prod 1'!D705="","",'Prod 1'!D705)</f>
        <v/>
      </c>
      <c r="S704" s="119" t="str">
        <f>IF('Prod 1'!E705="","",'Prod 1'!E705+'BH (2)'!C704)</f>
        <v/>
      </c>
      <c r="T704" s="59"/>
      <c r="U704" s="91"/>
    </row>
    <row r="705" spans="9:21" ht="24.95" customHeight="1" x14ac:dyDescent="0.25">
      <c r="I705" s="106">
        <v>702</v>
      </c>
      <c r="J705" s="119" t="str">
        <f t="shared" si="37"/>
        <v/>
      </c>
      <c r="K705" s="92" t="str">
        <f>IF('Prod 1'!D706="","",'Prod 1'!D706)</f>
        <v/>
      </c>
      <c r="L705" s="119" t="str">
        <f>IF('Prod 1'!I706="","",'Prod 1'!I706+'BH (2)'!C705)</f>
        <v/>
      </c>
      <c r="M705" s="59"/>
      <c r="N705" s="91"/>
      <c r="Q705" s="119" t="str">
        <f t="shared" si="38"/>
        <v/>
      </c>
      <c r="R705" s="92" t="str">
        <f>IF('Prod 1'!D706="","",'Prod 1'!D706)</f>
        <v/>
      </c>
      <c r="S705" s="119" t="str">
        <f>IF('Prod 1'!E706="","",'Prod 1'!E706+'BH (2)'!C705)</f>
        <v/>
      </c>
      <c r="T705" s="59"/>
      <c r="U705" s="91"/>
    </row>
    <row r="706" spans="9:21" ht="24.95" customHeight="1" x14ac:dyDescent="0.25">
      <c r="I706" s="106">
        <v>703</v>
      </c>
      <c r="J706" s="119" t="str">
        <f t="shared" si="37"/>
        <v/>
      </c>
      <c r="K706" s="92" t="str">
        <f>IF('Prod 1'!D707="","",'Prod 1'!D707)</f>
        <v/>
      </c>
      <c r="L706" s="119" t="str">
        <f>IF('Prod 1'!I707="","",'Prod 1'!I707+'BH (2)'!C706)</f>
        <v/>
      </c>
      <c r="M706" s="59"/>
      <c r="N706" s="91"/>
      <c r="Q706" s="119" t="str">
        <f t="shared" si="38"/>
        <v/>
      </c>
      <c r="R706" s="92" t="str">
        <f>IF('Prod 1'!D707="","",'Prod 1'!D707)</f>
        <v/>
      </c>
      <c r="S706" s="119" t="str">
        <f>IF('Prod 1'!E707="","",'Prod 1'!E707+'BH (2)'!C706)</f>
        <v/>
      </c>
      <c r="T706" s="59"/>
      <c r="U706" s="91"/>
    </row>
    <row r="707" spans="9:21" ht="24.95" customHeight="1" x14ac:dyDescent="0.25">
      <c r="I707" s="106">
        <v>704</v>
      </c>
      <c r="J707" s="119" t="str">
        <f t="shared" si="37"/>
        <v/>
      </c>
      <c r="K707" s="92" t="str">
        <f>IF('Prod 1'!D708="","",'Prod 1'!D708)</f>
        <v/>
      </c>
      <c r="L707" s="119" t="str">
        <f>IF('Prod 1'!I708="","",'Prod 1'!I708+'BH (2)'!C707)</f>
        <v/>
      </c>
      <c r="M707" s="59"/>
      <c r="N707" s="91"/>
      <c r="Q707" s="119" t="str">
        <f t="shared" si="38"/>
        <v/>
      </c>
      <c r="R707" s="92" t="str">
        <f>IF('Prod 1'!D708="","",'Prod 1'!D708)</f>
        <v/>
      </c>
      <c r="S707" s="119" t="str">
        <f>IF('Prod 1'!E708="","",'Prod 1'!E708+'BH (2)'!C707)</f>
        <v/>
      </c>
      <c r="T707" s="59"/>
      <c r="U707" s="91"/>
    </row>
    <row r="708" spans="9:21" ht="24.95" customHeight="1" x14ac:dyDescent="0.25">
      <c r="I708" s="106">
        <v>705</v>
      </c>
      <c r="J708" s="119" t="str">
        <f t="shared" si="37"/>
        <v/>
      </c>
      <c r="K708" s="92" t="str">
        <f>IF('Prod 1'!D709="","",'Prod 1'!D709)</f>
        <v/>
      </c>
      <c r="L708" s="119" t="str">
        <f>IF('Prod 1'!I709="","",'Prod 1'!I709+'BH (2)'!C708)</f>
        <v/>
      </c>
      <c r="M708" s="59"/>
      <c r="N708" s="91"/>
      <c r="Q708" s="119" t="str">
        <f t="shared" si="38"/>
        <v/>
      </c>
      <c r="R708" s="92" t="str">
        <f>IF('Prod 1'!D709="","",'Prod 1'!D709)</f>
        <v/>
      </c>
      <c r="S708" s="119" t="str">
        <f>IF('Prod 1'!E709="","",'Prod 1'!E709+'BH (2)'!C708)</f>
        <v/>
      </c>
      <c r="T708" s="59"/>
      <c r="U708" s="91"/>
    </row>
    <row r="709" spans="9:21" ht="24.95" customHeight="1" x14ac:dyDescent="0.25">
      <c r="I709" s="106">
        <v>706</v>
      </c>
      <c r="J709" s="119" t="str">
        <f t="shared" ref="J709:J772" si="39">L709</f>
        <v/>
      </c>
      <c r="K709" s="92" t="str">
        <f>IF('Prod 1'!D710="","",'Prod 1'!D710)</f>
        <v/>
      </c>
      <c r="L709" s="119" t="str">
        <f>IF('Prod 1'!I710="","",'Prod 1'!I710+'BH (2)'!C709)</f>
        <v/>
      </c>
      <c r="M709" s="59"/>
      <c r="N709" s="91"/>
      <c r="Q709" s="119" t="str">
        <f t="shared" ref="Q709:Q772" si="40">S709</f>
        <v/>
      </c>
      <c r="R709" s="92" t="str">
        <f>IF('Prod 1'!D710="","",'Prod 1'!D710)</f>
        <v/>
      </c>
      <c r="S709" s="119" t="str">
        <f>IF('Prod 1'!E710="","",'Prod 1'!E710+'BH (2)'!C709)</f>
        <v/>
      </c>
      <c r="T709" s="59"/>
      <c r="U709" s="91"/>
    </row>
    <row r="710" spans="9:21" ht="24.95" customHeight="1" x14ac:dyDescent="0.25">
      <c r="I710" s="106">
        <v>707</v>
      </c>
      <c r="J710" s="119" t="str">
        <f t="shared" si="39"/>
        <v/>
      </c>
      <c r="K710" s="92" t="str">
        <f>IF('Prod 1'!D711="","",'Prod 1'!D711)</f>
        <v/>
      </c>
      <c r="L710" s="119" t="str">
        <f>IF('Prod 1'!I711="","",'Prod 1'!I711+'BH (2)'!C710)</f>
        <v/>
      </c>
      <c r="M710" s="59"/>
      <c r="N710" s="91"/>
      <c r="Q710" s="119" t="str">
        <f t="shared" si="40"/>
        <v/>
      </c>
      <c r="R710" s="92" t="str">
        <f>IF('Prod 1'!D711="","",'Prod 1'!D711)</f>
        <v/>
      </c>
      <c r="S710" s="119" t="str">
        <f>IF('Prod 1'!E711="","",'Prod 1'!E711+'BH (2)'!C710)</f>
        <v/>
      </c>
      <c r="T710" s="59"/>
      <c r="U710" s="91"/>
    </row>
    <row r="711" spans="9:21" ht="24.95" customHeight="1" x14ac:dyDescent="0.25">
      <c r="I711" s="106">
        <v>708</v>
      </c>
      <c r="J711" s="119" t="str">
        <f t="shared" si="39"/>
        <v/>
      </c>
      <c r="K711" s="92" t="str">
        <f>IF('Prod 1'!D712="","",'Prod 1'!D712)</f>
        <v/>
      </c>
      <c r="L711" s="119" t="str">
        <f>IF('Prod 1'!I712="","",'Prod 1'!I712+'BH (2)'!C711)</f>
        <v/>
      </c>
      <c r="M711" s="59"/>
      <c r="N711" s="91"/>
      <c r="Q711" s="119" t="str">
        <f t="shared" si="40"/>
        <v/>
      </c>
      <c r="R711" s="92" t="str">
        <f>IF('Prod 1'!D712="","",'Prod 1'!D712)</f>
        <v/>
      </c>
      <c r="S711" s="119" t="str">
        <f>IF('Prod 1'!E712="","",'Prod 1'!E712+'BH (2)'!C711)</f>
        <v/>
      </c>
      <c r="T711" s="59"/>
      <c r="U711" s="91"/>
    </row>
    <row r="712" spans="9:21" ht="24.95" customHeight="1" x14ac:dyDescent="0.25">
      <c r="I712" s="106">
        <v>709</v>
      </c>
      <c r="J712" s="119" t="str">
        <f t="shared" si="39"/>
        <v/>
      </c>
      <c r="K712" s="92" t="str">
        <f>IF('Prod 1'!D713="","",'Prod 1'!D713)</f>
        <v/>
      </c>
      <c r="L712" s="119" t="str">
        <f>IF('Prod 1'!I713="","",'Prod 1'!I713+'BH (2)'!C712)</f>
        <v/>
      </c>
      <c r="M712" s="59"/>
      <c r="N712" s="91"/>
      <c r="Q712" s="119" t="str">
        <f t="shared" si="40"/>
        <v/>
      </c>
      <c r="R712" s="92" t="str">
        <f>IF('Prod 1'!D713="","",'Prod 1'!D713)</f>
        <v/>
      </c>
      <c r="S712" s="119" t="str">
        <f>IF('Prod 1'!E713="","",'Prod 1'!E713+'BH (2)'!C712)</f>
        <v/>
      </c>
      <c r="T712" s="59"/>
      <c r="U712" s="91"/>
    </row>
    <row r="713" spans="9:21" ht="24.95" customHeight="1" x14ac:dyDescent="0.25">
      <c r="I713" s="106">
        <v>710</v>
      </c>
      <c r="J713" s="119" t="str">
        <f t="shared" si="39"/>
        <v/>
      </c>
      <c r="K713" s="92" t="str">
        <f>IF('Prod 1'!D714="","",'Prod 1'!D714)</f>
        <v/>
      </c>
      <c r="L713" s="119" t="str">
        <f>IF('Prod 1'!I714="","",'Prod 1'!I714+'BH (2)'!C713)</f>
        <v/>
      </c>
      <c r="M713" s="59"/>
      <c r="N713" s="91"/>
      <c r="Q713" s="119" t="str">
        <f t="shared" si="40"/>
        <v/>
      </c>
      <c r="R713" s="92" t="str">
        <f>IF('Prod 1'!D714="","",'Prod 1'!D714)</f>
        <v/>
      </c>
      <c r="S713" s="119" t="str">
        <f>IF('Prod 1'!E714="","",'Prod 1'!E714+'BH (2)'!C713)</f>
        <v/>
      </c>
      <c r="T713" s="59"/>
      <c r="U713" s="91"/>
    </row>
    <row r="714" spans="9:21" ht="24.95" customHeight="1" x14ac:dyDescent="0.25">
      <c r="I714" s="106">
        <v>711</v>
      </c>
      <c r="J714" s="119" t="str">
        <f t="shared" si="39"/>
        <v/>
      </c>
      <c r="K714" s="92" t="str">
        <f>IF('Prod 1'!D715="","",'Prod 1'!D715)</f>
        <v/>
      </c>
      <c r="L714" s="119" t="str">
        <f>IF('Prod 1'!I715="","",'Prod 1'!I715+'BH (2)'!C714)</f>
        <v/>
      </c>
      <c r="M714" s="59"/>
      <c r="N714" s="91"/>
      <c r="Q714" s="119" t="str">
        <f t="shared" si="40"/>
        <v/>
      </c>
      <c r="R714" s="92" t="str">
        <f>IF('Prod 1'!D715="","",'Prod 1'!D715)</f>
        <v/>
      </c>
      <c r="S714" s="119" t="str">
        <f>IF('Prod 1'!E715="","",'Prod 1'!E715+'BH (2)'!C714)</f>
        <v/>
      </c>
      <c r="T714" s="59"/>
      <c r="U714" s="91"/>
    </row>
    <row r="715" spans="9:21" ht="24.95" customHeight="1" x14ac:dyDescent="0.25">
      <c r="I715" s="106">
        <v>712</v>
      </c>
      <c r="J715" s="119" t="str">
        <f t="shared" si="39"/>
        <v/>
      </c>
      <c r="K715" s="92" t="str">
        <f>IF('Prod 1'!D716="","",'Prod 1'!D716)</f>
        <v/>
      </c>
      <c r="L715" s="119" t="str">
        <f>IF('Prod 1'!I716="","",'Prod 1'!I716+'BH (2)'!C715)</f>
        <v/>
      </c>
      <c r="M715" s="59"/>
      <c r="N715" s="91"/>
      <c r="Q715" s="119" t="str">
        <f t="shared" si="40"/>
        <v/>
      </c>
      <c r="R715" s="92" t="str">
        <f>IF('Prod 1'!D716="","",'Prod 1'!D716)</f>
        <v/>
      </c>
      <c r="S715" s="119" t="str">
        <f>IF('Prod 1'!E716="","",'Prod 1'!E716+'BH (2)'!C715)</f>
        <v/>
      </c>
      <c r="T715" s="59"/>
      <c r="U715" s="91"/>
    </row>
    <row r="716" spans="9:21" ht="24.95" customHeight="1" x14ac:dyDescent="0.25">
      <c r="I716" s="106">
        <v>713</v>
      </c>
      <c r="J716" s="119" t="str">
        <f t="shared" si="39"/>
        <v/>
      </c>
      <c r="K716" s="92" t="str">
        <f>IF('Prod 1'!D717="","",'Prod 1'!D717)</f>
        <v/>
      </c>
      <c r="L716" s="119" t="str">
        <f>IF('Prod 1'!I717="","",'Prod 1'!I717+'BH (2)'!C716)</f>
        <v/>
      </c>
      <c r="M716" s="59"/>
      <c r="N716" s="91"/>
      <c r="Q716" s="119" t="str">
        <f t="shared" si="40"/>
        <v/>
      </c>
      <c r="R716" s="92" t="str">
        <f>IF('Prod 1'!D717="","",'Prod 1'!D717)</f>
        <v/>
      </c>
      <c r="S716" s="119" t="str">
        <f>IF('Prod 1'!E717="","",'Prod 1'!E717+'BH (2)'!C716)</f>
        <v/>
      </c>
      <c r="T716" s="59"/>
      <c r="U716" s="91"/>
    </row>
    <row r="717" spans="9:21" ht="24.95" customHeight="1" x14ac:dyDescent="0.25">
      <c r="I717" s="106">
        <v>714</v>
      </c>
      <c r="J717" s="119" t="str">
        <f t="shared" si="39"/>
        <v/>
      </c>
      <c r="K717" s="92" t="str">
        <f>IF('Prod 1'!D718="","",'Prod 1'!D718)</f>
        <v/>
      </c>
      <c r="L717" s="119" t="str">
        <f>IF('Prod 1'!I718="","",'Prod 1'!I718+'BH (2)'!C717)</f>
        <v/>
      </c>
      <c r="M717" s="59"/>
      <c r="N717" s="91"/>
      <c r="Q717" s="119" t="str">
        <f t="shared" si="40"/>
        <v/>
      </c>
      <c r="R717" s="92" t="str">
        <f>IF('Prod 1'!D718="","",'Prod 1'!D718)</f>
        <v/>
      </c>
      <c r="S717" s="119" t="str">
        <f>IF('Prod 1'!E718="","",'Prod 1'!E718+'BH (2)'!C717)</f>
        <v/>
      </c>
      <c r="T717" s="59"/>
      <c r="U717" s="91"/>
    </row>
    <row r="718" spans="9:21" ht="24.95" customHeight="1" x14ac:dyDescent="0.25">
      <c r="I718" s="106">
        <v>715</v>
      </c>
      <c r="J718" s="119" t="str">
        <f t="shared" si="39"/>
        <v/>
      </c>
      <c r="K718" s="92" t="str">
        <f>IF('Prod 1'!D719="","",'Prod 1'!D719)</f>
        <v/>
      </c>
      <c r="L718" s="119" t="str">
        <f>IF('Prod 1'!I719="","",'Prod 1'!I719+'BH (2)'!C718)</f>
        <v/>
      </c>
      <c r="M718" s="59"/>
      <c r="N718" s="91"/>
      <c r="Q718" s="119" t="str">
        <f t="shared" si="40"/>
        <v/>
      </c>
      <c r="R718" s="92" t="str">
        <f>IF('Prod 1'!D719="","",'Prod 1'!D719)</f>
        <v/>
      </c>
      <c r="S718" s="119" t="str">
        <f>IF('Prod 1'!E719="","",'Prod 1'!E719+'BH (2)'!C718)</f>
        <v/>
      </c>
      <c r="T718" s="59"/>
      <c r="U718" s="91"/>
    </row>
    <row r="719" spans="9:21" ht="24.95" customHeight="1" x14ac:dyDescent="0.25">
      <c r="I719" s="106">
        <v>716</v>
      </c>
      <c r="J719" s="119" t="str">
        <f t="shared" si="39"/>
        <v/>
      </c>
      <c r="K719" s="92" t="str">
        <f>IF('Prod 1'!D720="","",'Prod 1'!D720)</f>
        <v/>
      </c>
      <c r="L719" s="119" t="str">
        <f>IF('Prod 1'!I720="","",'Prod 1'!I720+'BH (2)'!C719)</f>
        <v/>
      </c>
      <c r="M719" s="59"/>
      <c r="N719" s="91"/>
      <c r="Q719" s="119" t="str">
        <f t="shared" si="40"/>
        <v/>
      </c>
      <c r="R719" s="92" t="str">
        <f>IF('Prod 1'!D720="","",'Prod 1'!D720)</f>
        <v/>
      </c>
      <c r="S719" s="119" t="str">
        <f>IF('Prod 1'!E720="","",'Prod 1'!E720+'BH (2)'!C719)</f>
        <v/>
      </c>
      <c r="T719" s="59"/>
      <c r="U719" s="91"/>
    </row>
    <row r="720" spans="9:21" ht="24.95" customHeight="1" x14ac:dyDescent="0.25">
      <c r="I720" s="106">
        <v>717</v>
      </c>
      <c r="J720" s="119" t="str">
        <f t="shared" si="39"/>
        <v/>
      </c>
      <c r="K720" s="92" t="str">
        <f>IF('Prod 1'!D721="","",'Prod 1'!D721)</f>
        <v/>
      </c>
      <c r="L720" s="119" t="str">
        <f>IF('Prod 1'!I721="","",'Prod 1'!I721+'BH (2)'!C720)</f>
        <v/>
      </c>
      <c r="M720" s="59"/>
      <c r="N720" s="91"/>
      <c r="Q720" s="119" t="str">
        <f t="shared" si="40"/>
        <v/>
      </c>
      <c r="R720" s="92" t="str">
        <f>IF('Prod 1'!D721="","",'Prod 1'!D721)</f>
        <v/>
      </c>
      <c r="S720" s="119" t="str">
        <f>IF('Prod 1'!E721="","",'Prod 1'!E721+'BH (2)'!C720)</f>
        <v/>
      </c>
      <c r="T720" s="59"/>
      <c r="U720" s="91"/>
    </row>
    <row r="721" spans="9:21" ht="24.95" customHeight="1" x14ac:dyDescent="0.25">
      <c r="I721" s="106">
        <v>718</v>
      </c>
      <c r="J721" s="119" t="str">
        <f t="shared" si="39"/>
        <v/>
      </c>
      <c r="K721" s="92" t="str">
        <f>IF('Prod 1'!D722="","",'Prod 1'!D722)</f>
        <v/>
      </c>
      <c r="L721" s="119" t="str">
        <f>IF('Prod 1'!I722="","",'Prod 1'!I722+'BH (2)'!C721)</f>
        <v/>
      </c>
      <c r="M721" s="59"/>
      <c r="N721" s="91"/>
      <c r="Q721" s="119" t="str">
        <f t="shared" si="40"/>
        <v/>
      </c>
      <c r="R721" s="92" t="str">
        <f>IF('Prod 1'!D722="","",'Prod 1'!D722)</f>
        <v/>
      </c>
      <c r="S721" s="119" t="str">
        <f>IF('Prod 1'!E722="","",'Prod 1'!E722+'BH (2)'!C721)</f>
        <v/>
      </c>
      <c r="T721" s="59"/>
      <c r="U721" s="91"/>
    </row>
    <row r="722" spans="9:21" ht="24.95" customHeight="1" x14ac:dyDescent="0.25">
      <c r="I722" s="106">
        <v>719</v>
      </c>
      <c r="J722" s="119" t="str">
        <f t="shared" si="39"/>
        <v/>
      </c>
      <c r="K722" s="92" t="str">
        <f>IF('Prod 1'!D723="","",'Prod 1'!D723)</f>
        <v/>
      </c>
      <c r="L722" s="119" t="str">
        <f>IF('Prod 1'!I723="","",'Prod 1'!I723+'BH (2)'!C722)</f>
        <v/>
      </c>
      <c r="M722" s="59"/>
      <c r="N722" s="91"/>
      <c r="Q722" s="119" t="str">
        <f t="shared" si="40"/>
        <v/>
      </c>
      <c r="R722" s="92" t="str">
        <f>IF('Prod 1'!D723="","",'Prod 1'!D723)</f>
        <v/>
      </c>
      <c r="S722" s="119" t="str">
        <f>IF('Prod 1'!E723="","",'Prod 1'!E723+'BH (2)'!C722)</f>
        <v/>
      </c>
      <c r="T722" s="59"/>
      <c r="U722" s="91"/>
    </row>
    <row r="723" spans="9:21" ht="24.95" customHeight="1" x14ac:dyDescent="0.25">
      <c r="I723" s="106">
        <v>720</v>
      </c>
      <c r="J723" s="119" t="str">
        <f t="shared" si="39"/>
        <v/>
      </c>
      <c r="K723" s="92" t="str">
        <f>IF('Prod 1'!D724="","",'Prod 1'!D724)</f>
        <v/>
      </c>
      <c r="L723" s="119" t="str">
        <f>IF('Prod 1'!I724="","",'Prod 1'!I724+'BH (2)'!C723)</f>
        <v/>
      </c>
      <c r="M723" s="59"/>
      <c r="N723" s="91"/>
      <c r="Q723" s="119" t="str">
        <f t="shared" si="40"/>
        <v/>
      </c>
      <c r="R723" s="92" t="str">
        <f>IF('Prod 1'!D724="","",'Prod 1'!D724)</f>
        <v/>
      </c>
      <c r="S723" s="119" t="str">
        <f>IF('Prod 1'!E724="","",'Prod 1'!E724+'BH (2)'!C723)</f>
        <v/>
      </c>
      <c r="T723" s="59"/>
      <c r="U723" s="91"/>
    </row>
    <row r="724" spans="9:21" ht="24.95" customHeight="1" x14ac:dyDescent="0.25">
      <c r="I724" s="106">
        <v>721</v>
      </c>
      <c r="J724" s="119" t="str">
        <f t="shared" si="39"/>
        <v/>
      </c>
      <c r="K724" s="92" t="str">
        <f>IF('Prod 1'!D725="","",'Prod 1'!D725)</f>
        <v/>
      </c>
      <c r="L724" s="119" t="str">
        <f>IF('Prod 1'!I725="","",'Prod 1'!I725+'BH (2)'!C724)</f>
        <v/>
      </c>
      <c r="M724" s="59"/>
      <c r="N724" s="91"/>
      <c r="Q724" s="119" t="str">
        <f t="shared" si="40"/>
        <v/>
      </c>
      <c r="R724" s="92" t="str">
        <f>IF('Prod 1'!D725="","",'Prod 1'!D725)</f>
        <v/>
      </c>
      <c r="S724" s="119" t="str">
        <f>IF('Prod 1'!E725="","",'Prod 1'!E725+'BH (2)'!C724)</f>
        <v/>
      </c>
      <c r="T724" s="59"/>
      <c r="U724" s="91"/>
    </row>
    <row r="725" spans="9:21" ht="24.95" customHeight="1" x14ac:dyDescent="0.25">
      <c r="I725" s="106">
        <v>722</v>
      </c>
      <c r="J725" s="119" t="str">
        <f t="shared" si="39"/>
        <v/>
      </c>
      <c r="K725" s="92" t="str">
        <f>IF('Prod 1'!D726="","",'Prod 1'!D726)</f>
        <v/>
      </c>
      <c r="L725" s="119" t="str">
        <f>IF('Prod 1'!I726="","",'Prod 1'!I726+'BH (2)'!C725)</f>
        <v/>
      </c>
      <c r="M725" s="59"/>
      <c r="N725" s="91"/>
      <c r="Q725" s="119" t="str">
        <f t="shared" si="40"/>
        <v/>
      </c>
      <c r="R725" s="92" t="str">
        <f>IF('Prod 1'!D726="","",'Prod 1'!D726)</f>
        <v/>
      </c>
      <c r="S725" s="119" t="str">
        <f>IF('Prod 1'!E726="","",'Prod 1'!E726+'BH (2)'!C725)</f>
        <v/>
      </c>
      <c r="T725" s="59"/>
      <c r="U725" s="91"/>
    </row>
    <row r="726" spans="9:21" ht="24.95" customHeight="1" x14ac:dyDescent="0.25">
      <c r="I726" s="106">
        <v>723</v>
      </c>
      <c r="J726" s="119" t="str">
        <f t="shared" si="39"/>
        <v/>
      </c>
      <c r="K726" s="92" t="str">
        <f>IF('Prod 1'!D727="","",'Prod 1'!D727)</f>
        <v/>
      </c>
      <c r="L726" s="119" t="str">
        <f>IF('Prod 1'!I727="","",'Prod 1'!I727+'BH (2)'!C726)</f>
        <v/>
      </c>
      <c r="M726" s="59"/>
      <c r="N726" s="91"/>
      <c r="Q726" s="119" t="str">
        <f t="shared" si="40"/>
        <v/>
      </c>
      <c r="R726" s="92" t="str">
        <f>IF('Prod 1'!D727="","",'Prod 1'!D727)</f>
        <v/>
      </c>
      <c r="S726" s="119" t="str">
        <f>IF('Prod 1'!E727="","",'Prod 1'!E727+'BH (2)'!C726)</f>
        <v/>
      </c>
      <c r="T726" s="59"/>
      <c r="U726" s="91"/>
    </row>
    <row r="727" spans="9:21" ht="24.95" customHeight="1" x14ac:dyDescent="0.25">
      <c r="I727" s="106">
        <v>724</v>
      </c>
      <c r="J727" s="119" t="str">
        <f t="shared" si="39"/>
        <v/>
      </c>
      <c r="K727" s="92" t="str">
        <f>IF('Prod 1'!D728="","",'Prod 1'!D728)</f>
        <v/>
      </c>
      <c r="L727" s="119" t="str">
        <f>IF('Prod 1'!I728="","",'Prod 1'!I728+'BH (2)'!C727)</f>
        <v/>
      </c>
      <c r="M727" s="59"/>
      <c r="N727" s="91"/>
      <c r="Q727" s="119" t="str">
        <f t="shared" si="40"/>
        <v/>
      </c>
      <c r="R727" s="92" t="str">
        <f>IF('Prod 1'!D728="","",'Prod 1'!D728)</f>
        <v/>
      </c>
      <c r="S727" s="119" t="str">
        <f>IF('Prod 1'!E728="","",'Prod 1'!E728+'BH (2)'!C727)</f>
        <v/>
      </c>
      <c r="T727" s="59"/>
      <c r="U727" s="91"/>
    </row>
    <row r="728" spans="9:21" ht="24.95" customHeight="1" x14ac:dyDescent="0.25">
      <c r="I728" s="106">
        <v>725</v>
      </c>
      <c r="J728" s="119" t="str">
        <f t="shared" si="39"/>
        <v/>
      </c>
      <c r="K728" s="92" t="str">
        <f>IF('Prod 1'!D729="","",'Prod 1'!D729)</f>
        <v/>
      </c>
      <c r="L728" s="119" t="str">
        <f>IF('Prod 1'!I729="","",'Prod 1'!I729+'BH (2)'!C728)</f>
        <v/>
      </c>
      <c r="M728" s="59"/>
      <c r="N728" s="91"/>
      <c r="Q728" s="119" t="str">
        <f t="shared" si="40"/>
        <v/>
      </c>
      <c r="R728" s="92" t="str">
        <f>IF('Prod 1'!D729="","",'Prod 1'!D729)</f>
        <v/>
      </c>
      <c r="S728" s="119" t="str">
        <f>IF('Prod 1'!E729="","",'Prod 1'!E729+'BH (2)'!C728)</f>
        <v/>
      </c>
      <c r="T728" s="59"/>
      <c r="U728" s="91"/>
    </row>
    <row r="729" spans="9:21" ht="24.95" customHeight="1" x14ac:dyDescent="0.25">
      <c r="I729" s="106">
        <v>726</v>
      </c>
      <c r="J729" s="119" t="str">
        <f t="shared" si="39"/>
        <v/>
      </c>
      <c r="K729" s="92" t="str">
        <f>IF('Prod 1'!D730="","",'Prod 1'!D730)</f>
        <v/>
      </c>
      <c r="L729" s="119" t="str">
        <f>IF('Prod 1'!I730="","",'Prod 1'!I730+'BH (2)'!C729)</f>
        <v/>
      </c>
      <c r="M729" s="59"/>
      <c r="N729" s="91"/>
      <c r="Q729" s="119" t="str">
        <f t="shared" si="40"/>
        <v/>
      </c>
      <c r="R729" s="92" t="str">
        <f>IF('Prod 1'!D730="","",'Prod 1'!D730)</f>
        <v/>
      </c>
      <c r="S729" s="119" t="str">
        <f>IF('Prod 1'!E730="","",'Prod 1'!E730+'BH (2)'!C729)</f>
        <v/>
      </c>
      <c r="T729" s="59"/>
      <c r="U729" s="91"/>
    </row>
    <row r="730" spans="9:21" ht="24.95" customHeight="1" x14ac:dyDescent="0.25">
      <c r="I730" s="106">
        <v>727</v>
      </c>
      <c r="J730" s="119" t="str">
        <f t="shared" si="39"/>
        <v/>
      </c>
      <c r="K730" s="92" t="str">
        <f>IF('Prod 1'!D731="","",'Prod 1'!D731)</f>
        <v/>
      </c>
      <c r="L730" s="119" t="str">
        <f>IF('Prod 1'!I731="","",'Prod 1'!I731+'BH (2)'!C730)</f>
        <v/>
      </c>
      <c r="M730" s="59"/>
      <c r="N730" s="91"/>
      <c r="Q730" s="119" t="str">
        <f t="shared" si="40"/>
        <v/>
      </c>
      <c r="R730" s="92" t="str">
        <f>IF('Prod 1'!D731="","",'Prod 1'!D731)</f>
        <v/>
      </c>
      <c r="S730" s="119" t="str">
        <f>IF('Prod 1'!E731="","",'Prod 1'!E731+'BH (2)'!C730)</f>
        <v/>
      </c>
      <c r="T730" s="59"/>
      <c r="U730" s="91"/>
    </row>
    <row r="731" spans="9:21" ht="24.95" customHeight="1" x14ac:dyDescent="0.25">
      <c r="I731" s="106">
        <v>728</v>
      </c>
      <c r="J731" s="119" t="str">
        <f t="shared" si="39"/>
        <v/>
      </c>
      <c r="K731" s="92" t="str">
        <f>IF('Prod 1'!D732="","",'Prod 1'!D732)</f>
        <v/>
      </c>
      <c r="L731" s="119" t="str">
        <f>IF('Prod 1'!I732="","",'Prod 1'!I732+'BH (2)'!C731)</f>
        <v/>
      </c>
      <c r="M731" s="59"/>
      <c r="N731" s="91"/>
      <c r="Q731" s="119" t="str">
        <f t="shared" si="40"/>
        <v/>
      </c>
      <c r="R731" s="92" t="str">
        <f>IF('Prod 1'!D732="","",'Prod 1'!D732)</f>
        <v/>
      </c>
      <c r="S731" s="119" t="str">
        <f>IF('Prod 1'!E732="","",'Prod 1'!E732+'BH (2)'!C731)</f>
        <v/>
      </c>
      <c r="T731" s="59"/>
      <c r="U731" s="91"/>
    </row>
    <row r="732" spans="9:21" ht="24.95" customHeight="1" x14ac:dyDescent="0.25">
      <c r="I732" s="106">
        <v>729</v>
      </c>
      <c r="J732" s="119" t="str">
        <f t="shared" si="39"/>
        <v/>
      </c>
      <c r="K732" s="92" t="str">
        <f>IF('Prod 1'!D733="","",'Prod 1'!D733)</f>
        <v/>
      </c>
      <c r="L732" s="119" t="str">
        <f>IF('Prod 1'!I733="","",'Prod 1'!I733+'BH (2)'!C732)</f>
        <v/>
      </c>
      <c r="M732" s="59"/>
      <c r="N732" s="91"/>
      <c r="Q732" s="119" t="str">
        <f t="shared" si="40"/>
        <v/>
      </c>
      <c r="R732" s="92" t="str">
        <f>IF('Prod 1'!D733="","",'Prod 1'!D733)</f>
        <v/>
      </c>
      <c r="S732" s="119" t="str">
        <f>IF('Prod 1'!E733="","",'Prod 1'!E733+'BH (2)'!C732)</f>
        <v/>
      </c>
      <c r="T732" s="59"/>
      <c r="U732" s="91"/>
    </row>
    <row r="733" spans="9:21" ht="24.95" customHeight="1" x14ac:dyDescent="0.25">
      <c r="I733" s="106">
        <v>730</v>
      </c>
      <c r="J733" s="119" t="str">
        <f t="shared" si="39"/>
        <v/>
      </c>
      <c r="K733" s="92" t="str">
        <f>IF('Prod 1'!D734="","",'Prod 1'!D734)</f>
        <v/>
      </c>
      <c r="L733" s="119" t="str">
        <f>IF('Prod 1'!I734="","",'Prod 1'!I734+'BH (2)'!C733)</f>
        <v/>
      </c>
      <c r="M733" s="59"/>
      <c r="N733" s="91"/>
      <c r="Q733" s="119" t="str">
        <f t="shared" si="40"/>
        <v/>
      </c>
      <c r="R733" s="92" t="str">
        <f>IF('Prod 1'!D734="","",'Prod 1'!D734)</f>
        <v/>
      </c>
      <c r="S733" s="119" t="str">
        <f>IF('Prod 1'!E734="","",'Prod 1'!E734+'BH (2)'!C733)</f>
        <v/>
      </c>
      <c r="T733" s="59"/>
      <c r="U733" s="91"/>
    </row>
    <row r="734" spans="9:21" ht="24.95" customHeight="1" x14ac:dyDescent="0.25">
      <c r="I734" s="106">
        <v>731</v>
      </c>
      <c r="J734" s="119" t="str">
        <f t="shared" si="39"/>
        <v/>
      </c>
      <c r="K734" s="92" t="str">
        <f>IF('Prod 1'!D735="","",'Prod 1'!D735)</f>
        <v/>
      </c>
      <c r="L734" s="119" t="str">
        <f>IF('Prod 1'!I735="","",'Prod 1'!I735+'BH (2)'!C734)</f>
        <v/>
      </c>
      <c r="M734" s="59"/>
      <c r="N734" s="91"/>
      <c r="Q734" s="119" t="str">
        <f t="shared" si="40"/>
        <v/>
      </c>
      <c r="R734" s="92" t="str">
        <f>IF('Prod 1'!D735="","",'Prod 1'!D735)</f>
        <v/>
      </c>
      <c r="S734" s="119" t="str">
        <f>IF('Prod 1'!E735="","",'Prod 1'!E735+'BH (2)'!C734)</f>
        <v/>
      </c>
      <c r="T734" s="59"/>
      <c r="U734" s="91"/>
    </row>
    <row r="735" spans="9:21" ht="24.95" customHeight="1" x14ac:dyDescent="0.25">
      <c r="I735" s="106">
        <v>732</v>
      </c>
      <c r="J735" s="119" t="str">
        <f t="shared" si="39"/>
        <v/>
      </c>
      <c r="K735" s="92" t="str">
        <f>IF('Prod 1'!D736="","",'Prod 1'!D736)</f>
        <v/>
      </c>
      <c r="L735" s="119" t="str">
        <f>IF('Prod 1'!I736="","",'Prod 1'!I736+'BH (2)'!C735)</f>
        <v/>
      </c>
      <c r="M735" s="59"/>
      <c r="N735" s="91"/>
      <c r="Q735" s="119" t="str">
        <f t="shared" si="40"/>
        <v/>
      </c>
      <c r="R735" s="92" t="str">
        <f>IF('Prod 1'!D736="","",'Prod 1'!D736)</f>
        <v/>
      </c>
      <c r="S735" s="119" t="str">
        <f>IF('Prod 1'!E736="","",'Prod 1'!E736+'BH (2)'!C735)</f>
        <v/>
      </c>
      <c r="T735" s="59"/>
      <c r="U735" s="91"/>
    </row>
    <row r="736" spans="9:21" ht="24.95" customHeight="1" x14ac:dyDescent="0.25">
      <c r="I736" s="106">
        <v>733</v>
      </c>
      <c r="J736" s="119" t="str">
        <f t="shared" si="39"/>
        <v/>
      </c>
      <c r="K736" s="92" t="str">
        <f>IF('Prod 1'!D737="","",'Prod 1'!D737)</f>
        <v/>
      </c>
      <c r="L736" s="119" t="str">
        <f>IF('Prod 1'!I737="","",'Prod 1'!I737+'BH (2)'!C736)</f>
        <v/>
      </c>
      <c r="M736" s="59"/>
      <c r="N736" s="91"/>
      <c r="Q736" s="119" t="str">
        <f t="shared" si="40"/>
        <v/>
      </c>
      <c r="R736" s="92" t="str">
        <f>IF('Prod 1'!D737="","",'Prod 1'!D737)</f>
        <v/>
      </c>
      <c r="S736" s="119" t="str">
        <f>IF('Prod 1'!E737="","",'Prod 1'!E737+'BH (2)'!C736)</f>
        <v/>
      </c>
      <c r="T736" s="59"/>
      <c r="U736" s="91"/>
    </row>
    <row r="737" spans="9:21" ht="24.95" customHeight="1" x14ac:dyDescent="0.25">
      <c r="I737" s="106">
        <v>734</v>
      </c>
      <c r="J737" s="119" t="str">
        <f t="shared" si="39"/>
        <v/>
      </c>
      <c r="K737" s="92" t="str">
        <f>IF('Prod 1'!D738="","",'Prod 1'!D738)</f>
        <v/>
      </c>
      <c r="L737" s="119" t="str">
        <f>IF('Prod 1'!I738="","",'Prod 1'!I738+'BH (2)'!C737)</f>
        <v/>
      </c>
      <c r="M737" s="59"/>
      <c r="N737" s="91"/>
      <c r="Q737" s="119" t="str">
        <f t="shared" si="40"/>
        <v/>
      </c>
      <c r="R737" s="92" t="str">
        <f>IF('Prod 1'!D738="","",'Prod 1'!D738)</f>
        <v/>
      </c>
      <c r="S737" s="119" t="str">
        <f>IF('Prod 1'!E738="","",'Prod 1'!E738+'BH (2)'!C737)</f>
        <v/>
      </c>
      <c r="T737" s="59"/>
      <c r="U737" s="91"/>
    </row>
    <row r="738" spans="9:21" ht="24.95" customHeight="1" x14ac:dyDescent="0.25">
      <c r="I738" s="106">
        <v>735</v>
      </c>
      <c r="J738" s="119" t="str">
        <f t="shared" si="39"/>
        <v/>
      </c>
      <c r="K738" s="92" t="str">
        <f>IF('Prod 1'!D739="","",'Prod 1'!D739)</f>
        <v/>
      </c>
      <c r="L738" s="119" t="str">
        <f>IF('Prod 1'!I739="","",'Prod 1'!I739+'BH (2)'!C738)</f>
        <v/>
      </c>
      <c r="M738" s="59"/>
      <c r="N738" s="91"/>
      <c r="Q738" s="119" t="str">
        <f t="shared" si="40"/>
        <v/>
      </c>
      <c r="R738" s="92" t="str">
        <f>IF('Prod 1'!D739="","",'Prod 1'!D739)</f>
        <v/>
      </c>
      <c r="S738" s="119" t="str">
        <f>IF('Prod 1'!E739="","",'Prod 1'!E739+'BH (2)'!C738)</f>
        <v/>
      </c>
      <c r="T738" s="59"/>
      <c r="U738" s="91"/>
    </row>
    <row r="739" spans="9:21" ht="24.95" customHeight="1" x14ac:dyDescent="0.25">
      <c r="I739" s="106">
        <v>736</v>
      </c>
      <c r="J739" s="119" t="str">
        <f t="shared" si="39"/>
        <v/>
      </c>
      <c r="K739" s="92" t="str">
        <f>IF('Prod 1'!D740="","",'Prod 1'!D740)</f>
        <v/>
      </c>
      <c r="L739" s="119" t="str">
        <f>IF('Prod 1'!I740="","",'Prod 1'!I740+'BH (2)'!C739)</f>
        <v/>
      </c>
      <c r="M739" s="59"/>
      <c r="N739" s="91"/>
      <c r="Q739" s="119" t="str">
        <f t="shared" si="40"/>
        <v/>
      </c>
      <c r="R739" s="92" t="str">
        <f>IF('Prod 1'!D740="","",'Prod 1'!D740)</f>
        <v/>
      </c>
      <c r="S739" s="119" t="str">
        <f>IF('Prod 1'!E740="","",'Prod 1'!E740+'BH (2)'!C739)</f>
        <v/>
      </c>
      <c r="T739" s="59"/>
      <c r="U739" s="91"/>
    </row>
    <row r="740" spans="9:21" ht="24.95" customHeight="1" x14ac:dyDescent="0.25">
      <c r="I740" s="106">
        <v>737</v>
      </c>
      <c r="J740" s="119" t="str">
        <f t="shared" si="39"/>
        <v/>
      </c>
      <c r="K740" s="92" t="str">
        <f>IF('Prod 1'!D741="","",'Prod 1'!D741)</f>
        <v/>
      </c>
      <c r="L740" s="119" t="str">
        <f>IF('Prod 1'!I741="","",'Prod 1'!I741+'BH (2)'!C740)</f>
        <v/>
      </c>
      <c r="M740" s="59"/>
      <c r="N740" s="91"/>
      <c r="Q740" s="119" t="str">
        <f t="shared" si="40"/>
        <v/>
      </c>
      <c r="R740" s="92" t="str">
        <f>IF('Prod 1'!D741="","",'Prod 1'!D741)</f>
        <v/>
      </c>
      <c r="S740" s="119" t="str">
        <f>IF('Prod 1'!E741="","",'Prod 1'!E741+'BH (2)'!C740)</f>
        <v/>
      </c>
      <c r="T740" s="59"/>
      <c r="U740" s="91"/>
    </row>
    <row r="741" spans="9:21" ht="24.95" customHeight="1" x14ac:dyDescent="0.25">
      <c r="I741" s="106">
        <v>738</v>
      </c>
      <c r="J741" s="119" t="str">
        <f t="shared" si="39"/>
        <v/>
      </c>
      <c r="K741" s="92" t="str">
        <f>IF('Prod 1'!D742="","",'Prod 1'!D742)</f>
        <v/>
      </c>
      <c r="L741" s="119" t="str">
        <f>IF('Prod 1'!I742="","",'Prod 1'!I742+'BH (2)'!C741)</f>
        <v/>
      </c>
      <c r="M741" s="59"/>
      <c r="N741" s="91"/>
      <c r="Q741" s="119" t="str">
        <f t="shared" si="40"/>
        <v/>
      </c>
      <c r="R741" s="92" t="str">
        <f>IF('Prod 1'!D742="","",'Prod 1'!D742)</f>
        <v/>
      </c>
      <c r="S741" s="119" t="str">
        <f>IF('Prod 1'!E742="","",'Prod 1'!E742+'BH (2)'!C741)</f>
        <v/>
      </c>
      <c r="T741" s="59"/>
      <c r="U741" s="91"/>
    </row>
    <row r="742" spans="9:21" ht="24.95" customHeight="1" x14ac:dyDescent="0.25">
      <c r="I742" s="106">
        <v>739</v>
      </c>
      <c r="J742" s="119" t="str">
        <f t="shared" si="39"/>
        <v/>
      </c>
      <c r="K742" s="92" t="str">
        <f>IF('Prod 1'!D743="","",'Prod 1'!D743)</f>
        <v/>
      </c>
      <c r="L742" s="119" t="str">
        <f>IF('Prod 1'!I743="","",'Prod 1'!I743+'BH (2)'!C742)</f>
        <v/>
      </c>
      <c r="M742" s="59"/>
      <c r="N742" s="91"/>
      <c r="Q742" s="119" t="str">
        <f t="shared" si="40"/>
        <v/>
      </c>
      <c r="R742" s="92" t="str">
        <f>IF('Prod 1'!D743="","",'Prod 1'!D743)</f>
        <v/>
      </c>
      <c r="S742" s="119" t="str">
        <f>IF('Prod 1'!E743="","",'Prod 1'!E743+'BH (2)'!C742)</f>
        <v/>
      </c>
      <c r="T742" s="59"/>
      <c r="U742" s="91"/>
    </row>
    <row r="743" spans="9:21" ht="24.95" customHeight="1" x14ac:dyDescent="0.25">
      <c r="I743" s="106">
        <v>740</v>
      </c>
      <c r="J743" s="119" t="str">
        <f t="shared" si="39"/>
        <v/>
      </c>
      <c r="K743" s="92" t="str">
        <f>IF('Prod 1'!D744="","",'Prod 1'!D744)</f>
        <v/>
      </c>
      <c r="L743" s="119" t="str">
        <f>IF('Prod 1'!I744="","",'Prod 1'!I744+'BH (2)'!C743)</f>
        <v/>
      </c>
      <c r="M743" s="59"/>
      <c r="N743" s="91"/>
      <c r="Q743" s="119" t="str">
        <f t="shared" si="40"/>
        <v/>
      </c>
      <c r="R743" s="92" t="str">
        <f>IF('Prod 1'!D744="","",'Prod 1'!D744)</f>
        <v/>
      </c>
      <c r="S743" s="119" t="str">
        <f>IF('Prod 1'!E744="","",'Prod 1'!E744+'BH (2)'!C743)</f>
        <v/>
      </c>
      <c r="T743" s="59"/>
      <c r="U743" s="91"/>
    </row>
    <row r="744" spans="9:21" ht="24.95" customHeight="1" x14ac:dyDescent="0.25">
      <c r="I744" s="106">
        <v>741</v>
      </c>
      <c r="J744" s="119" t="str">
        <f t="shared" si="39"/>
        <v/>
      </c>
      <c r="K744" s="92" t="str">
        <f>IF('Prod 1'!D745="","",'Prod 1'!D745)</f>
        <v/>
      </c>
      <c r="L744" s="119" t="str">
        <f>IF('Prod 1'!I745="","",'Prod 1'!I745+'BH (2)'!C744)</f>
        <v/>
      </c>
      <c r="M744" s="59"/>
      <c r="N744" s="91"/>
      <c r="Q744" s="119" t="str">
        <f t="shared" si="40"/>
        <v/>
      </c>
      <c r="R744" s="92" t="str">
        <f>IF('Prod 1'!D745="","",'Prod 1'!D745)</f>
        <v/>
      </c>
      <c r="S744" s="119" t="str">
        <f>IF('Prod 1'!E745="","",'Prod 1'!E745+'BH (2)'!C744)</f>
        <v/>
      </c>
      <c r="T744" s="59"/>
      <c r="U744" s="91"/>
    </row>
    <row r="745" spans="9:21" ht="24.95" customHeight="1" x14ac:dyDescent="0.25">
      <c r="I745" s="106">
        <v>742</v>
      </c>
      <c r="J745" s="119" t="str">
        <f t="shared" si="39"/>
        <v/>
      </c>
      <c r="K745" s="92" t="str">
        <f>IF('Prod 1'!D746="","",'Prod 1'!D746)</f>
        <v/>
      </c>
      <c r="L745" s="119" t="str">
        <f>IF('Prod 1'!I746="","",'Prod 1'!I746+'BH (2)'!C745)</f>
        <v/>
      </c>
      <c r="M745" s="59"/>
      <c r="N745" s="91"/>
      <c r="Q745" s="119" t="str">
        <f t="shared" si="40"/>
        <v/>
      </c>
      <c r="R745" s="92" t="str">
        <f>IF('Prod 1'!D746="","",'Prod 1'!D746)</f>
        <v/>
      </c>
      <c r="S745" s="119" t="str">
        <f>IF('Prod 1'!E746="","",'Prod 1'!E746+'BH (2)'!C745)</f>
        <v/>
      </c>
      <c r="T745" s="59"/>
      <c r="U745" s="91"/>
    </row>
    <row r="746" spans="9:21" ht="24.95" customHeight="1" x14ac:dyDescent="0.25">
      <c r="I746" s="106">
        <v>743</v>
      </c>
      <c r="J746" s="119" t="str">
        <f t="shared" si="39"/>
        <v/>
      </c>
      <c r="K746" s="92" t="str">
        <f>IF('Prod 1'!D747="","",'Prod 1'!D747)</f>
        <v/>
      </c>
      <c r="L746" s="119" t="str">
        <f>IF('Prod 1'!I747="","",'Prod 1'!I747+'BH (2)'!C746)</f>
        <v/>
      </c>
      <c r="M746" s="59"/>
      <c r="N746" s="91"/>
      <c r="Q746" s="119" t="str">
        <f t="shared" si="40"/>
        <v/>
      </c>
      <c r="R746" s="92" t="str">
        <f>IF('Prod 1'!D747="","",'Prod 1'!D747)</f>
        <v/>
      </c>
      <c r="S746" s="119" t="str">
        <f>IF('Prod 1'!E747="","",'Prod 1'!E747+'BH (2)'!C746)</f>
        <v/>
      </c>
      <c r="T746" s="59"/>
      <c r="U746" s="91"/>
    </row>
    <row r="747" spans="9:21" ht="24.95" customHeight="1" x14ac:dyDescent="0.25">
      <c r="I747" s="106">
        <v>744</v>
      </c>
      <c r="J747" s="119" t="str">
        <f t="shared" si="39"/>
        <v/>
      </c>
      <c r="K747" s="92" t="str">
        <f>IF('Prod 1'!D748="","",'Prod 1'!D748)</f>
        <v/>
      </c>
      <c r="L747" s="119" t="str">
        <f>IF('Prod 1'!I748="","",'Prod 1'!I748+'BH (2)'!C747)</f>
        <v/>
      </c>
      <c r="M747" s="59"/>
      <c r="N747" s="91"/>
      <c r="Q747" s="119" t="str">
        <f t="shared" si="40"/>
        <v/>
      </c>
      <c r="R747" s="92" t="str">
        <f>IF('Prod 1'!D748="","",'Prod 1'!D748)</f>
        <v/>
      </c>
      <c r="S747" s="119" t="str">
        <f>IF('Prod 1'!E748="","",'Prod 1'!E748+'BH (2)'!C747)</f>
        <v/>
      </c>
      <c r="T747" s="59"/>
      <c r="U747" s="91"/>
    </row>
    <row r="748" spans="9:21" ht="24.95" customHeight="1" x14ac:dyDescent="0.25">
      <c r="I748" s="106">
        <v>745</v>
      </c>
      <c r="J748" s="119" t="str">
        <f t="shared" si="39"/>
        <v/>
      </c>
      <c r="K748" s="92" t="str">
        <f>IF('Prod 1'!D749="","",'Prod 1'!D749)</f>
        <v/>
      </c>
      <c r="L748" s="119" t="str">
        <f>IF('Prod 1'!I749="","",'Prod 1'!I749+'BH (2)'!C748)</f>
        <v/>
      </c>
      <c r="M748" s="59"/>
      <c r="N748" s="91"/>
      <c r="Q748" s="119" t="str">
        <f t="shared" si="40"/>
        <v/>
      </c>
      <c r="R748" s="92" t="str">
        <f>IF('Prod 1'!D749="","",'Prod 1'!D749)</f>
        <v/>
      </c>
      <c r="S748" s="119" t="str">
        <f>IF('Prod 1'!E749="","",'Prod 1'!E749+'BH (2)'!C748)</f>
        <v/>
      </c>
      <c r="T748" s="59"/>
      <c r="U748" s="91"/>
    </row>
    <row r="749" spans="9:21" ht="24.95" customHeight="1" x14ac:dyDescent="0.25">
      <c r="I749" s="106">
        <v>746</v>
      </c>
      <c r="J749" s="119" t="str">
        <f t="shared" si="39"/>
        <v/>
      </c>
      <c r="K749" s="92" t="str">
        <f>IF('Prod 1'!D750="","",'Prod 1'!D750)</f>
        <v/>
      </c>
      <c r="L749" s="119" t="str">
        <f>IF('Prod 1'!I750="","",'Prod 1'!I750+'BH (2)'!C749)</f>
        <v/>
      </c>
      <c r="M749" s="59"/>
      <c r="N749" s="91"/>
      <c r="Q749" s="119" t="str">
        <f t="shared" si="40"/>
        <v/>
      </c>
      <c r="R749" s="92" t="str">
        <f>IF('Prod 1'!D750="","",'Prod 1'!D750)</f>
        <v/>
      </c>
      <c r="S749" s="119" t="str">
        <f>IF('Prod 1'!E750="","",'Prod 1'!E750+'BH (2)'!C749)</f>
        <v/>
      </c>
      <c r="T749" s="59"/>
      <c r="U749" s="91"/>
    </row>
    <row r="750" spans="9:21" ht="24.95" customHeight="1" x14ac:dyDescent="0.25">
      <c r="I750" s="106">
        <v>747</v>
      </c>
      <c r="J750" s="119" t="str">
        <f t="shared" si="39"/>
        <v/>
      </c>
      <c r="K750" s="92" t="str">
        <f>IF('Prod 1'!D751="","",'Prod 1'!D751)</f>
        <v/>
      </c>
      <c r="L750" s="119" t="str">
        <f>IF('Prod 1'!I751="","",'Prod 1'!I751+'BH (2)'!C750)</f>
        <v/>
      </c>
      <c r="M750" s="59"/>
      <c r="N750" s="91"/>
      <c r="Q750" s="119" t="str">
        <f t="shared" si="40"/>
        <v/>
      </c>
      <c r="R750" s="92" t="str">
        <f>IF('Prod 1'!D751="","",'Prod 1'!D751)</f>
        <v/>
      </c>
      <c r="S750" s="119" t="str">
        <f>IF('Prod 1'!E751="","",'Prod 1'!E751+'BH (2)'!C750)</f>
        <v/>
      </c>
      <c r="T750" s="59"/>
      <c r="U750" s="91"/>
    </row>
    <row r="751" spans="9:21" ht="24.95" customHeight="1" x14ac:dyDescent="0.25">
      <c r="I751" s="106">
        <v>748</v>
      </c>
      <c r="J751" s="119" t="str">
        <f t="shared" si="39"/>
        <v/>
      </c>
      <c r="K751" s="92" t="str">
        <f>IF('Prod 1'!D752="","",'Prod 1'!D752)</f>
        <v/>
      </c>
      <c r="L751" s="119" t="str">
        <f>IF('Prod 1'!I752="","",'Prod 1'!I752+'BH (2)'!C751)</f>
        <v/>
      </c>
      <c r="M751" s="59"/>
      <c r="N751" s="91"/>
      <c r="Q751" s="119" t="str">
        <f t="shared" si="40"/>
        <v/>
      </c>
      <c r="R751" s="92" t="str">
        <f>IF('Prod 1'!D752="","",'Prod 1'!D752)</f>
        <v/>
      </c>
      <c r="S751" s="119" t="str">
        <f>IF('Prod 1'!E752="","",'Prod 1'!E752+'BH (2)'!C751)</f>
        <v/>
      </c>
      <c r="T751" s="59"/>
      <c r="U751" s="91"/>
    </row>
    <row r="752" spans="9:21" ht="24.95" customHeight="1" x14ac:dyDescent="0.25">
      <c r="I752" s="106">
        <v>749</v>
      </c>
      <c r="J752" s="119" t="str">
        <f t="shared" si="39"/>
        <v/>
      </c>
      <c r="K752" s="92" t="str">
        <f>IF('Prod 1'!D753="","",'Prod 1'!D753)</f>
        <v/>
      </c>
      <c r="L752" s="119" t="str">
        <f>IF('Prod 1'!I753="","",'Prod 1'!I753+'BH (2)'!C752)</f>
        <v/>
      </c>
      <c r="M752" s="59"/>
      <c r="N752" s="91"/>
      <c r="Q752" s="119" t="str">
        <f t="shared" si="40"/>
        <v/>
      </c>
      <c r="R752" s="92" t="str">
        <f>IF('Prod 1'!D753="","",'Prod 1'!D753)</f>
        <v/>
      </c>
      <c r="S752" s="119" t="str">
        <f>IF('Prod 1'!E753="","",'Prod 1'!E753+'BH (2)'!C752)</f>
        <v/>
      </c>
      <c r="T752" s="59"/>
      <c r="U752" s="91"/>
    </row>
    <row r="753" spans="9:21" ht="24.95" customHeight="1" x14ac:dyDescent="0.25">
      <c r="I753" s="106">
        <v>750</v>
      </c>
      <c r="J753" s="119" t="str">
        <f t="shared" si="39"/>
        <v/>
      </c>
      <c r="K753" s="92" t="str">
        <f>IF('Prod 1'!D754="","",'Prod 1'!D754)</f>
        <v/>
      </c>
      <c r="L753" s="119" t="str">
        <f>IF('Prod 1'!I754="","",'Prod 1'!I754+'BH (2)'!C753)</f>
        <v/>
      </c>
      <c r="M753" s="59"/>
      <c r="N753" s="91"/>
      <c r="Q753" s="119" t="str">
        <f t="shared" si="40"/>
        <v/>
      </c>
      <c r="R753" s="92" t="str">
        <f>IF('Prod 1'!D754="","",'Prod 1'!D754)</f>
        <v/>
      </c>
      <c r="S753" s="119" t="str">
        <f>IF('Prod 1'!E754="","",'Prod 1'!E754+'BH (2)'!C753)</f>
        <v/>
      </c>
      <c r="T753" s="59"/>
      <c r="U753" s="91"/>
    </row>
    <row r="754" spans="9:21" ht="24.95" customHeight="1" x14ac:dyDescent="0.25">
      <c r="I754" s="106">
        <v>751</v>
      </c>
      <c r="J754" s="119" t="str">
        <f t="shared" si="39"/>
        <v/>
      </c>
      <c r="K754" s="92" t="str">
        <f>IF('Prod 1'!D755="","",'Prod 1'!D755)</f>
        <v/>
      </c>
      <c r="L754" s="119" t="str">
        <f>IF('Prod 1'!I755="","",'Prod 1'!I755+'BH (2)'!C754)</f>
        <v/>
      </c>
      <c r="M754" s="59"/>
      <c r="N754" s="91"/>
      <c r="Q754" s="119" t="str">
        <f t="shared" si="40"/>
        <v/>
      </c>
      <c r="R754" s="92" t="str">
        <f>IF('Prod 1'!D755="","",'Prod 1'!D755)</f>
        <v/>
      </c>
      <c r="S754" s="119" t="str">
        <f>IF('Prod 1'!E755="","",'Prod 1'!E755+'BH (2)'!C754)</f>
        <v/>
      </c>
      <c r="T754" s="59"/>
      <c r="U754" s="91"/>
    </row>
    <row r="755" spans="9:21" ht="24.95" customHeight="1" x14ac:dyDescent="0.25">
      <c r="I755" s="106">
        <v>752</v>
      </c>
      <c r="J755" s="119" t="str">
        <f t="shared" si="39"/>
        <v/>
      </c>
      <c r="K755" s="92" t="str">
        <f>IF('Prod 1'!D756="","",'Prod 1'!D756)</f>
        <v/>
      </c>
      <c r="L755" s="119" t="str">
        <f>IF('Prod 1'!I756="","",'Prod 1'!I756+'BH (2)'!C755)</f>
        <v/>
      </c>
      <c r="M755" s="59"/>
      <c r="N755" s="91"/>
      <c r="Q755" s="119" t="str">
        <f t="shared" si="40"/>
        <v/>
      </c>
      <c r="R755" s="92" t="str">
        <f>IF('Prod 1'!D756="","",'Prod 1'!D756)</f>
        <v/>
      </c>
      <c r="S755" s="119" t="str">
        <f>IF('Prod 1'!E756="","",'Prod 1'!E756+'BH (2)'!C755)</f>
        <v/>
      </c>
      <c r="T755" s="59"/>
      <c r="U755" s="91"/>
    </row>
    <row r="756" spans="9:21" ht="24.95" customHeight="1" x14ac:dyDescent="0.25">
      <c r="I756" s="106">
        <v>753</v>
      </c>
      <c r="J756" s="119" t="str">
        <f t="shared" si="39"/>
        <v/>
      </c>
      <c r="K756" s="92" t="str">
        <f>IF('Prod 1'!D757="","",'Prod 1'!D757)</f>
        <v/>
      </c>
      <c r="L756" s="119" t="str">
        <f>IF('Prod 1'!I757="","",'Prod 1'!I757+'BH (2)'!C756)</f>
        <v/>
      </c>
      <c r="M756" s="59"/>
      <c r="N756" s="91"/>
      <c r="Q756" s="119" t="str">
        <f t="shared" si="40"/>
        <v/>
      </c>
      <c r="R756" s="92" t="str">
        <f>IF('Prod 1'!D757="","",'Prod 1'!D757)</f>
        <v/>
      </c>
      <c r="S756" s="119" t="str">
        <f>IF('Prod 1'!E757="","",'Prod 1'!E757+'BH (2)'!C756)</f>
        <v/>
      </c>
      <c r="T756" s="59"/>
      <c r="U756" s="91"/>
    </row>
    <row r="757" spans="9:21" ht="24.95" customHeight="1" x14ac:dyDescent="0.25">
      <c r="I757" s="106">
        <v>754</v>
      </c>
      <c r="J757" s="119" t="str">
        <f t="shared" si="39"/>
        <v/>
      </c>
      <c r="K757" s="92" t="str">
        <f>IF('Prod 1'!D758="","",'Prod 1'!D758)</f>
        <v/>
      </c>
      <c r="L757" s="119" t="str">
        <f>IF('Prod 1'!I758="","",'Prod 1'!I758+'BH (2)'!C757)</f>
        <v/>
      </c>
      <c r="M757" s="59"/>
      <c r="N757" s="91"/>
      <c r="Q757" s="119" t="str">
        <f t="shared" si="40"/>
        <v/>
      </c>
      <c r="R757" s="92" t="str">
        <f>IF('Prod 1'!D758="","",'Prod 1'!D758)</f>
        <v/>
      </c>
      <c r="S757" s="119" t="str">
        <f>IF('Prod 1'!E758="","",'Prod 1'!E758+'BH (2)'!C757)</f>
        <v/>
      </c>
      <c r="T757" s="59"/>
      <c r="U757" s="91"/>
    </row>
    <row r="758" spans="9:21" ht="24.95" customHeight="1" x14ac:dyDescent="0.25">
      <c r="I758" s="106">
        <v>755</v>
      </c>
      <c r="J758" s="119" t="str">
        <f t="shared" si="39"/>
        <v/>
      </c>
      <c r="K758" s="92" t="str">
        <f>IF('Prod 1'!D759="","",'Prod 1'!D759)</f>
        <v/>
      </c>
      <c r="L758" s="119" t="str">
        <f>IF('Prod 1'!I759="","",'Prod 1'!I759+'BH (2)'!C758)</f>
        <v/>
      </c>
      <c r="M758" s="59"/>
      <c r="N758" s="91"/>
      <c r="Q758" s="119" t="str">
        <f t="shared" si="40"/>
        <v/>
      </c>
      <c r="R758" s="92" t="str">
        <f>IF('Prod 1'!D759="","",'Prod 1'!D759)</f>
        <v/>
      </c>
      <c r="S758" s="119" t="str">
        <f>IF('Prod 1'!E759="","",'Prod 1'!E759+'BH (2)'!C758)</f>
        <v/>
      </c>
      <c r="T758" s="59"/>
      <c r="U758" s="91"/>
    </row>
    <row r="759" spans="9:21" ht="24.95" customHeight="1" x14ac:dyDescent="0.25">
      <c r="I759" s="106">
        <v>756</v>
      </c>
      <c r="J759" s="119" t="str">
        <f t="shared" si="39"/>
        <v/>
      </c>
      <c r="K759" s="92" t="str">
        <f>IF('Prod 1'!D760="","",'Prod 1'!D760)</f>
        <v/>
      </c>
      <c r="L759" s="119" t="str">
        <f>IF('Prod 1'!I760="","",'Prod 1'!I760+'BH (2)'!C759)</f>
        <v/>
      </c>
      <c r="M759" s="59"/>
      <c r="N759" s="91"/>
      <c r="Q759" s="119" t="str">
        <f t="shared" si="40"/>
        <v/>
      </c>
      <c r="R759" s="92" t="str">
        <f>IF('Prod 1'!D760="","",'Prod 1'!D760)</f>
        <v/>
      </c>
      <c r="S759" s="119" t="str">
        <f>IF('Prod 1'!E760="","",'Prod 1'!E760+'BH (2)'!C759)</f>
        <v/>
      </c>
      <c r="T759" s="59"/>
      <c r="U759" s="91"/>
    </row>
    <row r="760" spans="9:21" ht="24.95" customHeight="1" x14ac:dyDescent="0.25">
      <c r="I760" s="106">
        <v>757</v>
      </c>
      <c r="J760" s="119" t="str">
        <f t="shared" si="39"/>
        <v/>
      </c>
      <c r="K760" s="92" t="str">
        <f>IF('Prod 1'!D761="","",'Prod 1'!D761)</f>
        <v/>
      </c>
      <c r="L760" s="119" t="str">
        <f>IF('Prod 1'!I761="","",'Prod 1'!I761+'BH (2)'!C760)</f>
        <v/>
      </c>
      <c r="M760" s="59"/>
      <c r="N760" s="91"/>
      <c r="Q760" s="119" t="str">
        <f t="shared" si="40"/>
        <v/>
      </c>
      <c r="R760" s="92" t="str">
        <f>IF('Prod 1'!D761="","",'Prod 1'!D761)</f>
        <v/>
      </c>
      <c r="S760" s="119" t="str">
        <f>IF('Prod 1'!E761="","",'Prod 1'!E761+'BH (2)'!C760)</f>
        <v/>
      </c>
      <c r="T760" s="59"/>
      <c r="U760" s="91"/>
    </row>
    <row r="761" spans="9:21" ht="24.95" customHeight="1" x14ac:dyDescent="0.25">
      <c r="I761" s="106">
        <v>758</v>
      </c>
      <c r="J761" s="119" t="str">
        <f t="shared" si="39"/>
        <v/>
      </c>
      <c r="K761" s="92" t="str">
        <f>IF('Prod 1'!D762="","",'Prod 1'!D762)</f>
        <v/>
      </c>
      <c r="L761" s="119" t="str">
        <f>IF('Prod 1'!I762="","",'Prod 1'!I762+'BH (2)'!C761)</f>
        <v/>
      </c>
      <c r="M761" s="59"/>
      <c r="N761" s="91"/>
      <c r="Q761" s="119" t="str">
        <f t="shared" si="40"/>
        <v/>
      </c>
      <c r="R761" s="92" t="str">
        <f>IF('Prod 1'!D762="","",'Prod 1'!D762)</f>
        <v/>
      </c>
      <c r="S761" s="119" t="str">
        <f>IF('Prod 1'!E762="","",'Prod 1'!E762+'BH (2)'!C761)</f>
        <v/>
      </c>
      <c r="T761" s="59"/>
      <c r="U761" s="91"/>
    </row>
    <row r="762" spans="9:21" ht="24.95" customHeight="1" x14ac:dyDescent="0.25">
      <c r="I762" s="106">
        <v>759</v>
      </c>
      <c r="J762" s="119" t="str">
        <f t="shared" si="39"/>
        <v/>
      </c>
      <c r="K762" s="92" t="str">
        <f>IF('Prod 1'!D763="","",'Prod 1'!D763)</f>
        <v/>
      </c>
      <c r="L762" s="119" t="str">
        <f>IF('Prod 1'!I763="","",'Prod 1'!I763+'BH (2)'!C762)</f>
        <v/>
      </c>
      <c r="M762" s="59"/>
      <c r="N762" s="91"/>
      <c r="Q762" s="119" t="str">
        <f t="shared" si="40"/>
        <v/>
      </c>
      <c r="R762" s="92" t="str">
        <f>IF('Prod 1'!D763="","",'Prod 1'!D763)</f>
        <v/>
      </c>
      <c r="S762" s="119" t="str">
        <f>IF('Prod 1'!E763="","",'Prod 1'!E763+'BH (2)'!C762)</f>
        <v/>
      </c>
      <c r="T762" s="59"/>
      <c r="U762" s="91"/>
    </row>
    <row r="763" spans="9:21" ht="24.95" customHeight="1" x14ac:dyDescent="0.25">
      <c r="I763" s="106">
        <v>760</v>
      </c>
      <c r="J763" s="119" t="str">
        <f t="shared" si="39"/>
        <v/>
      </c>
      <c r="K763" s="92" t="str">
        <f>IF('Prod 1'!D764="","",'Prod 1'!D764)</f>
        <v/>
      </c>
      <c r="L763" s="119" t="str">
        <f>IF('Prod 1'!I764="","",'Prod 1'!I764+'BH (2)'!C763)</f>
        <v/>
      </c>
      <c r="M763" s="59"/>
      <c r="N763" s="91"/>
      <c r="Q763" s="119" t="str">
        <f t="shared" si="40"/>
        <v/>
      </c>
      <c r="R763" s="92" t="str">
        <f>IF('Prod 1'!D764="","",'Prod 1'!D764)</f>
        <v/>
      </c>
      <c r="S763" s="119" t="str">
        <f>IF('Prod 1'!E764="","",'Prod 1'!E764+'BH (2)'!C763)</f>
        <v/>
      </c>
      <c r="T763" s="59"/>
      <c r="U763" s="91"/>
    </row>
    <row r="764" spans="9:21" ht="24.95" customHeight="1" x14ac:dyDescent="0.25">
      <c r="I764" s="106">
        <v>761</v>
      </c>
      <c r="J764" s="119" t="str">
        <f t="shared" si="39"/>
        <v/>
      </c>
      <c r="K764" s="92" t="str">
        <f>IF('Prod 1'!D765="","",'Prod 1'!D765)</f>
        <v/>
      </c>
      <c r="L764" s="119" t="str">
        <f>IF('Prod 1'!I765="","",'Prod 1'!I765+'BH (2)'!C764)</f>
        <v/>
      </c>
      <c r="M764" s="59"/>
      <c r="N764" s="91"/>
      <c r="Q764" s="119" t="str">
        <f t="shared" si="40"/>
        <v/>
      </c>
      <c r="R764" s="92" t="str">
        <f>IF('Prod 1'!D765="","",'Prod 1'!D765)</f>
        <v/>
      </c>
      <c r="S764" s="119" t="str">
        <f>IF('Prod 1'!E765="","",'Prod 1'!E765+'BH (2)'!C764)</f>
        <v/>
      </c>
      <c r="T764" s="59"/>
      <c r="U764" s="91"/>
    </row>
    <row r="765" spans="9:21" ht="24.95" customHeight="1" x14ac:dyDescent="0.25">
      <c r="I765" s="106">
        <v>762</v>
      </c>
      <c r="J765" s="119" t="str">
        <f t="shared" si="39"/>
        <v/>
      </c>
      <c r="K765" s="92" t="str">
        <f>IF('Prod 1'!D766="","",'Prod 1'!D766)</f>
        <v/>
      </c>
      <c r="L765" s="119" t="str">
        <f>IF('Prod 1'!I766="","",'Prod 1'!I766+'BH (2)'!C765)</f>
        <v/>
      </c>
      <c r="M765" s="59"/>
      <c r="N765" s="91"/>
      <c r="Q765" s="119" t="str">
        <f t="shared" si="40"/>
        <v/>
      </c>
      <c r="R765" s="92" t="str">
        <f>IF('Prod 1'!D766="","",'Prod 1'!D766)</f>
        <v/>
      </c>
      <c r="S765" s="119" t="str">
        <f>IF('Prod 1'!E766="","",'Prod 1'!E766+'BH (2)'!C765)</f>
        <v/>
      </c>
      <c r="T765" s="59"/>
      <c r="U765" s="91"/>
    </row>
    <row r="766" spans="9:21" ht="24.95" customHeight="1" x14ac:dyDescent="0.25">
      <c r="I766" s="106">
        <v>763</v>
      </c>
      <c r="J766" s="119" t="str">
        <f t="shared" si="39"/>
        <v/>
      </c>
      <c r="K766" s="92" t="str">
        <f>IF('Prod 1'!D767="","",'Prod 1'!D767)</f>
        <v/>
      </c>
      <c r="L766" s="119" t="str">
        <f>IF('Prod 1'!I767="","",'Prod 1'!I767+'BH (2)'!C766)</f>
        <v/>
      </c>
      <c r="M766" s="59"/>
      <c r="N766" s="91"/>
      <c r="Q766" s="119" t="str">
        <f t="shared" si="40"/>
        <v/>
      </c>
      <c r="R766" s="92" t="str">
        <f>IF('Prod 1'!D767="","",'Prod 1'!D767)</f>
        <v/>
      </c>
      <c r="S766" s="119" t="str">
        <f>IF('Prod 1'!E767="","",'Prod 1'!E767+'BH (2)'!C766)</f>
        <v/>
      </c>
      <c r="T766" s="59"/>
      <c r="U766" s="91"/>
    </row>
    <row r="767" spans="9:21" ht="24.95" customHeight="1" x14ac:dyDescent="0.25">
      <c r="I767" s="106">
        <v>764</v>
      </c>
      <c r="J767" s="119" t="str">
        <f t="shared" si="39"/>
        <v/>
      </c>
      <c r="K767" s="92" t="str">
        <f>IF('Prod 1'!D768="","",'Prod 1'!D768)</f>
        <v/>
      </c>
      <c r="L767" s="119" t="str">
        <f>IF('Prod 1'!I768="","",'Prod 1'!I768+'BH (2)'!C767)</f>
        <v/>
      </c>
      <c r="M767" s="59"/>
      <c r="N767" s="91"/>
      <c r="Q767" s="119" t="str">
        <f t="shared" si="40"/>
        <v/>
      </c>
      <c r="R767" s="92" t="str">
        <f>IF('Prod 1'!D768="","",'Prod 1'!D768)</f>
        <v/>
      </c>
      <c r="S767" s="119" t="str">
        <f>IF('Prod 1'!E768="","",'Prod 1'!E768+'BH (2)'!C767)</f>
        <v/>
      </c>
      <c r="T767" s="59"/>
      <c r="U767" s="91"/>
    </row>
    <row r="768" spans="9:21" ht="24.95" customHeight="1" x14ac:dyDescent="0.25">
      <c r="I768" s="106">
        <v>765</v>
      </c>
      <c r="J768" s="119" t="str">
        <f t="shared" si="39"/>
        <v/>
      </c>
      <c r="K768" s="92" t="str">
        <f>IF('Prod 1'!D769="","",'Prod 1'!D769)</f>
        <v/>
      </c>
      <c r="L768" s="119" t="str">
        <f>IF('Prod 1'!I769="","",'Prod 1'!I769+'BH (2)'!C768)</f>
        <v/>
      </c>
      <c r="M768" s="59"/>
      <c r="N768" s="91"/>
      <c r="Q768" s="119" t="str">
        <f t="shared" si="40"/>
        <v/>
      </c>
      <c r="R768" s="92" t="str">
        <f>IF('Prod 1'!D769="","",'Prod 1'!D769)</f>
        <v/>
      </c>
      <c r="S768" s="119" t="str">
        <f>IF('Prod 1'!E769="","",'Prod 1'!E769+'BH (2)'!C768)</f>
        <v/>
      </c>
      <c r="T768" s="59"/>
      <c r="U768" s="91"/>
    </row>
    <row r="769" spans="9:21" ht="24.95" customHeight="1" x14ac:dyDescent="0.25">
      <c r="I769" s="106">
        <v>766</v>
      </c>
      <c r="J769" s="119" t="str">
        <f t="shared" si="39"/>
        <v/>
      </c>
      <c r="K769" s="92" t="str">
        <f>IF('Prod 1'!D770="","",'Prod 1'!D770)</f>
        <v/>
      </c>
      <c r="L769" s="119" t="str">
        <f>IF('Prod 1'!I770="","",'Prod 1'!I770+'BH (2)'!C769)</f>
        <v/>
      </c>
      <c r="M769" s="59"/>
      <c r="N769" s="91"/>
      <c r="Q769" s="119" t="str">
        <f t="shared" si="40"/>
        <v/>
      </c>
      <c r="R769" s="92" t="str">
        <f>IF('Prod 1'!D770="","",'Prod 1'!D770)</f>
        <v/>
      </c>
      <c r="S769" s="119" t="str">
        <f>IF('Prod 1'!E770="","",'Prod 1'!E770+'BH (2)'!C769)</f>
        <v/>
      </c>
      <c r="T769" s="59"/>
      <c r="U769" s="91"/>
    </row>
    <row r="770" spans="9:21" ht="24.95" customHeight="1" x14ac:dyDescent="0.25">
      <c r="I770" s="106">
        <v>767</v>
      </c>
      <c r="J770" s="119" t="str">
        <f t="shared" si="39"/>
        <v/>
      </c>
      <c r="K770" s="92" t="str">
        <f>IF('Prod 1'!D771="","",'Prod 1'!D771)</f>
        <v/>
      </c>
      <c r="L770" s="119" t="str">
        <f>IF('Prod 1'!I771="","",'Prod 1'!I771+'BH (2)'!C770)</f>
        <v/>
      </c>
      <c r="M770" s="59"/>
      <c r="N770" s="91"/>
      <c r="Q770" s="119" t="str">
        <f t="shared" si="40"/>
        <v/>
      </c>
      <c r="R770" s="92" t="str">
        <f>IF('Prod 1'!D771="","",'Prod 1'!D771)</f>
        <v/>
      </c>
      <c r="S770" s="119" t="str">
        <f>IF('Prod 1'!E771="","",'Prod 1'!E771+'BH (2)'!C770)</f>
        <v/>
      </c>
      <c r="T770" s="59"/>
      <c r="U770" s="91"/>
    </row>
    <row r="771" spans="9:21" ht="24.95" customHeight="1" x14ac:dyDescent="0.25">
      <c r="I771" s="106">
        <v>768</v>
      </c>
      <c r="J771" s="119" t="str">
        <f t="shared" si="39"/>
        <v/>
      </c>
      <c r="K771" s="92" t="str">
        <f>IF('Prod 1'!D772="","",'Prod 1'!D772)</f>
        <v/>
      </c>
      <c r="L771" s="119" t="str">
        <f>IF('Prod 1'!I772="","",'Prod 1'!I772+'BH (2)'!C771)</f>
        <v/>
      </c>
      <c r="M771" s="59"/>
      <c r="N771" s="91"/>
      <c r="Q771" s="119" t="str">
        <f t="shared" si="40"/>
        <v/>
      </c>
      <c r="R771" s="92" t="str">
        <f>IF('Prod 1'!D772="","",'Prod 1'!D772)</f>
        <v/>
      </c>
      <c r="S771" s="119" t="str">
        <f>IF('Prod 1'!E772="","",'Prod 1'!E772+'BH (2)'!C771)</f>
        <v/>
      </c>
      <c r="T771" s="59"/>
      <c r="U771" s="91"/>
    </row>
    <row r="772" spans="9:21" ht="24.95" customHeight="1" x14ac:dyDescent="0.25">
      <c r="I772" s="106">
        <v>769</v>
      </c>
      <c r="J772" s="119" t="str">
        <f t="shared" si="39"/>
        <v/>
      </c>
      <c r="K772" s="92" t="str">
        <f>IF('Prod 1'!D773="","",'Prod 1'!D773)</f>
        <v/>
      </c>
      <c r="L772" s="119" t="str">
        <f>IF('Prod 1'!I773="","",'Prod 1'!I773+'BH (2)'!C772)</f>
        <v/>
      </c>
      <c r="M772" s="59"/>
      <c r="N772" s="91"/>
      <c r="Q772" s="119" t="str">
        <f t="shared" si="40"/>
        <v/>
      </c>
      <c r="R772" s="92" t="str">
        <f>IF('Prod 1'!D773="","",'Prod 1'!D773)</f>
        <v/>
      </c>
      <c r="S772" s="119" t="str">
        <f>IF('Prod 1'!E773="","",'Prod 1'!E773+'BH (2)'!C772)</f>
        <v/>
      </c>
      <c r="T772" s="59"/>
      <c r="U772" s="91"/>
    </row>
    <row r="773" spans="9:21" ht="24.95" customHeight="1" x14ac:dyDescent="0.25">
      <c r="I773" s="106">
        <v>770</v>
      </c>
      <c r="J773" s="119" t="str">
        <f t="shared" ref="J773:J836" si="41">L773</f>
        <v/>
      </c>
      <c r="K773" s="92" t="str">
        <f>IF('Prod 1'!D774="","",'Prod 1'!D774)</f>
        <v/>
      </c>
      <c r="L773" s="119" t="str">
        <f>IF('Prod 1'!I774="","",'Prod 1'!I774+'BH (2)'!C773)</f>
        <v/>
      </c>
      <c r="M773" s="59"/>
      <c r="N773" s="91"/>
      <c r="Q773" s="119" t="str">
        <f t="shared" ref="Q773:Q836" si="42">S773</f>
        <v/>
      </c>
      <c r="R773" s="92" t="str">
        <f>IF('Prod 1'!D774="","",'Prod 1'!D774)</f>
        <v/>
      </c>
      <c r="S773" s="119" t="str">
        <f>IF('Prod 1'!E774="","",'Prod 1'!E774+'BH (2)'!C773)</f>
        <v/>
      </c>
      <c r="T773" s="59"/>
      <c r="U773" s="91"/>
    </row>
    <row r="774" spans="9:21" ht="24.95" customHeight="1" x14ac:dyDescent="0.25">
      <c r="I774" s="106">
        <v>771</v>
      </c>
      <c r="J774" s="119" t="str">
        <f t="shared" si="41"/>
        <v/>
      </c>
      <c r="K774" s="92" t="str">
        <f>IF('Prod 1'!D775="","",'Prod 1'!D775)</f>
        <v/>
      </c>
      <c r="L774" s="119" t="str">
        <f>IF('Prod 1'!I775="","",'Prod 1'!I775+'BH (2)'!C774)</f>
        <v/>
      </c>
      <c r="M774" s="59"/>
      <c r="N774" s="91"/>
      <c r="Q774" s="119" t="str">
        <f t="shared" si="42"/>
        <v/>
      </c>
      <c r="R774" s="92" t="str">
        <f>IF('Prod 1'!D775="","",'Prod 1'!D775)</f>
        <v/>
      </c>
      <c r="S774" s="119" t="str">
        <f>IF('Prod 1'!E775="","",'Prod 1'!E775+'BH (2)'!C774)</f>
        <v/>
      </c>
      <c r="T774" s="59"/>
      <c r="U774" s="91"/>
    </row>
    <row r="775" spans="9:21" ht="24.95" customHeight="1" x14ac:dyDescent="0.25">
      <c r="I775" s="106">
        <v>772</v>
      </c>
      <c r="J775" s="119" t="str">
        <f t="shared" si="41"/>
        <v/>
      </c>
      <c r="K775" s="92" t="str">
        <f>IF('Prod 1'!D776="","",'Prod 1'!D776)</f>
        <v/>
      </c>
      <c r="L775" s="119" t="str">
        <f>IF('Prod 1'!I776="","",'Prod 1'!I776+'BH (2)'!C775)</f>
        <v/>
      </c>
      <c r="M775" s="59"/>
      <c r="N775" s="91"/>
      <c r="Q775" s="119" t="str">
        <f t="shared" si="42"/>
        <v/>
      </c>
      <c r="R775" s="92" t="str">
        <f>IF('Prod 1'!D776="","",'Prod 1'!D776)</f>
        <v/>
      </c>
      <c r="S775" s="119" t="str">
        <f>IF('Prod 1'!E776="","",'Prod 1'!E776+'BH (2)'!C775)</f>
        <v/>
      </c>
      <c r="T775" s="59"/>
      <c r="U775" s="91"/>
    </row>
    <row r="776" spans="9:21" ht="24.95" customHeight="1" x14ac:dyDescent="0.25">
      <c r="I776" s="106">
        <v>773</v>
      </c>
      <c r="J776" s="119" t="str">
        <f t="shared" si="41"/>
        <v/>
      </c>
      <c r="K776" s="92" t="str">
        <f>IF('Prod 1'!D777="","",'Prod 1'!D777)</f>
        <v/>
      </c>
      <c r="L776" s="119" t="str">
        <f>IF('Prod 1'!I777="","",'Prod 1'!I777+'BH (2)'!C776)</f>
        <v/>
      </c>
      <c r="M776" s="59"/>
      <c r="N776" s="91"/>
      <c r="Q776" s="119" t="str">
        <f t="shared" si="42"/>
        <v/>
      </c>
      <c r="R776" s="92" t="str">
        <f>IF('Prod 1'!D777="","",'Prod 1'!D777)</f>
        <v/>
      </c>
      <c r="S776" s="119" t="str">
        <f>IF('Prod 1'!E777="","",'Prod 1'!E777+'BH (2)'!C776)</f>
        <v/>
      </c>
      <c r="T776" s="59"/>
      <c r="U776" s="91"/>
    </row>
    <row r="777" spans="9:21" ht="24.95" customHeight="1" x14ac:dyDescent="0.25">
      <c r="I777" s="106">
        <v>774</v>
      </c>
      <c r="J777" s="119" t="str">
        <f t="shared" si="41"/>
        <v/>
      </c>
      <c r="K777" s="92" t="str">
        <f>IF('Prod 1'!D778="","",'Prod 1'!D778)</f>
        <v/>
      </c>
      <c r="L777" s="119" t="str">
        <f>IF('Prod 1'!I778="","",'Prod 1'!I778+'BH (2)'!C777)</f>
        <v/>
      </c>
      <c r="M777" s="59"/>
      <c r="N777" s="91"/>
      <c r="Q777" s="119" t="str">
        <f t="shared" si="42"/>
        <v/>
      </c>
      <c r="R777" s="92" t="str">
        <f>IF('Prod 1'!D778="","",'Prod 1'!D778)</f>
        <v/>
      </c>
      <c r="S777" s="119" t="str">
        <f>IF('Prod 1'!E778="","",'Prod 1'!E778+'BH (2)'!C777)</f>
        <v/>
      </c>
      <c r="T777" s="59"/>
      <c r="U777" s="91"/>
    </row>
    <row r="778" spans="9:21" ht="24.95" customHeight="1" x14ac:dyDescent="0.25">
      <c r="I778" s="106">
        <v>775</v>
      </c>
      <c r="J778" s="119" t="str">
        <f t="shared" si="41"/>
        <v/>
      </c>
      <c r="K778" s="92" t="str">
        <f>IF('Prod 1'!D779="","",'Prod 1'!D779)</f>
        <v/>
      </c>
      <c r="L778" s="119" t="str">
        <f>IF('Prod 1'!I779="","",'Prod 1'!I779+'BH (2)'!C778)</f>
        <v/>
      </c>
      <c r="M778" s="59"/>
      <c r="N778" s="91"/>
      <c r="Q778" s="119" t="str">
        <f t="shared" si="42"/>
        <v/>
      </c>
      <c r="R778" s="92" t="str">
        <f>IF('Prod 1'!D779="","",'Prod 1'!D779)</f>
        <v/>
      </c>
      <c r="S778" s="119" t="str">
        <f>IF('Prod 1'!E779="","",'Prod 1'!E779+'BH (2)'!C778)</f>
        <v/>
      </c>
      <c r="T778" s="59"/>
      <c r="U778" s="91"/>
    </row>
    <row r="779" spans="9:21" ht="24.95" customHeight="1" x14ac:dyDescent="0.25">
      <c r="I779" s="106">
        <v>776</v>
      </c>
      <c r="J779" s="119" t="str">
        <f t="shared" si="41"/>
        <v/>
      </c>
      <c r="K779" s="92" t="str">
        <f>IF('Prod 1'!D780="","",'Prod 1'!D780)</f>
        <v/>
      </c>
      <c r="L779" s="119" t="str">
        <f>IF('Prod 1'!I780="","",'Prod 1'!I780+'BH (2)'!C779)</f>
        <v/>
      </c>
      <c r="M779" s="59"/>
      <c r="N779" s="91"/>
      <c r="Q779" s="119" t="str">
        <f t="shared" si="42"/>
        <v/>
      </c>
      <c r="R779" s="92" t="str">
        <f>IF('Prod 1'!D780="","",'Prod 1'!D780)</f>
        <v/>
      </c>
      <c r="S779" s="119" t="str">
        <f>IF('Prod 1'!E780="","",'Prod 1'!E780+'BH (2)'!C779)</f>
        <v/>
      </c>
      <c r="T779" s="59"/>
      <c r="U779" s="91"/>
    </row>
    <row r="780" spans="9:21" ht="24.95" customHeight="1" x14ac:dyDescent="0.25">
      <c r="I780" s="106">
        <v>777</v>
      </c>
      <c r="J780" s="119" t="str">
        <f t="shared" si="41"/>
        <v/>
      </c>
      <c r="K780" s="92" t="str">
        <f>IF('Prod 1'!D781="","",'Prod 1'!D781)</f>
        <v/>
      </c>
      <c r="L780" s="119" t="str">
        <f>IF('Prod 1'!I781="","",'Prod 1'!I781+'BH (2)'!C780)</f>
        <v/>
      </c>
      <c r="M780" s="59"/>
      <c r="N780" s="91"/>
      <c r="Q780" s="119" t="str">
        <f t="shared" si="42"/>
        <v/>
      </c>
      <c r="R780" s="92" t="str">
        <f>IF('Prod 1'!D781="","",'Prod 1'!D781)</f>
        <v/>
      </c>
      <c r="S780" s="119" t="str">
        <f>IF('Prod 1'!E781="","",'Prod 1'!E781+'BH (2)'!C780)</f>
        <v/>
      </c>
      <c r="T780" s="59"/>
      <c r="U780" s="91"/>
    </row>
    <row r="781" spans="9:21" ht="24.95" customHeight="1" x14ac:dyDescent="0.25">
      <c r="I781" s="106">
        <v>778</v>
      </c>
      <c r="J781" s="119" t="str">
        <f t="shared" si="41"/>
        <v/>
      </c>
      <c r="K781" s="92" t="str">
        <f>IF('Prod 1'!D782="","",'Prod 1'!D782)</f>
        <v/>
      </c>
      <c r="L781" s="119" t="str">
        <f>IF('Prod 1'!I782="","",'Prod 1'!I782+'BH (2)'!C781)</f>
        <v/>
      </c>
      <c r="M781" s="59"/>
      <c r="N781" s="91"/>
      <c r="Q781" s="119" t="str">
        <f t="shared" si="42"/>
        <v/>
      </c>
      <c r="R781" s="92" t="str">
        <f>IF('Prod 1'!D782="","",'Prod 1'!D782)</f>
        <v/>
      </c>
      <c r="S781" s="119" t="str">
        <f>IF('Prod 1'!E782="","",'Prod 1'!E782+'BH (2)'!C781)</f>
        <v/>
      </c>
      <c r="T781" s="59"/>
      <c r="U781" s="91"/>
    </row>
    <row r="782" spans="9:21" ht="24.95" customHeight="1" x14ac:dyDescent="0.25">
      <c r="I782" s="106">
        <v>779</v>
      </c>
      <c r="J782" s="119" t="str">
        <f t="shared" si="41"/>
        <v/>
      </c>
      <c r="K782" s="92" t="str">
        <f>IF('Prod 1'!D783="","",'Prod 1'!D783)</f>
        <v/>
      </c>
      <c r="L782" s="119" t="str">
        <f>IF('Prod 1'!I783="","",'Prod 1'!I783+'BH (2)'!C782)</f>
        <v/>
      </c>
      <c r="M782" s="59"/>
      <c r="N782" s="91"/>
      <c r="Q782" s="119" t="str">
        <f t="shared" si="42"/>
        <v/>
      </c>
      <c r="R782" s="92" t="str">
        <f>IF('Prod 1'!D783="","",'Prod 1'!D783)</f>
        <v/>
      </c>
      <c r="S782" s="119" t="str">
        <f>IF('Prod 1'!E783="","",'Prod 1'!E783+'BH (2)'!C782)</f>
        <v/>
      </c>
      <c r="T782" s="59"/>
      <c r="U782" s="91"/>
    </row>
    <row r="783" spans="9:21" ht="24.95" customHeight="1" x14ac:dyDescent="0.25">
      <c r="I783" s="106">
        <v>780</v>
      </c>
      <c r="J783" s="119" t="str">
        <f t="shared" si="41"/>
        <v/>
      </c>
      <c r="K783" s="92" t="str">
        <f>IF('Prod 1'!D784="","",'Prod 1'!D784)</f>
        <v/>
      </c>
      <c r="L783" s="119" t="str">
        <f>IF('Prod 1'!I784="","",'Prod 1'!I784+'BH (2)'!C783)</f>
        <v/>
      </c>
      <c r="M783" s="59"/>
      <c r="N783" s="91"/>
      <c r="Q783" s="119" t="str">
        <f t="shared" si="42"/>
        <v/>
      </c>
      <c r="R783" s="92" t="str">
        <f>IF('Prod 1'!D784="","",'Prod 1'!D784)</f>
        <v/>
      </c>
      <c r="S783" s="119" t="str">
        <f>IF('Prod 1'!E784="","",'Prod 1'!E784+'BH (2)'!C783)</f>
        <v/>
      </c>
      <c r="T783" s="59"/>
      <c r="U783" s="91"/>
    </row>
    <row r="784" spans="9:21" ht="24.95" customHeight="1" x14ac:dyDescent="0.25">
      <c r="I784" s="106">
        <v>781</v>
      </c>
      <c r="J784" s="119" t="str">
        <f t="shared" si="41"/>
        <v/>
      </c>
      <c r="K784" s="92" t="str">
        <f>IF('Prod 1'!D785="","",'Prod 1'!D785)</f>
        <v/>
      </c>
      <c r="L784" s="119" t="str">
        <f>IF('Prod 1'!I785="","",'Prod 1'!I785+'BH (2)'!C784)</f>
        <v/>
      </c>
      <c r="M784" s="59"/>
      <c r="N784" s="91"/>
      <c r="Q784" s="119" t="str">
        <f t="shared" si="42"/>
        <v/>
      </c>
      <c r="R784" s="92" t="str">
        <f>IF('Prod 1'!D785="","",'Prod 1'!D785)</f>
        <v/>
      </c>
      <c r="S784" s="119" t="str">
        <f>IF('Prod 1'!E785="","",'Prod 1'!E785+'BH (2)'!C784)</f>
        <v/>
      </c>
      <c r="T784" s="59"/>
      <c r="U784" s="91"/>
    </row>
    <row r="785" spans="9:21" ht="24.95" customHeight="1" x14ac:dyDescent="0.25">
      <c r="I785" s="106">
        <v>782</v>
      </c>
      <c r="J785" s="119" t="str">
        <f t="shared" si="41"/>
        <v/>
      </c>
      <c r="K785" s="92" t="str">
        <f>IF('Prod 1'!D786="","",'Prod 1'!D786)</f>
        <v/>
      </c>
      <c r="L785" s="119" t="str">
        <f>IF('Prod 1'!I786="","",'Prod 1'!I786+'BH (2)'!C785)</f>
        <v/>
      </c>
      <c r="M785" s="59"/>
      <c r="N785" s="91"/>
      <c r="Q785" s="119" t="str">
        <f t="shared" si="42"/>
        <v/>
      </c>
      <c r="R785" s="92" t="str">
        <f>IF('Prod 1'!D786="","",'Prod 1'!D786)</f>
        <v/>
      </c>
      <c r="S785" s="119" t="str">
        <f>IF('Prod 1'!E786="","",'Prod 1'!E786+'BH (2)'!C785)</f>
        <v/>
      </c>
      <c r="T785" s="59"/>
      <c r="U785" s="91"/>
    </row>
    <row r="786" spans="9:21" ht="24.95" customHeight="1" x14ac:dyDescent="0.25">
      <c r="I786" s="106">
        <v>783</v>
      </c>
      <c r="J786" s="119" t="str">
        <f t="shared" si="41"/>
        <v/>
      </c>
      <c r="K786" s="92" t="str">
        <f>IF('Prod 1'!D787="","",'Prod 1'!D787)</f>
        <v/>
      </c>
      <c r="L786" s="119" t="str">
        <f>IF('Prod 1'!I787="","",'Prod 1'!I787+'BH (2)'!C786)</f>
        <v/>
      </c>
      <c r="M786" s="59"/>
      <c r="N786" s="91"/>
      <c r="Q786" s="119" t="str">
        <f t="shared" si="42"/>
        <v/>
      </c>
      <c r="R786" s="92" t="str">
        <f>IF('Prod 1'!D787="","",'Prod 1'!D787)</f>
        <v/>
      </c>
      <c r="S786" s="119" t="str">
        <f>IF('Prod 1'!E787="","",'Prod 1'!E787+'BH (2)'!C786)</f>
        <v/>
      </c>
      <c r="T786" s="59"/>
      <c r="U786" s="91"/>
    </row>
    <row r="787" spans="9:21" ht="24.95" customHeight="1" x14ac:dyDescent="0.25">
      <c r="I787" s="106">
        <v>784</v>
      </c>
      <c r="J787" s="119" t="str">
        <f t="shared" si="41"/>
        <v/>
      </c>
      <c r="K787" s="92" t="str">
        <f>IF('Prod 1'!D788="","",'Prod 1'!D788)</f>
        <v/>
      </c>
      <c r="L787" s="119" t="str">
        <f>IF('Prod 1'!I788="","",'Prod 1'!I788+'BH (2)'!C787)</f>
        <v/>
      </c>
      <c r="M787" s="59"/>
      <c r="N787" s="91"/>
      <c r="Q787" s="119" t="str">
        <f t="shared" si="42"/>
        <v/>
      </c>
      <c r="R787" s="92" t="str">
        <f>IF('Prod 1'!D788="","",'Prod 1'!D788)</f>
        <v/>
      </c>
      <c r="S787" s="119" t="str">
        <f>IF('Prod 1'!E788="","",'Prod 1'!E788+'BH (2)'!C787)</f>
        <v/>
      </c>
      <c r="T787" s="59"/>
      <c r="U787" s="91"/>
    </row>
    <row r="788" spans="9:21" ht="24.95" customHeight="1" x14ac:dyDescent="0.25">
      <c r="I788" s="106">
        <v>785</v>
      </c>
      <c r="J788" s="119" t="str">
        <f t="shared" si="41"/>
        <v/>
      </c>
      <c r="K788" s="92" t="str">
        <f>IF('Prod 1'!D789="","",'Prod 1'!D789)</f>
        <v/>
      </c>
      <c r="L788" s="119" t="str">
        <f>IF('Prod 1'!I789="","",'Prod 1'!I789+'BH (2)'!C788)</f>
        <v/>
      </c>
      <c r="M788" s="59"/>
      <c r="N788" s="91"/>
      <c r="Q788" s="119" t="str">
        <f t="shared" si="42"/>
        <v/>
      </c>
      <c r="R788" s="92" t="str">
        <f>IF('Prod 1'!D789="","",'Prod 1'!D789)</f>
        <v/>
      </c>
      <c r="S788" s="119" t="str">
        <f>IF('Prod 1'!E789="","",'Prod 1'!E789+'BH (2)'!C788)</f>
        <v/>
      </c>
      <c r="T788" s="59"/>
      <c r="U788" s="91"/>
    </row>
    <row r="789" spans="9:21" ht="24.95" customHeight="1" x14ac:dyDescent="0.25">
      <c r="I789" s="106">
        <v>786</v>
      </c>
      <c r="J789" s="119" t="str">
        <f t="shared" si="41"/>
        <v/>
      </c>
      <c r="K789" s="92" t="str">
        <f>IF('Prod 1'!D790="","",'Prod 1'!D790)</f>
        <v/>
      </c>
      <c r="L789" s="119" t="str">
        <f>IF('Prod 1'!I790="","",'Prod 1'!I790+'BH (2)'!C789)</f>
        <v/>
      </c>
      <c r="M789" s="59"/>
      <c r="N789" s="91"/>
      <c r="Q789" s="119" t="str">
        <f t="shared" si="42"/>
        <v/>
      </c>
      <c r="R789" s="92" t="str">
        <f>IF('Prod 1'!D790="","",'Prod 1'!D790)</f>
        <v/>
      </c>
      <c r="S789" s="119" t="str">
        <f>IF('Prod 1'!E790="","",'Prod 1'!E790+'BH (2)'!C789)</f>
        <v/>
      </c>
      <c r="T789" s="59"/>
      <c r="U789" s="91"/>
    </row>
    <row r="790" spans="9:21" ht="24.95" customHeight="1" x14ac:dyDescent="0.25">
      <c r="I790" s="106">
        <v>787</v>
      </c>
      <c r="J790" s="119" t="str">
        <f t="shared" si="41"/>
        <v/>
      </c>
      <c r="K790" s="92" t="str">
        <f>IF('Prod 1'!D791="","",'Prod 1'!D791)</f>
        <v/>
      </c>
      <c r="L790" s="119" t="str">
        <f>IF('Prod 1'!I791="","",'Prod 1'!I791+'BH (2)'!C790)</f>
        <v/>
      </c>
      <c r="M790" s="59"/>
      <c r="N790" s="91"/>
      <c r="Q790" s="119" t="str">
        <f t="shared" si="42"/>
        <v/>
      </c>
      <c r="R790" s="92" t="str">
        <f>IF('Prod 1'!D791="","",'Prod 1'!D791)</f>
        <v/>
      </c>
      <c r="S790" s="119" t="str">
        <f>IF('Prod 1'!E791="","",'Prod 1'!E791+'BH (2)'!C790)</f>
        <v/>
      </c>
      <c r="T790" s="59"/>
      <c r="U790" s="91"/>
    </row>
    <row r="791" spans="9:21" ht="24.95" customHeight="1" x14ac:dyDescent="0.25">
      <c r="I791" s="106">
        <v>788</v>
      </c>
      <c r="J791" s="119" t="str">
        <f t="shared" si="41"/>
        <v/>
      </c>
      <c r="K791" s="92" t="str">
        <f>IF('Prod 1'!D792="","",'Prod 1'!D792)</f>
        <v/>
      </c>
      <c r="L791" s="119" t="str">
        <f>IF('Prod 1'!I792="","",'Prod 1'!I792+'BH (2)'!C791)</f>
        <v/>
      </c>
      <c r="M791" s="59"/>
      <c r="N791" s="91"/>
      <c r="Q791" s="119" t="str">
        <f t="shared" si="42"/>
        <v/>
      </c>
      <c r="R791" s="92" t="str">
        <f>IF('Prod 1'!D792="","",'Prod 1'!D792)</f>
        <v/>
      </c>
      <c r="S791" s="119" t="str">
        <f>IF('Prod 1'!E792="","",'Prod 1'!E792+'BH (2)'!C791)</f>
        <v/>
      </c>
      <c r="T791" s="59"/>
      <c r="U791" s="91"/>
    </row>
    <row r="792" spans="9:21" ht="24.95" customHeight="1" x14ac:dyDescent="0.25">
      <c r="I792" s="106">
        <v>789</v>
      </c>
      <c r="J792" s="119" t="str">
        <f t="shared" si="41"/>
        <v/>
      </c>
      <c r="K792" s="92" t="str">
        <f>IF('Prod 1'!D793="","",'Prod 1'!D793)</f>
        <v/>
      </c>
      <c r="L792" s="119" t="str">
        <f>IF('Prod 1'!I793="","",'Prod 1'!I793+'BH (2)'!C792)</f>
        <v/>
      </c>
      <c r="M792" s="59"/>
      <c r="N792" s="91"/>
      <c r="Q792" s="119" t="str">
        <f t="shared" si="42"/>
        <v/>
      </c>
      <c r="R792" s="92" t="str">
        <f>IF('Prod 1'!D793="","",'Prod 1'!D793)</f>
        <v/>
      </c>
      <c r="S792" s="119" t="str">
        <f>IF('Prod 1'!E793="","",'Prod 1'!E793+'BH (2)'!C792)</f>
        <v/>
      </c>
      <c r="T792" s="59"/>
      <c r="U792" s="91"/>
    </row>
    <row r="793" spans="9:21" ht="24.95" customHeight="1" x14ac:dyDescent="0.25">
      <c r="I793" s="106">
        <v>790</v>
      </c>
      <c r="J793" s="119" t="str">
        <f t="shared" si="41"/>
        <v/>
      </c>
      <c r="K793" s="92" t="str">
        <f>IF('Prod 1'!D794="","",'Prod 1'!D794)</f>
        <v/>
      </c>
      <c r="L793" s="119" t="str">
        <f>IF('Prod 1'!I794="","",'Prod 1'!I794+'BH (2)'!C793)</f>
        <v/>
      </c>
      <c r="M793" s="59"/>
      <c r="N793" s="91"/>
      <c r="Q793" s="119" t="str">
        <f t="shared" si="42"/>
        <v/>
      </c>
      <c r="R793" s="92" t="str">
        <f>IF('Prod 1'!D794="","",'Prod 1'!D794)</f>
        <v/>
      </c>
      <c r="S793" s="119" t="str">
        <f>IF('Prod 1'!E794="","",'Prod 1'!E794+'BH (2)'!C793)</f>
        <v/>
      </c>
      <c r="T793" s="59"/>
      <c r="U793" s="91"/>
    </row>
    <row r="794" spans="9:21" ht="24.95" customHeight="1" x14ac:dyDescent="0.25">
      <c r="I794" s="106">
        <v>791</v>
      </c>
      <c r="J794" s="119" t="str">
        <f t="shared" si="41"/>
        <v/>
      </c>
      <c r="K794" s="92" t="str">
        <f>IF('Prod 1'!D795="","",'Prod 1'!D795)</f>
        <v/>
      </c>
      <c r="L794" s="119" t="str">
        <f>IF('Prod 1'!I795="","",'Prod 1'!I795+'BH (2)'!C794)</f>
        <v/>
      </c>
      <c r="M794" s="59"/>
      <c r="N794" s="91"/>
      <c r="Q794" s="119" t="str">
        <f t="shared" si="42"/>
        <v/>
      </c>
      <c r="R794" s="92" t="str">
        <f>IF('Prod 1'!D795="","",'Prod 1'!D795)</f>
        <v/>
      </c>
      <c r="S794" s="119" t="str">
        <f>IF('Prod 1'!E795="","",'Prod 1'!E795+'BH (2)'!C794)</f>
        <v/>
      </c>
      <c r="T794" s="59"/>
      <c r="U794" s="91"/>
    </row>
    <row r="795" spans="9:21" ht="24.95" customHeight="1" x14ac:dyDescent="0.25">
      <c r="I795" s="106">
        <v>792</v>
      </c>
      <c r="J795" s="119" t="str">
        <f t="shared" si="41"/>
        <v/>
      </c>
      <c r="K795" s="92" t="str">
        <f>IF('Prod 1'!D796="","",'Prod 1'!D796)</f>
        <v/>
      </c>
      <c r="L795" s="119" t="str">
        <f>IF('Prod 1'!I796="","",'Prod 1'!I796+'BH (2)'!C795)</f>
        <v/>
      </c>
      <c r="M795" s="59"/>
      <c r="N795" s="91"/>
      <c r="Q795" s="119" t="str">
        <f t="shared" si="42"/>
        <v/>
      </c>
      <c r="R795" s="92" t="str">
        <f>IF('Prod 1'!D796="","",'Prod 1'!D796)</f>
        <v/>
      </c>
      <c r="S795" s="119" t="str">
        <f>IF('Prod 1'!E796="","",'Prod 1'!E796+'BH (2)'!C795)</f>
        <v/>
      </c>
      <c r="T795" s="59"/>
      <c r="U795" s="91"/>
    </row>
    <row r="796" spans="9:21" ht="24.95" customHeight="1" x14ac:dyDescent="0.25">
      <c r="I796" s="106">
        <v>793</v>
      </c>
      <c r="J796" s="119" t="str">
        <f t="shared" si="41"/>
        <v/>
      </c>
      <c r="K796" s="92" t="str">
        <f>IF('Prod 1'!D797="","",'Prod 1'!D797)</f>
        <v/>
      </c>
      <c r="L796" s="119" t="str">
        <f>IF('Prod 1'!I797="","",'Prod 1'!I797+'BH (2)'!C796)</f>
        <v/>
      </c>
      <c r="M796" s="59"/>
      <c r="N796" s="91"/>
      <c r="Q796" s="119" t="str">
        <f t="shared" si="42"/>
        <v/>
      </c>
      <c r="R796" s="92" t="str">
        <f>IF('Prod 1'!D797="","",'Prod 1'!D797)</f>
        <v/>
      </c>
      <c r="S796" s="119" t="str">
        <f>IF('Prod 1'!E797="","",'Prod 1'!E797+'BH (2)'!C796)</f>
        <v/>
      </c>
      <c r="T796" s="59"/>
      <c r="U796" s="91"/>
    </row>
    <row r="797" spans="9:21" ht="24.95" customHeight="1" x14ac:dyDescent="0.25">
      <c r="I797" s="106">
        <v>794</v>
      </c>
      <c r="J797" s="119" t="str">
        <f t="shared" si="41"/>
        <v/>
      </c>
      <c r="K797" s="92" t="str">
        <f>IF('Prod 1'!D798="","",'Prod 1'!D798)</f>
        <v/>
      </c>
      <c r="L797" s="119" t="str">
        <f>IF('Prod 1'!I798="","",'Prod 1'!I798+'BH (2)'!C797)</f>
        <v/>
      </c>
      <c r="M797" s="59"/>
      <c r="N797" s="91"/>
      <c r="Q797" s="119" t="str">
        <f t="shared" si="42"/>
        <v/>
      </c>
      <c r="R797" s="92" t="str">
        <f>IF('Prod 1'!D798="","",'Prod 1'!D798)</f>
        <v/>
      </c>
      <c r="S797" s="119" t="str">
        <f>IF('Prod 1'!E798="","",'Prod 1'!E798+'BH (2)'!C797)</f>
        <v/>
      </c>
      <c r="T797" s="59"/>
      <c r="U797" s="91"/>
    </row>
    <row r="798" spans="9:21" ht="24.95" customHeight="1" x14ac:dyDescent="0.25">
      <c r="I798" s="106">
        <v>795</v>
      </c>
      <c r="J798" s="119" t="str">
        <f t="shared" si="41"/>
        <v/>
      </c>
      <c r="K798" s="92" t="str">
        <f>IF('Prod 1'!D799="","",'Prod 1'!D799)</f>
        <v/>
      </c>
      <c r="L798" s="119" t="str">
        <f>IF('Prod 1'!I799="","",'Prod 1'!I799+'BH (2)'!C798)</f>
        <v/>
      </c>
      <c r="M798" s="59"/>
      <c r="N798" s="91"/>
      <c r="Q798" s="119" t="str">
        <f t="shared" si="42"/>
        <v/>
      </c>
      <c r="R798" s="92" t="str">
        <f>IF('Prod 1'!D799="","",'Prod 1'!D799)</f>
        <v/>
      </c>
      <c r="S798" s="119" t="str">
        <f>IF('Prod 1'!E799="","",'Prod 1'!E799+'BH (2)'!C798)</f>
        <v/>
      </c>
      <c r="T798" s="59"/>
      <c r="U798" s="91"/>
    </row>
    <row r="799" spans="9:21" ht="24.95" customHeight="1" x14ac:dyDescent="0.25">
      <c r="I799" s="106">
        <v>796</v>
      </c>
      <c r="J799" s="119" t="str">
        <f t="shared" si="41"/>
        <v/>
      </c>
      <c r="K799" s="92" t="str">
        <f>IF('Prod 1'!D800="","",'Prod 1'!D800)</f>
        <v/>
      </c>
      <c r="L799" s="119" t="str">
        <f>IF('Prod 1'!I800="","",'Prod 1'!I800+'BH (2)'!C799)</f>
        <v/>
      </c>
      <c r="M799" s="59"/>
      <c r="N799" s="91"/>
      <c r="Q799" s="119" t="str">
        <f t="shared" si="42"/>
        <v/>
      </c>
      <c r="R799" s="92" t="str">
        <f>IF('Prod 1'!D800="","",'Prod 1'!D800)</f>
        <v/>
      </c>
      <c r="S799" s="119" t="str">
        <f>IF('Prod 1'!E800="","",'Prod 1'!E800+'BH (2)'!C799)</f>
        <v/>
      </c>
      <c r="T799" s="59"/>
      <c r="U799" s="91"/>
    </row>
    <row r="800" spans="9:21" ht="24.95" customHeight="1" x14ac:dyDescent="0.25">
      <c r="I800" s="106">
        <v>797</v>
      </c>
      <c r="J800" s="119" t="str">
        <f t="shared" si="41"/>
        <v/>
      </c>
      <c r="K800" s="92" t="str">
        <f>IF('Prod 1'!D801="","",'Prod 1'!D801)</f>
        <v/>
      </c>
      <c r="L800" s="119" t="str">
        <f>IF('Prod 1'!I801="","",'Prod 1'!I801+'BH (2)'!C800)</f>
        <v/>
      </c>
      <c r="M800" s="59"/>
      <c r="N800" s="91"/>
      <c r="Q800" s="119" t="str">
        <f t="shared" si="42"/>
        <v/>
      </c>
      <c r="R800" s="92" t="str">
        <f>IF('Prod 1'!D801="","",'Prod 1'!D801)</f>
        <v/>
      </c>
      <c r="S800" s="119" t="str">
        <f>IF('Prod 1'!E801="","",'Prod 1'!E801+'BH (2)'!C800)</f>
        <v/>
      </c>
      <c r="T800" s="59"/>
      <c r="U800" s="91"/>
    </row>
    <row r="801" spans="9:21" ht="24.95" customHeight="1" x14ac:dyDescent="0.25">
      <c r="I801" s="106">
        <v>798</v>
      </c>
      <c r="J801" s="119" t="str">
        <f t="shared" si="41"/>
        <v/>
      </c>
      <c r="K801" s="92" t="str">
        <f>IF('Prod 1'!D802="","",'Prod 1'!D802)</f>
        <v/>
      </c>
      <c r="L801" s="119" t="str">
        <f>IF('Prod 1'!I802="","",'Prod 1'!I802+'BH (2)'!C801)</f>
        <v/>
      </c>
      <c r="M801" s="59"/>
      <c r="N801" s="91"/>
      <c r="Q801" s="119" t="str">
        <f t="shared" si="42"/>
        <v/>
      </c>
      <c r="R801" s="92" t="str">
        <f>IF('Prod 1'!D802="","",'Prod 1'!D802)</f>
        <v/>
      </c>
      <c r="S801" s="119" t="str">
        <f>IF('Prod 1'!E802="","",'Prod 1'!E802+'BH (2)'!C801)</f>
        <v/>
      </c>
      <c r="T801" s="59"/>
      <c r="U801" s="91"/>
    </row>
    <row r="802" spans="9:21" ht="24.95" customHeight="1" x14ac:dyDescent="0.25">
      <c r="I802" s="106">
        <v>799</v>
      </c>
      <c r="J802" s="119" t="str">
        <f t="shared" si="41"/>
        <v/>
      </c>
      <c r="K802" s="92" t="str">
        <f>IF('Prod 1'!D803="","",'Prod 1'!D803)</f>
        <v/>
      </c>
      <c r="L802" s="119" t="str">
        <f>IF('Prod 1'!I803="","",'Prod 1'!I803+'BH (2)'!C802)</f>
        <v/>
      </c>
      <c r="M802" s="59"/>
      <c r="N802" s="91"/>
      <c r="Q802" s="119" t="str">
        <f t="shared" si="42"/>
        <v/>
      </c>
      <c r="R802" s="92" t="str">
        <f>IF('Prod 1'!D803="","",'Prod 1'!D803)</f>
        <v/>
      </c>
      <c r="S802" s="119" t="str">
        <f>IF('Prod 1'!E803="","",'Prod 1'!E803+'BH (2)'!C802)</f>
        <v/>
      </c>
      <c r="T802" s="59"/>
      <c r="U802" s="91"/>
    </row>
    <row r="803" spans="9:21" ht="24.95" customHeight="1" x14ac:dyDescent="0.25">
      <c r="I803" s="106">
        <v>800</v>
      </c>
      <c r="J803" s="119" t="str">
        <f t="shared" si="41"/>
        <v/>
      </c>
      <c r="K803" s="92" t="str">
        <f>IF('Prod 1'!D804="","",'Prod 1'!D804)</f>
        <v/>
      </c>
      <c r="L803" s="119" t="str">
        <f>IF('Prod 1'!I804="","",'Prod 1'!I804+'BH (2)'!C803)</f>
        <v/>
      </c>
      <c r="M803" s="59"/>
      <c r="N803" s="91"/>
      <c r="Q803" s="119" t="str">
        <f t="shared" si="42"/>
        <v/>
      </c>
      <c r="R803" s="92" t="str">
        <f>IF('Prod 1'!D804="","",'Prod 1'!D804)</f>
        <v/>
      </c>
      <c r="S803" s="119" t="str">
        <f>IF('Prod 1'!E804="","",'Prod 1'!E804+'BH (2)'!C803)</f>
        <v/>
      </c>
      <c r="T803" s="59"/>
      <c r="U803" s="91"/>
    </row>
    <row r="804" spans="9:21" ht="24.95" customHeight="1" x14ac:dyDescent="0.25">
      <c r="I804" s="106">
        <v>801</v>
      </c>
      <c r="J804" s="119" t="str">
        <f t="shared" si="41"/>
        <v/>
      </c>
      <c r="K804" s="92" t="str">
        <f>IF('Prod 1'!D805="","",'Prod 1'!D805)</f>
        <v/>
      </c>
      <c r="L804" s="119" t="str">
        <f>IF('Prod 1'!I805="","",'Prod 1'!I805+'BH (2)'!C804)</f>
        <v/>
      </c>
      <c r="M804" s="59"/>
      <c r="N804" s="91"/>
      <c r="Q804" s="119" t="str">
        <f t="shared" si="42"/>
        <v/>
      </c>
      <c r="R804" s="92" t="str">
        <f>IF('Prod 1'!D805="","",'Prod 1'!D805)</f>
        <v/>
      </c>
      <c r="S804" s="119" t="str">
        <f>IF('Prod 1'!E805="","",'Prod 1'!E805+'BH (2)'!C804)</f>
        <v/>
      </c>
      <c r="T804" s="59"/>
      <c r="U804" s="91"/>
    </row>
    <row r="805" spans="9:21" ht="24.95" customHeight="1" x14ac:dyDescent="0.25">
      <c r="I805" s="106">
        <v>802</v>
      </c>
      <c r="J805" s="119" t="str">
        <f t="shared" si="41"/>
        <v/>
      </c>
      <c r="K805" s="92" t="str">
        <f>IF('Prod 1'!D806="","",'Prod 1'!D806)</f>
        <v/>
      </c>
      <c r="L805" s="119" t="str">
        <f>IF('Prod 1'!I806="","",'Prod 1'!I806+'BH (2)'!C805)</f>
        <v/>
      </c>
      <c r="M805" s="59"/>
      <c r="N805" s="91"/>
      <c r="Q805" s="119" t="str">
        <f t="shared" si="42"/>
        <v/>
      </c>
      <c r="R805" s="92" t="str">
        <f>IF('Prod 1'!D806="","",'Prod 1'!D806)</f>
        <v/>
      </c>
      <c r="S805" s="119" t="str">
        <f>IF('Prod 1'!E806="","",'Prod 1'!E806+'BH (2)'!C805)</f>
        <v/>
      </c>
      <c r="T805" s="59"/>
      <c r="U805" s="91"/>
    </row>
    <row r="806" spans="9:21" ht="24.95" customHeight="1" x14ac:dyDescent="0.25">
      <c r="I806" s="106">
        <v>803</v>
      </c>
      <c r="J806" s="119" t="str">
        <f t="shared" si="41"/>
        <v/>
      </c>
      <c r="K806" s="92" t="str">
        <f>IF('Prod 1'!D807="","",'Prod 1'!D807)</f>
        <v/>
      </c>
      <c r="L806" s="119" t="str">
        <f>IF('Prod 1'!I807="","",'Prod 1'!I807+'BH (2)'!C806)</f>
        <v/>
      </c>
      <c r="M806" s="59"/>
      <c r="N806" s="91"/>
      <c r="Q806" s="119" t="str">
        <f t="shared" si="42"/>
        <v/>
      </c>
      <c r="R806" s="92" t="str">
        <f>IF('Prod 1'!D807="","",'Prod 1'!D807)</f>
        <v/>
      </c>
      <c r="S806" s="119" t="str">
        <f>IF('Prod 1'!E807="","",'Prod 1'!E807+'BH (2)'!C806)</f>
        <v/>
      </c>
      <c r="T806" s="59"/>
      <c r="U806" s="91"/>
    </row>
    <row r="807" spans="9:21" ht="24.95" customHeight="1" x14ac:dyDescent="0.25">
      <c r="I807" s="106">
        <v>804</v>
      </c>
      <c r="J807" s="119" t="str">
        <f t="shared" si="41"/>
        <v/>
      </c>
      <c r="K807" s="92" t="str">
        <f>IF('Prod 1'!D808="","",'Prod 1'!D808)</f>
        <v/>
      </c>
      <c r="L807" s="119" t="str">
        <f>IF('Prod 1'!I808="","",'Prod 1'!I808+'BH (2)'!C807)</f>
        <v/>
      </c>
      <c r="M807" s="59"/>
      <c r="N807" s="91"/>
      <c r="Q807" s="119" t="str">
        <f t="shared" si="42"/>
        <v/>
      </c>
      <c r="R807" s="92" t="str">
        <f>IF('Prod 1'!D808="","",'Prod 1'!D808)</f>
        <v/>
      </c>
      <c r="S807" s="119" t="str">
        <f>IF('Prod 1'!E808="","",'Prod 1'!E808+'BH (2)'!C807)</f>
        <v/>
      </c>
      <c r="T807" s="59"/>
      <c r="U807" s="91"/>
    </row>
    <row r="808" spans="9:21" ht="24.95" customHeight="1" x14ac:dyDescent="0.25">
      <c r="I808" s="106">
        <v>805</v>
      </c>
      <c r="J808" s="119" t="str">
        <f t="shared" si="41"/>
        <v/>
      </c>
      <c r="K808" s="92" t="str">
        <f>IF('Prod 1'!D809="","",'Prod 1'!D809)</f>
        <v/>
      </c>
      <c r="L808" s="119" t="str">
        <f>IF('Prod 1'!I809="","",'Prod 1'!I809+'BH (2)'!C808)</f>
        <v/>
      </c>
      <c r="M808" s="59"/>
      <c r="N808" s="91"/>
      <c r="Q808" s="119" t="str">
        <f t="shared" si="42"/>
        <v/>
      </c>
      <c r="R808" s="92" t="str">
        <f>IF('Prod 1'!D809="","",'Prod 1'!D809)</f>
        <v/>
      </c>
      <c r="S808" s="119" t="str">
        <f>IF('Prod 1'!E809="","",'Prod 1'!E809+'BH (2)'!C808)</f>
        <v/>
      </c>
      <c r="T808" s="59"/>
      <c r="U808" s="91"/>
    </row>
    <row r="809" spans="9:21" ht="24.95" customHeight="1" x14ac:dyDescent="0.25">
      <c r="I809" s="106">
        <v>806</v>
      </c>
      <c r="J809" s="119" t="str">
        <f t="shared" si="41"/>
        <v/>
      </c>
      <c r="K809" s="92" t="str">
        <f>IF('Prod 1'!D810="","",'Prod 1'!D810)</f>
        <v/>
      </c>
      <c r="L809" s="119" t="str">
        <f>IF('Prod 1'!I810="","",'Prod 1'!I810+'BH (2)'!C809)</f>
        <v/>
      </c>
      <c r="M809" s="59"/>
      <c r="N809" s="91"/>
      <c r="Q809" s="119" t="str">
        <f t="shared" si="42"/>
        <v/>
      </c>
      <c r="R809" s="92" t="str">
        <f>IF('Prod 1'!D810="","",'Prod 1'!D810)</f>
        <v/>
      </c>
      <c r="S809" s="119" t="str">
        <f>IF('Prod 1'!E810="","",'Prod 1'!E810+'BH (2)'!C809)</f>
        <v/>
      </c>
      <c r="T809" s="59"/>
      <c r="U809" s="91"/>
    </row>
    <row r="810" spans="9:21" ht="24.95" customHeight="1" x14ac:dyDescent="0.25">
      <c r="I810" s="106">
        <v>807</v>
      </c>
      <c r="J810" s="119" t="str">
        <f t="shared" si="41"/>
        <v/>
      </c>
      <c r="K810" s="92" t="str">
        <f>IF('Prod 1'!D811="","",'Prod 1'!D811)</f>
        <v/>
      </c>
      <c r="L810" s="119" t="str">
        <f>IF('Prod 1'!I811="","",'Prod 1'!I811+'BH (2)'!C810)</f>
        <v/>
      </c>
      <c r="M810" s="59"/>
      <c r="N810" s="91"/>
      <c r="Q810" s="119" t="str">
        <f t="shared" si="42"/>
        <v/>
      </c>
      <c r="R810" s="92" t="str">
        <f>IF('Prod 1'!D811="","",'Prod 1'!D811)</f>
        <v/>
      </c>
      <c r="S810" s="119" t="str">
        <f>IF('Prod 1'!E811="","",'Prod 1'!E811+'BH (2)'!C810)</f>
        <v/>
      </c>
      <c r="T810" s="59"/>
      <c r="U810" s="91"/>
    </row>
    <row r="811" spans="9:21" ht="24.95" customHeight="1" x14ac:dyDescent="0.25">
      <c r="I811" s="106">
        <v>808</v>
      </c>
      <c r="J811" s="119" t="str">
        <f t="shared" si="41"/>
        <v/>
      </c>
      <c r="K811" s="92" t="str">
        <f>IF('Prod 1'!D812="","",'Prod 1'!D812)</f>
        <v/>
      </c>
      <c r="L811" s="119" t="str">
        <f>IF('Prod 1'!I812="","",'Prod 1'!I812+'BH (2)'!C811)</f>
        <v/>
      </c>
      <c r="M811" s="59"/>
      <c r="N811" s="91"/>
      <c r="Q811" s="119" t="str">
        <f t="shared" si="42"/>
        <v/>
      </c>
      <c r="R811" s="92" t="str">
        <f>IF('Prod 1'!D812="","",'Prod 1'!D812)</f>
        <v/>
      </c>
      <c r="S811" s="119" t="str">
        <f>IF('Prod 1'!E812="","",'Prod 1'!E812+'BH (2)'!C811)</f>
        <v/>
      </c>
      <c r="T811" s="59"/>
      <c r="U811" s="91"/>
    </row>
    <row r="812" spans="9:21" ht="24.95" customHeight="1" x14ac:dyDescent="0.25">
      <c r="I812" s="106">
        <v>809</v>
      </c>
      <c r="J812" s="119" t="str">
        <f t="shared" si="41"/>
        <v/>
      </c>
      <c r="K812" s="92" t="str">
        <f>IF('Prod 1'!D813="","",'Prod 1'!D813)</f>
        <v/>
      </c>
      <c r="L812" s="119" t="str">
        <f>IF('Prod 1'!I813="","",'Prod 1'!I813+'BH (2)'!C812)</f>
        <v/>
      </c>
      <c r="M812" s="59"/>
      <c r="N812" s="91"/>
      <c r="Q812" s="119" t="str">
        <f t="shared" si="42"/>
        <v/>
      </c>
      <c r="R812" s="92" t="str">
        <f>IF('Prod 1'!D813="","",'Prod 1'!D813)</f>
        <v/>
      </c>
      <c r="S812" s="119" t="str">
        <f>IF('Prod 1'!E813="","",'Prod 1'!E813+'BH (2)'!C812)</f>
        <v/>
      </c>
      <c r="T812" s="59"/>
      <c r="U812" s="91"/>
    </row>
    <row r="813" spans="9:21" ht="24.95" customHeight="1" x14ac:dyDescent="0.25">
      <c r="I813" s="106">
        <v>810</v>
      </c>
      <c r="J813" s="119" t="str">
        <f t="shared" si="41"/>
        <v/>
      </c>
      <c r="K813" s="92" t="str">
        <f>IF('Prod 1'!D814="","",'Prod 1'!D814)</f>
        <v/>
      </c>
      <c r="L813" s="119" t="str">
        <f>IF('Prod 1'!I814="","",'Prod 1'!I814+'BH (2)'!C813)</f>
        <v/>
      </c>
      <c r="M813" s="59"/>
      <c r="N813" s="91"/>
      <c r="Q813" s="119" t="str">
        <f t="shared" si="42"/>
        <v/>
      </c>
      <c r="R813" s="92" t="str">
        <f>IF('Prod 1'!D814="","",'Prod 1'!D814)</f>
        <v/>
      </c>
      <c r="S813" s="119" t="str">
        <f>IF('Prod 1'!E814="","",'Prod 1'!E814+'BH (2)'!C813)</f>
        <v/>
      </c>
      <c r="T813" s="59"/>
      <c r="U813" s="91"/>
    </row>
    <row r="814" spans="9:21" ht="24.95" customHeight="1" x14ac:dyDescent="0.25">
      <c r="I814" s="106">
        <v>811</v>
      </c>
      <c r="J814" s="119" t="str">
        <f t="shared" si="41"/>
        <v/>
      </c>
      <c r="K814" s="92" t="str">
        <f>IF('Prod 1'!D815="","",'Prod 1'!D815)</f>
        <v/>
      </c>
      <c r="L814" s="119" t="str">
        <f>IF('Prod 1'!I815="","",'Prod 1'!I815+'BH (2)'!C814)</f>
        <v/>
      </c>
      <c r="M814" s="59"/>
      <c r="N814" s="91"/>
      <c r="Q814" s="119" t="str">
        <f t="shared" si="42"/>
        <v/>
      </c>
      <c r="R814" s="92" t="str">
        <f>IF('Prod 1'!D815="","",'Prod 1'!D815)</f>
        <v/>
      </c>
      <c r="S814" s="119" t="str">
        <f>IF('Prod 1'!E815="","",'Prod 1'!E815+'BH (2)'!C814)</f>
        <v/>
      </c>
      <c r="T814" s="59"/>
      <c r="U814" s="91"/>
    </row>
    <row r="815" spans="9:21" ht="24.95" customHeight="1" x14ac:dyDescent="0.25">
      <c r="I815" s="106">
        <v>812</v>
      </c>
      <c r="J815" s="119" t="str">
        <f t="shared" si="41"/>
        <v/>
      </c>
      <c r="K815" s="92" t="str">
        <f>IF('Prod 1'!D816="","",'Prod 1'!D816)</f>
        <v/>
      </c>
      <c r="L815" s="119" t="str">
        <f>IF('Prod 1'!I816="","",'Prod 1'!I816+'BH (2)'!C815)</f>
        <v/>
      </c>
      <c r="M815" s="59"/>
      <c r="N815" s="91"/>
      <c r="Q815" s="119" t="str">
        <f t="shared" si="42"/>
        <v/>
      </c>
      <c r="R815" s="92" t="str">
        <f>IF('Prod 1'!D816="","",'Prod 1'!D816)</f>
        <v/>
      </c>
      <c r="S815" s="119" t="str">
        <f>IF('Prod 1'!E816="","",'Prod 1'!E816+'BH (2)'!C815)</f>
        <v/>
      </c>
      <c r="T815" s="59"/>
      <c r="U815" s="91"/>
    </row>
    <row r="816" spans="9:21" ht="24.95" customHeight="1" x14ac:dyDescent="0.25">
      <c r="I816" s="106">
        <v>813</v>
      </c>
      <c r="J816" s="119" t="str">
        <f t="shared" si="41"/>
        <v/>
      </c>
      <c r="K816" s="92" t="str">
        <f>IF('Prod 1'!D817="","",'Prod 1'!D817)</f>
        <v/>
      </c>
      <c r="L816" s="119" t="str">
        <f>IF('Prod 1'!I817="","",'Prod 1'!I817+'BH (2)'!C816)</f>
        <v/>
      </c>
      <c r="M816" s="59"/>
      <c r="N816" s="91"/>
      <c r="Q816" s="119" t="str">
        <f t="shared" si="42"/>
        <v/>
      </c>
      <c r="R816" s="92" t="str">
        <f>IF('Prod 1'!D817="","",'Prod 1'!D817)</f>
        <v/>
      </c>
      <c r="S816" s="119" t="str">
        <f>IF('Prod 1'!E817="","",'Prod 1'!E817+'BH (2)'!C816)</f>
        <v/>
      </c>
      <c r="T816" s="59"/>
      <c r="U816" s="91"/>
    </row>
    <row r="817" spans="9:21" ht="24.95" customHeight="1" x14ac:dyDescent="0.25">
      <c r="I817" s="106">
        <v>814</v>
      </c>
      <c r="J817" s="119" t="str">
        <f t="shared" si="41"/>
        <v/>
      </c>
      <c r="K817" s="92" t="str">
        <f>IF('Prod 1'!D818="","",'Prod 1'!D818)</f>
        <v/>
      </c>
      <c r="L817" s="119" t="str">
        <f>IF('Prod 1'!I818="","",'Prod 1'!I818+'BH (2)'!C817)</f>
        <v/>
      </c>
      <c r="M817" s="59"/>
      <c r="N817" s="91"/>
      <c r="Q817" s="119" t="str">
        <f t="shared" si="42"/>
        <v/>
      </c>
      <c r="R817" s="92" t="str">
        <f>IF('Prod 1'!D818="","",'Prod 1'!D818)</f>
        <v/>
      </c>
      <c r="S817" s="119" t="str">
        <f>IF('Prod 1'!E818="","",'Prod 1'!E818+'BH (2)'!C817)</f>
        <v/>
      </c>
      <c r="T817" s="59"/>
      <c r="U817" s="91"/>
    </row>
    <row r="818" spans="9:21" ht="24.95" customHeight="1" x14ac:dyDescent="0.25">
      <c r="I818" s="106">
        <v>815</v>
      </c>
      <c r="J818" s="119" t="str">
        <f t="shared" si="41"/>
        <v/>
      </c>
      <c r="K818" s="92" t="str">
        <f>IF('Prod 1'!D819="","",'Prod 1'!D819)</f>
        <v/>
      </c>
      <c r="L818" s="119" t="str">
        <f>IF('Prod 1'!I819="","",'Prod 1'!I819+'BH (2)'!C818)</f>
        <v/>
      </c>
      <c r="M818" s="59"/>
      <c r="N818" s="91"/>
      <c r="Q818" s="119" t="str">
        <f t="shared" si="42"/>
        <v/>
      </c>
      <c r="R818" s="92" t="str">
        <f>IF('Prod 1'!D819="","",'Prod 1'!D819)</f>
        <v/>
      </c>
      <c r="S818" s="119" t="str">
        <f>IF('Prod 1'!E819="","",'Prod 1'!E819+'BH (2)'!C818)</f>
        <v/>
      </c>
      <c r="T818" s="59"/>
      <c r="U818" s="91"/>
    </row>
    <row r="819" spans="9:21" ht="24.95" customHeight="1" x14ac:dyDescent="0.25">
      <c r="I819" s="106">
        <v>816</v>
      </c>
      <c r="J819" s="119" t="str">
        <f t="shared" si="41"/>
        <v/>
      </c>
      <c r="K819" s="92" t="str">
        <f>IF('Prod 1'!D820="","",'Prod 1'!D820)</f>
        <v/>
      </c>
      <c r="L819" s="119" t="str">
        <f>IF('Prod 1'!I820="","",'Prod 1'!I820+'BH (2)'!C819)</f>
        <v/>
      </c>
      <c r="M819" s="59"/>
      <c r="N819" s="91"/>
      <c r="Q819" s="119" t="str">
        <f t="shared" si="42"/>
        <v/>
      </c>
      <c r="R819" s="92" t="str">
        <f>IF('Prod 1'!D820="","",'Prod 1'!D820)</f>
        <v/>
      </c>
      <c r="S819" s="119" t="str">
        <f>IF('Prod 1'!E820="","",'Prod 1'!E820+'BH (2)'!C819)</f>
        <v/>
      </c>
      <c r="T819" s="59"/>
      <c r="U819" s="91"/>
    </row>
    <row r="820" spans="9:21" ht="24.95" customHeight="1" x14ac:dyDescent="0.25">
      <c r="I820" s="106">
        <v>817</v>
      </c>
      <c r="J820" s="119" t="str">
        <f t="shared" si="41"/>
        <v/>
      </c>
      <c r="K820" s="92" t="str">
        <f>IF('Prod 1'!D821="","",'Prod 1'!D821)</f>
        <v/>
      </c>
      <c r="L820" s="119" t="str">
        <f>IF('Prod 1'!I821="","",'Prod 1'!I821+'BH (2)'!C820)</f>
        <v/>
      </c>
      <c r="M820" s="59"/>
      <c r="N820" s="91"/>
      <c r="Q820" s="119" t="str">
        <f t="shared" si="42"/>
        <v/>
      </c>
      <c r="R820" s="92" t="str">
        <f>IF('Prod 1'!D821="","",'Prod 1'!D821)</f>
        <v/>
      </c>
      <c r="S820" s="119" t="str">
        <f>IF('Prod 1'!E821="","",'Prod 1'!E821+'BH (2)'!C820)</f>
        <v/>
      </c>
      <c r="T820" s="59"/>
      <c r="U820" s="91"/>
    </row>
    <row r="821" spans="9:21" ht="24.95" customHeight="1" x14ac:dyDescent="0.25">
      <c r="I821" s="106">
        <v>818</v>
      </c>
      <c r="J821" s="119" t="str">
        <f t="shared" si="41"/>
        <v/>
      </c>
      <c r="K821" s="92" t="str">
        <f>IF('Prod 1'!D822="","",'Prod 1'!D822)</f>
        <v/>
      </c>
      <c r="L821" s="119" t="str">
        <f>IF('Prod 1'!I822="","",'Prod 1'!I822+'BH (2)'!C821)</f>
        <v/>
      </c>
      <c r="M821" s="59"/>
      <c r="N821" s="91"/>
      <c r="Q821" s="119" t="str">
        <f t="shared" si="42"/>
        <v/>
      </c>
      <c r="R821" s="92" t="str">
        <f>IF('Prod 1'!D822="","",'Prod 1'!D822)</f>
        <v/>
      </c>
      <c r="S821" s="119" t="str">
        <f>IF('Prod 1'!E822="","",'Prod 1'!E822+'BH (2)'!C821)</f>
        <v/>
      </c>
      <c r="T821" s="59"/>
      <c r="U821" s="91"/>
    </row>
    <row r="822" spans="9:21" ht="24.95" customHeight="1" x14ac:dyDescent="0.25">
      <c r="I822" s="106">
        <v>819</v>
      </c>
      <c r="J822" s="119" t="str">
        <f t="shared" si="41"/>
        <v/>
      </c>
      <c r="K822" s="92" t="str">
        <f>IF('Prod 1'!D823="","",'Prod 1'!D823)</f>
        <v/>
      </c>
      <c r="L822" s="119" t="str">
        <f>IF('Prod 1'!I823="","",'Prod 1'!I823+'BH (2)'!C822)</f>
        <v/>
      </c>
      <c r="M822" s="59"/>
      <c r="N822" s="91"/>
      <c r="Q822" s="119" t="str">
        <f t="shared" si="42"/>
        <v/>
      </c>
      <c r="R822" s="92" t="str">
        <f>IF('Prod 1'!D823="","",'Prod 1'!D823)</f>
        <v/>
      </c>
      <c r="S822" s="119" t="str">
        <f>IF('Prod 1'!E823="","",'Prod 1'!E823+'BH (2)'!C822)</f>
        <v/>
      </c>
      <c r="T822" s="59"/>
      <c r="U822" s="91"/>
    </row>
    <row r="823" spans="9:21" ht="24.95" customHeight="1" x14ac:dyDescent="0.25">
      <c r="I823" s="106">
        <v>820</v>
      </c>
      <c r="J823" s="119" t="str">
        <f t="shared" si="41"/>
        <v/>
      </c>
      <c r="K823" s="92" t="str">
        <f>IF('Prod 1'!D824="","",'Prod 1'!D824)</f>
        <v/>
      </c>
      <c r="L823" s="119" t="str">
        <f>IF('Prod 1'!I824="","",'Prod 1'!I824+'BH (2)'!C823)</f>
        <v/>
      </c>
      <c r="M823" s="59"/>
      <c r="N823" s="91"/>
      <c r="Q823" s="119" t="str">
        <f t="shared" si="42"/>
        <v/>
      </c>
      <c r="R823" s="92" t="str">
        <f>IF('Prod 1'!D824="","",'Prod 1'!D824)</f>
        <v/>
      </c>
      <c r="S823" s="119" t="str">
        <f>IF('Prod 1'!E824="","",'Prod 1'!E824+'BH (2)'!C823)</f>
        <v/>
      </c>
      <c r="T823" s="59"/>
      <c r="U823" s="91"/>
    </row>
    <row r="824" spans="9:21" ht="24.95" customHeight="1" x14ac:dyDescent="0.25">
      <c r="I824" s="106">
        <v>821</v>
      </c>
      <c r="J824" s="119" t="str">
        <f t="shared" si="41"/>
        <v/>
      </c>
      <c r="K824" s="92" t="str">
        <f>IF('Prod 1'!D825="","",'Prod 1'!D825)</f>
        <v/>
      </c>
      <c r="L824" s="119" t="str">
        <f>IF('Prod 1'!I825="","",'Prod 1'!I825+'BH (2)'!C824)</f>
        <v/>
      </c>
      <c r="M824" s="59"/>
      <c r="N824" s="91"/>
      <c r="Q824" s="119" t="str">
        <f t="shared" si="42"/>
        <v/>
      </c>
      <c r="R824" s="92" t="str">
        <f>IF('Prod 1'!D825="","",'Prod 1'!D825)</f>
        <v/>
      </c>
      <c r="S824" s="119" t="str">
        <f>IF('Prod 1'!E825="","",'Prod 1'!E825+'BH (2)'!C824)</f>
        <v/>
      </c>
      <c r="T824" s="59"/>
      <c r="U824" s="91"/>
    </row>
    <row r="825" spans="9:21" ht="24.95" customHeight="1" x14ac:dyDescent="0.25">
      <c r="I825" s="106">
        <v>822</v>
      </c>
      <c r="J825" s="119" t="str">
        <f t="shared" si="41"/>
        <v/>
      </c>
      <c r="K825" s="92" t="str">
        <f>IF('Prod 1'!D826="","",'Prod 1'!D826)</f>
        <v/>
      </c>
      <c r="L825" s="119" t="str">
        <f>IF('Prod 1'!I826="","",'Prod 1'!I826+'BH (2)'!C825)</f>
        <v/>
      </c>
      <c r="M825" s="59"/>
      <c r="N825" s="91"/>
      <c r="Q825" s="119" t="str">
        <f t="shared" si="42"/>
        <v/>
      </c>
      <c r="R825" s="92" t="str">
        <f>IF('Prod 1'!D826="","",'Prod 1'!D826)</f>
        <v/>
      </c>
      <c r="S825" s="119" t="str">
        <f>IF('Prod 1'!E826="","",'Prod 1'!E826+'BH (2)'!C825)</f>
        <v/>
      </c>
      <c r="T825" s="59"/>
      <c r="U825" s="91"/>
    </row>
    <row r="826" spans="9:21" ht="24.95" customHeight="1" x14ac:dyDescent="0.25">
      <c r="I826" s="106">
        <v>823</v>
      </c>
      <c r="J826" s="119" t="str">
        <f t="shared" si="41"/>
        <v/>
      </c>
      <c r="K826" s="92" t="str">
        <f>IF('Prod 1'!D827="","",'Prod 1'!D827)</f>
        <v/>
      </c>
      <c r="L826" s="119" t="str">
        <f>IF('Prod 1'!I827="","",'Prod 1'!I827+'BH (2)'!C826)</f>
        <v/>
      </c>
      <c r="M826" s="59"/>
      <c r="N826" s="91"/>
      <c r="Q826" s="119" t="str">
        <f t="shared" si="42"/>
        <v/>
      </c>
      <c r="R826" s="92" t="str">
        <f>IF('Prod 1'!D827="","",'Prod 1'!D827)</f>
        <v/>
      </c>
      <c r="S826" s="119" t="str">
        <f>IF('Prod 1'!E827="","",'Prod 1'!E827+'BH (2)'!C826)</f>
        <v/>
      </c>
      <c r="T826" s="59"/>
      <c r="U826" s="91"/>
    </row>
    <row r="827" spans="9:21" ht="24.95" customHeight="1" x14ac:dyDescent="0.25">
      <c r="I827" s="106">
        <v>824</v>
      </c>
      <c r="J827" s="119" t="str">
        <f t="shared" si="41"/>
        <v/>
      </c>
      <c r="K827" s="92" t="str">
        <f>IF('Prod 1'!D828="","",'Prod 1'!D828)</f>
        <v/>
      </c>
      <c r="L827" s="119" t="str">
        <f>IF('Prod 1'!I828="","",'Prod 1'!I828+'BH (2)'!C827)</f>
        <v/>
      </c>
      <c r="M827" s="59"/>
      <c r="N827" s="91"/>
      <c r="Q827" s="119" t="str">
        <f t="shared" si="42"/>
        <v/>
      </c>
      <c r="R827" s="92" t="str">
        <f>IF('Prod 1'!D828="","",'Prod 1'!D828)</f>
        <v/>
      </c>
      <c r="S827" s="119" t="str">
        <f>IF('Prod 1'!E828="","",'Prod 1'!E828+'BH (2)'!C827)</f>
        <v/>
      </c>
      <c r="T827" s="59"/>
      <c r="U827" s="91"/>
    </row>
    <row r="828" spans="9:21" ht="24.95" customHeight="1" x14ac:dyDescent="0.25">
      <c r="I828" s="106">
        <v>825</v>
      </c>
      <c r="J828" s="119" t="str">
        <f t="shared" si="41"/>
        <v/>
      </c>
      <c r="K828" s="92" t="str">
        <f>IF('Prod 1'!D829="","",'Prod 1'!D829)</f>
        <v/>
      </c>
      <c r="L828" s="119" t="str">
        <f>IF('Prod 1'!I829="","",'Prod 1'!I829+'BH (2)'!C828)</f>
        <v/>
      </c>
      <c r="M828" s="59"/>
      <c r="N828" s="91"/>
      <c r="Q828" s="119" t="str">
        <f t="shared" si="42"/>
        <v/>
      </c>
      <c r="R828" s="92" t="str">
        <f>IF('Prod 1'!D829="","",'Prod 1'!D829)</f>
        <v/>
      </c>
      <c r="S828" s="119" t="str">
        <f>IF('Prod 1'!E829="","",'Prod 1'!E829+'BH (2)'!C828)</f>
        <v/>
      </c>
      <c r="T828" s="59"/>
      <c r="U828" s="91"/>
    </row>
    <row r="829" spans="9:21" ht="24.95" customHeight="1" x14ac:dyDescent="0.25">
      <c r="I829" s="106">
        <v>826</v>
      </c>
      <c r="J829" s="119" t="str">
        <f t="shared" si="41"/>
        <v/>
      </c>
      <c r="K829" s="92" t="str">
        <f>IF('Prod 1'!D830="","",'Prod 1'!D830)</f>
        <v/>
      </c>
      <c r="L829" s="119" t="str">
        <f>IF('Prod 1'!I830="","",'Prod 1'!I830+'BH (2)'!C829)</f>
        <v/>
      </c>
      <c r="M829" s="59"/>
      <c r="N829" s="91"/>
      <c r="Q829" s="119" t="str">
        <f t="shared" si="42"/>
        <v/>
      </c>
      <c r="R829" s="92" t="str">
        <f>IF('Prod 1'!D830="","",'Prod 1'!D830)</f>
        <v/>
      </c>
      <c r="S829" s="119" t="str">
        <f>IF('Prod 1'!E830="","",'Prod 1'!E830+'BH (2)'!C829)</f>
        <v/>
      </c>
      <c r="T829" s="59"/>
      <c r="U829" s="91"/>
    </row>
    <row r="830" spans="9:21" ht="24.95" customHeight="1" x14ac:dyDescent="0.25">
      <c r="I830" s="106">
        <v>827</v>
      </c>
      <c r="J830" s="119" t="str">
        <f t="shared" si="41"/>
        <v/>
      </c>
      <c r="K830" s="92" t="str">
        <f>IF('Prod 1'!D831="","",'Prod 1'!D831)</f>
        <v/>
      </c>
      <c r="L830" s="119" t="str">
        <f>IF('Prod 1'!I831="","",'Prod 1'!I831+'BH (2)'!C830)</f>
        <v/>
      </c>
      <c r="M830" s="59"/>
      <c r="N830" s="91"/>
      <c r="Q830" s="119" t="str">
        <f t="shared" si="42"/>
        <v/>
      </c>
      <c r="R830" s="92" t="str">
        <f>IF('Prod 1'!D831="","",'Prod 1'!D831)</f>
        <v/>
      </c>
      <c r="S830" s="119" t="str">
        <f>IF('Prod 1'!E831="","",'Prod 1'!E831+'BH (2)'!C830)</f>
        <v/>
      </c>
      <c r="T830" s="59"/>
      <c r="U830" s="91"/>
    </row>
    <row r="831" spans="9:21" ht="24.95" customHeight="1" x14ac:dyDescent="0.25">
      <c r="I831" s="106">
        <v>828</v>
      </c>
      <c r="J831" s="119" t="str">
        <f t="shared" si="41"/>
        <v/>
      </c>
      <c r="K831" s="92" t="str">
        <f>IF('Prod 1'!D832="","",'Prod 1'!D832)</f>
        <v/>
      </c>
      <c r="L831" s="119" t="str">
        <f>IF('Prod 1'!I832="","",'Prod 1'!I832+'BH (2)'!C831)</f>
        <v/>
      </c>
      <c r="M831" s="59"/>
      <c r="N831" s="91"/>
      <c r="Q831" s="119" t="str">
        <f t="shared" si="42"/>
        <v/>
      </c>
      <c r="R831" s="92" t="str">
        <f>IF('Prod 1'!D832="","",'Prod 1'!D832)</f>
        <v/>
      </c>
      <c r="S831" s="119" t="str">
        <f>IF('Prod 1'!E832="","",'Prod 1'!E832+'BH (2)'!C831)</f>
        <v/>
      </c>
      <c r="T831" s="59"/>
      <c r="U831" s="91"/>
    </row>
    <row r="832" spans="9:21" ht="24.95" customHeight="1" x14ac:dyDescent="0.25">
      <c r="I832" s="106">
        <v>829</v>
      </c>
      <c r="J832" s="119" t="str">
        <f t="shared" si="41"/>
        <v/>
      </c>
      <c r="K832" s="92" t="str">
        <f>IF('Prod 1'!D833="","",'Prod 1'!D833)</f>
        <v/>
      </c>
      <c r="L832" s="119" t="str">
        <f>IF('Prod 1'!I833="","",'Prod 1'!I833+'BH (2)'!C832)</f>
        <v/>
      </c>
      <c r="M832" s="59"/>
      <c r="N832" s="91"/>
      <c r="Q832" s="119" t="str">
        <f t="shared" si="42"/>
        <v/>
      </c>
      <c r="R832" s="92" t="str">
        <f>IF('Prod 1'!D833="","",'Prod 1'!D833)</f>
        <v/>
      </c>
      <c r="S832" s="119" t="str">
        <f>IF('Prod 1'!E833="","",'Prod 1'!E833+'BH (2)'!C832)</f>
        <v/>
      </c>
      <c r="T832" s="59"/>
      <c r="U832" s="91"/>
    </row>
    <row r="833" spans="9:21" ht="24.95" customHeight="1" x14ac:dyDescent="0.25">
      <c r="I833" s="106">
        <v>830</v>
      </c>
      <c r="J833" s="119" t="str">
        <f t="shared" si="41"/>
        <v/>
      </c>
      <c r="K833" s="92" t="str">
        <f>IF('Prod 1'!D834="","",'Prod 1'!D834)</f>
        <v/>
      </c>
      <c r="L833" s="119" t="str">
        <f>IF('Prod 1'!I834="","",'Prod 1'!I834+'BH (2)'!C833)</f>
        <v/>
      </c>
      <c r="M833" s="59"/>
      <c r="N833" s="91"/>
      <c r="Q833" s="119" t="str">
        <f t="shared" si="42"/>
        <v/>
      </c>
      <c r="R833" s="92" t="str">
        <f>IF('Prod 1'!D834="","",'Prod 1'!D834)</f>
        <v/>
      </c>
      <c r="S833" s="119" t="str">
        <f>IF('Prod 1'!E834="","",'Prod 1'!E834+'BH (2)'!C833)</f>
        <v/>
      </c>
      <c r="T833" s="59"/>
      <c r="U833" s="91"/>
    </row>
    <row r="834" spans="9:21" ht="24.95" customHeight="1" x14ac:dyDescent="0.25">
      <c r="I834" s="106">
        <v>831</v>
      </c>
      <c r="J834" s="119" t="str">
        <f t="shared" si="41"/>
        <v/>
      </c>
      <c r="K834" s="92" t="str">
        <f>IF('Prod 1'!D835="","",'Prod 1'!D835)</f>
        <v/>
      </c>
      <c r="L834" s="119" t="str">
        <f>IF('Prod 1'!I835="","",'Prod 1'!I835+'BH (2)'!C834)</f>
        <v/>
      </c>
      <c r="M834" s="59"/>
      <c r="N834" s="91"/>
      <c r="Q834" s="119" t="str">
        <f t="shared" si="42"/>
        <v/>
      </c>
      <c r="R834" s="92" t="str">
        <f>IF('Prod 1'!D835="","",'Prod 1'!D835)</f>
        <v/>
      </c>
      <c r="S834" s="119" t="str">
        <f>IF('Prod 1'!E835="","",'Prod 1'!E835+'BH (2)'!C834)</f>
        <v/>
      </c>
      <c r="T834" s="59"/>
      <c r="U834" s="91"/>
    </row>
    <row r="835" spans="9:21" ht="24.95" customHeight="1" x14ac:dyDescent="0.25">
      <c r="I835" s="106">
        <v>832</v>
      </c>
      <c r="J835" s="119" t="str">
        <f t="shared" si="41"/>
        <v/>
      </c>
      <c r="K835" s="92" t="str">
        <f>IF('Prod 1'!D836="","",'Prod 1'!D836)</f>
        <v/>
      </c>
      <c r="L835" s="119" t="str">
        <f>IF('Prod 1'!I836="","",'Prod 1'!I836+'BH (2)'!C835)</f>
        <v/>
      </c>
      <c r="M835" s="59"/>
      <c r="N835" s="91"/>
      <c r="Q835" s="119" t="str">
        <f t="shared" si="42"/>
        <v/>
      </c>
      <c r="R835" s="92" t="str">
        <f>IF('Prod 1'!D836="","",'Prod 1'!D836)</f>
        <v/>
      </c>
      <c r="S835" s="119" t="str">
        <f>IF('Prod 1'!E836="","",'Prod 1'!E836+'BH (2)'!C835)</f>
        <v/>
      </c>
      <c r="T835" s="59"/>
      <c r="U835" s="91"/>
    </row>
    <row r="836" spans="9:21" ht="24.95" customHeight="1" x14ac:dyDescent="0.25">
      <c r="I836" s="106">
        <v>833</v>
      </c>
      <c r="J836" s="119" t="str">
        <f t="shared" si="41"/>
        <v/>
      </c>
      <c r="K836" s="92" t="str">
        <f>IF('Prod 1'!D837="","",'Prod 1'!D837)</f>
        <v/>
      </c>
      <c r="L836" s="119" t="str">
        <f>IF('Prod 1'!I837="","",'Prod 1'!I837+'BH (2)'!C836)</f>
        <v/>
      </c>
      <c r="M836" s="59"/>
      <c r="N836" s="91"/>
      <c r="Q836" s="119" t="str">
        <f t="shared" si="42"/>
        <v/>
      </c>
      <c r="R836" s="92" t="str">
        <f>IF('Prod 1'!D837="","",'Prod 1'!D837)</f>
        <v/>
      </c>
      <c r="S836" s="119" t="str">
        <f>IF('Prod 1'!E837="","",'Prod 1'!E837+'BH (2)'!C836)</f>
        <v/>
      </c>
      <c r="T836" s="59"/>
      <c r="U836" s="91"/>
    </row>
    <row r="837" spans="9:21" ht="24.95" customHeight="1" x14ac:dyDescent="0.25">
      <c r="I837" s="106">
        <v>834</v>
      </c>
      <c r="J837" s="119" t="str">
        <f t="shared" ref="J837:J900" si="43">L837</f>
        <v/>
      </c>
      <c r="K837" s="92" t="str">
        <f>IF('Prod 1'!D838="","",'Prod 1'!D838)</f>
        <v/>
      </c>
      <c r="L837" s="119" t="str">
        <f>IF('Prod 1'!I838="","",'Prod 1'!I838+'BH (2)'!C837)</f>
        <v/>
      </c>
      <c r="M837" s="59"/>
      <c r="N837" s="91"/>
      <c r="Q837" s="119" t="str">
        <f t="shared" ref="Q837:Q900" si="44">S837</f>
        <v/>
      </c>
      <c r="R837" s="92" t="str">
        <f>IF('Prod 1'!D838="","",'Prod 1'!D838)</f>
        <v/>
      </c>
      <c r="S837" s="119" t="str">
        <f>IF('Prod 1'!E838="","",'Prod 1'!E838+'BH (2)'!C837)</f>
        <v/>
      </c>
      <c r="T837" s="59"/>
      <c r="U837" s="91"/>
    </row>
    <row r="838" spans="9:21" ht="24.95" customHeight="1" x14ac:dyDescent="0.25">
      <c r="I838" s="106">
        <v>835</v>
      </c>
      <c r="J838" s="119" t="str">
        <f t="shared" si="43"/>
        <v/>
      </c>
      <c r="K838" s="92" t="str">
        <f>IF('Prod 1'!D839="","",'Prod 1'!D839)</f>
        <v/>
      </c>
      <c r="L838" s="119" t="str">
        <f>IF('Prod 1'!I839="","",'Prod 1'!I839+'BH (2)'!C838)</f>
        <v/>
      </c>
      <c r="M838" s="59"/>
      <c r="N838" s="91"/>
      <c r="Q838" s="119" t="str">
        <f t="shared" si="44"/>
        <v/>
      </c>
      <c r="R838" s="92" t="str">
        <f>IF('Prod 1'!D839="","",'Prod 1'!D839)</f>
        <v/>
      </c>
      <c r="S838" s="119" t="str">
        <f>IF('Prod 1'!E839="","",'Prod 1'!E839+'BH (2)'!C838)</f>
        <v/>
      </c>
      <c r="T838" s="59"/>
      <c r="U838" s="91"/>
    </row>
    <row r="839" spans="9:21" ht="24.95" customHeight="1" x14ac:dyDescent="0.25">
      <c r="I839" s="106">
        <v>836</v>
      </c>
      <c r="J839" s="119" t="str">
        <f t="shared" si="43"/>
        <v/>
      </c>
      <c r="K839" s="92" t="str">
        <f>IF('Prod 1'!D840="","",'Prod 1'!D840)</f>
        <v/>
      </c>
      <c r="L839" s="119" t="str">
        <f>IF('Prod 1'!I840="","",'Prod 1'!I840+'BH (2)'!C839)</f>
        <v/>
      </c>
      <c r="M839" s="59"/>
      <c r="N839" s="91"/>
      <c r="Q839" s="119" t="str">
        <f t="shared" si="44"/>
        <v/>
      </c>
      <c r="R839" s="92" t="str">
        <f>IF('Prod 1'!D840="","",'Prod 1'!D840)</f>
        <v/>
      </c>
      <c r="S839" s="119" t="str">
        <f>IF('Prod 1'!E840="","",'Prod 1'!E840+'BH (2)'!C839)</f>
        <v/>
      </c>
      <c r="T839" s="59"/>
      <c r="U839" s="91"/>
    </row>
    <row r="840" spans="9:21" ht="24.95" customHeight="1" x14ac:dyDescent="0.25">
      <c r="I840" s="106">
        <v>837</v>
      </c>
      <c r="J840" s="119" t="str">
        <f t="shared" si="43"/>
        <v/>
      </c>
      <c r="K840" s="92" t="str">
        <f>IF('Prod 1'!D841="","",'Prod 1'!D841)</f>
        <v/>
      </c>
      <c r="L840" s="119" t="str">
        <f>IF('Prod 1'!I841="","",'Prod 1'!I841+'BH (2)'!C840)</f>
        <v/>
      </c>
      <c r="M840" s="59"/>
      <c r="N840" s="91"/>
      <c r="Q840" s="119" t="str">
        <f t="shared" si="44"/>
        <v/>
      </c>
      <c r="R840" s="92" t="str">
        <f>IF('Prod 1'!D841="","",'Prod 1'!D841)</f>
        <v/>
      </c>
      <c r="S840" s="119" t="str">
        <f>IF('Prod 1'!E841="","",'Prod 1'!E841+'BH (2)'!C840)</f>
        <v/>
      </c>
      <c r="T840" s="59"/>
      <c r="U840" s="91"/>
    </row>
    <row r="841" spans="9:21" ht="24.95" customHeight="1" x14ac:dyDescent="0.25">
      <c r="I841" s="106">
        <v>838</v>
      </c>
      <c r="J841" s="119" t="str">
        <f t="shared" si="43"/>
        <v/>
      </c>
      <c r="K841" s="92" t="str">
        <f>IF('Prod 1'!D842="","",'Prod 1'!D842)</f>
        <v/>
      </c>
      <c r="L841" s="119" t="str">
        <f>IF('Prod 1'!I842="","",'Prod 1'!I842+'BH (2)'!C841)</f>
        <v/>
      </c>
      <c r="M841" s="59"/>
      <c r="N841" s="91"/>
      <c r="Q841" s="119" t="str">
        <f t="shared" si="44"/>
        <v/>
      </c>
      <c r="R841" s="92" t="str">
        <f>IF('Prod 1'!D842="","",'Prod 1'!D842)</f>
        <v/>
      </c>
      <c r="S841" s="119" t="str">
        <f>IF('Prod 1'!E842="","",'Prod 1'!E842+'BH (2)'!C841)</f>
        <v/>
      </c>
      <c r="T841" s="59"/>
      <c r="U841" s="91"/>
    </row>
    <row r="842" spans="9:21" ht="24.95" customHeight="1" x14ac:dyDescent="0.25">
      <c r="I842" s="106">
        <v>839</v>
      </c>
      <c r="J842" s="119" t="str">
        <f t="shared" si="43"/>
        <v/>
      </c>
      <c r="K842" s="92" t="str">
        <f>IF('Prod 1'!D843="","",'Prod 1'!D843)</f>
        <v/>
      </c>
      <c r="L842" s="119" t="str">
        <f>IF('Prod 1'!I843="","",'Prod 1'!I843+'BH (2)'!C842)</f>
        <v/>
      </c>
      <c r="M842" s="59"/>
      <c r="N842" s="91"/>
      <c r="Q842" s="119" t="str">
        <f t="shared" si="44"/>
        <v/>
      </c>
      <c r="R842" s="92" t="str">
        <f>IF('Prod 1'!D843="","",'Prod 1'!D843)</f>
        <v/>
      </c>
      <c r="S842" s="119" t="str">
        <f>IF('Prod 1'!E843="","",'Prod 1'!E843+'BH (2)'!C842)</f>
        <v/>
      </c>
      <c r="T842" s="59"/>
      <c r="U842" s="91"/>
    </row>
    <row r="843" spans="9:21" ht="24.95" customHeight="1" x14ac:dyDescent="0.25">
      <c r="I843" s="106">
        <v>840</v>
      </c>
      <c r="J843" s="119" t="str">
        <f t="shared" si="43"/>
        <v/>
      </c>
      <c r="K843" s="92" t="str">
        <f>IF('Prod 1'!D844="","",'Prod 1'!D844)</f>
        <v/>
      </c>
      <c r="L843" s="119" t="str">
        <f>IF('Prod 1'!I844="","",'Prod 1'!I844+'BH (2)'!C843)</f>
        <v/>
      </c>
      <c r="M843" s="59"/>
      <c r="N843" s="91"/>
      <c r="Q843" s="119" t="str">
        <f t="shared" si="44"/>
        <v/>
      </c>
      <c r="R843" s="92" t="str">
        <f>IF('Prod 1'!D844="","",'Prod 1'!D844)</f>
        <v/>
      </c>
      <c r="S843" s="119" t="str">
        <f>IF('Prod 1'!E844="","",'Prod 1'!E844+'BH (2)'!C843)</f>
        <v/>
      </c>
      <c r="T843" s="59"/>
      <c r="U843" s="91"/>
    </row>
    <row r="844" spans="9:21" ht="24.95" customHeight="1" x14ac:dyDescent="0.25">
      <c r="I844" s="106">
        <v>841</v>
      </c>
      <c r="J844" s="119" t="str">
        <f t="shared" si="43"/>
        <v/>
      </c>
      <c r="K844" s="92" t="str">
        <f>IF('Prod 1'!D845="","",'Prod 1'!D845)</f>
        <v/>
      </c>
      <c r="L844" s="119" t="str">
        <f>IF('Prod 1'!I845="","",'Prod 1'!I845+'BH (2)'!C844)</f>
        <v/>
      </c>
      <c r="M844" s="59"/>
      <c r="N844" s="91"/>
      <c r="Q844" s="119" t="str">
        <f t="shared" si="44"/>
        <v/>
      </c>
      <c r="R844" s="92" t="str">
        <f>IF('Prod 1'!D845="","",'Prod 1'!D845)</f>
        <v/>
      </c>
      <c r="S844" s="119" t="str">
        <f>IF('Prod 1'!E845="","",'Prod 1'!E845+'BH (2)'!C844)</f>
        <v/>
      </c>
      <c r="T844" s="59"/>
      <c r="U844" s="91"/>
    </row>
    <row r="845" spans="9:21" ht="24.95" customHeight="1" x14ac:dyDescent="0.25">
      <c r="I845" s="106">
        <v>842</v>
      </c>
      <c r="J845" s="119" t="str">
        <f t="shared" si="43"/>
        <v/>
      </c>
      <c r="K845" s="92" t="str">
        <f>IF('Prod 1'!D846="","",'Prod 1'!D846)</f>
        <v/>
      </c>
      <c r="L845" s="119" t="str">
        <f>IF('Prod 1'!I846="","",'Prod 1'!I846+'BH (2)'!C845)</f>
        <v/>
      </c>
      <c r="M845" s="59"/>
      <c r="N845" s="91"/>
      <c r="Q845" s="119" t="str">
        <f t="shared" si="44"/>
        <v/>
      </c>
      <c r="R845" s="92" t="str">
        <f>IF('Prod 1'!D846="","",'Prod 1'!D846)</f>
        <v/>
      </c>
      <c r="S845" s="119" t="str">
        <f>IF('Prod 1'!E846="","",'Prod 1'!E846+'BH (2)'!C845)</f>
        <v/>
      </c>
      <c r="T845" s="59"/>
      <c r="U845" s="91"/>
    </row>
    <row r="846" spans="9:21" ht="24.95" customHeight="1" x14ac:dyDescent="0.25">
      <c r="I846" s="106">
        <v>843</v>
      </c>
      <c r="J846" s="119" t="str">
        <f t="shared" si="43"/>
        <v/>
      </c>
      <c r="K846" s="92" t="str">
        <f>IF('Prod 1'!D847="","",'Prod 1'!D847)</f>
        <v/>
      </c>
      <c r="L846" s="119" t="str">
        <f>IF('Prod 1'!I847="","",'Prod 1'!I847+'BH (2)'!C846)</f>
        <v/>
      </c>
      <c r="M846" s="59"/>
      <c r="N846" s="91"/>
      <c r="Q846" s="119" t="str">
        <f t="shared" si="44"/>
        <v/>
      </c>
      <c r="R846" s="92" t="str">
        <f>IF('Prod 1'!D847="","",'Prod 1'!D847)</f>
        <v/>
      </c>
      <c r="S846" s="119" t="str">
        <f>IF('Prod 1'!E847="","",'Prod 1'!E847+'BH (2)'!C846)</f>
        <v/>
      </c>
      <c r="T846" s="59"/>
      <c r="U846" s="91"/>
    </row>
    <row r="847" spans="9:21" ht="24.95" customHeight="1" x14ac:dyDescent="0.25">
      <c r="I847" s="106">
        <v>844</v>
      </c>
      <c r="J847" s="119" t="str">
        <f t="shared" si="43"/>
        <v/>
      </c>
      <c r="K847" s="92" t="str">
        <f>IF('Prod 1'!D848="","",'Prod 1'!D848)</f>
        <v/>
      </c>
      <c r="L847" s="119" t="str">
        <f>IF('Prod 1'!I848="","",'Prod 1'!I848+'BH (2)'!C847)</f>
        <v/>
      </c>
      <c r="M847" s="59"/>
      <c r="N847" s="91"/>
      <c r="Q847" s="119" t="str">
        <f t="shared" si="44"/>
        <v/>
      </c>
      <c r="R847" s="92" t="str">
        <f>IF('Prod 1'!D848="","",'Prod 1'!D848)</f>
        <v/>
      </c>
      <c r="S847" s="119" t="str">
        <f>IF('Prod 1'!E848="","",'Prod 1'!E848+'BH (2)'!C847)</f>
        <v/>
      </c>
      <c r="T847" s="59"/>
      <c r="U847" s="91"/>
    </row>
    <row r="848" spans="9:21" ht="24.95" customHeight="1" x14ac:dyDescent="0.25">
      <c r="I848" s="106">
        <v>845</v>
      </c>
      <c r="J848" s="119" t="str">
        <f t="shared" si="43"/>
        <v/>
      </c>
      <c r="K848" s="92" t="str">
        <f>IF('Prod 1'!D849="","",'Prod 1'!D849)</f>
        <v/>
      </c>
      <c r="L848" s="119" t="str">
        <f>IF('Prod 1'!I849="","",'Prod 1'!I849+'BH (2)'!C848)</f>
        <v/>
      </c>
      <c r="M848" s="59"/>
      <c r="N848" s="91"/>
      <c r="Q848" s="119" t="str">
        <f t="shared" si="44"/>
        <v/>
      </c>
      <c r="R848" s="92" t="str">
        <f>IF('Prod 1'!D849="","",'Prod 1'!D849)</f>
        <v/>
      </c>
      <c r="S848" s="119" t="str">
        <f>IF('Prod 1'!E849="","",'Prod 1'!E849+'BH (2)'!C848)</f>
        <v/>
      </c>
      <c r="T848" s="59"/>
      <c r="U848" s="91"/>
    </row>
    <row r="849" spans="9:21" ht="24.95" customHeight="1" x14ac:dyDescent="0.25">
      <c r="I849" s="106">
        <v>846</v>
      </c>
      <c r="J849" s="119" t="str">
        <f t="shared" si="43"/>
        <v/>
      </c>
      <c r="K849" s="92" t="str">
        <f>IF('Prod 1'!D850="","",'Prod 1'!D850)</f>
        <v/>
      </c>
      <c r="L849" s="119" t="str">
        <f>IF('Prod 1'!I850="","",'Prod 1'!I850+'BH (2)'!C849)</f>
        <v/>
      </c>
      <c r="M849" s="59"/>
      <c r="N849" s="91"/>
      <c r="Q849" s="119" t="str">
        <f t="shared" si="44"/>
        <v/>
      </c>
      <c r="R849" s="92" t="str">
        <f>IF('Prod 1'!D850="","",'Prod 1'!D850)</f>
        <v/>
      </c>
      <c r="S849" s="119" t="str">
        <f>IF('Prod 1'!E850="","",'Prod 1'!E850+'BH (2)'!C849)</f>
        <v/>
      </c>
      <c r="T849" s="59"/>
      <c r="U849" s="91"/>
    </row>
    <row r="850" spans="9:21" ht="24.95" customHeight="1" x14ac:dyDescent="0.25">
      <c r="I850" s="106">
        <v>847</v>
      </c>
      <c r="J850" s="119" t="str">
        <f t="shared" si="43"/>
        <v/>
      </c>
      <c r="K850" s="92" t="str">
        <f>IF('Prod 1'!D851="","",'Prod 1'!D851)</f>
        <v/>
      </c>
      <c r="L850" s="119" t="str">
        <f>IF('Prod 1'!I851="","",'Prod 1'!I851+'BH (2)'!C850)</f>
        <v/>
      </c>
      <c r="M850" s="59"/>
      <c r="N850" s="91"/>
      <c r="Q850" s="119" t="str">
        <f t="shared" si="44"/>
        <v/>
      </c>
      <c r="R850" s="92" t="str">
        <f>IF('Prod 1'!D851="","",'Prod 1'!D851)</f>
        <v/>
      </c>
      <c r="S850" s="119" t="str">
        <f>IF('Prod 1'!E851="","",'Prod 1'!E851+'BH (2)'!C850)</f>
        <v/>
      </c>
      <c r="T850" s="59"/>
      <c r="U850" s="91"/>
    </row>
    <row r="851" spans="9:21" ht="24.95" customHeight="1" x14ac:dyDescent="0.25">
      <c r="I851" s="106">
        <v>848</v>
      </c>
      <c r="J851" s="119" t="str">
        <f t="shared" si="43"/>
        <v/>
      </c>
      <c r="K851" s="92" t="str">
        <f>IF('Prod 1'!D852="","",'Prod 1'!D852)</f>
        <v/>
      </c>
      <c r="L851" s="119" t="str">
        <f>IF('Prod 1'!I852="","",'Prod 1'!I852+'BH (2)'!C851)</f>
        <v/>
      </c>
      <c r="M851" s="59"/>
      <c r="N851" s="91"/>
      <c r="Q851" s="119" t="str">
        <f t="shared" si="44"/>
        <v/>
      </c>
      <c r="R851" s="92" t="str">
        <f>IF('Prod 1'!D852="","",'Prod 1'!D852)</f>
        <v/>
      </c>
      <c r="S851" s="119" t="str">
        <f>IF('Prod 1'!E852="","",'Prod 1'!E852+'BH (2)'!C851)</f>
        <v/>
      </c>
      <c r="T851" s="59"/>
      <c r="U851" s="91"/>
    </row>
    <row r="852" spans="9:21" ht="24.95" customHeight="1" x14ac:dyDescent="0.25">
      <c r="I852" s="106">
        <v>849</v>
      </c>
      <c r="J852" s="119" t="str">
        <f t="shared" si="43"/>
        <v/>
      </c>
      <c r="K852" s="92" t="str">
        <f>IF('Prod 1'!D853="","",'Prod 1'!D853)</f>
        <v/>
      </c>
      <c r="L852" s="119" t="str">
        <f>IF('Prod 1'!I853="","",'Prod 1'!I853+'BH (2)'!C852)</f>
        <v/>
      </c>
      <c r="M852" s="59"/>
      <c r="N852" s="91"/>
      <c r="Q852" s="119" t="str">
        <f t="shared" si="44"/>
        <v/>
      </c>
      <c r="R852" s="92" t="str">
        <f>IF('Prod 1'!D853="","",'Prod 1'!D853)</f>
        <v/>
      </c>
      <c r="S852" s="119" t="str">
        <f>IF('Prod 1'!E853="","",'Prod 1'!E853+'BH (2)'!C852)</f>
        <v/>
      </c>
      <c r="T852" s="59"/>
      <c r="U852" s="91"/>
    </row>
    <row r="853" spans="9:21" ht="24.95" customHeight="1" x14ac:dyDescent="0.25">
      <c r="I853" s="106">
        <v>850</v>
      </c>
      <c r="J853" s="119" t="str">
        <f t="shared" si="43"/>
        <v/>
      </c>
      <c r="K853" s="92" t="str">
        <f>IF('Prod 1'!D854="","",'Prod 1'!D854)</f>
        <v/>
      </c>
      <c r="L853" s="119" t="str">
        <f>IF('Prod 1'!I854="","",'Prod 1'!I854+'BH (2)'!C853)</f>
        <v/>
      </c>
      <c r="M853" s="59"/>
      <c r="N853" s="91"/>
      <c r="Q853" s="119" t="str">
        <f t="shared" si="44"/>
        <v/>
      </c>
      <c r="R853" s="92" t="str">
        <f>IF('Prod 1'!D854="","",'Prod 1'!D854)</f>
        <v/>
      </c>
      <c r="S853" s="119" t="str">
        <f>IF('Prod 1'!E854="","",'Prod 1'!E854+'BH (2)'!C853)</f>
        <v/>
      </c>
      <c r="T853" s="59"/>
      <c r="U853" s="91"/>
    </row>
    <row r="854" spans="9:21" ht="24.95" customHeight="1" x14ac:dyDescent="0.25">
      <c r="I854" s="106">
        <v>851</v>
      </c>
      <c r="J854" s="119" t="str">
        <f t="shared" si="43"/>
        <v/>
      </c>
      <c r="K854" s="92" t="str">
        <f>IF('Prod 1'!D855="","",'Prod 1'!D855)</f>
        <v/>
      </c>
      <c r="L854" s="119" t="str">
        <f>IF('Prod 1'!I855="","",'Prod 1'!I855+'BH (2)'!C854)</f>
        <v/>
      </c>
      <c r="M854" s="59"/>
      <c r="N854" s="91"/>
      <c r="Q854" s="119" t="str">
        <f t="shared" si="44"/>
        <v/>
      </c>
      <c r="R854" s="92" t="str">
        <f>IF('Prod 1'!D855="","",'Prod 1'!D855)</f>
        <v/>
      </c>
      <c r="S854" s="119" t="str">
        <f>IF('Prod 1'!E855="","",'Prod 1'!E855+'BH (2)'!C854)</f>
        <v/>
      </c>
      <c r="T854" s="59"/>
      <c r="U854" s="91"/>
    </row>
    <row r="855" spans="9:21" ht="24.95" customHeight="1" x14ac:dyDescent="0.25">
      <c r="I855" s="106">
        <v>852</v>
      </c>
      <c r="J855" s="119" t="str">
        <f t="shared" si="43"/>
        <v/>
      </c>
      <c r="K855" s="92" t="str">
        <f>IF('Prod 1'!D856="","",'Prod 1'!D856)</f>
        <v/>
      </c>
      <c r="L855" s="119" t="str">
        <f>IF('Prod 1'!I856="","",'Prod 1'!I856+'BH (2)'!C855)</f>
        <v/>
      </c>
      <c r="M855" s="59"/>
      <c r="N855" s="91"/>
      <c r="Q855" s="119" t="str">
        <f t="shared" si="44"/>
        <v/>
      </c>
      <c r="R855" s="92" t="str">
        <f>IF('Prod 1'!D856="","",'Prod 1'!D856)</f>
        <v/>
      </c>
      <c r="S855" s="119" t="str">
        <f>IF('Prod 1'!E856="","",'Prod 1'!E856+'BH (2)'!C855)</f>
        <v/>
      </c>
      <c r="T855" s="59"/>
      <c r="U855" s="91"/>
    </row>
    <row r="856" spans="9:21" ht="24.95" customHeight="1" x14ac:dyDescent="0.25">
      <c r="I856" s="106">
        <v>853</v>
      </c>
      <c r="J856" s="119" t="str">
        <f t="shared" si="43"/>
        <v/>
      </c>
      <c r="K856" s="92" t="str">
        <f>IF('Prod 1'!D857="","",'Prod 1'!D857)</f>
        <v/>
      </c>
      <c r="L856" s="119" t="str">
        <f>IF('Prod 1'!I857="","",'Prod 1'!I857+'BH (2)'!C856)</f>
        <v/>
      </c>
      <c r="M856" s="59"/>
      <c r="N856" s="91"/>
      <c r="Q856" s="119" t="str">
        <f t="shared" si="44"/>
        <v/>
      </c>
      <c r="R856" s="92" t="str">
        <f>IF('Prod 1'!D857="","",'Prod 1'!D857)</f>
        <v/>
      </c>
      <c r="S856" s="119" t="str">
        <f>IF('Prod 1'!E857="","",'Prod 1'!E857+'BH (2)'!C856)</f>
        <v/>
      </c>
      <c r="T856" s="59"/>
      <c r="U856" s="91"/>
    </row>
    <row r="857" spans="9:21" ht="24.95" customHeight="1" x14ac:dyDescent="0.25">
      <c r="I857" s="106">
        <v>854</v>
      </c>
      <c r="J857" s="119" t="str">
        <f t="shared" si="43"/>
        <v/>
      </c>
      <c r="K857" s="92" t="str">
        <f>IF('Prod 1'!D858="","",'Prod 1'!D858)</f>
        <v/>
      </c>
      <c r="L857" s="119" t="str">
        <f>IF('Prod 1'!I858="","",'Prod 1'!I858+'BH (2)'!C857)</f>
        <v/>
      </c>
      <c r="M857" s="59"/>
      <c r="N857" s="91"/>
      <c r="Q857" s="119" t="str">
        <f t="shared" si="44"/>
        <v/>
      </c>
      <c r="R857" s="92" t="str">
        <f>IF('Prod 1'!D858="","",'Prod 1'!D858)</f>
        <v/>
      </c>
      <c r="S857" s="119" t="str">
        <f>IF('Prod 1'!E858="","",'Prod 1'!E858+'BH (2)'!C857)</f>
        <v/>
      </c>
      <c r="T857" s="59"/>
      <c r="U857" s="91"/>
    </row>
    <row r="858" spans="9:21" ht="24.95" customHeight="1" x14ac:dyDescent="0.25">
      <c r="I858" s="106">
        <v>855</v>
      </c>
      <c r="J858" s="119" t="str">
        <f t="shared" si="43"/>
        <v/>
      </c>
      <c r="K858" s="92" t="str">
        <f>IF('Prod 1'!D859="","",'Prod 1'!D859)</f>
        <v/>
      </c>
      <c r="L858" s="119" t="str">
        <f>IF('Prod 1'!I859="","",'Prod 1'!I859+'BH (2)'!C858)</f>
        <v/>
      </c>
      <c r="M858" s="59"/>
      <c r="N858" s="91"/>
      <c r="Q858" s="119" t="str">
        <f t="shared" si="44"/>
        <v/>
      </c>
      <c r="R858" s="92" t="str">
        <f>IF('Prod 1'!D859="","",'Prod 1'!D859)</f>
        <v/>
      </c>
      <c r="S858" s="119" t="str">
        <f>IF('Prod 1'!E859="","",'Prod 1'!E859+'BH (2)'!C858)</f>
        <v/>
      </c>
      <c r="T858" s="59"/>
      <c r="U858" s="91"/>
    </row>
    <row r="859" spans="9:21" ht="24.95" customHeight="1" x14ac:dyDescent="0.25">
      <c r="I859" s="106">
        <v>856</v>
      </c>
      <c r="J859" s="119" t="str">
        <f t="shared" si="43"/>
        <v/>
      </c>
      <c r="K859" s="92" t="str">
        <f>IF('Prod 1'!D860="","",'Prod 1'!D860)</f>
        <v/>
      </c>
      <c r="L859" s="119" t="str">
        <f>IF('Prod 1'!I860="","",'Prod 1'!I860+'BH (2)'!C859)</f>
        <v/>
      </c>
      <c r="M859" s="59"/>
      <c r="N859" s="91"/>
      <c r="Q859" s="119" t="str">
        <f t="shared" si="44"/>
        <v/>
      </c>
      <c r="R859" s="92" t="str">
        <f>IF('Prod 1'!D860="","",'Prod 1'!D860)</f>
        <v/>
      </c>
      <c r="S859" s="119" t="str">
        <f>IF('Prod 1'!E860="","",'Prod 1'!E860+'BH (2)'!C859)</f>
        <v/>
      </c>
      <c r="T859" s="59"/>
      <c r="U859" s="91"/>
    </row>
    <row r="860" spans="9:21" ht="24.95" customHeight="1" x14ac:dyDescent="0.25">
      <c r="I860" s="106">
        <v>857</v>
      </c>
      <c r="J860" s="119" t="str">
        <f t="shared" si="43"/>
        <v/>
      </c>
      <c r="K860" s="92" t="str">
        <f>IF('Prod 1'!D861="","",'Prod 1'!D861)</f>
        <v/>
      </c>
      <c r="L860" s="119" t="str">
        <f>IF('Prod 1'!I861="","",'Prod 1'!I861+'BH (2)'!C860)</f>
        <v/>
      </c>
      <c r="M860" s="59"/>
      <c r="N860" s="91"/>
      <c r="Q860" s="119" t="str">
        <f t="shared" si="44"/>
        <v/>
      </c>
      <c r="R860" s="92" t="str">
        <f>IF('Prod 1'!D861="","",'Prod 1'!D861)</f>
        <v/>
      </c>
      <c r="S860" s="119" t="str">
        <f>IF('Prod 1'!E861="","",'Prod 1'!E861+'BH (2)'!C860)</f>
        <v/>
      </c>
      <c r="T860" s="59"/>
      <c r="U860" s="91"/>
    </row>
    <row r="861" spans="9:21" ht="24.95" customHeight="1" x14ac:dyDescent="0.25">
      <c r="I861" s="106">
        <v>858</v>
      </c>
      <c r="J861" s="119" t="str">
        <f t="shared" si="43"/>
        <v/>
      </c>
      <c r="K861" s="92" t="str">
        <f>IF('Prod 1'!D862="","",'Prod 1'!D862)</f>
        <v/>
      </c>
      <c r="L861" s="119" t="str">
        <f>IF('Prod 1'!I862="","",'Prod 1'!I862+'BH (2)'!C861)</f>
        <v/>
      </c>
      <c r="M861" s="59"/>
      <c r="N861" s="91"/>
      <c r="Q861" s="119" t="str">
        <f t="shared" si="44"/>
        <v/>
      </c>
      <c r="R861" s="92" t="str">
        <f>IF('Prod 1'!D862="","",'Prod 1'!D862)</f>
        <v/>
      </c>
      <c r="S861" s="119" t="str">
        <f>IF('Prod 1'!E862="","",'Prod 1'!E862+'BH (2)'!C861)</f>
        <v/>
      </c>
      <c r="T861" s="59"/>
      <c r="U861" s="91"/>
    </row>
    <row r="862" spans="9:21" ht="24.95" customHeight="1" x14ac:dyDescent="0.25">
      <c r="I862" s="106">
        <v>859</v>
      </c>
      <c r="J862" s="119" t="str">
        <f t="shared" si="43"/>
        <v/>
      </c>
      <c r="K862" s="92" t="str">
        <f>IF('Prod 1'!D863="","",'Prod 1'!D863)</f>
        <v/>
      </c>
      <c r="L862" s="119" t="str">
        <f>IF('Prod 1'!I863="","",'Prod 1'!I863+'BH (2)'!C862)</f>
        <v/>
      </c>
      <c r="M862" s="59"/>
      <c r="N862" s="91"/>
      <c r="Q862" s="119" t="str">
        <f t="shared" si="44"/>
        <v/>
      </c>
      <c r="R862" s="92" t="str">
        <f>IF('Prod 1'!D863="","",'Prod 1'!D863)</f>
        <v/>
      </c>
      <c r="S862" s="119" t="str">
        <f>IF('Prod 1'!E863="","",'Prod 1'!E863+'BH (2)'!C862)</f>
        <v/>
      </c>
      <c r="T862" s="59"/>
      <c r="U862" s="91"/>
    </row>
    <row r="863" spans="9:21" ht="24.95" customHeight="1" x14ac:dyDescent="0.25">
      <c r="I863" s="106">
        <v>860</v>
      </c>
      <c r="J863" s="119" t="str">
        <f t="shared" si="43"/>
        <v/>
      </c>
      <c r="K863" s="92" t="str">
        <f>IF('Prod 1'!D864="","",'Prod 1'!D864)</f>
        <v/>
      </c>
      <c r="L863" s="119" t="str">
        <f>IF('Prod 1'!I864="","",'Prod 1'!I864+'BH (2)'!C863)</f>
        <v/>
      </c>
      <c r="M863" s="59"/>
      <c r="N863" s="91"/>
      <c r="Q863" s="119" t="str">
        <f t="shared" si="44"/>
        <v/>
      </c>
      <c r="R863" s="92" t="str">
        <f>IF('Prod 1'!D864="","",'Prod 1'!D864)</f>
        <v/>
      </c>
      <c r="S863" s="119" t="str">
        <f>IF('Prod 1'!E864="","",'Prod 1'!E864+'BH (2)'!C863)</f>
        <v/>
      </c>
      <c r="T863" s="59"/>
      <c r="U863" s="91"/>
    </row>
    <row r="864" spans="9:21" ht="24.95" customHeight="1" x14ac:dyDescent="0.25">
      <c r="I864" s="106">
        <v>861</v>
      </c>
      <c r="J864" s="119" t="str">
        <f t="shared" si="43"/>
        <v/>
      </c>
      <c r="K864" s="92" t="str">
        <f>IF('Prod 1'!D865="","",'Prod 1'!D865)</f>
        <v/>
      </c>
      <c r="L864" s="119" t="str">
        <f>IF('Prod 1'!I865="","",'Prod 1'!I865+'BH (2)'!C864)</f>
        <v/>
      </c>
      <c r="M864" s="59"/>
      <c r="N864" s="91"/>
      <c r="Q864" s="119" t="str">
        <f t="shared" si="44"/>
        <v/>
      </c>
      <c r="R864" s="92" t="str">
        <f>IF('Prod 1'!D865="","",'Prod 1'!D865)</f>
        <v/>
      </c>
      <c r="S864" s="119" t="str">
        <f>IF('Prod 1'!E865="","",'Prod 1'!E865+'BH (2)'!C864)</f>
        <v/>
      </c>
      <c r="T864" s="59"/>
      <c r="U864" s="91"/>
    </row>
    <row r="865" spans="9:21" ht="24.95" customHeight="1" x14ac:dyDescent="0.25">
      <c r="I865" s="106">
        <v>862</v>
      </c>
      <c r="J865" s="119" t="str">
        <f t="shared" si="43"/>
        <v/>
      </c>
      <c r="K865" s="92" t="str">
        <f>IF('Prod 1'!D866="","",'Prod 1'!D866)</f>
        <v/>
      </c>
      <c r="L865" s="119" t="str">
        <f>IF('Prod 1'!I866="","",'Prod 1'!I866+'BH (2)'!C865)</f>
        <v/>
      </c>
      <c r="M865" s="59"/>
      <c r="N865" s="91"/>
      <c r="Q865" s="119" t="str">
        <f t="shared" si="44"/>
        <v/>
      </c>
      <c r="R865" s="92" t="str">
        <f>IF('Prod 1'!D866="","",'Prod 1'!D866)</f>
        <v/>
      </c>
      <c r="S865" s="119" t="str">
        <f>IF('Prod 1'!E866="","",'Prod 1'!E866+'BH (2)'!C865)</f>
        <v/>
      </c>
      <c r="T865" s="59"/>
      <c r="U865" s="91"/>
    </row>
    <row r="866" spans="9:21" ht="24.95" customHeight="1" x14ac:dyDescent="0.25">
      <c r="I866" s="106">
        <v>863</v>
      </c>
      <c r="J866" s="119" t="str">
        <f t="shared" si="43"/>
        <v/>
      </c>
      <c r="K866" s="92" t="str">
        <f>IF('Prod 1'!D867="","",'Prod 1'!D867)</f>
        <v/>
      </c>
      <c r="L866" s="119" t="str">
        <f>IF('Prod 1'!I867="","",'Prod 1'!I867+'BH (2)'!C866)</f>
        <v/>
      </c>
      <c r="M866" s="59"/>
      <c r="N866" s="91"/>
      <c r="Q866" s="119" t="str">
        <f t="shared" si="44"/>
        <v/>
      </c>
      <c r="R866" s="92" t="str">
        <f>IF('Prod 1'!D867="","",'Prod 1'!D867)</f>
        <v/>
      </c>
      <c r="S866" s="119" t="str">
        <f>IF('Prod 1'!E867="","",'Prod 1'!E867+'BH (2)'!C866)</f>
        <v/>
      </c>
      <c r="T866" s="59"/>
      <c r="U866" s="91"/>
    </row>
    <row r="867" spans="9:21" ht="24.95" customHeight="1" x14ac:dyDescent="0.25">
      <c r="I867" s="106">
        <v>864</v>
      </c>
      <c r="J867" s="119" t="str">
        <f t="shared" si="43"/>
        <v/>
      </c>
      <c r="K867" s="92" t="str">
        <f>IF('Prod 1'!D868="","",'Prod 1'!D868)</f>
        <v/>
      </c>
      <c r="L867" s="119" t="str">
        <f>IF('Prod 1'!I868="","",'Prod 1'!I868+'BH (2)'!C867)</f>
        <v/>
      </c>
      <c r="M867" s="59"/>
      <c r="N867" s="91"/>
      <c r="Q867" s="119" t="str">
        <f t="shared" si="44"/>
        <v/>
      </c>
      <c r="R867" s="92" t="str">
        <f>IF('Prod 1'!D868="","",'Prod 1'!D868)</f>
        <v/>
      </c>
      <c r="S867" s="119" t="str">
        <f>IF('Prod 1'!E868="","",'Prod 1'!E868+'BH (2)'!C867)</f>
        <v/>
      </c>
      <c r="T867" s="59"/>
      <c r="U867" s="91"/>
    </row>
    <row r="868" spans="9:21" ht="24.95" customHeight="1" x14ac:dyDescent="0.25">
      <c r="I868" s="106">
        <v>865</v>
      </c>
      <c r="J868" s="119" t="str">
        <f t="shared" si="43"/>
        <v/>
      </c>
      <c r="K868" s="92" t="str">
        <f>IF('Prod 1'!D869="","",'Prod 1'!D869)</f>
        <v/>
      </c>
      <c r="L868" s="119" t="str">
        <f>IF('Prod 1'!I869="","",'Prod 1'!I869+'BH (2)'!C868)</f>
        <v/>
      </c>
      <c r="M868" s="59"/>
      <c r="N868" s="91"/>
      <c r="Q868" s="119" t="str">
        <f t="shared" si="44"/>
        <v/>
      </c>
      <c r="R868" s="92" t="str">
        <f>IF('Prod 1'!D869="","",'Prod 1'!D869)</f>
        <v/>
      </c>
      <c r="S868" s="119" t="str">
        <f>IF('Prod 1'!E869="","",'Prod 1'!E869+'BH (2)'!C868)</f>
        <v/>
      </c>
      <c r="T868" s="59"/>
      <c r="U868" s="91"/>
    </row>
    <row r="869" spans="9:21" ht="24.95" customHeight="1" x14ac:dyDescent="0.25">
      <c r="I869" s="106">
        <v>866</v>
      </c>
      <c r="J869" s="119" t="str">
        <f t="shared" si="43"/>
        <v/>
      </c>
      <c r="K869" s="92" t="str">
        <f>IF('Prod 1'!D870="","",'Prod 1'!D870)</f>
        <v/>
      </c>
      <c r="L869" s="119" t="str">
        <f>IF('Prod 1'!I870="","",'Prod 1'!I870+'BH (2)'!C869)</f>
        <v/>
      </c>
      <c r="M869" s="59"/>
      <c r="N869" s="91"/>
      <c r="Q869" s="119" t="str">
        <f t="shared" si="44"/>
        <v/>
      </c>
      <c r="R869" s="92" t="str">
        <f>IF('Prod 1'!D870="","",'Prod 1'!D870)</f>
        <v/>
      </c>
      <c r="S869" s="119" t="str">
        <f>IF('Prod 1'!E870="","",'Prod 1'!E870+'BH (2)'!C869)</f>
        <v/>
      </c>
      <c r="T869" s="59"/>
      <c r="U869" s="91"/>
    </row>
    <row r="870" spans="9:21" ht="24.95" customHeight="1" x14ac:dyDescent="0.25">
      <c r="I870" s="106">
        <v>867</v>
      </c>
      <c r="J870" s="119" t="str">
        <f t="shared" si="43"/>
        <v/>
      </c>
      <c r="K870" s="92" t="str">
        <f>IF('Prod 1'!D871="","",'Prod 1'!D871)</f>
        <v/>
      </c>
      <c r="L870" s="119" t="str">
        <f>IF('Prod 1'!I871="","",'Prod 1'!I871+'BH (2)'!C870)</f>
        <v/>
      </c>
      <c r="M870" s="59"/>
      <c r="N870" s="91"/>
      <c r="Q870" s="119" t="str">
        <f t="shared" si="44"/>
        <v/>
      </c>
      <c r="R870" s="92" t="str">
        <f>IF('Prod 1'!D871="","",'Prod 1'!D871)</f>
        <v/>
      </c>
      <c r="S870" s="119" t="str">
        <f>IF('Prod 1'!E871="","",'Prod 1'!E871+'BH (2)'!C870)</f>
        <v/>
      </c>
      <c r="T870" s="59"/>
      <c r="U870" s="91"/>
    </row>
    <row r="871" spans="9:21" ht="24.95" customHeight="1" x14ac:dyDescent="0.25">
      <c r="I871" s="106">
        <v>868</v>
      </c>
      <c r="J871" s="119" t="str">
        <f t="shared" si="43"/>
        <v/>
      </c>
      <c r="K871" s="92" t="str">
        <f>IF('Prod 1'!D872="","",'Prod 1'!D872)</f>
        <v/>
      </c>
      <c r="L871" s="119" t="str">
        <f>IF('Prod 1'!I872="","",'Prod 1'!I872+'BH (2)'!C871)</f>
        <v/>
      </c>
      <c r="M871" s="59"/>
      <c r="N871" s="91"/>
      <c r="Q871" s="119" t="str">
        <f t="shared" si="44"/>
        <v/>
      </c>
      <c r="R871" s="92" t="str">
        <f>IF('Prod 1'!D872="","",'Prod 1'!D872)</f>
        <v/>
      </c>
      <c r="S871" s="119" t="str">
        <f>IF('Prod 1'!E872="","",'Prod 1'!E872+'BH (2)'!C871)</f>
        <v/>
      </c>
      <c r="T871" s="59"/>
      <c r="U871" s="91"/>
    </row>
    <row r="872" spans="9:21" ht="24.95" customHeight="1" x14ac:dyDescent="0.25">
      <c r="I872" s="106">
        <v>869</v>
      </c>
      <c r="J872" s="119" t="str">
        <f t="shared" si="43"/>
        <v/>
      </c>
      <c r="K872" s="92" t="str">
        <f>IF('Prod 1'!D873="","",'Prod 1'!D873)</f>
        <v/>
      </c>
      <c r="L872" s="119" t="str">
        <f>IF('Prod 1'!I873="","",'Prod 1'!I873+'BH (2)'!C872)</f>
        <v/>
      </c>
      <c r="M872" s="59"/>
      <c r="N872" s="91"/>
      <c r="Q872" s="119" t="str">
        <f t="shared" si="44"/>
        <v/>
      </c>
      <c r="R872" s="92" t="str">
        <f>IF('Prod 1'!D873="","",'Prod 1'!D873)</f>
        <v/>
      </c>
      <c r="S872" s="119" t="str">
        <f>IF('Prod 1'!E873="","",'Prod 1'!E873+'BH (2)'!C872)</f>
        <v/>
      </c>
      <c r="T872" s="59"/>
      <c r="U872" s="91"/>
    </row>
    <row r="873" spans="9:21" ht="24.95" customHeight="1" x14ac:dyDescent="0.25">
      <c r="I873" s="106">
        <v>870</v>
      </c>
      <c r="J873" s="119" t="str">
        <f t="shared" si="43"/>
        <v/>
      </c>
      <c r="K873" s="92" t="str">
        <f>IF('Prod 1'!D874="","",'Prod 1'!D874)</f>
        <v/>
      </c>
      <c r="L873" s="119" t="str">
        <f>IF('Prod 1'!I874="","",'Prod 1'!I874+'BH (2)'!C873)</f>
        <v/>
      </c>
      <c r="M873" s="59"/>
      <c r="N873" s="91"/>
      <c r="Q873" s="119" t="str">
        <f t="shared" si="44"/>
        <v/>
      </c>
      <c r="R873" s="92" t="str">
        <f>IF('Prod 1'!D874="","",'Prod 1'!D874)</f>
        <v/>
      </c>
      <c r="S873" s="119" t="str">
        <f>IF('Prod 1'!E874="","",'Prod 1'!E874+'BH (2)'!C873)</f>
        <v/>
      </c>
      <c r="T873" s="59"/>
      <c r="U873" s="91"/>
    </row>
    <row r="874" spans="9:21" ht="24.95" customHeight="1" x14ac:dyDescent="0.25">
      <c r="I874" s="106">
        <v>871</v>
      </c>
      <c r="J874" s="119" t="str">
        <f t="shared" si="43"/>
        <v/>
      </c>
      <c r="K874" s="92" t="str">
        <f>IF('Prod 1'!D875="","",'Prod 1'!D875)</f>
        <v/>
      </c>
      <c r="L874" s="119" t="str">
        <f>IF('Prod 1'!I875="","",'Prod 1'!I875+'BH (2)'!C874)</f>
        <v/>
      </c>
      <c r="M874" s="59"/>
      <c r="N874" s="91"/>
      <c r="Q874" s="119" t="str">
        <f t="shared" si="44"/>
        <v/>
      </c>
      <c r="R874" s="92" t="str">
        <f>IF('Prod 1'!D875="","",'Prod 1'!D875)</f>
        <v/>
      </c>
      <c r="S874" s="119" t="str">
        <f>IF('Prod 1'!E875="","",'Prod 1'!E875+'BH (2)'!C874)</f>
        <v/>
      </c>
      <c r="T874" s="59"/>
      <c r="U874" s="91"/>
    </row>
    <row r="875" spans="9:21" ht="24.95" customHeight="1" x14ac:dyDescent="0.25">
      <c r="I875" s="106">
        <v>872</v>
      </c>
      <c r="J875" s="119" t="str">
        <f t="shared" si="43"/>
        <v/>
      </c>
      <c r="K875" s="92" t="str">
        <f>IF('Prod 1'!D876="","",'Prod 1'!D876)</f>
        <v/>
      </c>
      <c r="L875" s="119" t="str">
        <f>IF('Prod 1'!I876="","",'Prod 1'!I876+'BH (2)'!C875)</f>
        <v/>
      </c>
      <c r="M875" s="59"/>
      <c r="N875" s="91"/>
      <c r="Q875" s="119" t="str">
        <f t="shared" si="44"/>
        <v/>
      </c>
      <c r="R875" s="92" t="str">
        <f>IF('Prod 1'!D876="","",'Prod 1'!D876)</f>
        <v/>
      </c>
      <c r="S875" s="119" t="str">
        <f>IF('Prod 1'!E876="","",'Prod 1'!E876+'BH (2)'!C875)</f>
        <v/>
      </c>
      <c r="T875" s="59"/>
      <c r="U875" s="91"/>
    </row>
    <row r="876" spans="9:21" ht="24.95" customHeight="1" x14ac:dyDescent="0.25">
      <c r="I876" s="106">
        <v>873</v>
      </c>
      <c r="J876" s="119" t="str">
        <f t="shared" si="43"/>
        <v/>
      </c>
      <c r="K876" s="92" t="str">
        <f>IF('Prod 1'!D877="","",'Prod 1'!D877)</f>
        <v/>
      </c>
      <c r="L876" s="119" t="str">
        <f>IF('Prod 1'!I877="","",'Prod 1'!I877+'BH (2)'!C876)</f>
        <v/>
      </c>
      <c r="M876" s="59"/>
      <c r="N876" s="91"/>
      <c r="Q876" s="119" t="str">
        <f t="shared" si="44"/>
        <v/>
      </c>
      <c r="R876" s="92" t="str">
        <f>IF('Prod 1'!D877="","",'Prod 1'!D877)</f>
        <v/>
      </c>
      <c r="S876" s="119" t="str">
        <f>IF('Prod 1'!E877="","",'Prod 1'!E877+'BH (2)'!C876)</f>
        <v/>
      </c>
      <c r="T876" s="59"/>
      <c r="U876" s="91"/>
    </row>
    <row r="877" spans="9:21" ht="24.95" customHeight="1" x14ac:dyDescent="0.25">
      <c r="I877" s="106">
        <v>874</v>
      </c>
      <c r="J877" s="119" t="str">
        <f t="shared" si="43"/>
        <v/>
      </c>
      <c r="K877" s="92" t="str">
        <f>IF('Prod 1'!D878="","",'Prod 1'!D878)</f>
        <v/>
      </c>
      <c r="L877" s="119" t="str">
        <f>IF('Prod 1'!I878="","",'Prod 1'!I878+'BH (2)'!C877)</f>
        <v/>
      </c>
      <c r="M877" s="59"/>
      <c r="N877" s="91"/>
      <c r="Q877" s="119" t="str">
        <f t="shared" si="44"/>
        <v/>
      </c>
      <c r="R877" s="92" t="str">
        <f>IF('Prod 1'!D878="","",'Prod 1'!D878)</f>
        <v/>
      </c>
      <c r="S877" s="119" t="str">
        <f>IF('Prod 1'!E878="","",'Prod 1'!E878+'BH (2)'!C877)</f>
        <v/>
      </c>
      <c r="T877" s="59"/>
      <c r="U877" s="91"/>
    </row>
    <row r="878" spans="9:21" ht="24.95" customHeight="1" x14ac:dyDescent="0.25">
      <c r="I878" s="106">
        <v>875</v>
      </c>
      <c r="J878" s="119" t="str">
        <f t="shared" si="43"/>
        <v/>
      </c>
      <c r="K878" s="92" t="str">
        <f>IF('Prod 1'!D879="","",'Prod 1'!D879)</f>
        <v/>
      </c>
      <c r="L878" s="119" t="str">
        <f>IF('Prod 1'!I879="","",'Prod 1'!I879+'BH (2)'!C878)</f>
        <v/>
      </c>
      <c r="M878" s="59"/>
      <c r="N878" s="91"/>
      <c r="Q878" s="119" t="str">
        <f t="shared" si="44"/>
        <v/>
      </c>
      <c r="R878" s="92" t="str">
        <f>IF('Prod 1'!D879="","",'Prod 1'!D879)</f>
        <v/>
      </c>
      <c r="S878" s="119" t="str">
        <f>IF('Prod 1'!E879="","",'Prod 1'!E879+'BH (2)'!C878)</f>
        <v/>
      </c>
      <c r="T878" s="59"/>
      <c r="U878" s="91"/>
    </row>
    <row r="879" spans="9:21" ht="24.95" customHeight="1" x14ac:dyDescent="0.25">
      <c r="I879" s="106">
        <v>876</v>
      </c>
      <c r="J879" s="119" t="str">
        <f t="shared" si="43"/>
        <v/>
      </c>
      <c r="K879" s="92" t="str">
        <f>IF('Prod 1'!D880="","",'Prod 1'!D880)</f>
        <v/>
      </c>
      <c r="L879" s="119" t="str">
        <f>IF('Prod 1'!I880="","",'Prod 1'!I880+'BH (2)'!C879)</f>
        <v/>
      </c>
      <c r="M879" s="59"/>
      <c r="N879" s="91"/>
      <c r="Q879" s="119" t="str">
        <f t="shared" si="44"/>
        <v/>
      </c>
      <c r="R879" s="92" t="str">
        <f>IF('Prod 1'!D880="","",'Prod 1'!D880)</f>
        <v/>
      </c>
      <c r="S879" s="119" t="str">
        <f>IF('Prod 1'!E880="","",'Prod 1'!E880+'BH (2)'!C879)</f>
        <v/>
      </c>
      <c r="T879" s="59"/>
      <c r="U879" s="91"/>
    </row>
    <row r="880" spans="9:21" ht="24.95" customHeight="1" x14ac:dyDescent="0.25">
      <c r="I880" s="106">
        <v>877</v>
      </c>
      <c r="J880" s="119" t="str">
        <f t="shared" si="43"/>
        <v/>
      </c>
      <c r="K880" s="92" t="str">
        <f>IF('Prod 1'!D881="","",'Prod 1'!D881)</f>
        <v/>
      </c>
      <c r="L880" s="119" t="str">
        <f>IF('Prod 1'!I881="","",'Prod 1'!I881+'BH (2)'!C880)</f>
        <v/>
      </c>
      <c r="M880" s="59"/>
      <c r="N880" s="91"/>
      <c r="Q880" s="119" t="str">
        <f t="shared" si="44"/>
        <v/>
      </c>
      <c r="R880" s="92" t="str">
        <f>IF('Prod 1'!D881="","",'Prod 1'!D881)</f>
        <v/>
      </c>
      <c r="S880" s="119" t="str">
        <f>IF('Prod 1'!E881="","",'Prod 1'!E881+'BH (2)'!C880)</f>
        <v/>
      </c>
      <c r="T880" s="59"/>
      <c r="U880" s="91"/>
    </row>
    <row r="881" spans="9:21" ht="24.95" customHeight="1" x14ac:dyDescent="0.25">
      <c r="I881" s="106">
        <v>878</v>
      </c>
      <c r="J881" s="119" t="str">
        <f t="shared" si="43"/>
        <v/>
      </c>
      <c r="K881" s="92" t="str">
        <f>IF('Prod 1'!D882="","",'Prod 1'!D882)</f>
        <v/>
      </c>
      <c r="L881" s="119" t="str">
        <f>IF('Prod 1'!I882="","",'Prod 1'!I882+'BH (2)'!C881)</f>
        <v/>
      </c>
      <c r="M881" s="59"/>
      <c r="N881" s="91"/>
      <c r="Q881" s="119" t="str">
        <f t="shared" si="44"/>
        <v/>
      </c>
      <c r="R881" s="92" t="str">
        <f>IF('Prod 1'!D882="","",'Prod 1'!D882)</f>
        <v/>
      </c>
      <c r="S881" s="119" t="str">
        <f>IF('Prod 1'!E882="","",'Prod 1'!E882+'BH (2)'!C881)</f>
        <v/>
      </c>
      <c r="T881" s="59"/>
      <c r="U881" s="91"/>
    </row>
    <row r="882" spans="9:21" ht="24.95" customHeight="1" x14ac:dyDescent="0.25">
      <c r="I882" s="106">
        <v>879</v>
      </c>
      <c r="J882" s="119" t="str">
        <f t="shared" si="43"/>
        <v/>
      </c>
      <c r="K882" s="92" t="str">
        <f>IF('Prod 1'!D883="","",'Prod 1'!D883)</f>
        <v/>
      </c>
      <c r="L882" s="119" t="str">
        <f>IF('Prod 1'!I883="","",'Prod 1'!I883+'BH (2)'!C882)</f>
        <v/>
      </c>
      <c r="M882" s="59"/>
      <c r="N882" s="91"/>
      <c r="Q882" s="119" t="str">
        <f t="shared" si="44"/>
        <v/>
      </c>
      <c r="R882" s="92" t="str">
        <f>IF('Prod 1'!D883="","",'Prod 1'!D883)</f>
        <v/>
      </c>
      <c r="S882" s="119" t="str">
        <f>IF('Prod 1'!E883="","",'Prod 1'!E883+'BH (2)'!C882)</f>
        <v/>
      </c>
      <c r="T882" s="59"/>
      <c r="U882" s="91"/>
    </row>
    <row r="883" spans="9:21" ht="24.95" customHeight="1" x14ac:dyDescent="0.25">
      <c r="I883" s="106">
        <v>880</v>
      </c>
      <c r="J883" s="119" t="str">
        <f t="shared" si="43"/>
        <v/>
      </c>
      <c r="K883" s="92" t="str">
        <f>IF('Prod 1'!D884="","",'Prod 1'!D884)</f>
        <v/>
      </c>
      <c r="L883" s="119" t="str">
        <f>IF('Prod 1'!I884="","",'Prod 1'!I884+'BH (2)'!C883)</f>
        <v/>
      </c>
      <c r="M883" s="59"/>
      <c r="N883" s="91"/>
      <c r="Q883" s="119" t="str">
        <f t="shared" si="44"/>
        <v/>
      </c>
      <c r="R883" s="92" t="str">
        <f>IF('Prod 1'!D884="","",'Prod 1'!D884)</f>
        <v/>
      </c>
      <c r="S883" s="119" t="str">
        <f>IF('Prod 1'!E884="","",'Prod 1'!E884+'BH (2)'!C883)</f>
        <v/>
      </c>
      <c r="T883" s="59"/>
      <c r="U883" s="91"/>
    </row>
    <row r="884" spans="9:21" ht="24.95" customHeight="1" x14ac:dyDescent="0.25">
      <c r="I884" s="106">
        <v>881</v>
      </c>
      <c r="J884" s="119" t="str">
        <f t="shared" si="43"/>
        <v/>
      </c>
      <c r="K884" s="92" t="str">
        <f>IF('Prod 1'!D885="","",'Prod 1'!D885)</f>
        <v/>
      </c>
      <c r="L884" s="119" t="str">
        <f>IF('Prod 1'!I885="","",'Prod 1'!I885+'BH (2)'!C884)</f>
        <v/>
      </c>
      <c r="M884" s="59"/>
      <c r="N884" s="91"/>
      <c r="Q884" s="119" t="str">
        <f t="shared" si="44"/>
        <v/>
      </c>
      <c r="R884" s="92" t="str">
        <f>IF('Prod 1'!D885="","",'Prod 1'!D885)</f>
        <v/>
      </c>
      <c r="S884" s="119" t="str">
        <f>IF('Prod 1'!E885="","",'Prod 1'!E885+'BH (2)'!C884)</f>
        <v/>
      </c>
      <c r="T884" s="59"/>
      <c r="U884" s="91"/>
    </row>
    <row r="885" spans="9:21" ht="24.95" customHeight="1" x14ac:dyDescent="0.25">
      <c r="I885" s="106">
        <v>882</v>
      </c>
      <c r="J885" s="119" t="str">
        <f t="shared" si="43"/>
        <v/>
      </c>
      <c r="K885" s="92" t="str">
        <f>IF('Prod 1'!D886="","",'Prod 1'!D886)</f>
        <v/>
      </c>
      <c r="L885" s="119" t="str">
        <f>IF('Prod 1'!I886="","",'Prod 1'!I886+'BH (2)'!C885)</f>
        <v/>
      </c>
      <c r="M885" s="59"/>
      <c r="N885" s="91"/>
      <c r="Q885" s="119" t="str">
        <f t="shared" si="44"/>
        <v/>
      </c>
      <c r="R885" s="92" t="str">
        <f>IF('Prod 1'!D886="","",'Prod 1'!D886)</f>
        <v/>
      </c>
      <c r="S885" s="119" t="str">
        <f>IF('Prod 1'!E886="","",'Prod 1'!E886+'BH (2)'!C885)</f>
        <v/>
      </c>
      <c r="T885" s="59"/>
      <c r="U885" s="91"/>
    </row>
    <row r="886" spans="9:21" ht="24.95" customHeight="1" x14ac:dyDescent="0.25">
      <c r="I886" s="106">
        <v>883</v>
      </c>
      <c r="J886" s="119" t="str">
        <f t="shared" si="43"/>
        <v/>
      </c>
      <c r="K886" s="92" t="str">
        <f>IF('Prod 1'!D887="","",'Prod 1'!D887)</f>
        <v/>
      </c>
      <c r="L886" s="119" t="str">
        <f>IF('Prod 1'!I887="","",'Prod 1'!I887+'BH (2)'!C886)</f>
        <v/>
      </c>
      <c r="M886" s="59"/>
      <c r="N886" s="91"/>
      <c r="Q886" s="119" t="str">
        <f t="shared" si="44"/>
        <v/>
      </c>
      <c r="R886" s="92" t="str">
        <f>IF('Prod 1'!D887="","",'Prod 1'!D887)</f>
        <v/>
      </c>
      <c r="S886" s="119" t="str">
        <f>IF('Prod 1'!E887="","",'Prod 1'!E887+'BH (2)'!C886)</f>
        <v/>
      </c>
      <c r="T886" s="59"/>
      <c r="U886" s="91"/>
    </row>
    <row r="887" spans="9:21" ht="24.95" customHeight="1" x14ac:dyDescent="0.25">
      <c r="I887" s="106">
        <v>884</v>
      </c>
      <c r="J887" s="119" t="str">
        <f t="shared" si="43"/>
        <v/>
      </c>
      <c r="K887" s="92" t="str">
        <f>IF('Prod 1'!D888="","",'Prod 1'!D888)</f>
        <v/>
      </c>
      <c r="L887" s="119" t="str">
        <f>IF('Prod 1'!I888="","",'Prod 1'!I888+'BH (2)'!C887)</f>
        <v/>
      </c>
      <c r="M887" s="59"/>
      <c r="N887" s="91"/>
      <c r="Q887" s="119" t="str">
        <f t="shared" si="44"/>
        <v/>
      </c>
      <c r="R887" s="92" t="str">
        <f>IF('Prod 1'!D888="","",'Prod 1'!D888)</f>
        <v/>
      </c>
      <c r="S887" s="119" t="str">
        <f>IF('Prod 1'!E888="","",'Prod 1'!E888+'BH (2)'!C887)</f>
        <v/>
      </c>
      <c r="T887" s="59"/>
      <c r="U887" s="91"/>
    </row>
    <row r="888" spans="9:21" ht="24.95" customHeight="1" x14ac:dyDescent="0.25">
      <c r="I888" s="106">
        <v>885</v>
      </c>
      <c r="J888" s="119" t="str">
        <f t="shared" si="43"/>
        <v/>
      </c>
      <c r="K888" s="92" t="str">
        <f>IF('Prod 1'!D889="","",'Prod 1'!D889)</f>
        <v/>
      </c>
      <c r="L888" s="119" t="str">
        <f>IF('Prod 1'!I889="","",'Prod 1'!I889+'BH (2)'!C888)</f>
        <v/>
      </c>
      <c r="M888" s="59"/>
      <c r="N888" s="91"/>
      <c r="Q888" s="119" t="str">
        <f t="shared" si="44"/>
        <v/>
      </c>
      <c r="R888" s="92" t="str">
        <f>IF('Prod 1'!D889="","",'Prod 1'!D889)</f>
        <v/>
      </c>
      <c r="S888" s="119" t="str">
        <f>IF('Prod 1'!E889="","",'Prod 1'!E889+'BH (2)'!C888)</f>
        <v/>
      </c>
      <c r="T888" s="59"/>
      <c r="U888" s="91"/>
    </row>
    <row r="889" spans="9:21" ht="24.95" customHeight="1" x14ac:dyDescent="0.25">
      <c r="I889" s="106">
        <v>886</v>
      </c>
      <c r="J889" s="119" t="str">
        <f t="shared" si="43"/>
        <v/>
      </c>
      <c r="K889" s="92" t="str">
        <f>IF('Prod 1'!D890="","",'Prod 1'!D890)</f>
        <v/>
      </c>
      <c r="L889" s="119" t="str">
        <f>IF('Prod 1'!I890="","",'Prod 1'!I890+'BH (2)'!C889)</f>
        <v/>
      </c>
      <c r="M889" s="59"/>
      <c r="N889" s="91"/>
      <c r="Q889" s="119" t="str">
        <f t="shared" si="44"/>
        <v/>
      </c>
      <c r="R889" s="92" t="str">
        <f>IF('Prod 1'!D890="","",'Prod 1'!D890)</f>
        <v/>
      </c>
      <c r="S889" s="119" t="str">
        <f>IF('Prod 1'!E890="","",'Prod 1'!E890+'BH (2)'!C889)</f>
        <v/>
      </c>
      <c r="T889" s="59"/>
      <c r="U889" s="91"/>
    </row>
    <row r="890" spans="9:21" ht="24.95" customHeight="1" x14ac:dyDescent="0.25">
      <c r="I890" s="106">
        <v>887</v>
      </c>
      <c r="J890" s="119" t="str">
        <f t="shared" si="43"/>
        <v/>
      </c>
      <c r="K890" s="92" t="str">
        <f>IF('Prod 1'!D891="","",'Prod 1'!D891)</f>
        <v/>
      </c>
      <c r="L890" s="119" t="str">
        <f>IF('Prod 1'!I891="","",'Prod 1'!I891+'BH (2)'!C890)</f>
        <v/>
      </c>
      <c r="M890" s="59"/>
      <c r="N890" s="91"/>
      <c r="Q890" s="119" t="str">
        <f t="shared" si="44"/>
        <v/>
      </c>
      <c r="R890" s="92" t="str">
        <f>IF('Prod 1'!D891="","",'Prod 1'!D891)</f>
        <v/>
      </c>
      <c r="S890" s="119" t="str">
        <f>IF('Prod 1'!E891="","",'Prod 1'!E891+'BH (2)'!C890)</f>
        <v/>
      </c>
      <c r="T890" s="59"/>
      <c r="U890" s="91"/>
    </row>
    <row r="891" spans="9:21" ht="24.95" customHeight="1" x14ac:dyDescent="0.25">
      <c r="I891" s="106">
        <v>888</v>
      </c>
      <c r="J891" s="119" t="str">
        <f t="shared" si="43"/>
        <v/>
      </c>
      <c r="K891" s="92" t="str">
        <f>IF('Prod 1'!D892="","",'Prod 1'!D892)</f>
        <v/>
      </c>
      <c r="L891" s="119" t="str">
        <f>IF('Prod 1'!I892="","",'Prod 1'!I892+'BH (2)'!C891)</f>
        <v/>
      </c>
      <c r="M891" s="59"/>
      <c r="N891" s="91"/>
      <c r="Q891" s="119" t="str">
        <f t="shared" si="44"/>
        <v/>
      </c>
      <c r="R891" s="92" t="str">
        <f>IF('Prod 1'!D892="","",'Prod 1'!D892)</f>
        <v/>
      </c>
      <c r="S891" s="119" t="str">
        <f>IF('Prod 1'!E892="","",'Prod 1'!E892+'BH (2)'!C891)</f>
        <v/>
      </c>
      <c r="T891" s="59"/>
      <c r="U891" s="91"/>
    </row>
    <row r="892" spans="9:21" ht="24.95" customHeight="1" x14ac:dyDescent="0.25">
      <c r="I892" s="106">
        <v>889</v>
      </c>
      <c r="J892" s="119" t="str">
        <f t="shared" si="43"/>
        <v/>
      </c>
      <c r="K892" s="92" t="str">
        <f>IF('Prod 1'!D893="","",'Prod 1'!D893)</f>
        <v/>
      </c>
      <c r="L892" s="119" t="str">
        <f>IF('Prod 1'!I893="","",'Prod 1'!I893+'BH (2)'!C892)</f>
        <v/>
      </c>
      <c r="M892" s="59"/>
      <c r="N892" s="91"/>
      <c r="Q892" s="119" t="str">
        <f t="shared" si="44"/>
        <v/>
      </c>
      <c r="R892" s="92" t="str">
        <f>IF('Prod 1'!D893="","",'Prod 1'!D893)</f>
        <v/>
      </c>
      <c r="S892" s="119" t="str">
        <f>IF('Prod 1'!E893="","",'Prod 1'!E893+'BH (2)'!C892)</f>
        <v/>
      </c>
      <c r="T892" s="59"/>
      <c r="U892" s="91"/>
    </row>
    <row r="893" spans="9:21" ht="24.95" customHeight="1" x14ac:dyDescent="0.25">
      <c r="I893" s="106">
        <v>890</v>
      </c>
      <c r="J893" s="119" t="str">
        <f t="shared" si="43"/>
        <v/>
      </c>
      <c r="K893" s="92" t="str">
        <f>IF('Prod 1'!D894="","",'Prod 1'!D894)</f>
        <v/>
      </c>
      <c r="L893" s="119" t="str">
        <f>IF('Prod 1'!I894="","",'Prod 1'!I894+'BH (2)'!C893)</f>
        <v/>
      </c>
      <c r="M893" s="59"/>
      <c r="N893" s="91"/>
      <c r="Q893" s="119" t="str">
        <f t="shared" si="44"/>
        <v/>
      </c>
      <c r="R893" s="92" t="str">
        <f>IF('Prod 1'!D894="","",'Prod 1'!D894)</f>
        <v/>
      </c>
      <c r="S893" s="119" t="str">
        <f>IF('Prod 1'!E894="","",'Prod 1'!E894+'BH (2)'!C893)</f>
        <v/>
      </c>
      <c r="T893" s="59"/>
      <c r="U893" s="91"/>
    </row>
    <row r="894" spans="9:21" ht="24.95" customHeight="1" x14ac:dyDescent="0.25">
      <c r="I894" s="106">
        <v>891</v>
      </c>
      <c r="J894" s="119" t="str">
        <f t="shared" si="43"/>
        <v/>
      </c>
      <c r="K894" s="92" t="str">
        <f>IF('Prod 1'!D895="","",'Prod 1'!D895)</f>
        <v/>
      </c>
      <c r="L894" s="119" t="str">
        <f>IF('Prod 1'!I895="","",'Prod 1'!I895+'BH (2)'!C894)</f>
        <v/>
      </c>
      <c r="M894" s="59"/>
      <c r="N894" s="91"/>
      <c r="Q894" s="119" t="str">
        <f t="shared" si="44"/>
        <v/>
      </c>
      <c r="R894" s="92" t="str">
        <f>IF('Prod 1'!D895="","",'Prod 1'!D895)</f>
        <v/>
      </c>
      <c r="S894" s="119" t="str">
        <f>IF('Prod 1'!E895="","",'Prod 1'!E895+'BH (2)'!C894)</f>
        <v/>
      </c>
      <c r="T894" s="59"/>
      <c r="U894" s="91"/>
    </row>
    <row r="895" spans="9:21" ht="24.95" customHeight="1" x14ac:dyDescent="0.25">
      <c r="I895" s="106">
        <v>892</v>
      </c>
      <c r="J895" s="119" t="str">
        <f t="shared" si="43"/>
        <v/>
      </c>
      <c r="K895" s="92" t="str">
        <f>IF('Prod 1'!D896="","",'Prod 1'!D896)</f>
        <v/>
      </c>
      <c r="L895" s="119" t="str">
        <f>IF('Prod 1'!I896="","",'Prod 1'!I896+'BH (2)'!C895)</f>
        <v/>
      </c>
      <c r="M895" s="59"/>
      <c r="N895" s="91"/>
      <c r="Q895" s="119" t="str">
        <f t="shared" si="44"/>
        <v/>
      </c>
      <c r="R895" s="92" t="str">
        <f>IF('Prod 1'!D896="","",'Prod 1'!D896)</f>
        <v/>
      </c>
      <c r="S895" s="119" t="str">
        <f>IF('Prod 1'!E896="","",'Prod 1'!E896+'BH (2)'!C895)</f>
        <v/>
      </c>
      <c r="T895" s="59"/>
      <c r="U895" s="91"/>
    </row>
    <row r="896" spans="9:21" ht="24.95" customHeight="1" x14ac:dyDescent="0.25">
      <c r="I896" s="106">
        <v>893</v>
      </c>
      <c r="J896" s="119" t="str">
        <f t="shared" si="43"/>
        <v/>
      </c>
      <c r="K896" s="92" t="str">
        <f>IF('Prod 1'!D897="","",'Prod 1'!D897)</f>
        <v/>
      </c>
      <c r="L896" s="119" t="str">
        <f>IF('Prod 1'!I897="","",'Prod 1'!I897+'BH (2)'!C896)</f>
        <v/>
      </c>
      <c r="M896" s="59"/>
      <c r="N896" s="91"/>
      <c r="Q896" s="119" t="str">
        <f t="shared" si="44"/>
        <v/>
      </c>
      <c r="R896" s="92" t="str">
        <f>IF('Prod 1'!D897="","",'Prod 1'!D897)</f>
        <v/>
      </c>
      <c r="S896" s="119" t="str">
        <f>IF('Prod 1'!E897="","",'Prod 1'!E897+'BH (2)'!C896)</f>
        <v/>
      </c>
      <c r="T896" s="59"/>
      <c r="U896" s="91"/>
    </row>
    <row r="897" spans="9:21" ht="24.95" customHeight="1" x14ac:dyDescent="0.25">
      <c r="I897" s="106">
        <v>894</v>
      </c>
      <c r="J897" s="119" t="str">
        <f t="shared" si="43"/>
        <v/>
      </c>
      <c r="K897" s="92" t="str">
        <f>IF('Prod 1'!D898="","",'Prod 1'!D898)</f>
        <v/>
      </c>
      <c r="L897" s="119" t="str">
        <f>IF('Prod 1'!I898="","",'Prod 1'!I898+'BH (2)'!C897)</f>
        <v/>
      </c>
      <c r="M897" s="59"/>
      <c r="N897" s="91"/>
      <c r="Q897" s="119" t="str">
        <f t="shared" si="44"/>
        <v/>
      </c>
      <c r="R897" s="92" t="str">
        <f>IF('Prod 1'!D898="","",'Prod 1'!D898)</f>
        <v/>
      </c>
      <c r="S897" s="119" t="str">
        <f>IF('Prod 1'!E898="","",'Prod 1'!E898+'BH (2)'!C897)</f>
        <v/>
      </c>
      <c r="T897" s="59"/>
      <c r="U897" s="91"/>
    </row>
    <row r="898" spans="9:21" ht="24.95" customHeight="1" x14ac:dyDescent="0.25">
      <c r="I898" s="106">
        <v>895</v>
      </c>
      <c r="J898" s="119" t="str">
        <f t="shared" si="43"/>
        <v/>
      </c>
      <c r="K898" s="92" t="str">
        <f>IF('Prod 1'!D899="","",'Prod 1'!D899)</f>
        <v/>
      </c>
      <c r="L898" s="119" t="str">
        <f>IF('Prod 1'!I899="","",'Prod 1'!I899+'BH (2)'!C898)</f>
        <v/>
      </c>
      <c r="M898" s="59"/>
      <c r="N898" s="91"/>
      <c r="Q898" s="119" t="str">
        <f t="shared" si="44"/>
        <v/>
      </c>
      <c r="R898" s="92" t="str">
        <f>IF('Prod 1'!D899="","",'Prod 1'!D899)</f>
        <v/>
      </c>
      <c r="S898" s="119" t="str">
        <f>IF('Prod 1'!E899="","",'Prod 1'!E899+'BH (2)'!C898)</f>
        <v/>
      </c>
      <c r="T898" s="59"/>
      <c r="U898" s="91"/>
    </row>
    <row r="899" spans="9:21" ht="24.95" customHeight="1" x14ac:dyDescent="0.25">
      <c r="I899" s="106">
        <v>896</v>
      </c>
      <c r="J899" s="119" t="str">
        <f t="shared" si="43"/>
        <v/>
      </c>
      <c r="K899" s="92" t="str">
        <f>IF('Prod 1'!D900="","",'Prod 1'!D900)</f>
        <v/>
      </c>
      <c r="L899" s="119" t="str">
        <f>IF('Prod 1'!I900="","",'Prod 1'!I900+'BH (2)'!C899)</f>
        <v/>
      </c>
      <c r="M899" s="59"/>
      <c r="N899" s="91"/>
      <c r="Q899" s="119" t="str">
        <f t="shared" si="44"/>
        <v/>
      </c>
      <c r="R899" s="92" t="str">
        <f>IF('Prod 1'!D900="","",'Prod 1'!D900)</f>
        <v/>
      </c>
      <c r="S899" s="119" t="str">
        <f>IF('Prod 1'!E900="","",'Prod 1'!E900+'BH (2)'!C899)</f>
        <v/>
      </c>
      <c r="T899" s="59"/>
      <c r="U899" s="91"/>
    </row>
    <row r="900" spans="9:21" ht="24.95" customHeight="1" x14ac:dyDescent="0.25">
      <c r="I900" s="106">
        <v>897</v>
      </c>
      <c r="J900" s="119" t="str">
        <f t="shared" si="43"/>
        <v/>
      </c>
      <c r="K900" s="92" t="str">
        <f>IF('Prod 1'!D901="","",'Prod 1'!D901)</f>
        <v/>
      </c>
      <c r="L900" s="119" t="str">
        <f>IF('Prod 1'!I901="","",'Prod 1'!I901+'BH (2)'!C900)</f>
        <v/>
      </c>
      <c r="M900" s="59"/>
      <c r="N900" s="91"/>
      <c r="Q900" s="119" t="str">
        <f t="shared" si="44"/>
        <v/>
      </c>
      <c r="R900" s="92" t="str">
        <f>IF('Prod 1'!D901="","",'Prod 1'!D901)</f>
        <v/>
      </c>
      <c r="S900" s="119" t="str">
        <f>IF('Prod 1'!E901="","",'Prod 1'!E901+'BH (2)'!C900)</f>
        <v/>
      </c>
      <c r="T900" s="59"/>
      <c r="U900" s="91"/>
    </row>
    <row r="901" spans="9:21" ht="24.95" customHeight="1" x14ac:dyDescent="0.25">
      <c r="I901" s="106">
        <v>898</v>
      </c>
      <c r="J901" s="119" t="str">
        <f t="shared" ref="J901:J964" si="45">L901</f>
        <v/>
      </c>
      <c r="K901" s="92" t="str">
        <f>IF('Prod 1'!D902="","",'Prod 1'!D902)</f>
        <v/>
      </c>
      <c r="L901" s="119" t="str">
        <f>IF('Prod 1'!I902="","",'Prod 1'!I902+'BH (2)'!C901)</f>
        <v/>
      </c>
      <c r="M901" s="59"/>
      <c r="N901" s="91"/>
      <c r="Q901" s="119" t="str">
        <f t="shared" ref="Q901:Q964" si="46">S901</f>
        <v/>
      </c>
      <c r="R901" s="92" t="str">
        <f>IF('Prod 1'!D902="","",'Prod 1'!D902)</f>
        <v/>
      </c>
      <c r="S901" s="119" t="str">
        <f>IF('Prod 1'!E902="","",'Prod 1'!E902+'BH (2)'!C901)</f>
        <v/>
      </c>
      <c r="T901" s="59"/>
      <c r="U901" s="91"/>
    </row>
    <row r="902" spans="9:21" ht="24.95" customHeight="1" x14ac:dyDescent="0.25">
      <c r="I902" s="106">
        <v>899</v>
      </c>
      <c r="J902" s="119" t="str">
        <f t="shared" si="45"/>
        <v/>
      </c>
      <c r="K902" s="92" t="str">
        <f>IF('Prod 1'!D903="","",'Prod 1'!D903)</f>
        <v/>
      </c>
      <c r="L902" s="119" t="str">
        <f>IF('Prod 1'!I903="","",'Prod 1'!I903+'BH (2)'!C902)</f>
        <v/>
      </c>
      <c r="M902" s="59"/>
      <c r="N902" s="91"/>
      <c r="Q902" s="119" t="str">
        <f t="shared" si="46"/>
        <v/>
      </c>
      <c r="R902" s="92" t="str">
        <f>IF('Prod 1'!D903="","",'Prod 1'!D903)</f>
        <v/>
      </c>
      <c r="S902" s="119" t="str">
        <f>IF('Prod 1'!E903="","",'Prod 1'!E903+'BH (2)'!C902)</f>
        <v/>
      </c>
      <c r="T902" s="59"/>
      <c r="U902" s="91"/>
    </row>
    <row r="903" spans="9:21" ht="24.95" customHeight="1" x14ac:dyDescent="0.25">
      <c r="I903" s="106">
        <v>900</v>
      </c>
      <c r="J903" s="119" t="str">
        <f t="shared" si="45"/>
        <v/>
      </c>
      <c r="K903" s="92" t="str">
        <f>IF('Prod 1'!D904="","",'Prod 1'!D904)</f>
        <v/>
      </c>
      <c r="L903" s="119" t="str">
        <f>IF('Prod 1'!I904="","",'Prod 1'!I904+'BH (2)'!C903)</f>
        <v/>
      </c>
      <c r="M903" s="59"/>
      <c r="N903" s="91"/>
      <c r="Q903" s="119" t="str">
        <f t="shared" si="46"/>
        <v/>
      </c>
      <c r="R903" s="92" t="str">
        <f>IF('Prod 1'!D904="","",'Prod 1'!D904)</f>
        <v/>
      </c>
      <c r="S903" s="119" t="str">
        <f>IF('Prod 1'!E904="","",'Prod 1'!E904+'BH (2)'!C903)</f>
        <v/>
      </c>
      <c r="T903" s="59"/>
      <c r="U903" s="91"/>
    </row>
    <row r="904" spans="9:21" ht="24.95" customHeight="1" x14ac:dyDescent="0.25">
      <c r="I904" s="106">
        <v>901</v>
      </c>
      <c r="J904" s="119" t="str">
        <f t="shared" si="45"/>
        <v/>
      </c>
      <c r="K904" s="92" t="str">
        <f>IF('Prod 1'!D905="","",'Prod 1'!D905)</f>
        <v/>
      </c>
      <c r="L904" s="119" t="str">
        <f>IF('Prod 1'!I905="","",'Prod 1'!I905+'BH (2)'!C904)</f>
        <v/>
      </c>
      <c r="M904" s="59"/>
      <c r="N904" s="91"/>
      <c r="Q904" s="119" t="str">
        <f t="shared" si="46"/>
        <v/>
      </c>
      <c r="R904" s="92" t="str">
        <f>IF('Prod 1'!D905="","",'Prod 1'!D905)</f>
        <v/>
      </c>
      <c r="S904" s="119" t="str">
        <f>IF('Prod 1'!E905="","",'Prod 1'!E905+'BH (2)'!C904)</f>
        <v/>
      </c>
      <c r="T904" s="59"/>
      <c r="U904" s="91"/>
    </row>
    <row r="905" spans="9:21" ht="24.95" customHeight="1" x14ac:dyDescent="0.25">
      <c r="I905" s="106">
        <v>902</v>
      </c>
      <c r="J905" s="119" t="str">
        <f t="shared" si="45"/>
        <v/>
      </c>
      <c r="K905" s="92" t="str">
        <f>IF('Prod 1'!D906="","",'Prod 1'!D906)</f>
        <v/>
      </c>
      <c r="L905" s="119" t="str">
        <f>IF('Prod 1'!I906="","",'Prod 1'!I906+'BH (2)'!C905)</f>
        <v/>
      </c>
      <c r="M905" s="59"/>
      <c r="N905" s="91"/>
      <c r="Q905" s="119" t="str">
        <f t="shared" si="46"/>
        <v/>
      </c>
      <c r="R905" s="92" t="str">
        <f>IF('Prod 1'!D906="","",'Prod 1'!D906)</f>
        <v/>
      </c>
      <c r="S905" s="119" t="str">
        <f>IF('Prod 1'!E906="","",'Prod 1'!E906+'BH (2)'!C905)</f>
        <v/>
      </c>
      <c r="T905" s="59"/>
      <c r="U905" s="91"/>
    </row>
    <row r="906" spans="9:21" ht="24.95" customHeight="1" x14ac:dyDescent="0.25">
      <c r="I906" s="106">
        <v>903</v>
      </c>
      <c r="J906" s="119" t="str">
        <f t="shared" si="45"/>
        <v/>
      </c>
      <c r="K906" s="92" t="str">
        <f>IF('Prod 1'!D907="","",'Prod 1'!D907)</f>
        <v/>
      </c>
      <c r="L906" s="119" t="str">
        <f>IF('Prod 1'!I907="","",'Prod 1'!I907+'BH (2)'!C906)</f>
        <v/>
      </c>
      <c r="M906" s="59"/>
      <c r="N906" s="91"/>
      <c r="Q906" s="119" t="str">
        <f t="shared" si="46"/>
        <v/>
      </c>
      <c r="R906" s="92" t="str">
        <f>IF('Prod 1'!D907="","",'Prod 1'!D907)</f>
        <v/>
      </c>
      <c r="S906" s="119" t="str">
        <f>IF('Prod 1'!E907="","",'Prod 1'!E907+'BH (2)'!C906)</f>
        <v/>
      </c>
      <c r="T906" s="59"/>
      <c r="U906" s="91"/>
    </row>
    <row r="907" spans="9:21" ht="24.95" customHeight="1" x14ac:dyDescent="0.25">
      <c r="I907" s="106">
        <v>904</v>
      </c>
      <c r="J907" s="119" t="str">
        <f t="shared" si="45"/>
        <v/>
      </c>
      <c r="K907" s="92" t="str">
        <f>IF('Prod 1'!D908="","",'Prod 1'!D908)</f>
        <v/>
      </c>
      <c r="L907" s="119" t="str">
        <f>IF('Prod 1'!I908="","",'Prod 1'!I908+'BH (2)'!C907)</f>
        <v/>
      </c>
      <c r="M907" s="59"/>
      <c r="N907" s="91"/>
      <c r="Q907" s="119" t="str">
        <f t="shared" si="46"/>
        <v/>
      </c>
      <c r="R907" s="92" t="str">
        <f>IF('Prod 1'!D908="","",'Prod 1'!D908)</f>
        <v/>
      </c>
      <c r="S907" s="119" t="str">
        <f>IF('Prod 1'!E908="","",'Prod 1'!E908+'BH (2)'!C907)</f>
        <v/>
      </c>
      <c r="T907" s="59"/>
      <c r="U907" s="91"/>
    </row>
    <row r="908" spans="9:21" ht="24.95" customHeight="1" x14ac:dyDescent="0.25">
      <c r="I908" s="106">
        <v>905</v>
      </c>
      <c r="J908" s="119" t="str">
        <f t="shared" si="45"/>
        <v/>
      </c>
      <c r="K908" s="92" t="str">
        <f>IF('Prod 1'!D909="","",'Prod 1'!D909)</f>
        <v/>
      </c>
      <c r="L908" s="119" t="str">
        <f>IF('Prod 1'!I909="","",'Prod 1'!I909+'BH (2)'!C908)</f>
        <v/>
      </c>
      <c r="M908" s="59"/>
      <c r="N908" s="91"/>
      <c r="Q908" s="119" t="str">
        <f t="shared" si="46"/>
        <v/>
      </c>
      <c r="R908" s="92" t="str">
        <f>IF('Prod 1'!D909="","",'Prod 1'!D909)</f>
        <v/>
      </c>
      <c r="S908" s="119" t="str">
        <f>IF('Prod 1'!E909="","",'Prod 1'!E909+'BH (2)'!C908)</f>
        <v/>
      </c>
      <c r="T908" s="59"/>
      <c r="U908" s="91"/>
    </row>
    <row r="909" spans="9:21" ht="24.95" customHeight="1" x14ac:dyDescent="0.25">
      <c r="I909" s="106">
        <v>906</v>
      </c>
      <c r="J909" s="119" t="str">
        <f t="shared" si="45"/>
        <v/>
      </c>
      <c r="K909" s="92" t="str">
        <f>IF('Prod 1'!D910="","",'Prod 1'!D910)</f>
        <v/>
      </c>
      <c r="L909" s="119" t="str">
        <f>IF('Prod 1'!I910="","",'Prod 1'!I910+'BH (2)'!C909)</f>
        <v/>
      </c>
      <c r="M909" s="59"/>
      <c r="N909" s="91"/>
      <c r="Q909" s="119" t="str">
        <f t="shared" si="46"/>
        <v/>
      </c>
      <c r="R909" s="92" t="str">
        <f>IF('Prod 1'!D910="","",'Prod 1'!D910)</f>
        <v/>
      </c>
      <c r="S909" s="119" t="str">
        <f>IF('Prod 1'!E910="","",'Prod 1'!E910+'BH (2)'!C909)</f>
        <v/>
      </c>
      <c r="T909" s="59"/>
      <c r="U909" s="91"/>
    </row>
    <row r="910" spans="9:21" ht="24.95" customHeight="1" x14ac:dyDescent="0.25">
      <c r="I910" s="106">
        <v>907</v>
      </c>
      <c r="J910" s="119" t="str">
        <f t="shared" si="45"/>
        <v/>
      </c>
      <c r="K910" s="92" t="str">
        <f>IF('Prod 1'!D911="","",'Prod 1'!D911)</f>
        <v/>
      </c>
      <c r="L910" s="119" t="str">
        <f>IF('Prod 1'!I911="","",'Prod 1'!I911+'BH (2)'!C910)</f>
        <v/>
      </c>
      <c r="M910" s="59"/>
      <c r="N910" s="91"/>
      <c r="Q910" s="119" t="str">
        <f t="shared" si="46"/>
        <v/>
      </c>
      <c r="R910" s="92" t="str">
        <f>IF('Prod 1'!D911="","",'Prod 1'!D911)</f>
        <v/>
      </c>
      <c r="S910" s="119" t="str">
        <f>IF('Prod 1'!E911="","",'Prod 1'!E911+'BH (2)'!C910)</f>
        <v/>
      </c>
      <c r="T910" s="59"/>
      <c r="U910" s="91"/>
    </row>
    <row r="911" spans="9:21" ht="24.95" customHeight="1" x14ac:dyDescent="0.25">
      <c r="I911" s="106">
        <v>908</v>
      </c>
      <c r="J911" s="119" t="str">
        <f t="shared" si="45"/>
        <v/>
      </c>
      <c r="K911" s="92" t="str">
        <f>IF('Prod 1'!D912="","",'Prod 1'!D912)</f>
        <v/>
      </c>
      <c r="L911" s="119" t="str">
        <f>IF('Prod 1'!I912="","",'Prod 1'!I912+'BH (2)'!C911)</f>
        <v/>
      </c>
      <c r="M911" s="59"/>
      <c r="N911" s="91"/>
      <c r="Q911" s="119" t="str">
        <f t="shared" si="46"/>
        <v/>
      </c>
      <c r="R911" s="92" t="str">
        <f>IF('Prod 1'!D912="","",'Prod 1'!D912)</f>
        <v/>
      </c>
      <c r="S911" s="119" t="str">
        <f>IF('Prod 1'!E912="","",'Prod 1'!E912+'BH (2)'!C911)</f>
        <v/>
      </c>
      <c r="T911" s="59"/>
      <c r="U911" s="91"/>
    </row>
    <row r="912" spans="9:21" ht="24.95" customHeight="1" x14ac:dyDescent="0.25">
      <c r="I912" s="106">
        <v>909</v>
      </c>
      <c r="J912" s="119" t="str">
        <f t="shared" si="45"/>
        <v/>
      </c>
      <c r="K912" s="92" t="str">
        <f>IF('Prod 1'!D913="","",'Prod 1'!D913)</f>
        <v/>
      </c>
      <c r="L912" s="119" t="str">
        <f>IF('Prod 1'!I913="","",'Prod 1'!I913+'BH (2)'!C912)</f>
        <v/>
      </c>
      <c r="M912" s="59"/>
      <c r="N912" s="91"/>
      <c r="Q912" s="119" t="str">
        <f t="shared" si="46"/>
        <v/>
      </c>
      <c r="R912" s="92" t="str">
        <f>IF('Prod 1'!D913="","",'Prod 1'!D913)</f>
        <v/>
      </c>
      <c r="S912" s="119" t="str">
        <f>IF('Prod 1'!E913="","",'Prod 1'!E913+'BH (2)'!C912)</f>
        <v/>
      </c>
      <c r="T912" s="59"/>
      <c r="U912" s="91"/>
    </row>
    <row r="913" spans="9:21" ht="24.95" customHeight="1" x14ac:dyDescent="0.25">
      <c r="I913" s="106">
        <v>910</v>
      </c>
      <c r="J913" s="119" t="str">
        <f t="shared" si="45"/>
        <v/>
      </c>
      <c r="K913" s="92" t="str">
        <f>IF('Prod 1'!D914="","",'Prod 1'!D914)</f>
        <v/>
      </c>
      <c r="L913" s="119" t="str">
        <f>IF('Prod 1'!I914="","",'Prod 1'!I914+'BH (2)'!C913)</f>
        <v/>
      </c>
      <c r="M913" s="59"/>
      <c r="N913" s="91"/>
      <c r="Q913" s="119" t="str">
        <f t="shared" si="46"/>
        <v/>
      </c>
      <c r="R913" s="92" t="str">
        <f>IF('Prod 1'!D914="","",'Prod 1'!D914)</f>
        <v/>
      </c>
      <c r="S913" s="119" t="str">
        <f>IF('Prod 1'!E914="","",'Prod 1'!E914+'BH (2)'!C913)</f>
        <v/>
      </c>
      <c r="T913" s="59"/>
      <c r="U913" s="91"/>
    </row>
    <row r="914" spans="9:21" ht="24.95" customHeight="1" x14ac:dyDescent="0.25">
      <c r="I914" s="106">
        <v>911</v>
      </c>
      <c r="J914" s="119" t="str">
        <f t="shared" si="45"/>
        <v/>
      </c>
      <c r="K914" s="92" t="str">
        <f>IF('Prod 1'!D915="","",'Prod 1'!D915)</f>
        <v/>
      </c>
      <c r="L914" s="119" t="str">
        <f>IF('Prod 1'!I915="","",'Prod 1'!I915+'BH (2)'!C914)</f>
        <v/>
      </c>
      <c r="M914" s="59"/>
      <c r="N914" s="91"/>
      <c r="Q914" s="119" t="str">
        <f t="shared" si="46"/>
        <v/>
      </c>
      <c r="R914" s="92" t="str">
        <f>IF('Prod 1'!D915="","",'Prod 1'!D915)</f>
        <v/>
      </c>
      <c r="S914" s="119" t="str">
        <f>IF('Prod 1'!E915="","",'Prod 1'!E915+'BH (2)'!C914)</f>
        <v/>
      </c>
      <c r="T914" s="59"/>
      <c r="U914" s="91"/>
    </row>
    <row r="915" spans="9:21" ht="24.95" customHeight="1" x14ac:dyDescent="0.25">
      <c r="I915" s="106">
        <v>912</v>
      </c>
      <c r="J915" s="119" t="str">
        <f t="shared" si="45"/>
        <v/>
      </c>
      <c r="K915" s="92" t="str">
        <f>IF('Prod 1'!D916="","",'Prod 1'!D916)</f>
        <v/>
      </c>
      <c r="L915" s="119" t="str">
        <f>IF('Prod 1'!I916="","",'Prod 1'!I916+'BH (2)'!C915)</f>
        <v/>
      </c>
      <c r="M915" s="59"/>
      <c r="N915" s="91"/>
      <c r="Q915" s="119" t="str">
        <f t="shared" si="46"/>
        <v/>
      </c>
      <c r="R915" s="92" t="str">
        <f>IF('Prod 1'!D916="","",'Prod 1'!D916)</f>
        <v/>
      </c>
      <c r="S915" s="119" t="str">
        <f>IF('Prod 1'!E916="","",'Prod 1'!E916+'BH (2)'!C915)</f>
        <v/>
      </c>
      <c r="T915" s="59"/>
      <c r="U915" s="91"/>
    </row>
    <row r="916" spans="9:21" ht="24.95" customHeight="1" x14ac:dyDescent="0.25">
      <c r="I916" s="106">
        <v>913</v>
      </c>
      <c r="J916" s="119" t="str">
        <f t="shared" si="45"/>
        <v/>
      </c>
      <c r="K916" s="92" t="str">
        <f>IF('Prod 1'!D917="","",'Prod 1'!D917)</f>
        <v/>
      </c>
      <c r="L916" s="119" t="str">
        <f>IF('Prod 1'!I917="","",'Prod 1'!I917+'BH (2)'!C916)</f>
        <v/>
      </c>
      <c r="M916" s="59"/>
      <c r="N916" s="91"/>
      <c r="Q916" s="119" t="str">
        <f t="shared" si="46"/>
        <v/>
      </c>
      <c r="R916" s="92" t="str">
        <f>IF('Prod 1'!D917="","",'Prod 1'!D917)</f>
        <v/>
      </c>
      <c r="S916" s="119" t="str">
        <f>IF('Prod 1'!E917="","",'Prod 1'!E917+'BH (2)'!C916)</f>
        <v/>
      </c>
      <c r="T916" s="59"/>
      <c r="U916" s="91"/>
    </row>
    <row r="917" spans="9:21" ht="24.95" customHeight="1" x14ac:dyDescent="0.25">
      <c r="I917" s="106">
        <v>914</v>
      </c>
      <c r="J917" s="119" t="str">
        <f t="shared" si="45"/>
        <v/>
      </c>
      <c r="K917" s="92" t="str">
        <f>IF('Prod 1'!D918="","",'Prod 1'!D918)</f>
        <v/>
      </c>
      <c r="L917" s="119" t="str">
        <f>IF('Prod 1'!I918="","",'Prod 1'!I918+'BH (2)'!C917)</f>
        <v/>
      </c>
      <c r="M917" s="59"/>
      <c r="N917" s="91"/>
      <c r="Q917" s="119" t="str">
        <f t="shared" si="46"/>
        <v/>
      </c>
      <c r="R917" s="92" t="str">
        <f>IF('Prod 1'!D918="","",'Prod 1'!D918)</f>
        <v/>
      </c>
      <c r="S917" s="119" t="str">
        <f>IF('Prod 1'!E918="","",'Prod 1'!E918+'BH (2)'!C917)</f>
        <v/>
      </c>
      <c r="T917" s="59"/>
      <c r="U917" s="91"/>
    </row>
    <row r="918" spans="9:21" ht="24.95" customHeight="1" x14ac:dyDescent="0.25">
      <c r="I918" s="106">
        <v>915</v>
      </c>
      <c r="J918" s="119" t="str">
        <f t="shared" si="45"/>
        <v/>
      </c>
      <c r="K918" s="92" t="str">
        <f>IF('Prod 1'!D919="","",'Prod 1'!D919)</f>
        <v/>
      </c>
      <c r="L918" s="119" t="str">
        <f>IF('Prod 1'!I919="","",'Prod 1'!I919+'BH (2)'!C918)</f>
        <v/>
      </c>
      <c r="M918" s="59"/>
      <c r="N918" s="91"/>
      <c r="Q918" s="119" t="str">
        <f t="shared" si="46"/>
        <v/>
      </c>
      <c r="R918" s="92" t="str">
        <f>IF('Prod 1'!D919="","",'Prod 1'!D919)</f>
        <v/>
      </c>
      <c r="S918" s="119" t="str">
        <f>IF('Prod 1'!E919="","",'Prod 1'!E919+'BH (2)'!C918)</f>
        <v/>
      </c>
      <c r="T918" s="59"/>
      <c r="U918" s="91"/>
    </row>
    <row r="919" spans="9:21" ht="24.95" customHeight="1" x14ac:dyDescent="0.25">
      <c r="I919" s="106">
        <v>916</v>
      </c>
      <c r="J919" s="119" t="str">
        <f t="shared" si="45"/>
        <v/>
      </c>
      <c r="K919" s="92" t="str">
        <f>IF('Prod 1'!D920="","",'Prod 1'!D920)</f>
        <v/>
      </c>
      <c r="L919" s="119" t="str">
        <f>IF('Prod 1'!I920="","",'Prod 1'!I920+'BH (2)'!C919)</f>
        <v/>
      </c>
      <c r="M919" s="59"/>
      <c r="N919" s="91"/>
      <c r="Q919" s="119" t="str">
        <f t="shared" si="46"/>
        <v/>
      </c>
      <c r="R919" s="92" t="str">
        <f>IF('Prod 1'!D920="","",'Prod 1'!D920)</f>
        <v/>
      </c>
      <c r="S919" s="119" t="str">
        <f>IF('Prod 1'!E920="","",'Prod 1'!E920+'BH (2)'!C919)</f>
        <v/>
      </c>
      <c r="T919" s="59"/>
      <c r="U919" s="91"/>
    </row>
    <row r="920" spans="9:21" ht="24.95" customHeight="1" x14ac:dyDescent="0.25">
      <c r="I920" s="106">
        <v>917</v>
      </c>
      <c r="J920" s="119" t="str">
        <f t="shared" si="45"/>
        <v/>
      </c>
      <c r="K920" s="92" t="str">
        <f>IF('Prod 1'!D921="","",'Prod 1'!D921)</f>
        <v/>
      </c>
      <c r="L920" s="119" t="str">
        <f>IF('Prod 1'!I921="","",'Prod 1'!I921+'BH (2)'!C920)</f>
        <v/>
      </c>
      <c r="M920" s="59"/>
      <c r="N920" s="91"/>
      <c r="Q920" s="119" t="str">
        <f t="shared" si="46"/>
        <v/>
      </c>
      <c r="R920" s="92" t="str">
        <f>IF('Prod 1'!D921="","",'Prod 1'!D921)</f>
        <v/>
      </c>
      <c r="S920" s="119" t="str">
        <f>IF('Prod 1'!E921="","",'Prod 1'!E921+'BH (2)'!C920)</f>
        <v/>
      </c>
      <c r="T920" s="59"/>
      <c r="U920" s="91"/>
    </row>
    <row r="921" spans="9:21" ht="24.95" customHeight="1" x14ac:dyDescent="0.25">
      <c r="I921" s="106">
        <v>918</v>
      </c>
      <c r="J921" s="119" t="str">
        <f t="shared" si="45"/>
        <v/>
      </c>
      <c r="K921" s="92" t="str">
        <f>IF('Prod 1'!D922="","",'Prod 1'!D922)</f>
        <v/>
      </c>
      <c r="L921" s="119" t="str">
        <f>IF('Prod 1'!I922="","",'Prod 1'!I922+'BH (2)'!C921)</f>
        <v/>
      </c>
      <c r="M921" s="59"/>
      <c r="N921" s="91"/>
      <c r="Q921" s="119" t="str">
        <f t="shared" si="46"/>
        <v/>
      </c>
      <c r="R921" s="92" t="str">
        <f>IF('Prod 1'!D922="","",'Prod 1'!D922)</f>
        <v/>
      </c>
      <c r="S921" s="119" t="str">
        <f>IF('Prod 1'!E922="","",'Prod 1'!E922+'BH (2)'!C921)</f>
        <v/>
      </c>
      <c r="T921" s="59"/>
      <c r="U921" s="91"/>
    </row>
    <row r="922" spans="9:21" ht="24.95" customHeight="1" x14ac:dyDescent="0.25">
      <c r="I922" s="106">
        <v>919</v>
      </c>
      <c r="J922" s="119" t="str">
        <f t="shared" si="45"/>
        <v/>
      </c>
      <c r="K922" s="92" t="str">
        <f>IF('Prod 1'!D923="","",'Prod 1'!D923)</f>
        <v/>
      </c>
      <c r="L922" s="119" t="str">
        <f>IF('Prod 1'!I923="","",'Prod 1'!I923+'BH (2)'!C922)</f>
        <v/>
      </c>
      <c r="M922" s="59"/>
      <c r="N922" s="91"/>
      <c r="Q922" s="119" t="str">
        <f t="shared" si="46"/>
        <v/>
      </c>
      <c r="R922" s="92" t="str">
        <f>IF('Prod 1'!D923="","",'Prod 1'!D923)</f>
        <v/>
      </c>
      <c r="S922" s="119" t="str">
        <f>IF('Prod 1'!E923="","",'Prod 1'!E923+'BH (2)'!C922)</f>
        <v/>
      </c>
      <c r="T922" s="59"/>
      <c r="U922" s="91"/>
    </row>
    <row r="923" spans="9:21" ht="24.95" customHeight="1" x14ac:dyDescent="0.25">
      <c r="I923" s="106">
        <v>920</v>
      </c>
      <c r="J923" s="119" t="str">
        <f t="shared" si="45"/>
        <v/>
      </c>
      <c r="K923" s="92" t="str">
        <f>IF('Prod 1'!D924="","",'Prod 1'!D924)</f>
        <v/>
      </c>
      <c r="L923" s="119" t="str">
        <f>IF('Prod 1'!I924="","",'Prod 1'!I924+'BH (2)'!C923)</f>
        <v/>
      </c>
      <c r="M923" s="59"/>
      <c r="N923" s="91"/>
      <c r="Q923" s="119" t="str">
        <f t="shared" si="46"/>
        <v/>
      </c>
      <c r="R923" s="92" t="str">
        <f>IF('Prod 1'!D924="","",'Prod 1'!D924)</f>
        <v/>
      </c>
      <c r="S923" s="119" t="str">
        <f>IF('Prod 1'!E924="","",'Prod 1'!E924+'BH (2)'!C923)</f>
        <v/>
      </c>
      <c r="T923" s="59"/>
      <c r="U923" s="91"/>
    </row>
    <row r="924" spans="9:21" ht="24.95" customHeight="1" x14ac:dyDescent="0.25">
      <c r="I924" s="106">
        <v>921</v>
      </c>
      <c r="J924" s="119" t="str">
        <f t="shared" si="45"/>
        <v/>
      </c>
      <c r="K924" s="92" t="str">
        <f>IF('Prod 1'!D925="","",'Prod 1'!D925)</f>
        <v/>
      </c>
      <c r="L924" s="119" t="str">
        <f>IF('Prod 1'!I925="","",'Prod 1'!I925+'BH (2)'!C924)</f>
        <v/>
      </c>
      <c r="M924" s="59"/>
      <c r="N924" s="91"/>
      <c r="Q924" s="119" t="str">
        <f t="shared" si="46"/>
        <v/>
      </c>
      <c r="R924" s="92" t="str">
        <f>IF('Prod 1'!D925="","",'Prod 1'!D925)</f>
        <v/>
      </c>
      <c r="S924" s="119" t="str">
        <f>IF('Prod 1'!E925="","",'Prod 1'!E925+'BH (2)'!C924)</f>
        <v/>
      </c>
      <c r="T924" s="59"/>
      <c r="U924" s="91"/>
    </row>
    <row r="925" spans="9:21" ht="24.95" customHeight="1" x14ac:dyDescent="0.25">
      <c r="I925" s="106">
        <v>922</v>
      </c>
      <c r="J925" s="119" t="str">
        <f t="shared" si="45"/>
        <v/>
      </c>
      <c r="K925" s="92" t="str">
        <f>IF('Prod 1'!D926="","",'Prod 1'!D926)</f>
        <v/>
      </c>
      <c r="L925" s="119" t="str">
        <f>IF('Prod 1'!I926="","",'Prod 1'!I926+'BH (2)'!C925)</f>
        <v/>
      </c>
      <c r="M925" s="59"/>
      <c r="N925" s="91"/>
      <c r="Q925" s="119" t="str">
        <f t="shared" si="46"/>
        <v/>
      </c>
      <c r="R925" s="92" t="str">
        <f>IF('Prod 1'!D926="","",'Prod 1'!D926)</f>
        <v/>
      </c>
      <c r="S925" s="119" t="str">
        <f>IF('Prod 1'!E926="","",'Prod 1'!E926+'BH (2)'!C925)</f>
        <v/>
      </c>
      <c r="T925" s="59"/>
      <c r="U925" s="91"/>
    </row>
    <row r="926" spans="9:21" ht="24.95" customHeight="1" x14ac:dyDescent="0.25">
      <c r="I926" s="106">
        <v>923</v>
      </c>
      <c r="J926" s="119" t="str">
        <f t="shared" si="45"/>
        <v/>
      </c>
      <c r="K926" s="92" t="str">
        <f>IF('Prod 1'!D927="","",'Prod 1'!D927)</f>
        <v/>
      </c>
      <c r="L926" s="119" t="str">
        <f>IF('Prod 1'!I927="","",'Prod 1'!I927+'BH (2)'!C926)</f>
        <v/>
      </c>
      <c r="M926" s="59"/>
      <c r="N926" s="91"/>
      <c r="Q926" s="119" t="str">
        <f t="shared" si="46"/>
        <v/>
      </c>
      <c r="R926" s="92" t="str">
        <f>IF('Prod 1'!D927="","",'Prod 1'!D927)</f>
        <v/>
      </c>
      <c r="S926" s="119" t="str">
        <f>IF('Prod 1'!E927="","",'Prod 1'!E927+'BH (2)'!C926)</f>
        <v/>
      </c>
      <c r="T926" s="59"/>
      <c r="U926" s="91"/>
    </row>
    <row r="927" spans="9:21" ht="24.95" customHeight="1" x14ac:dyDescent="0.25">
      <c r="I927" s="106">
        <v>924</v>
      </c>
      <c r="J927" s="119" t="str">
        <f t="shared" si="45"/>
        <v/>
      </c>
      <c r="K927" s="92" t="str">
        <f>IF('Prod 1'!D928="","",'Prod 1'!D928)</f>
        <v/>
      </c>
      <c r="L927" s="119" t="str">
        <f>IF('Prod 1'!I928="","",'Prod 1'!I928+'BH (2)'!C927)</f>
        <v/>
      </c>
      <c r="M927" s="59"/>
      <c r="N927" s="91"/>
      <c r="Q927" s="119" t="str">
        <f t="shared" si="46"/>
        <v/>
      </c>
      <c r="R927" s="92" t="str">
        <f>IF('Prod 1'!D928="","",'Prod 1'!D928)</f>
        <v/>
      </c>
      <c r="S927" s="119" t="str">
        <f>IF('Prod 1'!E928="","",'Prod 1'!E928+'BH (2)'!C927)</f>
        <v/>
      </c>
      <c r="T927" s="59"/>
      <c r="U927" s="91"/>
    </row>
    <row r="928" spans="9:21" ht="24.95" customHeight="1" x14ac:dyDescent="0.25">
      <c r="I928" s="106">
        <v>925</v>
      </c>
      <c r="J928" s="119" t="str">
        <f t="shared" si="45"/>
        <v/>
      </c>
      <c r="K928" s="92" t="str">
        <f>IF('Prod 1'!D929="","",'Prod 1'!D929)</f>
        <v/>
      </c>
      <c r="L928" s="119" t="str">
        <f>IF('Prod 1'!I929="","",'Prod 1'!I929+'BH (2)'!C928)</f>
        <v/>
      </c>
      <c r="M928" s="59"/>
      <c r="N928" s="91"/>
      <c r="Q928" s="119" t="str">
        <f t="shared" si="46"/>
        <v/>
      </c>
      <c r="R928" s="92" t="str">
        <f>IF('Prod 1'!D929="","",'Prod 1'!D929)</f>
        <v/>
      </c>
      <c r="S928" s="119" t="str">
        <f>IF('Prod 1'!E929="","",'Prod 1'!E929+'BH (2)'!C928)</f>
        <v/>
      </c>
      <c r="T928" s="59"/>
      <c r="U928" s="91"/>
    </row>
    <row r="929" spans="9:21" ht="24.95" customHeight="1" x14ac:dyDescent="0.25">
      <c r="I929" s="106">
        <v>926</v>
      </c>
      <c r="J929" s="119" t="str">
        <f t="shared" si="45"/>
        <v/>
      </c>
      <c r="K929" s="92" t="str">
        <f>IF('Prod 1'!D930="","",'Prod 1'!D930)</f>
        <v/>
      </c>
      <c r="L929" s="119" t="str">
        <f>IF('Prod 1'!I930="","",'Prod 1'!I930+'BH (2)'!C929)</f>
        <v/>
      </c>
      <c r="M929" s="59"/>
      <c r="N929" s="91"/>
      <c r="Q929" s="119" t="str">
        <f t="shared" si="46"/>
        <v/>
      </c>
      <c r="R929" s="92" t="str">
        <f>IF('Prod 1'!D930="","",'Prod 1'!D930)</f>
        <v/>
      </c>
      <c r="S929" s="119" t="str">
        <f>IF('Prod 1'!E930="","",'Prod 1'!E930+'BH (2)'!C929)</f>
        <v/>
      </c>
      <c r="T929" s="59"/>
      <c r="U929" s="91"/>
    </row>
    <row r="930" spans="9:21" ht="24.95" customHeight="1" x14ac:dyDescent="0.25">
      <c r="I930" s="106">
        <v>927</v>
      </c>
      <c r="J930" s="119" t="str">
        <f t="shared" si="45"/>
        <v/>
      </c>
      <c r="K930" s="92" t="str">
        <f>IF('Prod 1'!D931="","",'Prod 1'!D931)</f>
        <v/>
      </c>
      <c r="L930" s="119" t="str">
        <f>IF('Prod 1'!I931="","",'Prod 1'!I931+'BH (2)'!C930)</f>
        <v/>
      </c>
      <c r="M930" s="59"/>
      <c r="N930" s="91"/>
      <c r="Q930" s="119" t="str">
        <f t="shared" si="46"/>
        <v/>
      </c>
      <c r="R930" s="92" t="str">
        <f>IF('Prod 1'!D931="","",'Prod 1'!D931)</f>
        <v/>
      </c>
      <c r="S930" s="119" t="str">
        <f>IF('Prod 1'!E931="","",'Prod 1'!E931+'BH (2)'!C930)</f>
        <v/>
      </c>
      <c r="T930" s="59"/>
      <c r="U930" s="91"/>
    </row>
    <row r="931" spans="9:21" ht="24.95" customHeight="1" x14ac:dyDescent="0.25">
      <c r="I931" s="106">
        <v>928</v>
      </c>
      <c r="J931" s="119" t="str">
        <f t="shared" si="45"/>
        <v/>
      </c>
      <c r="K931" s="92" t="str">
        <f>IF('Prod 1'!D932="","",'Prod 1'!D932)</f>
        <v/>
      </c>
      <c r="L931" s="119" t="str">
        <f>IF('Prod 1'!I932="","",'Prod 1'!I932+'BH (2)'!C931)</f>
        <v/>
      </c>
      <c r="M931" s="59"/>
      <c r="N931" s="91"/>
      <c r="Q931" s="119" t="str">
        <f t="shared" si="46"/>
        <v/>
      </c>
      <c r="R931" s="92" t="str">
        <f>IF('Prod 1'!D932="","",'Prod 1'!D932)</f>
        <v/>
      </c>
      <c r="S931" s="119" t="str">
        <f>IF('Prod 1'!E932="","",'Prod 1'!E932+'BH (2)'!C931)</f>
        <v/>
      </c>
      <c r="T931" s="59"/>
      <c r="U931" s="91"/>
    </row>
    <row r="932" spans="9:21" ht="24.95" customHeight="1" x14ac:dyDescent="0.25">
      <c r="I932" s="106">
        <v>929</v>
      </c>
      <c r="J932" s="119" t="str">
        <f t="shared" si="45"/>
        <v/>
      </c>
      <c r="K932" s="92" t="str">
        <f>IF('Prod 1'!D933="","",'Prod 1'!D933)</f>
        <v/>
      </c>
      <c r="L932" s="119" t="str">
        <f>IF('Prod 1'!I933="","",'Prod 1'!I933+'BH (2)'!C932)</f>
        <v/>
      </c>
      <c r="M932" s="59"/>
      <c r="N932" s="91"/>
      <c r="Q932" s="119" t="str">
        <f t="shared" si="46"/>
        <v/>
      </c>
      <c r="R932" s="92" t="str">
        <f>IF('Prod 1'!D933="","",'Prod 1'!D933)</f>
        <v/>
      </c>
      <c r="S932" s="119" t="str">
        <f>IF('Prod 1'!E933="","",'Prod 1'!E933+'BH (2)'!C932)</f>
        <v/>
      </c>
      <c r="T932" s="59"/>
      <c r="U932" s="91"/>
    </row>
    <row r="933" spans="9:21" ht="24.95" customHeight="1" x14ac:dyDescent="0.25">
      <c r="I933" s="106">
        <v>930</v>
      </c>
      <c r="J933" s="119" t="str">
        <f t="shared" si="45"/>
        <v/>
      </c>
      <c r="K933" s="92" t="str">
        <f>IF('Prod 1'!D934="","",'Prod 1'!D934)</f>
        <v/>
      </c>
      <c r="L933" s="119" t="str">
        <f>IF('Prod 1'!I934="","",'Prod 1'!I934+'BH (2)'!C933)</f>
        <v/>
      </c>
      <c r="M933" s="59"/>
      <c r="N933" s="91"/>
      <c r="Q933" s="119" t="str">
        <f t="shared" si="46"/>
        <v/>
      </c>
      <c r="R933" s="92" t="str">
        <f>IF('Prod 1'!D934="","",'Prod 1'!D934)</f>
        <v/>
      </c>
      <c r="S933" s="119" t="str">
        <f>IF('Prod 1'!E934="","",'Prod 1'!E934+'BH (2)'!C933)</f>
        <v/>
      </c>
      <c r="T933" s="59"/>
      <c r="U933" s="91"/>
    </row>
    <row r="934" spans="9:21" ht="24.95" customHeight="1" x14ac:dyDescent="0.25">
      <c r="I934" s="106">
        <v>931</v>
      </c>
      <c r="J934" s="119" t="str">
        <f t="shared" si="45"/>
        <v/>
      </c>
      <c r="K934" s="92" t="str">
        <f>IF('Prod 1'!D935="","",'Prod 1'!D935)</f>
        <v/>
      </c>
      <c r="L934" s="119" t="str">
        <f>IF('Prod 1'!I935="","",'Prod 1'!I935+'BH (2)'!C934)</f>
        <v/>
      </c>
      <c r="M934" s="59"/>
      <c r="N934" s="91"/>
      <c r="Q934" s="119" t="str">
        <f t="shared" si="46"/>
        <v/>
      </c>
      <c r="R934" s="92" t="str">
        <f>IF('Prod 1'!D935="","",'Prod 1'!D935)</f>
        <v/>
      </c>
      <c r="S934" s="119" t="str">
        <f>IF('Prod 1'!E935="","",'Prod 1'!E935+'BH (2)'!C934)</f>
        <v/>
      </c>
      <c r="T934" s="59"/>
      <c r="U934" s="91"/>
    </row>
    <row r="935" spans="9:21" ht="24.95" customHeight="1" x14ac:dyDescent="0.25">
      <c r="I935" s="106">
        <v>932</v>
      </c>
      <c r="J935" s="119" t="str">
        <f t="shared" si="45"/>
        <v/>
      </c>
      <c r="K935" s="92" t="str">
        <f>IF('Prod 1'!D936="","",'Prod 1'!D936)</f>
        <v/>
      </c>
      <c r="L935" s="119" t="str">
        <f>IF('Prod 1'!I936="","",'Prod 1'!I936+'BH (2)'!C935)</f>
        <v/>
      </c>
      <c r="M935" s="59"/>
      <c r="N935" s="91"/>
      <c r="Q935" s="119" t="str">
        <f t="shared" si="46"/>
        <v/>
      </c>
      <c r="R935" s="92" t="str">
        <f>IF('Prod 1'!D936="","",'Prod 1'!D936)</f>
        <v/>
      </c>
      <c r="S935" s="119" t="str">
        <f>IF('Prod 1'!E936="","",'Prod 1'!E936+'BH (2)'!C935)</f>
        <v/>
      </c>
      <c r="T935" s="59"/>
      <c r="U935" s="91"/>
    </row>
    <row r="936" spans="9:21" ht="24.95" customHeight="1" x14ac:dyDescent="0.25">
      <c r="I936" s="106">
        <v>933</v>
      </c>
      <c r="J936" s="119" t="str">
        <f t="shared" si="45"/>
        <v/>
      </c>
      <c r="K936" s="92" t="str">
        <f>IF('Prod 1'!D937="","",'Prod 1'!D937)</f>
        <v/>
      </c>
      <c r="L936" s="119" t="str">
        <f>IF('Prod 1'!I937="","",'Prod 1'!I937+'BH (2)'!C936)</f>
        <v/>
      </c>
      <c r="M936" s="59"/>
      <c r="N936" s="91"/>
      <c r="Q936" s="119" t="str">
        <f t="shared" si="46"/>
        <v/>
      </c>
      <c r="R936" s="92" t="str">
        <f>IF('Prod 1'!D937="","",'Prod 1'!D937)</f>
        <v/>
      </c>
      <c r="S936" s="119" t="str">
        <f>IF('Prod 1'!E937="","",'Prod 1'!E937+'BH (2)'!C936)</f>
        <v/>
      </c>
      <c r="T936" s="59"/>
      <c r="U936" s="91"/>
    </row>
    <row r="937" spans="9:21" ht="24.95" customHeight="1" x14ac:dyDescent="0.25">
      <c r="I937" s="106">
        <v>934</v>
      </c>
      <c r="J937" s="119" t="str">
        <f t="shared" si="45"/>
        <v/>
      </c>
      <c r="K937" s="92" t="str">
        <f>IF('Prod 1'!D938="","",'Prod 1'!D938)</f>
        <v/>
      </c>
      <c r="L937" s="119" t="str">
        <f>IF('Prod 1'!I938="","",'Prod 1'!I938+'BH (2)'!C937)</f>
        <v/>
      </c>
      <c r="M937" s="59"/>
      <c r="N937" s="91"/>
      <c r="Q937" s="119" t="str">
        <f t="shared" si="46"/>
        <v/>
      </c>
      <c r="R937" s="92" t="str">
        <f>IF('Prod 1'!D938="","",'Prod 1'!D938)</f>
        <v/>
      </c>
      <c r="S937" s="119" t="str">
        <f>IF('Prod 1'!E938="","",'Prod 1'!E938+'BH (2)'!C937)</f>
        <v/>
      </c>
      <c r="T937" s="59"/>
      <c r="U937" s="91"/>
    </row>
    <row r="938" spans="9:21" ht="24.95" customHeight="1" x14ac:dyDescent="0.25">
      <c r="I938" s="106">
        <v>935</v>
      </c>
      <c r="J938" s="119" t="str">
        <f t="shared" si="45"/>
        <v/>
      </c>
      <c r="K938" s="92" t="str">
        <f>IF('Prod 1'!D939="","",'Prod 1'!D939)</f>
        <v/>
      </c>
      <c r="L938" s="119" t="str">
        <f>IF('Prod 1'!I939="","",'Prod 1'!I939+'BH (2)'!C938)</f>
        <v/>
      </c>
      <c r="M938" s="59"/>
      <c r="N938" s="91"/>
      <c r="Q938" s="119" t="str">
        <f t="shared" si="46"/>
        <v/>
      </c>
      <c r="R938" s="92" t="str">
        <f>IF('Prod 1'!D939="","",'Prod 1'!D939)</f>
        <v/>
      </c>
      <c r="S938" s="119" t="str">
        <f>IF('Prod 1'!E939="","",'Prod 1'!E939+'BH (2)'!C938)</f>
        <v/>
      </c>
      <c r="T938" s="59"/>
      <c r="U938" s="91"/>
    </row>
    <row r="939" spans="9:21" ht="24.95" customHeight="1" x14ac:dyDescent="0.25">
      <c r="I939" s="106">
        <v>936</v>
      </c>
      <c r="J939" s="119" t="str">
        <f t="shared" si="45"/>
        <v/>
      </c>
      <c r="K939" s="92" t="str">
        <f>IF('Prod 1'!D940="","",'Prod 1'!D940)</f>
        <v/>
      </c>
      <c r="L939" s="119" t="str">
        <f>IF('Prod 1'!I940="","",'Prod 1'!I940+'BH (2)'!C939)</f>
        <v/>
      </c>
      <c r="M939" s="59"/>
      <c r="N939" s="91"/>
      <c r="Q939" s="119" t="str">
        <f t="shared" si="46"/>
        <v/>
      </c>
      <c r="R939" s="92" t="str">
        <f>IF('Prod 1'!D940="","",'Prod 1'!D940)</f>
        <v/>
      </c>
      <c r="S939" s="119" t="str">
        <f>IF('Prod 1'!E940="","",'Prod 1'!E940+'BH (2)'!C939)</f>
        <v/>
      </c>
      <c r="T939" s="59"/>
      <c r="U939" s="91"/>
    </row>
    <row r="940" spans="9:21" ht="24.95" customHeight="1" x14ac:dyDescent="0.25">
      <c r="I940" s="106">
        <v>937</v>
      </c>
      <c r="J940" s="119" t="str">
        <f t="shared" si="45"/>
        <v/>
      </c>
      <c r="K940" s="92" t="str">
        <f>IF('Prod 1'!D941="","",'Prod 1'!D941)</f>
        <v/>
      </c>
      <c r="L940" s="119" t="str">
        <f>IF('Prod 1'!I941="","",'Prod 1'!I941+'BH (2)'!C940)</f>
        <v/>
      </c>
      <c r="M940" s="59"/>
      <c r="N940" s="91"/>
      <c r="Q940" s="119" t="str">
        <f t="shared" si="46"/>
        <v/>
      </c>
      <c r="R940" s="92" t="str">
        <f>IF('Prod 1'!D941="","",'Prod 1'!D941)</f>
        <v/>
      </c>
      <c r="S940" s="119" t="str">
        <f>IF('Prod 1'!E941="","",'Prod 1'!E941+'BH (2)'!C940)</f>
        <v/>
      </c>
      <c r="T940" s="59"/>
      <c r="U940" s="91"/>
    </row>
    <row r="941" spans="9:21" ht="24.95" customHeight="1" x14ac:dyDescent="0.25">
      <c r="I941" s="106">
        <v>938</v>
      </c>
      <c r="J941" s="119" t="str">
        <f t="shared" si="45"/>
        <v/>
      </c>
      <c r="K941" s="92" t="str">
        <f>IF('Prod 1'!D942="","",'Prod 1'!D942)</f>
        <v/>
      </c>
      <c r="L941" s="119" t="str">
        <f>IF('Prod 1'!I942="","",'Prod 1'!I942+'BH (2)'!C941)</f>
        <v/>
      </c>
      <c r="M941" s="59"/>
      <c r="N941" s="91"/>
      <c r="Q941" s="119" t="str">
        <f t="shared" si="46"/>
        <v/>
      </c>
      <c r="R941" s="92" t="str">
        <f>IF('Prod 1'!D942="","",'Prod 1'!D942)</f>
        <v/>
      </c>
      <c r="S941" s="119" t="str">
        <f>IF('Prod 1'!E942="","",'Prod 1'!E942+'BH (2)'!C941)</f>
        <v/>
      </c>
      <c r="T941" s="59"/>
      <c r="U941" s="91"/>
    </row>
    <row r="942" spans="9:21" ht="24.95" customHeight="1" x14ac:dyDescent="0.25">
      <c r="I942" s="106">
        <v>939</v>
      </c>
      <c r="J942" s="119" t="str">
        <f t="shared" si="45"/>
        <v/>
      </c>
      <c r="K942" s="92" t="str">
        <f>IF('Prod 1'!D943="","",'Prod 1'!D943)</f>
        <v/>
      </c>
      <c r="L942" s="119" t="str">
        <f>IF('Prod 1'!I943="","",'Prod 1'!I943+'BH (2)'!C942)</f>
        <v/>
      </c>
      <c r="M942" s="59"/>
      <c r="N942" s="91"/>
      <c r="Q942" s="119" t="str">
        <f t="shared" si="46"/>
        <v/>
      </c>
      <c r="R942" s="92" t="str">
        <f>IF('Prod 1'!D943="","",'Prod 1'!D943)</f>
        <v/>
      </c>
      <c r="S942" s="119" t="str">
        <f>IF('Prod 1'!E943="","",'Prod 1'!E943+'BH (2)'!C942)</f>
        <v/>
      </c>
      <c r="T942" s="59"/>
      <c r="U942" s="91"/>
    </row>
    <row r="943" spans="9:21" ht="24.95" customHeight="1" x14ac:dyDescent="0.25">
      <c r="I943" s="106">
        <v>940</v>
      </c>
      <c r="J943" s="119" t="str">
        <f t="shared" si="45"/>
        <v/>
      </c>
      <c r="K943" s="92" t="str">
        <f>IF('Prod 1'!D944="","",'Prod 1'!D944)</f>
        <v/>
      </c>
      <c r="L943" s="119" t="str">
        <f>IF('Prod 1'!I944="","",'Prod 1'!I944+'BH (2)'!C943)</f>
        <v/>
      </c>
      <c r="M943" s="59"/>
      <c r="N943" s="91"/>
      <c r="Q943" s="119" t="str">
        <f t="shared" si="46"/>
        <v/>
      </c>
      <c r="R943" s="92" t="str">
        <f>IF('Prod 1'!D944="","",'Prod 1'!D944)</f>
        <v/>
      </c>
      <c r="S943" s="119" t="str">
        <f>IF('Prod 1'!E944="","",'Prod 1'!E944+'BH (2)'!C943)</f>
        <v/>
      </c>
      <c r="T943" s="59"/>
      <c r="U943" s="91"/>
    </row>
    <row r="944" spans="9:21" ht="24.95" customHeight="1" x14ac:dyDescent="0.25">
      <c r="I944" s="106">
        <v>941</v>
      </c>
      <c r="J944" s="119" t="str">
        <f t="shared" si="45"/>
        <v/>
      </c>
      <c r="K944" s="92" t="str">
        <f>IF('Prod 1'!D945="","",'Prod 1'!D945)</f>
        <v/>
      </c>
      <c r="L944" s="119" t="str">
        <f>IF('Prod 1'!I945="","",'Prod 1'!I945+'BH (2)'!C944)</f>
        <v/>
      </c>
      <c r="M944" s="59"/>
      <c r="N944" s="91"/>
      <c r="Q944" s="119" t="str">
        <f t="shared" si="46"/>
        <v/>
      </c>
      <c r="R944" s="92" t="str">
        <f>IF('Prod 1'!D945="","",'Prod 1'!D945)</f>
        <v/>
      </c>
      <c r="S944" s="119" t="str">
        <f>IF('Prod 1'!E945="","",'Prod 1'!E945+'BH (2)'!C944)</f>
        <v/>
      </c>
      <c r="T944" s="59"/>
      <c r="U944" s="91"/>
    </row>
    <row r="945" spans="9:21" ht="24.95" customHeight="1" x14ac:dyDescent="0.25">
      <c r="I945" s="106">
        <v>942</v>
      </c>
      <c r="J945" s="119" t="str">
        <f t="shared" si="45"/>
        <v/>
      </c>
      <c r="K945" s="92" t="str">
        <f>IF('Prod 1'!D946="","",'Prod 1'!D946)</f>
        <v/>
      </c>
      <c r="L945" s="119" t="str">
        <f>IF('Prod 1'!I946="","",'Prod 1'!I946+'BH (2)'!C945)</f>
        <v/>
      </c>
      <c r="M945" s="59"/>
      <c r="N945" s="91"/>
      <c r="Q945" s="119" t="str">
        <f t="shared" si="46"/>
        <v/>
      </c>
      <c r="R945" s="92" t="str">
        <f>IF('Prod 1'!D946="","",'Prod 1'!D946)</f>
        <v/>
      </c>
      <c r="S945" s="119" t="str">
        <f>IF('Prod 1'!E946="","",'Prod 1'!E946+'BH (2)'!C945)</f>
        <v/>
      </c>
      <c r="T945" s="59"/>
      <c r="U945" s="91"/>
    </row>
    <row r="946" spans="9:21" ht="24.95" customHeight="1" x14ac:dyDescent="0.25">
      <c r="I946" s="106">
        <v>943</v>
      </c>
      <c r="J946" s="119" t="str">
        <f t="shared" si="45"/>
        <v/>
      </c>
      <c r="K946" s="92" t="str">
        <f>IF('Prod 1'!D947="","",'Prod 1'!D947)</f>
        <v/>
      </c>
      <c r="L946" s="119" t="str">
        <f>IF('Prod 1'!I947="","",'Prod 1'!I947+'BH (2)'!C946)</f>
        <v/>
      </c>
      <c r="M946" s="59"/>
      <c r="N946" s="91"/>
      <c r="Q946" s="119" t="str">
        <f t="shared" si="46"/>
        <v/>
      </c>
      <c r="R946" s="92" t="str">
        <f>IF('Prod 1'!D947="","",'Prod 1'!D947)</f>
        <v/>
      </c>
      <c r="S946" s="119" t="str">
        <f>IF('Prod 1'!E947="","",'Prod 1'!E947+'BH (2)'!C946)</f>
        <v/>
      </c>
      <c r="T946" s="59"/>
      <c r="U946" s="91"/>
    </row>
    <row r="947" spans="9:21" ht="24.95" customHeight="1" x14ac:dyDescent="0.25">
      <c r="I947" s="106">
        <v>944</v>
      </c>
      <c r="J947" s="119" t="str">
        <f t="shared" si="45"/>
        <v/>
      </c>
      <c r="K947" s="92" t="str">
        <f>IF('Prod 1'!D948="","",'Prod 1'!D948)</f>
        <v/>
      </c>
      <c r="L947" s="119" t="str">
        <f>IF('Prod 1'!I948="","",'Prod 1'!I948+'BH (2)'!C947)</f>
        <v/>
      </c>
      <c r="M947" s="59"/>
      <c r="N947" s="91"/>
      <c r="Q947" s="119" t="str">
        <f t="shared" si="46"/>
        <v/>
      </c>
      <c r="R947" s="92" t="str">
        <f>IF('Prod 1'!D948="","",'Prod 1'!D948)</f>
        <v/>
      </c>
      <c r="S947" s="119" t="str">
        <f>IF('Prod 1'!E948="","",'Prod 1'!E948+'BH (2)'!C947)</f>
        <v/>
      </c>
      <c r="T947" s="59"/>
      <c r="U947" s="91"/>
    </row>
    <row r="948" spans="9:21" ht="24.95" customHeight="1" x14ac:dyDescent="0.25">
      <c r="I948" s="106">
        <v>945</v>
      </c>
      <c r="J948" s="119" t="str">
        <f t="shared" si="45"/>
        <v/>
      </c>
      <c r="K948" s="92" t="str">
        <f>IF('Prod 1'!D949="","",'Prod 1'!D949)</f>
        <v/>
      </c>
      <c r="L948" s="119" t="str">
        <f>IF('Prod 1'!I949="","",'Prod 1'!I949+'BH (2)'!C948)</f>
        <v/>
      </c>
      <c r="M948" s="59"/>
      <c r="N948" s="91"/>
      <c r="Q948" s="119" t="str">
        <f t="shared" si="46"/>
        <v/>
      </c>
      <c r="R948" s="92" t="str">
        <f>IF('Prod 1'!D949="","",'Prod 1'!D949)</f>
        <v/>
      </c>
      <c r="S948" s="119" t="str">
        <f>IF('Prod 1'!E949="","",'Prod 1'!E949+'BH (2)'!C948)</f>
        <v/>
      </c>
      <c r="T948" s="59"/>
      <c r="U948" s="91"/>
    </row>
    <row r="949" spans="9:21" ht="24.95" customHeight="1" x14ac:dyDescent="0.25">
      <c r="I949" s="106">
        <v>946</v>
      </c>
      <c r="J949" s="119" t="str">
        <f t="shared" si="45"/>
        <v/>
      </c>
      <c r="K949" s="92" t="str">
        <f>IF('Prod 1'!D950="","",'Prod 1'!D950)</f>
        <v/>
      </c>
      <c r="L949" s="119" t="str">
        <f>IF('Prod 1'!I950="","",'Prod 1'!I950+'BH (2)'!C949)</f>
        <v/>
      </c>
      <c r="M949" s="59"/>
      <c r="N949" s="91"/>
      <c r="Q949" s="119" t="str">
        <f t="shared" si="46"/>
        <v/>
      </c>
      <c r="R949" s="92" t="str">
        <f>IF('Prod 1'!D950="","",'Prod 1'!D950)</f>
        <v/>
      </c>
      <c r="S949" s="119" t="str">
        <f>IF('Prod 1'!E950="","",'Prod 1'!E950+'BH (2)'!C949)</f>
        <v/>
      </c>
      <c r="T949" s="59"/>
      <c r="U949" s="91"/>
    </row>
    <row r="950" spans="9:21" ht="24.95" customHeight="1" x14ac:dyDescent="0.25">
      <c r="I950" s="106">
        <v>947</v>
      </c>
      <c r="J950" s="119" t="str">
        <f t="shared" si="45"/>
        <v/>
      </c>
      <c r="K950" s="92" t="str">
        <f>IF('Prod 1'!D951="","",'Prod 1'!D951)</f>
        <v/>
      </c>
      <c r="L950" s="119" t="str">
        <f>IF('Prod 1'!I951="","",'Prod 1'!I951+'BH (2)'!C950)</f>
        <v/>
      </c>
      <c r="M950" s="59"/>
      <c r="N950" s="91"/>
      <c r="Q950" s="119" t="str">
        <f t="shared" si="46"/>
        <v/>
      </c>
      <c r="R950" s="92" t="str">
        <f>IF('Prod 1'!D951="","",'Prod 1'!D951)</f>
        <v/>
      </c>
      <c r="S950" s="119" t="str">
        <f>IF('Prod 1'!E951="","",'Prod 1'!E951+'BH (2)'!C950)</f>
        <v/>
      </c>
      <c r="T950" s="59"/>
      <c r="U950" s="91"/>
    </row>
    <row r="951" spans="9:21" ht="24.95" customHeight="1" x14ac:dyDescent="0.25">
      <c r="I951" s="106">
        <v>948</v>
      </c>
      <c r="J951" s="119" t="str">
        <f t="shared" si="45"/>
        <v/>
      </c>
      <c r="K951" s="92" t="str">
        <f>IF('Prod 1'!D952="","",'Prod 1'!D952)</f>
        <v/>
      </c>
      <c r="L951" s="119" t="str">
        <f>IF('Prod 1'!I952="","",'Prod 1'!I952+'BH (2)'!C951)</f>
        <v/>
      </c>
      <c r="M951" s="59"/>
      <c r="N951" s="91"/>
      <c r="Q951" s="119" t="str">
        <f t="shared" si="46"/>
        <v/>
      </c>
      <c r="R951" s="92" t="str">
        <f>IF('Prod 1'!D952="","",'Prod 1'!D952)</f>
        <v/>
      </c>
      <c r="S951" s="119" t="str">
        <f>IF('Prod 1'!E952="","",'Prod 1'!E952+'BH (2)'!C951)</f>
        <v/>
      </c>
      <c r="T951" s="59"/>
      <c r="U951" s="91"/>
    </row>
    <row r="952" spans="9:21" ht="24.95" customHeight="1" x14ac:dyDescent="0.25">
      <c r="I952" s="106">
        <v>949</v>
      </c>
      <c r="J952" s="119" t="str">
        <f t="shared" si="45"/>
        <v/>
      </c>
      <c r="K952" s="92" t="str">
        <f>IF('Prod 1'!D953="","",'Prod 1'!D953)</f>
        <v/>
      </c>
      <c r="L952" s="119" t="str">
        <f>IF('Prod 1'!I953="","",'Prod 1'!I953+'BH (2)'!C952)</f>
        <v/>
      </c>
      <c r="M952" s="59"/>
      <c r="N952" s="91"/>
      <c r="Q952" s="119" t="str">
        <f t="shared" si="46"/>
        <v/>
      </c>
      <c r="R952" s="92" t="str">
        <f>IF('Prod 1'!D953="","",'Prod 1'!D953)</f>
        <v/>
      </c>
      <c r="S952" s="119" t="str">
        <f>IF('Prod 1'!E953="","",'Prod 1'!E953+'BH (2)'!C952)</f>
        <v/>
      </c>
      <c r="T952" s="59"/>
      <c r="U952" s="91"/>
    </row>
    <row r="953" spans="9:21" ht="24.95" customHeight="1" x14ac:dyDescent="0.25">
      <c r="I953" s="106">
        <v>950</v>
      </c>
      <c r="J953" s="119" t="str">
        <f t="shared" si="45"/>
        <v/>
      </c>
      <c r="K953" s="92" t="str">
        <f>IF('Prod 1'!D954="","",'Prod 1'!D954)</f>
        <v/>
      </c>
      <c r="L953" s="119" t="str">
        <f>IF('Prod 1'!I954="","",'Prod 1'!I954+'BH (2)'!C953)</f>
        <v/>
      </c>
      <c r="M953" s="59"/>
      <c r="N953" s="91"/>
      <c r="Q953" s="119" t="str">
        <f t="shared" si="46"/>
        <v/>
      </c>
      <c r="R953" s="92" t="str">
        <f>IF('Prod 1'!D954="","",'Prod 1'!D954)</f>
        <v/>
      </c>
      <c r="S953" s="119" t="str">
        <f>IF('Prod 1'!E954="","",'Prod 1'!E954+'BH (2)'!C953)</f>
        <v/>
      </c>
      <c r="T953" s="59"/>
      <c r="U953" s="91"/>
    </row>
    <row r="954" spans="9:21" ht="24.95" customHeight="1" x14ac:dyDescent="0.25">
      <c r="I954" s="106">
        <v>951</v>
      </c>
      <c r="J954" s="119" t="str">
        <f t="shared" si="45"/>
        <v/>
      </c>
      <c r="K954" s="92" t="str">
        <f>IF('Prod 1'!D955="","",'Prod 1'!D955)</f>
        <v/>
      </c>
      <c r="L954" s="119" t="str">
        <f>IF('Prod 1'!I955="","",'Prod 1'!I955+'BH (2)'!C954)</f>
        <v/>
      </c>
      <c r="M954" s="59"/>
      <c r="N954" s="91"/>
      <c r="Q954" s="119" t="str">
        <f t="shared" si="46"/>
        <v/>
      </c>
      <c r="R954" s="92" t="str">
        <f>IF('Prod 1'!D955="","",'Prod 1'!D955)</f>
        <v/>
      </c>
      <c r="S954" s="119" t="str">
        <f>IF('Prod 1'!E955="","",'Prod 1'!E955+'BH (2)'!C954)</f>
        <v/>
      </c>
      <c r="T954" s="59"/>
      <c r="U954" s="91"/>
    </row>
    <row r="955" spans="9:21" ht="24.95" customHeight="1" x14ac:dyDescent="0.25">
      <c r="I955" s="106">
        <v>952</v>
      </c>
      <c r="J955" s="119" t="str">
        <f t="shared" si="45"/>
        <v/>
      </c>
      <c r="K955" s="92" t="str">
        <f>IF('Prod 1'!D956="","",'Prod 1'!D956)</f>
        <v/>
      </c>
      <c r="L955" s="119" t="str">
        <f>IF('Prod 1'!I956="","",'Prod 1'!I956+'BH (2)'!C955)</f>
        <v/>
      </c>
      <c r="M955" s="59"/>
      <c r="N955" s="91"/>
      <c r="Q955" s="119" t="str">
        <f t="shared" si="46"/>
        <v/>
      </c>
      <c r="R955" s="92" t="str">
        <f>IF('Prod 1'!D956="","",'Prod 1'!D956)</f>
        <v/>
      </c>
      <c r="S955" s="119" t="str">
        <f>IF('Prod 1'!E956="","",'Prod 1'!E956+'BH (2)'!C955)</f>
        <v/>
      </c>
      <c r="T955" s="59"/>
      <c r="U955" s="91"/>
    </row>
    <row r="956" spans="9:21" ht="24.95" customHeight="1" x14ac:dyDescent="0.25">
      <c r="I956" s="106">
        <v>953</v>
      </c>
      <c r="J956" s="119" t="str">
        <f t="shared" si="45"/>
        <v/>
      </c>
      <c r="K956" s="92" t="str">
        <f>IF('Prod 1'!D957="","",'Prod 1'!D957)</f>
        <v/>
      </c>
      <c r="L956" s="119" t="str">
        <f>IF('Prod 1'!I957="","",'Prod 1'!I957+'BH (2)'!C956)</f>
        <v/>
      </c>
      <c r="M956" s="59"/>
      <c r="N956" s="91"/>
      <c r="Q956" s="119" t="str">
        <f t="shared" si="46"/>
        <v/>
      </c>
      <c r="R956" s="92" t="str">
        <f>IF('Prod 1'!D957="","",'Prod 1'!D957)</f>
        <v/>
      </c>
      <c r="S956" s="119" t="str">
        <f>IF('Prod 1'!E957="","",'Prod 1'!E957+'BH (2)'!C956)</f>
        <v/>
      </c>
      <c r="T956" s="59"/>
      <c r="U956" s="91"/>
    </row>
    <row r="957" spans="9:21" ht="24.95" customHeight="1" x14ac:dyDescent="0.25">
      <c r="I957" s="106">
        <v>954</v>
      </c>
      <c r="J957" s="119" t="str">
        <f t="shared" si="45"/>
        <v/>
      </c>
      <c r="K957" s="92" t="str">
        <f>IF('Prod 1'!D958="","",'Prod 1'!D958)</f>
        <v/>
      </c>
      <c r="L957" s="119" t="str">
        <f>IF('Prod 1'!I958="","",'Prod 1'!I958+'BH (2)'!C957)</f>
        <v/>
      </c>
      <c r="M957" s="59"/>
      <c r="N957" s="91"/>
      <c r="Q957" s="119" t="str">
        <f t="shared" si="46"/>
        <v/>
      </c>
      <c r="R957" s="92" t="str">
        <f>IF('Prod 1'!D958="","",'Prod 1'!D958)</f>
        <v/>
      </c>
      <c r="S957" s="119" t="str">
        <f>IF('Prod 1'!E958="","",'Prod 1'!E958+'BH (2)'!C957)</f>
        <v/>
      </c>
      <c r="T957" s="59"/>
      <c r="U957" s="91"/>
    </row>
    <row r="958" spans="9:21" ht="24.95" customHeight="1" x14ac:dyDescent="0.25">
      <c r="I958" s="106">
        <v>955</v>
      </c>
      <c r="J958" s="119" t="str">
        <f t="shared" si="45"/>
        <v/>
      </c>
      <c r="K958" s="92" t="str">
        <f>IF('Prod 1'!D959="","",'Prod 1'!D959)</f>
        <v/>
      </c>
      <c r="L958" s="119" t="str">
        <f>IF('Prod 1'!I959="","",'Prod 1'!I959+'BH (2)'!C958)</f>
        <v/>
      </c>
      <c r="M958" s="59"/>
      <c r="N958" s="91"/>
      <c r="Q958" s="119" t="str">
        <f t="shared" si="46"/>
        <v/>
      </c>
      <c r="R958" s="92" t="str">
        <f>IF('Prod 1'!D959="","",'Prod 1'!D959)</f>
        <v/>
      </c>
      <c r="S958" s="119" t="str">
        <f>IF('Prod 1'!E959="","",'Prod 1'!E959+'BH (2)'!C958)</f>
        <v/>
      </c>
      <c r="T958" s="59"/>
      <c r="U958" s="91"/>
    </row>
    <row r="959" spans="9:21" ht="24.95" customHeight="1" x14ac:dyDescent="0.25">
      <c r="I959" s="106">
        <v>956</v>
      </c>
      <c r="J959" s="119" t="str">
        <f t="shared" si="45"/>
        <v/>
      </c>
      <c r="K959" s="92" t="str">
        <f>IF('Prod 1'!D960="","",'Prod 1'!D960)</f>
        <v/>
      </c>
      <c r="L959" s="119" t="str">
        <f>IF('Prod 1'!I960="","",'Prod 1'!I960+'BH (2)'!C959)</f>
        <v/>
      </c>
      <c r="M959" s="59"/>
      <c r="N959" s="91"/>
      <c r="Q959" s="119" t="str">
        <f t="shared" si="46"/>
        <v/>
      </c>
      <c r="R959" s="92" t="str">
        <f>IF('Prod 1'!D960="","",'Prod 1'!D960)</f>
        <v/>
      </c>
      <c r="S959" s="119" t="str">
        <f>IF('Prod 1'!E960="","",'Prod 1'!E960+'BH (2)'!C959)</f>
        <v/>
      </c>
      <c r="T959" s="59"/>
      <c r="U959" s="91"/>
    </row>
    <row r="960" spans="9:21" ht="24.95" customHeight="1" x14ac:dyDescent="0.25">
      <c r="I960" s="106">
        <v>957</v>
      </c>
      <c r="J960" s="119" t="str">
        <f t="shared" si="45"/>
        <v/>
      </c>
      <c r="K960" s="92" t="str">
        <f>IF('Prod 1'!D961="","",'Prod 1'!D961)</f>
        <v/>
      </c>
      <c r="L960" s="119" t="str">
        <f>IF('Prod 1'!I961="","",'Prod 1'!I961+'BH (2)'!C960)</f>
        <v/>
      </c>
      <c r="M960" s="59"/>
      <c r="N960" s="91"/>
      <c r="Q960" s="119" t="str">
        <f t="shared" si="46"/>
        <v/>
      </c>
      <c r="R960" s="92" t="str">
        <f>IF('Prod 1'!D961="","",'Prod 1'!D961)</f>
        <v/>
      </c>
      <c r="S960" s="119" t="str">
        <f>IF('Prod 1'!E961="","",'Prod 1'!E961+'BH (2)'!C960)</f>
        <v/>
      </c>
      <c r="T960" s="59"/>
      <c r="U960" s="91"/>
    </row>
    <row r="961" spans="9:21" ht="24.95" customHeight="1" x14ac:dyDescent="0.25">
      <c r="I961" s="106">
        <v>958</v>
      </c>
      <c r="J961" s="119" t="str">
        <f t="shared" si="45"/>
        <v/>
      </c>
      <c r="K961" s="92" t="str">
        <f>IF('Prod 1'!D962="","",'Prod 1'!D962)</f>
        <v/>
      </c>
      <c r="L961" s="119" t="str">
        <f>IF('Prod 1'!I962="","",'Prod 1'!I962+'BH (2)'!C961)</f>
        <v/>
      </c>
      <c r="M961" s="59"/>
      <c r="N961" s="91"/>
      <c r="Q961" s="119" t="str">
        <f t="shared" si="46"/>
        <v/>
      </c>
      <c r="R961" s="92" t="str">
        <f>IF('Prod 1'!D962="","",'Prod 1'!D962)</f>
        <v/>
      </c>
      <c r="S961" s="119" t="str">
        <f>IF('Prod 1'!E962="","",'Prod 1'!E962+'BH (2)'!C961)</f>
        <v/>
      </c>
      <c r="T961" s="59"/>
      <c r="U961" s="91"/>
    </row>
    <row r="962" spans="9:21" ht="24.95" customHeight="1" x14ac:dyDescent="0.25">
      <c r="I962" s="106">
        <v>959</v>
      </c>
      <c r="J962" s="119" t="str">
        <f t="shared" si="45"/>
        <v/>
      </c>
      <c r="K962" s="92" t="str">
        <f>IF('Prod 1'!D963="","",'Prod 1'!D963)</f>
        <v/>
      </c>
      <c r="L962" s="119" t="str">
        <f>IF('Prod 1'!I963="","",'Prod 1'!I963+'BH (2)'!C962)</f>
        <v/>
      </c>
      <c r="M962" s="59"/>
      <c r="N962" s="91"/>
      <c r="Q962" s="119" t="str">
        <f t="shared" si="46"/>
        <v/>
      </c>
      <c r="R962" s="92" t="str">
        <f>IF('Prod 1'!D963="","",'Prod 1'!D963)</f>
        <v/>
      </c>
      <c r="S962" s="119" t="str">
        <f>IF('Prod 1'!E963="","",'Prod 1'!E963+'BH (2)'!C962)</f>
        <v/>
      </c>
      <c r="T962" s="59"/>
      <c r="U962" s="91"/>
    </row>
    <row r="963" spans="9:21" ht="24.95" customHeight="1" x14ac:dyDescent="0.25">
      <c r="I963" s="106">
        <v>960</v>
      </c>
      <c r="J963" s="119" t="str">
        <f t="shared" si="45"/>
        <v/>
      </c>
      <c r="K963" s="92" t="str">
        <f>IF('Prod 1'!D964="","",'Prod 1'!D964)</f>
        <v/>
      </c>
      <c r="L963" s="119" t="str">
        <f>IF('Prod 1'!I964="","",'Prod 1'!I964+'BH (2)'!C963)</f>
        <v/>
      </c>
      <c r="M963" s="59"/>
      <c r="N963" s="91"/>
      <c r="Q963" s="119" t="str">
        <f t="shared" si="46"/>
        <v/>
      </c>
      <c r="R963" s="92" t="str">
        <f>IF('Prod 1'!D964="","",'Prod 1'!D964)</f>
        <v/>
      </c>
      <c r="S963" s="119" t="str">
        <f>IF('Prod 1'!E964="","",'Prod 1'!E964+'BH (2)'!C963)</f>
        <v/>
      </c>
      <c r="T963" s="59"/>
      <c r="U963" s="91"/>
    </row>
    <row r="964" spans="9:21" ht="24.95" customHeight="1" x14ac:dyDescent="0.25">
      <c r="I964" s="106">
        <v>961</v>
      </c>
      <c r="J964" s="119" t="str">
        <f t="shared" si="45"/>
        <v/>
      </c>
      <c r="K964" s="92" t="str">
        <f>IF('Prod 1'!D965="","",'Prod 1'!D965)</f>
        <v/>
      </c>
      <c r="L964" s="119" t="str">
        <f>IF('Prod 1'!I965="","",'Prod 1'!I965+'BH (2)'!C964)</f>
        <v/>
      </c>
      <c r="M964" s="59"/>
      <c r="N964" s="91"/>
      <c r="Q964" s="119" t="str">
        <f t="shared" si="46"/>
        <v/>
      </c>
      <c r="R964" s="92" t="str">
        <f>IF('Prod 1'!D965="","",'Prod 1'!D965)</f>
        <v/>
      </c>
      <c r="S964" s="119" t="str">
        <f>IF('Prod 1'!E965="","",'Prod 1'!E965+'BH (2)'!C964)</f>
        <v/>
      </c>
      <c r="T964" s="59"/>
      <c r="U964" s="91"/>
    </row>
    <row r="965" spans="9:21" ht="24.95" customHeight="1" x14ac:dyDescent="0.25">
      <c r="I965" s="106">
        <v>962</v>
      </c>
      <c r="J965" s="119" t="str">
        <f t="shared" ref="J965:J1003" si="47">L965</f>
        <v/>
      </c>
      <c r="K965" s="92" t="str">
        <f>IF('Prod 1'!D966="","",'Prod 1'!D966)</f>
        <v/>
      </c>
      <c r="L965" s="119" t="str">
        <f>IF('Prod 1'!I966="","",'Prod 1'!I966+'BH (2)'!C965)</f>
        <v/>
      </c>
      <c r="M965" s="59"/>
      <c r="N965" s="91"/>
      <c r="Q965" s="119" t="str">
        <f t="shared" ref="Q965:Q1003" si="48">S965</f>
        <v/>
      </c>
      <c r="R965" s="92" t="str">
        <f>IF('Prod 1'!D966="","",'Prod 1'!D966)</f>
        <v/>
      </c>
      <c r="S965" s="119" t="str">
        <f>IF('Prod 1'!E966="","",'Prod 1'!E966+'BH (2)'!C965)</f>
        <v/>
      </c>
      <c r="T965" s="59"/>
      <c r="U965" s="91"/>
    </row>
    <row r="966" spans="9:21" ht="24.95" customHeight="1" x14ac:dyDescent="0.25">
      <c r="I966" s="106">
        <v>963</v>
      </c>
      <c r="J966" s="119" t="str">
        <f t="shared" si="47"/>
        <v/>
      </c>
      <c r="K966" s="92" t="str">
        <f>IF('Prod 1'!D967="","",'Prod 1'!D967)</f>
        <v/>
      </c>
      <c r="L966" s="119" t="str">
        <f>IF('Prod 1'!I967="","",'Prod 1'!I967+'BH (2)'!C966)</f>
        <v/>
      </c>
      <c r="M966" s="59"/>
      <c r="N966" s="91"/>
      <c r="Q966" s="119" t="str">
        <f t="shared" si="48"/>
        <v/>
      </c>
      <c r="R966" s="92" t="str">
        <f>IF('Prod 1'!D967="","",'Prod 1'!D967)</f>
        <v/>
      </c>
      <c r="S966" s="119" t="str">
        <f>IF('Prod 1'!E967="","",'Prod 1'!E967+'BH (2)'!C966)</f>
        <v/>
      </c>
      <c r="T966" s="59"/>
      <c r="U966" s="91"/>
    </row>
    <row r="967" spans="9:21" ht="24.95" customHeight="1" x14ac:dyDescent="0.25">
      <c r="I967" s="106">
        <v>964</v>
      </c>
      <c r="J967" s="119" t="str">
        <f t="shared" si="47"/>
        <v/>
      </c>
      <c r="K967" s="92" t="str">
        <f>IF('Prod 1'!D968="","",'Prod 1'!D968)</f>
        <v/>
      </c>
      <c r="L967" s="119" t="str">
        <f>IF('Prod 1'!I968="","",'Prod 1'!I968+'BH (2)'!C967)</f>
        <v/>
      </c>
      <c r="M967" s="59"/>
      <c r="N967" s="91"/>
      <c r="Q967" s="119" t="str">
        <f t="shared" si="48"/>
        <v/>
      </c>
      <c r="R967" s="92" t="str">
        <f>IF('Prod 1'!D968="","",'Prod 1'!D968)</f>
        <v/>
      </c>
      <c r="S967" s="119" t="str">
        <f>IF('Prod 1'!E968="","",'Prod 1'!E968+'BH (2)'!C967)</f>
        <v/>
      </c>
      <c r="T967" s="59"/>
      <c r="U967" s="91"/>
    </row>
    <row r="968" spans="9:21" ht="24.95" customHeight="1" x14ac:dyDescent="0.25">
      <c r="I968" s="106">
        <v>965</v>
      </c>
      <c r="J968" s="119" t="str">
        <f t="shared" si="47"/>
        <v/>
      </c>
      <c r="K968" s="92" t="str">
        <f>IF('Prod 1'!D969="","",'Prod 1'!D969)</f>
        <v/>
      </c>
      <c r="L968" s="119" t="str">
        <f>IF('Prod 1'!I969="","",'Prod 1'!I969+'BH (2)'!C968)</f>
        <v/>
      </c>
      <c r="M968" s="59"/>
      <c r="N968" s="91"/>
      <c r="Q968" s="119" t="str">
        <f t="shared" si="48"/>
        <v/>
      </c>
      <c r="R968" s="92" t="str">
        <f>IF('Prod 1'!D969="","",'Prod 1'!D969)</f>
        <v/>
      </c>
      <c r="S968" s="119" t="str">
        <f>IF('Prod 1'!E969="","",'Prod 1'!E969+'BH (2)'!C968)</f>
        <v/>
      </c>
      <c r="T968" s="59"/>
      <c r="U968" s="91"/>
    </row>
    <row r="969" spans="9:21" ht="24.95" customHeight="1" x14ac:dyDescent="0.25">
      <c r="I969" s="106">
        <v>966</v>
      </c>
      <c r="J969" s="119" t="str">
        <f t="shared" si="47"/>
        <v/>
      </c>
      <c r="K969" s="92" t="str">
        <f>IF('Prod 1'!D970="","",'Prod 1'!D970)</f>
        <v/>
      </c>
      <c r="L969" s="119" t="str">
        <f>IF('Prod 1'!I970="","",'Prod 1'!I970+'BH (2)'!C969)</f>
        <v/>
      </c>
      <c r="M969" s="59"/>
      <c r="N969" s="91"/>
      <c r="Q969" s="119" t="str">
        <f t="shared" si="48"/>
        <v/>
      </c>
      <c r="R969" s="92" t="str">
        <f>IF('Prod 1'!D970="","",'Prod 1'!D970)</f>
        <v/>
      </c>
      <c r="S969" s="119" t="str">
        <f>IF('Prod 1'!E970="","",'Prod 1'!E970+'BH (2)'!C969)</f>
        <v/>
      </c>
      <c r="T969" s="59"/>
      <c r="U969" s="91"/>
    </row>
    <row r="970" spans="9:21" ht="24.95" customHeight="1" x14ac:dyDescent="0.25">
      <c r="I970" s="106">
        <v>967</v>
      </c>
      <c r="J970" s="119" t="str">
        <f t="shared" si="47"/>
        <v/>
      </c>
      <c r="K970" s="92" t="str">
        <f>IF('Prod 1'!D971="","",'Prod 1'!D971)</f>
        <v/>
      </c>
      <c r="L970" s="119" t="str">
        <f>IF('Prod 1'!I971="","",'Prod 1'!I971+'BH (2)'!C970)</f>
        <v/>
      </c>
      <c r="M970" s="59"/>
      <c r="N970" s="91"/>
      <c r="Q970" s="119" t="str">
        <f t="shared" si="48"/>
        <v/>
      </c>
      <c r="R970" s="92" t="str">
        <f>IF('Prod 1'!D971="","",'Prod 1'!D971)</f>
        <v/>
      </c>
      <c r="S970" s="119" t="str">
        <f>IF('Prod 1'!E971="","",'Prod 1'!E971+'BH (2)'!C970)</f>
        <v/>
      </c>
      <c r="T970" s="59"/>
      <c r="U970" s="91"/>
    </row>
    <row r="971" spans="9:21" ht="24.95" customHeight="1" x14ac:dyDescent="0.25">
      <c r="I971" s="106">
        <v>968</v>
      </c>
      <c r="J971" s="119" t="str">
        <f t="shared" si="47"/>
        <v/>
      </c>
      <c r="K971" s="92" t="str">
        <f>IF('Prod 1'!D972="","",'Prod 1'!D972)</f>
        <v/>
      </c>
      <c r="L971" s="119" t="str">
        <f>IF('Prod 1'!I972="","",'Prod 1'!I972+'BH (2)'!C971)</f>
        <v/>
      </c>
      <c r="M971" s="59"/>
      <c r="N971" s="91"/>
      <c r="Q971" s="119" t="str">
        <f t="shared" si="48"/>
        <v/>
      </c>
      <c r="R971" s="92" t="str">
        <f>IF('Prod 1'!D972="","",'Prod 1'!D972)</f>
        <v/>
      </c>
      <c r="S971" s="119" t="str">
        <f>IF('Prod 1'!E972="","",'Prod 1'!E972+'BH (2)'!C971)</f>
        <v/>
      </c>
      <c r="T971" s="59"/>
      <c r="U971" s="91"/>
    </row>
    <row r="972" spans="9:21" ht="24.95" customHeight="1" x14ac:dyDescent="0.25">
      <c r="I972" s="106">
        <v>969</v>
      </c>
      <c r="J972" s="119" t="str">
        <f t="shared" si="47"/>
        <v/>
      </c>
      <c r="K972" s="92" t="str">
        <f>IF('Prod 1'!D973="","",'Prod 1'!D973)</f>
        <v/>
      </c>
      <c r="L972" s="119" t="str">
        <f>IF('Prod 1'!I973="","",'Prod 1'!I973+'BH (2)'!C972)</f>
        <v/>
      </c>
      <c r="M972" s="59"/>
      <c r="N972" s="91"/>
      <c r="Q972" s="119" t="str">
        <f t="shared" si="48"/>
        <v/>
      </c>
      <c r="R972" s="92" t="str">
        <f>IF('Prod 1'!D973="","",'Prod 1'!D973)</f>
        <v/>
      </c>
      <c r="S972" s="119" t="str">
        <f>IF('Prod 1'!E973="","",'Prod 1'!E973+'BH (2)'!C972)</f>
        <v/>
      </c>
      <c r="T972" s="59"/>
      <c r="U972" s="91"/>
    </row>
    <row r="973" spans="9:21" ht="24.95" customHeight="1" x14ac:dyDescent="0.25">
      <c r="I973" s="106">
        <v>970</v>
      </c>
      <c r="J973" s="119" t="str">
        <f t="shared" si="47"/>
        <v/>
      </c>
      <c r="K973" s="92" t="str">
        <f>IF('Prod 1'!D974="","",'Prod 1'!D974)</f>
        <v/>
      </c>
      <c r="L973" s="119" t="str">
        <f>IF('Prod 1'!I974="","",'Prod 1'!I974+'BH (2)'!C973)</f>
        <v/>
      </c>
      <c r="M973" s="59"/>
      <c r="N973" s="91"/>
      <c r="Q973" s="119" t="str">
        <f t="shared" si="48"/>
        <v/>
      </c>
      <c r="R973" s="92" t="str">
        <f>IF('Prod 1'!D974="","",'Prod 1'!D974)</f>
        <v/>
      </c>
      <c r="S973" s="119" t="str">
        <f>IF('Prod 1'!E974="","",'Prod 1'!E974+'BH (2)'!C973)</f>
        <v/>
      </c>
      <c r="T973" s="59"/>
      <c r="U973" s="91"/>
    </row>
    <row r="974" spans="9:21" ht="24.95" customHeight="1" x14ac:dyDescent="0.25">
      <c r="I974" s="106">
        <v>971</v>
      </c>
      <c r="J974" s="119" t="str">
        <f t="shared" si="47"/>
        <v/>
      </c>
      <c r="K974" s="92" t="str">
        <f>IF('Prod 1'!D975="","",'Prod 1'!D975)</f>
        <v/>
      </c>
      <c r="L974" s="119" t="str">
        <f>IF('Prod 1'!I975="","",'Prod 1'!I975+'BH (2)'!C974)</f>
        <v/>
      </c>
      <c r="M974" s="59"/>
      <c r="N974" s="91"/>
      <c r="Q974" s="119" t="str">
        <f t="shared" si="48"/>
        <v/>
      </c>
      <c r="R974" s="92" t="str">
        <f>IF('Prod 1'!D975="","",'Prod 1'!D975)</f>
        <v/>
      </c>
      <c r="S974" s="119" t="str">
        <f>IF('Prod 1'!E975="","",'Prod 1'!E975+'BH (2)'!C974)</f>
        <v/>
      </c>
      <c r="T974" s="59"/>
      <c r="U974" s="91"/>
    </row>
    <row r="975" spans="9:21" ht="24.95" customHeight="1" x14ac:dyDescent="0.25">
      <c r="I975" s="106">
        <v>972</v>
      </c>
      <c r="J975" s="119" t="str">
        <f t="shared" si="47"/>
        <v/>
      </c>
      <c r="K975" s="92" t="str">
        <f>IF('Prod 1'!D976="","",'Prod 1'!D976)</f>
        <v/>
      </c>
      <c r="L975" s="119" t="str">
        <f>IF('Prod 1'!I976="","",'Prod 1'!I976+'BH (2)'!C975)</f>
        <v/>
      </c>
      <c r="M975" s="59"/>
      <c r="N975" s="91"/>
      <c r="Q975" s="119" t="str">
        <f t="shared" si="48"/>
        <v/>
      </c>
      <c r="R975" s="92" t="str">
        <f>IF('Prod 1'!D976="","",'Prod 1'!D976)</f>
        <v/>
      </c>
      <c r="S975" s="119" t="str">
        <f>IF('Prod 1'!E976="","",'Prod 1'!E976+'BH (2)'!C975)</f>
        <v/>
      </c>
      <c r="T975" s="59"/>
      <c r="U975" s="91"/>
    </row>
    <row r="976" spans="9:21" ht="24.95" customHeight="1" x14ac:dyDescent="0.25">
      <c r="I976" s="106">
        <v>973</v>
      </c>
      <c r="J976" s="119" t="str">
        <f t="shared" si="47"/>
        <v/>
      </c>
      <c r="K976" s="92" t="str">
        <f>IF('Prod 1'!D977="","",'Prod 1'!D977)</f>
        <v/>
      </c>
      <c r="L976" s="119" t="str">
        <f>IF('Prod 1'!I977="","",'Prod 1'!I977+'BH (2)'!C976)</f>
        <v/>
      </c>
      <c r="M976" s="59"/>
      <c r="N976" s="91"/>
      <c r="Q976" s="119" t="str">
        <f t="shared" si="48"/>
        <v/>
      </c>
      <c r="R976" s="92" t="str">
        <f>IF('Prod 1'!D977="","",'Prod 1'!D977)</f>
        <v/>
      </c>
      <c r="S976" s="119" t="str">
        <f>IF('Prod 1'!E977="","",'Prod 1'!E977+'BH (2)'!C976)</f>
        <v/>
      </c>
      <c r="T976" s="59"/>
      <c r="U976" s="91"/>
    </row>
    <row r="977" spans="9:21" ht="24.95" customHeight="1" x14ac:dyDescent="0.25">
      <c r="I977" s="106">
        <v>974</v>
      </c>
      <c r="J977" s="119" t="str">
        <f t="shared" si="47"/>
        <v/>
      </c>
      <c r="K977" s="92" t="str">
        <f>IF('Prod 1'!D978="","",'Prod 1'!D978)</f>
        <v/>
      </c>
      <c r="L977" s="119" t="str">
        <f>IF('Prod 1'!I978="","",'Prod 1'!I978+'BH (2)'!C977)</f>
        <v/>
      </c>
      <c r="M977" s="59"/>
      <c r="N977" s="91"/>
      <c r="Q977" s="119" t="str">
        <f t="shared" si="48"/>
        <v/>
      </c>
      <c r="R977" s="92" t="str">
        <f>IF('Prod 1'!D978="","",'Prod 1'!D978)</f>
        <v/>
      </c>
      <c r="S977" s="119" t="str">
        <f>IF('Prod 1'!E978="","",'Prod 1'!E978+'BH (2)'!C977)</f>
        <v/>
      </c>
      <c r="T977" s="59"/>
      <c r="U977" s="91"/>
    </row>
    <row r="978" spans="9:21" ht="24.95" customHeight="1" x14ac:dyDescent="0.25">
      <c r="I978" s="106">
        <v>975</v>
      </c>
      <c r="J978" s="119" t="str">
        <f t="shared" si="47"/>
        <v/>
      </c>
      <c r="K978" s="92" t="str">
        <f>IF('Prod 1'!D979="","",'Prod 1'!D979)</f>
        <v/>
      </c>
      <c r="L978" s="119" t="str">
        <f>IF('Prod 1'!I979="","",'Prod 1'!I979+'BH (2)'!C978)</f>
        <v/>
      </c>
      <c r="M978" s="59"/>
      <c r="N978" s="91"/>
      <c r="Q978" s="119" t="str">
        <f t="shared" si="48"/>
        <v/>
      </c>
      <c r="R978" s="92" t="str">
        <f>IF('Prod 1'!D979="","",'Prod 1'!D979)</f>
        <v/>
      </c>
      <c r="S978" s="119" t="str">
        <f>IF('Prod 1'!E979="","",'Prod 1'!E979+'BH (2)'!C978)</f>
        <v/>
      </c>
      <c r="T978" s="59"/>
      <c r="U978" s="91"/>
    </row>
    <row r="979" spans="9:21" ht="24.95" customHeight="1" x14ac:dyDescent="0.25">
      <c r="I979" s="106">
        <v>976</v>
      </c>
      <c r="J979" s="119" t="str">
        <f t="shared" si="47"/>
        <v/>
      </c>
      <c r="K979" s="92" t="str">
        <f>IF('Prod 1'!D980="","",'Prod 1'!D980)</f>
        <v/>
      </c>
      <c r="L979" s="119" t="str">
        <f>IF('Prod 1'!I980="","",'Prod 1'!I980+'BH (2)'!C979)</f>
        <v/>
      </c>
      <c r="M979" s="59"/>
      <c r="N979" s="91"/>
      <c r="Q979" s="119" t="str">
        <f t="shared" si="48"/>
        <v/>
      </c>
      <c r="R979" s="92" t="str">
        <f>IF('Prod 1'!D980="","",'Prod 1'!D980)</f>
        <v/>
      </c>
      <c r="S979" s="119" t="str">
        <f>IF('Prod 1'!E980="","",'Prod 1'!E980+'BH (2)'!C979)</f>
        <v/>
      </c>
      <c r="T979" s="59"/>
      <c r="U979" s="91"/>
    </row>
    <row r="980" spans="9:21" ht="24.95" customHeight="1" x14ac:dyDescent="0.25">
      <c r="I980" s="106">
        <v>977</v>
      </c>
      <c r="J980" s="119" t="str">
        <f t="shared" si="47"/>
        <v/>
      </c>
      <c r="K980" s="92" t="str">
        <f>IF('Prod 1'!D981="","",'Prod 1'!D981)</f>
        <v/>
      </c>
      <c r="L980" s="119" t="str">
        <f>IF('Prod 1'!I981="","",'Prod 1'!I981+'BH (2)'!C980)</f>
        <v/>
      </c>
      <c r="M980" s="59"/>
      <c r="N980" s="91"/>
      <c r="Q980" s="119" t="str">
        <f t="shared" si="48"/>
        <v/>
      </c>
      <c r="R980" s="92" t="str">
        <f>IF('Prod 1'!D981="","",'Prod 1'!D981)</f>
        <v/>
      </c>
      <c r="S980" s="119" t="str">
        <f>IF('Prod 1'!E981="","",'Prod 1'!E981+'BH (2)'!C980)</f>
        <v/>
      </c>
      <c r="T980" s="59"/>
      <c r="U980" s="91"/>
    </row>
    <row r="981" spans="9:21" ht="24.95" customHeight="1" x14ac:dyDescent="0.25">
      <c r="I981" s="106">
        <v>978</v>
      </c>
      <c r="J981" s="119" t="str">
        <f t="shared" si="47"/>
        <v/>
      </c>
      <c r="K981" s="92" t="str">
        <f>IF('Prod 1'!D982="","",'Prod 1'!D982)</f>
        <v/>
      </c>
      <c r="L981" s="119" t="str">
        <f>IF('Prod 1'!I982="","",'Prod 1'!I982+'BH (2)'!C981)</f>
        <v/>
      </c>
      <c r="M981" s="59"/>
      <c r="N981" s="91"/>
      <c r="Q981" s="119" t="str">
        <f t="shared" si="48"/>
        <v/>
      </c>
      <c r="R981" s="92" t="str">
        <f>IF('Prod 1'!D982="","",'Prod 1'!D982)</f>
        <v/>
      </c>
      <c r="S981" s="119" t="str">
        <f>IF('Prod 1'!E982="","",'Prod 1'!E982+'BH (2)'!C981)</f>
        <v/>
      </c>
      <c r="T981" s="59"/>
      <c r="U981" s="91"/>
    </row>
    <row r="982" spans="9:21" ht="24.95" customHeight="1" x14ac:dyDescent="0.25">
      <c r="I982" s="106">
        <v>979</v>
      </c>
      <c r="J982" s="119" t="str">
        <f t="shared" si="47"/>
        <v/>
      </c>
      <c r="K982" s="92" t="str">
        <f>IF('Prod 1'!D983="","",'Prod 1'!D983)</f>
        <v/>
      </c>
      <c r="L982" s="119" t="str">
        <f>IF('Prod 1'!I983="","",'Prod 1'!I983+'BH (2)'!C982)</f>
        <v/>
      </c>
      <c r="M982" s="59"/>
      <c r="N982" s="91"/>
      <c r="Q982" s="119" t="str">
        <f t="shared" si="48"/>
        <v/>
      </c>
      <c r="R982" s="92" t="str">
        <f>IF('Prod 1'!D983="","",'Prod 1'!D983)</f>
        <v/>
      </c>
      <c r="S982" s="119" t="str">
        <f>IF('Prod 1'!E983="","",'Prod 1'!E983+'BH (2)'!C982)</f>
        <v/>
      </c>
      <c r="T982" s="59"/>
      <c r="U982" s="91"/>
    </row>
    <row r="983" spans="9:21" ht="24.95" customHeight="1" x14ac:dyDescent="0.25">
      <c r="I983" s="106">
        <v>980</v>
      </c>
      <c r="J983" s="119" t="str">
        <f t="shared" si="47"/>
        <v/>
      </c>
      <c r="K983" s="92" t="str">
        <f>IF('Prod 1'!D984="","",'Prod 1'!D984)</f>
        <v/>
      </c>
      <c r="L983" s="119" t="str">
        <f>IF('Prod 1'!I984="","",'Prod 1'!I984+'BH (2)'!C983)</f>
        <v/>
      </c>
      <c r="M983" s="59"/>
      <c r="N983" s="91"/>
      <c r="Q983" s="119" t="str">
        <f t="shared" si="48"/>
        <v/>
      </c>
      <c r="R983" s="92" t="str">
        <f>IF('Prod 1'!D984="","",'Prod 1'!D984)</f>
        <v/>
      </c>
      <c r="S983" s="119" t="str">
        <f>IF('Prod 1'!E984="","",'Prod 1'!E984+'BH (2)'!C983)</f>
        <v/>
      </c>
      <c r="T983" s="59"/>
      <c r="U983" s="91"/>
    </row>
    <row r="984" spans="9:21" ht="24.95" customHeight="1" x14ac:dyDescent="0.25">
      <c r="I984" s="106">
        <v>981</v>
      </c>
      <c r="J984" s="119" t="str">
        <f t="shared" si="47"/>
        <v/>
      </c>
      <c r="K984" s="92" t="str">
        <f>IF('Prod 1'!D985="","",'Prod 1'!D985)</f>
        <v/>
      </c>
      <c r="L984" s="119" t="str">
        <f>IF('Prod 1'!I985="","",'Prod 1'!I985+'BH (2)'!C984)</f>
        <v/>
      </c>
      <c r="M984" s="59"/>
      <c r="N984" s="91"/>
      <c r="Q984" s="119" t="str">
        <f t="shared" si="48"/>
        <v/>
      </c>
      <c r="R984" s="92" t="str">
        <f>IF('Prod 1'!D985="","",'Prod 1'!D985)</f>
        <v/>
      </c>
      <c r="S984" s="119" t="str">
        <f>IF('Prod 1'!E985="","",'Prod 1'!E985+'BH (2)'!C984)</f>
        <v/>
      </c>
      <c r="T984" s="59"/>
      <c r="U984" s="91"/>
    </row>
    <row r="985" spans="9:21" ht="24.95" customHeight="1" x14ac:dyDescent="0.25">
      <c r="I985" s="106">
        <v>982</v>
      </c>
      <c r="J985" s="119" t="str">
        <f t="shared" si="47"/>
        <v/>
      </c>
      <c r="K985" s="92" t="str">
        <f>IF('Prod 1'!D986="","",'Prod 1'!D986)</f>
        <v/>
      </c>
      <c r="L985" s="119" t="str">
        <f>IF('Prod 1'!I986="","",'Prod 1'!I986+'BH (2)'!C985)</f>
        <v/>
      </c>
      <c r="M985" s="59"/>
      <c r="N985" s="91"/>
      <c r="Q985" s="119" t="str">
        <f t="shared" si="48"/>
        <v/>
      </c>
      <c r="R985" s="92" t="str">
        <f>IF('Prod 1'!D986="","",'Prod 1'!D986)</f>
        <v/>
      </c>
      <c r="S985" s="119" t="str">
        <f>IF('Prod 1'!E986="","",'Prod 1'!E986+'BH (2)'!C985)</f>
        <v/>
      </c>
      <c r="T985" s="59"/>
      <c r="U985" s="91"/>
    </row>
    <row r="986" spans="9:21" ht="24.95" customHeight="1" x14ac:dyDescent="0.25">
      <c r="I986" s="106">
        <v>983</v>
      </c>
      <c r="J986" s="119" t="str">
        <f t="shared" si="47"/>
        <v/>
      </c>
      <c r="K986" s="92" t="str">
        <f>IF('Prod 1'!D987="","",'Prod 1'!D987)</f>
        <v/>
      </c>
      <c r="L986" s="119" t="str">
        <f>IF('Prod 1'!I987="","",'Prod 1'!I987+'BH (2)'!C986)</f>
        <v/>
      </c>
      <c r="M986" s="59"/>
      <c r="N986" s="91"/>
      <c r="Q986" s="119" t="str">
        <f t="shared" si="48"/>
        <v/>
      </c>
      <c r="R986" s="92" t="str">
        <f>IF('Prod 1'!D987="","",'Prod 1'!D987)</f>
        <v/>
      </c>
      <c r="S986" s="119" t="str">
        <f>IF('Prod 1'!E987="","",'Prod 1'!E987+'BH (2)'!C986)</f>
        <v/>
      </c>
      <c r="T986" s="59"/>
      <c r="U986" s="91"/>
    </row>
    <row r="987" spans="9:21" ht="24.95" customHeight="1" x14ac:dyDescent="0.25">
      <c r="I987" s="106">
        <v>984</v>
      </c>
      <c r="J987" s="119" t="str">
        <f t="shared" si="47"/>
        <v/>
      </c>
      <c r="K987" s="92" t="str">
        <f>IF('Prod 1'!D988="","",'Prod 1'!D988)</f>
        <v/>
      </c>
      <c r="L987" s="119" t="str">
        <f>IF('Prod 1'!I988="","",'Prod 1'!I988+'BH (2)'!C987)</f>
        <v/>
      </c>
      <c r="M987" s="59"/>
      <c r="N987" s="91"/>
      <c r="Q987" s="119" t="str">
        <f t="shared" si="48"/>
        <v/>
      </c>
      <c r="R987" s="92" t="str">
        <f>IF('Prod 1'!D988="","",'Prod 1'!D988)</f>
        <v/>
      </c>
      <c r="S987" s="119" t="str">
        <f>IF('Prod 1'!E988="","",'Prod 1'!E988+'BH (2)'!C987)</f>
        <v/>
      </c>
      <c r="T987" s="59"/>
      <c r="U987" s="91"/>
    </row>
    <row r="988" spans="9:21" ht="24.95" customHeight="1" x14ac:dyDescent="0.25">
      <c r="I988" s="106">
        <v>985</v>
      </c>
      <c r="J988" s="119" t="str">
        <f t="shared" si="47"/>
        <v/>
      </c>
      <c r="K988" s="92" t="str">
        <f>IF('Prod 1'!D989="","",'Prod 1'!D989)</f>
        <v/>
      </c>
      <c r="L988" s="119" t="str">
        <f>IF('Prod 1'!I989="","",'Prod 1'!I989+'BH (2)'!C988)</f>
        <v/>
      </c>
      <c r="M988" s="59"/>
      <c r="N988" s="91"/>
      <c r="Q988" s="119" t="str">
        <f t="shared" si="48"/>
        <v/>
      </c>
      <c r="R988" s="92" t="str">
        <f>IF('Prod 1'!D989="","",'Prod 1'!D989)</f>
        <v/>
      </c>
      <c r="S988" s="119" t="str">
        <f>IF('Prod 1'!E989="","",'Prod 1'!E989+'BH (2)'!C988)</f>
        <v/>
      </c>
      <c r="T988" s="59"/>
      <c r="U988" s="91"/>
    </row>
    <row r="989" spans="9:21" ht="24.95" customHeight="1" x14ac:dyDescent="0.25">
      <c r="I989" s="106">
        <v>986</v>
      </c>
      <c r="J989" s="119" t="str">
        <f t="shared" si="47"/>
        <v/>
      </c>
      <c r="K989" s="92" t="str">
        <f>IF('Prod 1'!D990="","",'Prod 1'!D990)</f>
        <v/>
      </c>
      <c r="L989" s="119" t="str">
        <f>IF('Prod 1'!I990="","",'Prod 1'!I990+'BH (2)'!C989)</f>
        <v/>
      </c>
      <c r="M989" s="59"/>
      <c r="N989" s="91"/>
      <c r="Q989" s="119" t="str">
        <f t="shared" si="48"/>
        <v/>
      </c>
      <c r="R989" s="92" t="str">
        <f>IF('Prod 1'!D990="","",'Prod 1'!D990)</f>
        <v/>
      </c>
      <c r="S989" s="119" t="str">
        <f>IF('Prod 1'!E990="","",'Prod 1'!E990+'BH (2)'!C989)</f>
        <v/>
      </c>
      <c r="T989" s="59"/>
      <c r="U989" s="91"/>
    </row>
    <row r="990" spans="9:21" ht="24.95" customHeight="1" x14ac:dyDescent="0.25">
      <c r="I990" s="106">
        <v>987</v>
      </c>
      <c r="J990" s="119" t="str">
        <f t="shared" si="47"/>
        <v/>
      </c>
      <c r="K990" s="92" t="str">
        <f>IF('Prod 1'!D991="","",'Prod 1'!D991)</f>
        <v/>
      </c>
      <c r="L990" s="119" t="str">
        <f>IF('Prod 1'!I991="","",'Prod 1'!I991+'BH (2)'!C990)</f>
        <v/>
      </c>
      <c r="M990" s="59"/>
      <c r="N990" s="91"/>
      <c r="Q990" s="119" t="str">
        <f t="shared" si="48"/>
        <v/>
      </c>
      <c r="R990" s="92" t="str">
        <f>IF('Prod 1'!D991="","",'Prod 1'!D991)</f>
        <v/>
      </c>
      <c r="S990" s="119" t="str">
        <f>IF('Prod 1'!E991="","",'Prod 1'!E991+'BH (2)'!C990)</f>
        <v/>
      </c>
      <c r="T990" s="59"/>
      <c r="U990" s="91"/>
    </row>
    <row r="991" spans="9:21" ht="24.95" customHeight="1" x14ac:dyDescent="0.25">
      <c r="I991" s="106">
        <v>988</v>
      </c>
      <c r="J991" s="119" t="str">
        <f t="shared" si="47"/>
        <v/>
      </c>
      <c r="K991" s="92" t="str">
        <f>IF('Prod 1'!D992="","",'Prod 1'!D992)</f>
        <v/>
      </c>
      <c r="L991" s="119" t="str">
        <f>IF('Prod 1'!I992="","",'Prod 1'!I992+'BH (2)'!C991)</f>
        <v/>
      </c>
      <c r="M991" s="59"/>
      <c r="N991" s="91"/>
      <c r="Q991" s="119" t="str">
        <f t="shared" si="48"/>
        <v/>
      </c>
      <c r="R991" s="92" t="str">
        <f>IF('Prod 1'!D992="","",'Prod 1'!D992)</f>
        <v/>
      </c>
      <c r="S991" s="119" t="str">
        <f>IF('Prod 1'!E992="","",'Prod 1'!E992+'BH (2)'!C991)</f>
        <v/>
      </c>
      <c r="T991" s="59"/>
      <c r="U991" s="91"/>
    </row>
    <row r="992" spans="9:21" ht="24.95" customHeight="1" x14ac:dyDescent="0.25">
      <c r="I992" s="106">
        <v>989</v>
      </c>
      <c r="J992" s="119" t="str">
        <f t="shared" si="47"/>
        <v/>
      </c>
      <c r="K992" s="92" t="str">
        <f>IF('Prod 1'!D993="","",'Prod 1'!D993)</f>
        <v/>
      </c>
      <c r="L992" s="119" t="str">
        <f>IF('Prod 1'!I993="","",'Prod 1'!I993+'BH (2)'!C992)</f>
        <v/>
      </c>
      <c r="M992" s="59"/>
      <c r="N992" s="91"/>
      <c r="Q992" s="119" t="str">
        <f t="shared" si="48"/>
        <v/>
      </c>
      <c r="R992" s="92" t="str">
        <f>IF('Prod 1'!D993="","",'Prod 1'!D993)</f>
        <v/>
      </c>
      <c r="S992" s="119" t="str">
        <f>IF('Prod 1'!E993="","",'Prod 1'!E993+'BH (2)'!C992)</f>
        <v/>
      </c>
      <c r="T992" s="59"/>
      <c r="U992" s="91"/>
    </row>
    <row r="993" spans="9:21" ht="24.95" customHeight="1" x14ac:dyDescent="0.25">
      <c r="I993" s="106">
        <v>990</v>
      </c>
      <c r="J993" s="119" t="str">
        <f t="shared" si="47"/>
        <v/>
      </c>
      <c r="K993" s="92" t="str">
        <f>IF('Prod 1'!D994="","",'Prod 1'!D994)</f>
        <v/>
      </c>
      <c r="L993" s="119" t="str">
        <f>IF('Prod 1'!I994="","",'Prod 1'!I994+'BH (2)'!C993)</f>
        <v/>
      </c>
      <c r="M993" s="59"/>
      <c r="N993" s="91"/>
      <c r="Q993" s="119" t="str">
        <f t="shared" si="48"/>
        <v/>
      </c>
      <c r="R993" s="92" t="str">
        <f>IF('Prod 1'!D994="","",'Prod 1'!D994)</f>
        <v/>
      </c>
      <c r="S993" s="119" t="str">
        <f>IF('Prod 1'!E994="","",'Prod 1'!E994+'BH (2)'!C993)</f>
        <v/>
      </c>
      <c r="T993" s="59"/>
      <c r="U993" s="91"/>
    </row>
    <row r="994" spans="9:21" ht="24.95" customHeight="1" x14ac:dyDescent="0.25">
      <c r="I994" s="106">
        <v>991</v>
      </c>
      <c r="J994" s="119" t="str">
        <f t="shared" si="47"/>
        <v/>
      </c>
      <c r="K994" s="92" t="str">
        <f>IF('Prod 1'!D995="","",'Prod 1'!D995)</f>
        <v/>
      </c>
      <c r="L994" s="119" t="str">
        <f>IF('Prod 1'!I995="","",'Prod 1'!I995+'BH (2)'!C994)</f>
        <v/>
      </c>
      <c r="M994" s="59"/>
      <c r="N994" s="91"/>
      <c r="Q994" s="119" t="str">
        <f t="shared" si="48"/>
        <v/>
      </c>
      <c r="R994" s="92" t="str">
        <f>IF('Prod 1'!D995="","",'Prod 1'!D995)</f>
        <v/>
      </c>
      <c r="S994" s="119" t="str">
        <f>IF('Prod 1'!E995="","",'Prod 1'!E995+'BH (2)'!C994)</f>
        <v/>
      </c>
      <c r="T994" s="59"/>
      <c r="U994" s="91"/>
    </row>
    <row r="995" spans="9:21" ht="24.95" customHeight="1" x14ac:dyDescent="0.25">
      <c r="I995" s="106">
        <v>992</v>
      </c>
      <c r="J995" s="119" t="str">
        <f t="shared" si="47"/>
        <v/>
      </c>
      <c r="K995" s="92" t="str">
        <f>IF('Prod 1'!D996="","",'Prod 1'!D996)</f>
        <v/>
      </c>
      <c r="L995" s="119" t="str">
        <f>IF('Prod 1'!I996="","",'Prod 1'!I996+'BH (2)'!C995)</f>
        <v/>
      </c>
      <c r="M995" s="59"/>
      <c r="N995" s="91"/>
      <c r="Q995" s="119" t="str">
        <f t="shared" si="48"/>
        <v/>
      </c>
      <c r="R995" s="92" t="str">
        <f>IF('Prod 1'!D996="","",'Prod 1'!D996)</f>
        <v/>
      </c>
      <c r="S995" s="119" t="str">
        <f>IF('Prod 1'!E996="","",'Prod 1'!E996+'BH (2)'!C995)</f>
        <v/>
      </c>
      <c r="T995" s="59"/>
      <c r="U995" s="91"/>
    </row>
    <row r="996" spans="9:21" ht="24.95" customHeight="1" x14ac:dyDescent="0.25">
      <c r="I996" s="106">
        <v>993</v>
      </c>
      <c r="J996" s="119" t="str">
        <f t="shared" si="47"/>
        <v/>
      </c>
      <c r="K996" s="92" t="str">
        <f>IF('Prod 1'!D997="","",'Prod 1'!D997)</f>
        <v/>
      </c>
      <c r="L996" s="119" t="str">
        <f>IF('Prod 1'!I997="","",'Prod 1'!I997+'BH (2)'!C996)</f>
        <v/>
      </c>
      <c r="M996" s="59"/>
      <c r="N996" s="91"/>
      <c r="Q996" s="119" t="str">
        <f t="shared" si="48"/>
        <v/>
      </c>
      <c r="R996" s="92" t="str">
        <f>IF('Prod 1'!D997="","",'Prod 1'!D997)</f>
        <v/>
      </c>
      <c r="S996" s="119" t="str">
        <f>IF('Prod 1'!E997="","",'Prod 1'!E997+'BH (2)'!C996)</f>
        <v/>
      </c>
      <c r="T996" s="59"/>
      <c r="U996" s="91"/>
    </row>
    <row r="997" spans="9:21" ht="24.95" customHeight="1" x14ac:dyDescent="0.25">
      <c r="I997" s="106">
        <v>994</v>
      </c>
      <c r="J997" s="119" t="str">
        <f t="shared" si="47"/>
        <v/>
      </c>
      <c r="K997" s="92" t="str">
        <f>IF('Prod 1'!D998="","",'Prod 1'!D998)</f>
        <v/>
      </c>
      <c r="L997" s="119" t="str">
        <f>IF('Prod 1'!I998="","",'Prod 1'!I998+'BH (2)'!C997)</f>
        <v/>
      </c>
      <c r="M997" s="59"/>
      <c r="N997" s="91"/>
      <c r="Q997" s="119" t="str">
        <f t="shared" si="48"/>
        <v/>
      </c>
      <c r="R997" s="92" t="str">
        <f>IF('Prod 1'!D998="","",'Prod 1'!D998)</f>
        <v/>
      </c>
      <c r="S997" s="119" t="str">
        <f>IF('Prod 1'!E998="","",'Prod 1'!E998+'BH (2)'!C997)</f>
        <v/>
      </c>
      <c r="T997" s="59"/>
      <c r="U997" s="91"/>
    </row>
    <row r="998" spans="9:21" ht="24.95" customHeight="1" x14ac:dyDescent="0.25">
      <c r="I998" s="106">
        <v>995</v>
      </c>
      <c r="J998" s="119" t="str">
        <f t="shared" si="47"/>
        <v/>
      </c>
      <c r="K998" s="92" t="str">
        <f>IF('Prod 1'!D999="","",'Prod 1'!D999)</f>
        <v/>
      </c>
      <c r="L998" s="119" t="str">
        <f>IF('Prod 1'!I999="","",'Prod 1'!I999+'BH (2)'!C998)</f>
        <v/>
      </c>
      <c r="M998" s="59"/>
      <c r="N998" s="91"/>
      <c r="Q998" s="119" t="str">
        <f t="shared" si="48"/>
        <v/>
      </c>
      <c r="R998" s="92" t="str">
        <f>IF('Prod 1'!D999="","",'Prod 1'!D999)</f>
        <v/>
      </c>
      <c r="S998" s="119" t="str">
        <f>IF('Prod 1'!E999="","",'Prod 1'!E999+'BH (2)'!C998)</f>
        <v/>
      </c>
      <c r="T998" s="59"/>
      <c r="U998" s="91"/>
    </row>
    <row r="999" spans="9:21" ht="24.95" customHeight="1" x14ac:dyDescent="0.25">
      <c r="I999" s="106">
        <v>996</v>
      </c>
      <c r="J999" s="119" t="str">
        <f t="shared" si="47"/>
        <v/>
      </c>
      <c r="K999" s="92" t="str">
        <f>IF('Prod 1'!D1000="","",'Prod 1'!D1000)</f>
        <v/>
      </c>
      <c r="L999" s="119" t="str">
        <f>IF('Prod 1'!I1000="","",'Prod 1'!I1000+'BH (2)'!C999)</f>
        <v/>
      </c>
      <c r="M999" s="59"/>
      <c r="N999" s="91"/>
      <c r="Q999" s="119" t="str">
        <f t="shared" si="48"/>
        <v/>
      </c>
      <c r="R999" s="92" t="str">
        <f>IF('Prod 1'!D1000="","",'Prod 1'!D1000)</f>
        <v/>
      </c>
      <c r="S999" s="119" t="str">
        <f>IF('Prod 1'!E1000="","",'Prod 1'!E1000+'BH (2)'!C999)</f>
        <v/>
      </c>
      <c r="T999" s="59"/>
      <c r="U999" s="91"/>
    </row>
    <row r="1000" spans="9:21" ht="24.95" customHeight="1" x14ac:dyDescent="0.25">
      <c r="I1000" s="106">
        <v>997</v>
      </c>
      <c r="J1000" s="119" t="str">
        <f t="shared" si="47"/>
        <v/>
      </c>
      <c r="K1000" s="92" t="str">
        <f>IF('Prod 1'!D1001="","",'Prod 1'!D1001)</f>
        <v/>
      </c>
      <c r="L1000" s="119" t="str">
        <f>IF('Prod 1'!I1001="","",'Prod 1'!I1001+'BH (2)'!C1000)</f>
        <v/>
      </c>
      <c r="M1000" s="59"/>
      <c r="N1000" s="91"/>
      <c r="Q1000" s="119" t="str">
        <f t="shared" si="48"/>
        <v/>
      </c>
      <c r="R1000" s="92" t="str">
        <f>IF('Prod 1'!D1001="","",'Prod 1'!D1001)</f>
        <v/>
      </c>
      <c r="S1000" s="119" t="str">
        <f>IF('Prod 1'!E1001="","",'Prod 1'!E1001+'BH (2)'!C1000)</f>
        <v/>
      </c>
      <c r="T1000" s="59"/>
      <c r="U1000" s="91"/>
    </row>
    <row r="1001" spans="9:21" ht="24.95" customHeight="1" x14ac:dyDescent="0.25">
      <c r="I1001" s="106">
        <v>998</v>
      </c>
      <c r="J1001" s="119" t="str">
        <f t="shared" si="47"/>
        <v/>
      </c>
      <c r="K1001" s="92" t="str">
        <f>IF('Prod 1'!D1002="","",'Prod 1'!D1002)</f>
        <v/>
      </c>
      <c r="L1001" s="119" t="str">
        <f>IF('Prod 1'!I1002="","",'Prod 1'!I1002+'BH (2)'!C1001)</f>
        <v/>
      </c>
      <c r="M1001" s="59"/>
      <c r="N1001" s="91"/>
      <c r="Q1001" s="119" t="str">
        <f t="shared" si="48"/>
        <v/>
      </c>
      <c r="R1001" s="92" t="str">
        <f>IF('Prod 1'!D1002="","",'Prod 1'!D1002)</f>
        <v/>
      </c>
      <c r="S1001" s="119" t="str">
        <f>IF('Prod 1'!E1002="","",'Prod 1'!E1002+'BH (2)'!C1001)</f>
        <v/>
      </c>
      <c r="T1001" s="59"/>
      <c r="U1001" s="91"/>
    </row>
    <row r="1002" spans="9:21" ht="24.95" customHeight="1" x14ac:dyDescent="0.25">
      <c r="I1002" s="106">
        <v>999</v>
      </c>
      <c r="J1002" s="119" t="str">
        <f t="shared" si="47"/>
        <v/>
      </c>
      <c r="K1002" s="92" t="str">
        <f>IF('Prod 1'!D1003="","",'Prod 1'!D1003)</f>
        <v/>
      </c>
      <c r="L1002" s="119" t="str">
        <f>IF('Prod 1'!I1003="","",'Prod 1'!I1003+'BH (2)'!C1002)</f>
        <v/>
      </c>
      <c r="M1002" s="59"/>
      <c r="N1002" s="91"/>
      <c r="Q1002" s="119" t="str">
        <f t="shared" si="48"/>
        <v/>
      </c>
      <c r="R1002" s="92" t="str">
        <f>IF('Prod 1'!D1003="","",'Prod 1'!D1003)</f>
        <v/>
      </c>
      <c r="S1002" s="119" t="str">
        <f>IF('Prod 1'!E1003="","",'Prod 1'!E1003+'BH (2)'!C1002)</f>
        <v/>
      </c>
      <c r="T1002" s="59"/>
      <c r="U1002" s="91"/>
    </row>
    <row r="1003" spans="9:21" ht="24.95" customHeight="1" x14ac:dyDescent="0.25">
      <c r="I1003" s="106">
        <v>1000</v>
      </c>
      <c r="J1003" s="119" t="str">
        <f t="shared" si="47"/>
        <v/>
      </c>
      <c r="K1003" s="92" t="str">
        <f>IF('Prod 1'!D1004="","",'Prod 1'!D1004)</f>
        <v/>
      </c>
      <c r="L1003" s="119" t="str">
        <f>IF('Prod 1'!I1004="","",'Prod 1'!I1004+'BH (2)'!C1003)</f>
        <v/>
      </c>
      <c r="M1003" s="59"/>
      <c r="N1003" s="91"/>
      <c r="Q1003" s="119" t="str">
        <f t="shared" si="48"/>
        <v/>
      </c>
      <c r="R1003" s="92" t="str">
        <f>IF('Prod 1'!D1004="","",'Prod 1'!D1004)</f>
        <v/>
      </c>
      <c r="S1003" s="119" t="str">
        <f>IF('Prod 1'!E1004="","",'Prod 1'!E1004+'BH (2)'!C1003)</f>
        <v/>
      </c>
      <c r="T1003" s="59"/>
      <c r="U1003" s="91"/>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tabColor rgb="FF00C5C0"/>
  </sheetPr>
  <dimension ref="C1:X29"/>
  <sheetViews>
    <sheetView showGridLines="0" showRowColHeaders="0" workbookViewId="0">
      <pane ySplit="2" topLeftCell="A3" activePane="bottomLeft" state="frozen"/>
      <selection pane="bottomLeft" activeCell="U14" sqref="U14"/>
    </sheetView>
  </sheetViews>
  <sheetFormatPr defaultRowHeight="15" customHeight="1" x14ac:dyDescent="0.25"/>
  <cols>
    <col min="1" max="1" width="2.7109375" style="4" customWidth="1"/>
    <col min="2" max="3" width="5.7109375" style="4" customWidth="1"/>
    <col min="4" max="4" width="9.140625" style="4"/>
    <col min="5" max="5" width="2.7109375" style="4" customWidth="1"/>
    <col min="6" max="6" width="9.140625" style="4" customWidth="1"/>
    <col min="7" max="16384" width="9.140625" style="4"/>
  </cols>
  <sheetData>
    <row r="1" spans="3:24" s="1" customFormat="1" ht="35.1" customHeight="1" x14ac:dyDescent="0.25"/>
    <row r="2" spans="3:24" s="3" customFormat="1" ht="30" customHeight="1" x14ac:dyDescent="0.25"/>
    <row r="5" spans="3:24" ht="15" customHeight="1" x14ac:dyDescent="0.25">
      <c r="C5" s="5" t="s">
        <v>1</v>
      </c>
      <c r="D5" s="6"/>
      <c r="E5" s="6"/>
      <c r="F5" s="6"/>
      <c r="G5" s="6"/>
      <c r="H5" s="6"/>
      <c r="I5" s="6"/>
      <c r="J5" s="6"/>
      <c r="K5" s="6"/>
      <c r="L5" s="6"/>
      <c r="M5" s="6"/>
      <c r="N5" s="6"/>
      <c r="O5" s="6"/>
      <c r="X5" s="72"/>
    </row>
    <row r="6" spans="3:24" ht="15" customHeight="1" x14ac:dyDescent="0.25">
      <c r="C6" s="7" t="s">
        <v>2</v>
      </c>
      <c r="D6" s="6"/>
      <c r="E6" s="6"/>
      <c r="F6" s="6"/>
      <c r="G6" s="6"/>
      <c r="H6" s="6"/>
      <c r="I6" s="6"/>
      <c r="J6" s="6"/>
      <c r="K6" s="6"/>
      <c r="L6" s="6"/>
      <c r="M6" s="6"/>
      <c r="N6" s="6"/>
      <c r="O6" s="6"/>
    </row>
    <row r="7" spans="3:24" ht="15" customHeight="1" x14ac:dyDescent="0.25">
      <c r="P7" s="8"/>
      <c r="Q7" s="9"/>
    </row>
    <row r="8" spans="3:24" ht="15" customHeight="1" x14ac:dyDescent="0.2">
      <c r="D8" s="9"/>
      <c r="F8" s="9"/>
      <c r="G8" s="10"/>
      <c r="P8" s="8"/>
      <c r="Q8" s="18"/>
    </row>
    <row r="9" spans="3:24" ht="15" customHeight="1" x14ac:dyDescent="0.25">
      <c r="D9" s="9"/>
      <c r="F9" s="9"/>
      <c r="P9" s="8"/>
      <c r="Q9" s="9"/>
    </row>
    <row r="10" spans="3:24" ht="15" customHeight="1" x14ac:dyDescent="0.25">
      <c r="D10" s="9" t="s">
        <v>3</v>
      </c>
      <c r="F10" s="9"/>
      <c r="G10" s="17" t="s">
        <v>12</v>
      </c>
      <c r="P10" s="8"/>
      <c r="Q10" s="9"/>
    </row>
    <row r="11" spans="3:24" ht="15" customHeight="1" x14ac:dyDescent="0.2">
      <c r="F11" s="9"/>
      <c r="P11" s="8"/>
      <c r="Q11" s="18"/>
    </row>
    <row r="12" spans="3:24" ht="15" customHeight="1" x14ac:dyDescent="0.25">
      <c r="D12" s="9" t="s">
        <v>4</v>
      </c>
      <c r="F12" s="9"/>
      <c r="G12" s="11" t="s">
        <v>5</v>
      </c>
      <c r="P12" s="8"/>
      <c r="Q12" s="9"/>
    </row>
    <row r="13" spans="3:24" ht="15" customHeight="1" x14ac:dyDescent="0.25">
      <c r="F13" s="9"/>
      <c r="P13" s="8"/>
      <c r="Q13" s="9"/>
    </row>
    <row r="14" spans="3:24" ht="15" customHeight="1" x14ac:dyDescent="0.2">
      <c r="D14" s="9" t="s">
        <v>6</v>
      </c>
      <c r="F14" s="9"/>
      <c r="G14" s="18" t="s">
        <v>13</v>
      </c>
      <c r="P14" s="8"/>
      <c r="Q14" s="18"/>
    </row>
    <row r="15" spans="3:24" ht="15" customHeight="1" x14ac:dyDescent="0.25">
      <c r="F15" s="9"/>
      <c r="P15" s="8"/>
      <c r="Q15" s="9"/>
    </row>
    <row r="16" spans="3:24" ht="15" customHeight="1" x14ac:dyDescent="0.25">
      <c r="D16" s="9"/>
      <c r="F16" s="9"/>
      <c r="G16" s="12"/>
      <c r="P16" s="8"/>
      <c r="Q16" s="9"/>
    </row>
    <row r="17" spans="4:22" ht="15" customHeight="1" x14ac:dyDescent="0.2">
      <c r="P17" s="8"/>
      <c r="Q17" s="18"/>
    </row>
    <row r="18" spans="4:22" ht="15" customHeight="1" x14ac:dyDescent="0.25">
      <c r="Q18" s="9"/>
    </row>
    <row r="19" spans="4:22" ht="15" customHeight="1" x14ac:dyDescent="0.25">
      <c r="D19" s="9"/>
    </row>
    <row r="21" spans="4:22" ht="15" customHeight="1" x14ac:dyDescent="0.25">
      <c r="D21" s="9" t="s">
        <v>7</v>
      </c>
    </row>
    <row r="22" spans="4:22" ht="15" customHeight="1" x14ac:dyDescent="0.25">
      <c r="D22" s="9"/>
    </row>
    <row r="23" spans="4:22" ht="15" customHeight="1" x14ac:dyDescent="0.25">
      <c r="D23" s="9" t="s">
        <v>8</v>
      </c>
    </row>
    <row r="24" spans="4:22" ht="15" customHeight="1" x14ac:dyDescent="0.25">
      <c r="D24" s="9"/>
    </row>
    <row r="25" spans="4:22" ht="15" customHeight="1" x14ac:dyDescent="0.25">
      <c r="D25" s="9" t="s">
        <v>9</v>
      </c>
      <c r="L25" s="13"/>
    </row>
    <row r="26" spans="4:22" ht="15" customHeight="1" x14ac:dyDescent="0.25">
      <c r="D26" s="9"/>
    </row>
    <row r="27" spans="4:22" ht="15" customHeight="1" x14ac:dyDescent="0.25">
      <c r="D27" s="9" t="s">
        <v>10</v>
      </c>
    </row>
    <row r="28" spans="4:22" ht="15" customHeight="1" x14ac:dyDescent="0.25">
      <c r="V28" s="14" t="s">
        <v>1102</v>
      </c>
    </row>
    <row r="29" spans="4:22" ht="15" customHeight="1" x14ac:dyDescent="0.25">
      <c r="V29" s="14" t="s">
        <v>11</v>
      </c>
    </row>
  </sheetData>
  <sheetProtection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hyperlinks>
    <hyperlink ref="G12" r:id="rId1" xr:uid="{00000000-0004-0000-0200-000000000000}"/>
    <hyperlink ref="G14" r:id="rId2" display="http://www.onsidecorporation.com.br/" xr:uid="{00000000-0004-0000-0200-000001000000}"/>
  </hyperlink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5">
    <tabColor theme="1"/>
  </sheetPr>
  <dimension ref="B3:D9"/>
  <sheetViews>
    <sheetView showGridLines="0" showRowColHeaders="0" workbookViewId="0">
      <selection activeCell="I12" sqref="I12"/>
    </sheetView>
  </sheetViews>
  <sheetFormatPr defaultRowHeight="15" x14ac:dyDescent="0.25"/>
  <sheetData>
    <row r="3" spans="2:4" x14ac:dyDescent="0.25">
      <c r="B3" s="26"/>
      <c r="C3" s="19" t="s">
        <v>15</v>
      </c>
      <c r="D3" s="33"/>
    </row>
    <row r="4" spans="2:4" x14ac:dyDescent="0.25">
      <c r="B4" s="27"/>
      <c r="C4" s="19" t="s">
        <v>16</v>
      </c>
      <c r="D4" s="39"/>
    </row>
    <row r="5" spans="2:4" x14ac:dyDescent="0.25">
      <c r="B5" s="28"/>
      <c r="C5" s="19" t="s">
        <v>17</v>
      </c>
      <c r="D5" s="38"/>
    </row>
    <row r="6" spans="2:4" x14ac:dyDescent="0.25">
      <c r="B6" s="29"/>
      <c r="C6" s="19" t="s">
        <v>18</v>
      </c>
      <c r="D6" s="37"/>
    </row>
    <row r="7" spans="2:4" x14ac:dyDescent="0.25">
      <c r="B7" s="30"/>
      <c r="C7" s="19" t="s">
        <v>19</v>
      </c>
      <c r="D7" s="36"/>
    </row>
    <row r="8" spans="2:4" x14ac:dyDescent="0.25">
      <c r="B8" s="31"/>
      <c r="C8" s="19" t="s">
        <v>20</v>
      </c>
      <c r="D8" s="35"/>
    </row>
    <row r="9" spans="2:4" x14ac:dyDescent="0.25">
      <c r="B9" s="32"/>
      <c r="C9" s="19" t="s">
        <v>21</v>
      </c>
      <c r="D9" s="34"/>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rgb="FFFF2F2F"/>
  </sheetPr>
  <dimension ref="A1"/>
  <sheetViews>
    <sheetView showGridLines="0" showRowColHeaders="0" tabSelected="1" workbookViewId="0">
      <selection activeCell="J21" sqref="J21"/>
    </sheetView>
  </sheetViews>
  <sheetFormatPr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rgb="FF00C5C0"/>
  </sheetPr>
  <dimension ref="A1"/>
  <sheetViews>
    <sheetView showGridLines="0" showRowColHeaders="0" workbookViewId="0">
      <selection activeCell="N13" sqref="N13"/>
    </sheetView>
  </sheetViews>
  <sheetFormatPr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rgb="FF00C5C0"/>
  </sheetPr>
  <dimension ref="A1:Y33"/>
  <sheetViews>
    <sheetView showGridLines="0" showRowColHeaders="0" workbookViewId="0">
      <pane ySplit="2" topLeftCell="A3" activePane="bottomLeft" state="frozen"/>
      <selection pane="bottomLeft" activeCell="N7" sqref="N7"/>
    </sheetView>
  </sheetViews>
  <sheetFormatPr defaultRowHeight="15" customHeight="1" x14ac:dyDescent="0.25"/>
  <cols>
    <col min="1" max="2" width="1.7109375" style="47" customWidth="1"/>
    <col min="3" max="3" width="2.7109375" style="47" customWidth="1"/>
    <col min="4" max="16384" width="9.140625" style="47"/>
  </cols>
  <sheetData>
    <row r="1" spans="2:25" s="1" customFormat="1" ht="35.1" customHeight="1" x14ac:dyDescent="0.25"/>
    <row r="2" spans="2:25" s="3" customFormat="1" ht="30" customHeight="1" x14ac:dyDescent="0.25"/>
    <row r="4" spans="2:25" ht="15" customHeight="1" x14ac:dyDescent="0.25">
      <c r="L4" s="48"/>
      <c r="M4" s="48"/>
      <c r="N4" s="48"/>
      <c r="O4" s="48"/>
      <c r="P4" s="48"/>
      <c r="Q4" s="48"/>
      <c r="R4" s="48"/>
      <c r="S4" s="48"/>
      <c r="T4" s="48"/>
      <c r="U4" s="48"/>
      <c r="V4" s="48"/>
      <c r="W4" s="48"/>
      <c r="X4" s="48"/>
      <c r="Y4" s="48"/>
    </row>
    <row r="5" spans="2:25" ht="15" customHeight="1" x14ac:dyDescent="0.25">
      <c r="L5" s="48"/>
      <c r="M5" s="48"/>
      <c r="N5" s="48"/>
      <c r="O5" s="48"/>
      <c r="P5" s="48"/>
      <c r="Q5" s="48"/>
      <c r="R5" s="48"/>
      <c r="S5" s="48"/>
      <c r="T5" s="48"/>
      <c r="U5" s="48"/>
      <c r="V5" s="48"/>
      <c r="W5" s="48"/>
      <c r="X5" s="48"/>
      <c r="Y5" s="48"/>
    </row>
    <row r="6" spans="2:25" ht="15" customHeight="1" x14ac:dyDescent="0.25">
      <c r="L6" s="48"/>
      <c r="M6" s="48"/>
      <c r="N6" s="48"/>
      <c r="O6" s="48"/>
      <c r="P6" s="48"/>
      <c r="Q6" s="48"/>
      <c r="R6" s="48"/>
      <c r="S6" s="48"/>
      <c r="T6" s="48"/>
      <c r="U6" s="48"/>
      <c r="V6" s="48"/>
      <c r="W6" s="48"/>
      <c r="X6" s="48"/>
      <c r="Y6" s="48"/>
    </row>
    <row r="7" spans="2:25" ht="15" customHeight="1" x14ac:dyDescent="0.25">
      <c r="L7" s="48"/>
      <c r="M7" s="48"/>
      <c r="N7" s="48"/>
      <c r="O7" s="48"/>
      <c r="P7" s="48"/>
      <c r="Q7" s="48"/>
      <c r="R7" s="48"/>
      <c r="S7" s="48"/>
      <c r="T7" s="48"/>
      <c r="U7" s="48"/>
      <c r="V7" s="48"/>
      <c r="W7" s="48"/>
      <c r="X7" s="48"/>
      <c r="Y7" s="48"/>
    </row>
    <row r="8" spans="2:25" ht="15" customHeight="1" x14ac:dyDescent="0.25">
      <c r="L8" s="48"/>
      <c r="M8" s="48"/>
      <c r="N8" s="48"/>
      <c r="O8" s="48"/>
      <c r="P8" s="48"/>
      <c r="Q8" s="48"/>
      <c r="R8" s="48"/>
      <c r="S8" s="48"/>
      <c r="T8" s="48"/>
      <c r="U8" s="48"/>
      <c r="V8" s="48"/>
      <c r="W8" s="48"/>
      <c r="X8" s="48"/>
      <c r="Y8" s="48"/>
    </row>
    <row r="9" spans="2:25" ht="15" customHeight="1" x14ac:dyDescent="0.25">
      <c r="L9" s="48"/>
      <c r="M9" s="48"/>
      <c r="N9" s="48"/>
      <c r="O9" s="48"/>
      <c r="P9" s="48"/>
      <c r="Q9" s="48"/>
      <c r="R9" s="48"/>
      <c r="S9" s="48"/>
      <c r="T9" s="48"/>
      <c r="U9" s="48"/>
      <c r="V9" s="48"/>
      <c r="W9" s="48"/>
      <c r="X9" s="48"/>
      <c r="Y9" s="48"/>
    </row>
    <row r="10" spans="2:25" ht="15" customHeight="1" x14ac:dyDescent="0.25">
      <c r="L10" s="48"/>
      <c r="M10" s="48"/>
      <c r="N10" s="48"/>
      <c r="O10" s="48"/>
      <c r="P10" s="48"/>
      <c r="Q10" s="48"/>
      <c r="R10" s="48"/>
      <c r="S10" s="48"/>
      <c r="T10" s="48"/>
      <c r="U10" s="48"/>
      <c r="V10" s="48"/>
      <c r="W10" s="48"/>
      <c r="X10" s="48"/>
      <c r="Y10" s="48"/>
    </row>
    <row r="11" spans="2:25" ht="15" customHeight="1" x14ac:dyDescent="0.25">
      <c r="L11" s="48"/>
      <c r="M11" s="48"/>
      <c r="N11" s="48"/>
      <c r="O11" s="48"/>
      <c r="P11" s="48"/>
      <c r="Q11" s="48"/>
      <c r="R11" s="48"/>
      <c r="S11" s="48"/>
      <c r="T11" s="48"/>
      <c r="U11" s="48"/>
      <c r="V11" s="48"/>
      <c r="W11" s="48"/>
      <c r="X11" s="48"/>
      <c r="Y11" s="48"/>
    </row>
    <row r="12" spans="2:25" ht="15" customHeight="1" x14ac:dyDescent="0.25">
      <c r="L12" s="48"/>
      <c r="M12" s="48"/>
      <c r="N12" s="48"/>
      <c r="O12" s="48"/>
      <c r="P12" s="48"/>
      <c r="Q12" s="48"/>
      <c r="R12" s="48"/>
      <c r="S12" s="48"/>
      <c r="T12" s="48"/>
      <c r="U12" s="48"/>
      <c r="V12" s="48"/>
      <c r="W12" s="48"/>
      <c r="X12" s="48"/>
      <c r="Y12" s="48"/>
    </row>
    <row r="13" spans="2:25" ht="15" customHeight="1" x14ac:dyDescent="0.25">
      <c r="L13" s="48"/>
      <c r="M13" s="48"/>
      <c r="N13" s="48"/>
      <c r="O13" s="48"/>
      <c r="P13" s="48"/>
      <c r="Q13" s="48"/>
      <c r="R13" s="48"/>
      <c r="S13" s="48"/>
      <c r="T13" s="48"/>
      <c r="U13" s="48"/>
      <c r="V13" s="48"/>
      <c r="W13" s="48"/>
      <c r="X13" s="48"/>
      <c r="Y13" s="48"/>
    </row>
    <row r="14" spans="2:25" ht="15" customHeight="1" x14ac:dyDescent="0.25">
      <c r="B14" s="48"/>
      <c r="C14" s="48"/>
      <c r="D14" s="48"/>
      <c r="E14" s="48"/>
      <c r="F14" s="48"/>
      <c r="G14" s="48"/>
      <c r="H14" s="48"/>
      <c r="I14" s="48"/>
      <c r="J14" s="48"/>
      <c r="K14" s="48"/>
      <c r="L14" s="48"/>
      <c r="M14" s="48"/>
      <c r="N14" s="48"/>
      <c r="O14" s="48"/>
      <c r="P14" s="48"/>
      <c r="Q14" s="48"/>
      <c r="R14" s="48"/>
      <c r="S14" s="48"/>
      <c r="T14" s="48"/>
      <c r="U14" s="48"/>
      <c r="V14" s="48"/>
      <c r="W14" s="48"/>
      <c r="X14" s="48"/>
      <c r="Y14" s="48"/>
    </row>
    <row r="15" spans="2:25" ht="15" customHeight="1" x14ac:dyDescent="0.25">
      <c r="B15" s="48"/>
      <c r="C15" s="48"/>
      <c r="D15" s="48"/>
      <c r="E15" s="48"/>
      <c r="F15" s="48"/>
      <c r="G15" s="48"/>
      <c r="H15" s="48"/>
      <c r="I15" s="48"/>
      <c r="J15" s="48"/>
      <c r="K15" s="48"/>
      <c r="L15" s="48"/>
      <c r="M15" s="48"/>
      <c r="N15" s="48"/>
      <c r="O15" s="48"/>
      <c r="P15" s="48"/>
      <c r="Q15" s="48"/>
      <c r="R15" s="48"/>
      <c r="S15" s="48"/>
      <c r="T15" s="48"/>
      <c r="U15" s="48"/>
      <c r="V15" s="48"/>
      <c r="W15" s="48"/>
      <c r="X15" s="48"/>
      <c r="Y15" s="48"/>
    </row>
    <row r="16" spans="2:25" ht="15" customHeight="1" x14ac:dyDescent="0.25">
      <c r="B16" s="48"/>
      <c r="E16" s="48"/>
      <c r="F16" s="48"/>
      <c r="G16" s="48"/>
      <c r="H16" s="48"/>
      <c r="I16" s="48"/>
      <c r="J16" s="48"/>
      <c r="K16" s="48"/>
      <c r="L16" s="48"/>
      <c r="M16" s="48"/>
      <c r="N16" s="48"/>
      <c r="O16" s="48"/>
      <c r="P16" s="48"/>
      <c r="Q16" s="48"/>
      <c r="R16" s="48"/>
      <c r="S16" s="48"/>
      <c r="T16" s="48"/>
      <c r="U16" s="48"/>
      <c r="V16" s="48"/>
      <c r="W16" s="48"/>
      <c r="X16" s="48"/>
      <c r="Y16" s="48"/>
    </row>
    <row r="17" spans="1:25" ht="15" customHeight="1" x14ac:dyDescent="0.25">
      <c r="B17" s="48"/>
      <c r="E17" s="48"/>
      <c r="F17" s="48"/>
      <c r="G17" s="48"/>
      <c r="H17" s="48"/>
      <c r="I17" s="48"/>
      <c r="J17" s="48"/>
      <c r="K17" s="48"/>
      <c r="L17" s="48"/>
      <c r="M17" s="48"/>
      <c r="N17" s="48"/>
      <c r="O17" s="48"/>
      <c r="P17" s="48"/>
      <c r="Q17" s="48"/>
      <c r="R17" s="48"/>
      <c r="S17" s="48"/>
      <c r="T17" s="48"/>
      <c r="U17" s="48"/>
      <c r="V17" s="48"/>
      <c r="W17" s="48"/>
      <c r="X17" s="48"/>
      <c r="Y17" s="48"/>
    </row>
    <row r="18" spans="1:25" ht="15" customHeight="1" x14ac:dyDescent="0.25">
      <c r="B18" s="48"/>
      <c r="E18" s="48"/>
      <c r="F18" s="48"/>
      <c r="G18" s="48"/>
      <c r="H18" s="48"/>
      <c r="I18" s="48"/>
      <c r="J18" s="48"/>
      <c r="K18" s="48"/>
      <c r="L18" s="48"/>
      <c r="M18" s="48"/>
      <c r="N18" s="48"/>
      <c r="O18" s="48"/>
      <c r="P18" s="48"/>
      <c r="Q18" s="48"/>
      <c r="R18" s="48"/>
      <c r="S18" s="48"/>
      <c r="T18" s="48"/>
      <c r="U18" s="48"/>
      <c r="V18" s="48"/>
      <c r="W18" s="48"/>
      <c r="X18" s="48"/>
      <c r="Y18" s="48"/>
    </row>
    <row r="19" spans="1:25" ht="15" customHeight="1" x14ac:dyDescent="0.25">
      <c r="B19" s="48"/>
      <c r="C19" s="49"/>
      <c r="D19" s="49"/>
      <c r="E19" s="49"/>
      <c r="F19" s="49"/>
      <c r="G19" s="49"/>
      <c r="H19" s="49"/>
      <c r="I19" s="49"/>
      <c r="J19" s="49"/>
      <c r="K19" s="49"/>
      <c r="L19" s="49"/>
      <c r="M19" s="49"/>
      <c r="N19" s="49"/>
      <c r="O19" s="49"/>
      <c r="P19" s="49"/>
      <c r="Q19" s="49"/>
      <c r="R19" s="48"/>
      <c r="S19" s="48"/>
      <c r="T19" s="48"/>
      <c r="U19" s="48"/>
      <c r="V19" s="48"/>
      <c r="W19" s="48"/>
      <c r="X19" s="48"/>
      <c r="Y19" s="48"/>
    </row>
    <row r="20" spans="1:25" ht="15" customHeight="1" x14ac:dyDescent="0.25">
      <c r="B20" s="48"/>
      <c r="C20" s="48"/>
      <c r="D20" s="48"/>
      <c r="E20" s="48"/>
      <c r="F20" s="48"/>
      <c r="G20" s="48"/>
      <c r="H20" s="48"/>
      <c r="I20" s="48"/>
      <c r="J20" s="48"/>
      <c r="K20" s="48"/>
      <c r="L20" s="48"/>
      <c r="M20" s="48"/>
      <c r="N20" s="48"/>
      <c r="O20" s="48"/>
      <c r="P20" s="48"/>
      <c r="Q20" s="50"/>
      <c r="R20" s="48"/>
      <c r="S20" s="48"/>
      <c r="T20" s="48"/>
      <c r="U20" s="48"/>
      <c r="V20" s="48"/>
      <c r="W20" s="48"/>
      <c r="X20" s="48"/>
      <c r="Y20" s="48"/>
    </row>
    <row r="21" spans="1:25" ht="15" customHeight="1" x14ac:dyDescent="0.25">
      <c r="B21" s="48"/>
      <c r="C21" s="133" t="s">
        <v>24</v>
      </c>
      <c r="D21" s="133"/>
      <c r="E21" s="133"/>
      <c r="F21" s="133"/>
      <c r="G21" s="133"/>
      <c r="H21" s="133"/>
      <c r="I21" s="133"/>
      <c r="J21" s="133"/>
      <c r="K21" s="133"/>
      <c r="L21" s="133"/>
      <c r="M21" s="133"/>
      <c r="N21" s="133"/>
      <c r="O21" s="133"/>
      <c r="P21" s="133"/>
      <c r="Q21" s="133"/>
      <c r="R21" s="133"/>
      <c r="S21" s="133"/>
      <c r="T21" s="133"/>
      <c r="U21" s="133"/>
      <c r="V21" s="48"/>
      <c r="W21" s="48"/>
      <c r="X21" s="48"/>
      <c r="Y21" s="48"/>
    </row>
    <row r="22" spans="1:25" ht="15" customHeight="1" x14ac:dyDescent="0.25">
      <c r="B22" s="48"/>
      <c r="C22" s="133"/>
      <c r="D22" s="133"/>
      <c r="E22" s="133"/>
      <c r="F22" s="133"/>
      <c r="G22" s="133"/>
      <c r="H22" s="133"/>
      <c r="I22" s="133"/>
      <c r="J22" s="133"/>
      <c r="K22" s="133"/>
      <c r="L22" s="133"/>
      <c r="M22" s="133"/>
      <c r="N22" s="133"/>
      <c r="O22" s="133"/>
      <c r="P22" s="133"/>
      <c r="Q22" s="133"/>
      <c r="R22" s="133"/>
      <c r="S22" s="133"/>
      <c r="T22" s="133"/>
      <c r="U22" s="133"/>
      <c r="V22" s="48"/>
      <c r="W22" s="48"/>
      <c r="X22" s="48"/>
      <c r="Y22" s="48"/>
    </row>
    <row r="23" spans="1:25" ht="15" customHeight="1" x14ac:dyDescent="0.25">
      <c r="B23" s="48"/>
      <c r="C23" s="48"/>
      <c r="D23" s="48"/>
      <c r="E23" s="48"/>
      <c r="F23" s="48"/>
      <c r="G23" s="48"/>
      <c r="H23" s="48"/>
      <c r="I23" s="48"/>
      <c r="J23" s="48"/>
      <c r="K23" s="48"/>
      <c r="L23" s="48"/>
      <c r="M23" s="48"/>
      <c r="N23" s="48"/>
      <c r="O23" s="48"/>
      <c r="P23" s="48"/>
      <c r="Q23" s="48"/>
      <c r="R23" s="48"/>
      <c r="S23" s="48"/>
      <c r="T23" s="48"/>
      <c r="U23" s="48"/>
      <c r="V23" s="48"/>
      <c r="W23" s="48"/>
      <c r="X23" s="48"/>
      <c r="Y23" s="48"/>
    </row>
    <row r="24" spans="1:25" ht="15" customHeight="1" x14ac:dyDescent="0.25">
      <c r="B24" s="48"/>
      <c r="C24" s="133" t="s">
        <v>25</v>
      </c>
      <c r="D24" s="133"/>
      <c r="E24" s="133"/>
      <c r="F24" s="133"/>
      <c r="G24" s="133"/>
      <c r="H24" s="133"/>
      <c r="I24" s="133"/>
      <c r="J24" s="133"/>
      <c r="K24" s="133"/>
      <c r="L24" s="133"/>
      <c r="M24" s="133"/>
      <c r="N24" s="133"/>
      <c r="O24" s="133"/>
      <c r="P24" s="133"/>
      <c r="Q24" s="133"/>
      <c r="R24" s="133"/>
      <c r="S24" s="133"/>
      <c r="T24" s="133"/>
      <c r="U24" s="133"/>
      <c r="V24" s="48"/>
      <c r="W24" s="48"/>
      <c r="X24" s="48"/>
      <c r="Y24" s="48"/>
    </row>
    <row r="25" spans="1:25" ht="15" customHeight="1" x14ac:dyDescent="0.25">
      <c r="B25" s="48"/>
      <c r="C25" s="133"/>
      <c r="D25" s="133"/>
      <c r="E25" s="133"/>
      <c r="F25" s="133"/>
      <c r="G25" s="133"/>
      <c r="H25" s="133"/>
      <c r="I25" s="133"/>
      <c r="J25" s="133"/>
      <c r="K25" s="133"/>
      <c r="L25" s="133"/>
      <c r="M25" s="133"/>
      <c r="N25" s="133"/>
      <c r="O25" s="133"/>
      <c r="P25" s="133"/>
      <c r="Q25" s="133"/>
      <c r="R25" s="133"/>
      <c r="S25" s="133"/>
      <c r="T25" s="133"/>
      <c r="U25" s="133"/>
      <c r="V25" s="48"/>
      <c r="W25" s="48"/>
      <c r="X25" s="48"/>
      <c r="Y25" s="48"/>
    </row>
    <row r="26" spans="1:25" ht="15" customHeight="1" x14ac:dyDescent="0.25">
      <c r="B26" s="48"/>
      <c r="C26" s="48"/>
      <c r="D26" s="48"/>
      <c r="E26" s="48"/>
      <c r="F26" s="48"/>
      <c r="G26" s="48"/>
      <c r="H26" s="48"/>
      <c r="I26" s="48"/>
      <c r="J26" s="48"/>
      <c r="K26" s="48"/>
      <c r="L26" s="48"/>
      <c r="M26" s="48"/>
      <c r="N26" s="48"/>
      <c r="O26" s="48"/>
      <c r="P26" s="48"/>
      <c r="Q26" s="48"/>
      <c r="R26" s="48"/>
      <c r="S26" s="48"/>
      <c r="T26" s="48"/>
      <c r="U26" s="48"/>
      <c r="V26" s="48"/>
      <c r="W26" s="48"/>
      <c r="X26" s="48"/>
      <c r="Y26" s="48"/>
    </row>
    <row r="27" spans="1:25" ht="15" customHeight="1" x14ac:dyDescent="0.25">
      <c r="B27" s="48"/>
      <c r="C27" s="133" t="s">
        <v>26</v>
      </c>
      <c r="D27" s="133"/>
      <c r="E27" s="133"/>
      <c r="F27" s="133"/>
      <c r="G27" s="133"/>
      <c r="H27" s="133"/>
      <c r="I27" s="133"/>
      <c r="J27" s="133"/>
      <c r="K27" s="133"/>
      <c r="L27" s="133"/>
      <c r="M27" s="133"/>
      <c r="N27" s="133"/>
      <c r="O27" s="133"/>
      <c r="P27" s="133"/>
      <c r="Q27" s="133"/>
      <c r="R27" s="133"/>
      <c r="S27" s="133"/>
      <c r="T27" s="133"/>
      <c r="U27" s="133"/>
      <c r="V27" s="48"/>
      <c r="W27" s="48"/>
      <c r="X27" s="48"/>
      <c r="Y27" s="48"/>
    </row>
    <row r="28" spans="1:25" ht="15" customHeight="1" x14ac:dyDescent="0.25">
      <c r="B28" s="48"/>
      <c r="C28" s="133"/>
      <c r="D28" s="133"/>
      <c r="E28" s="133"/>
      <c r="F28" s="133"/>
      <c r="G28" s="133"/>
      <c r="H28" s="133"/>
      <c r="I28" s="133"/>
      <c r="J28" s="133"/>
      <c r="K28" s="133"/>
      <c r="L28" s="133"/>
      <c r="M28" s="133"/>
      <c r="N28" s="133"/>
      <c r="O28" s="133"/>
      <c r="P28" s="133"/>
      <c r="Q28" s="133"/>
      <c r="R28" s="133"/>
      <c r="S28" s="133"/>
      <c r="T28" s="133"/>
      <c r="U28" s="133"/>
      <c r="V28" s="48"/>
      <c r="W28" s="48"/>
      <c r="X28" s="48"/>
      <c r="Y28" s="48"/>
    </row>
    <row r="29" spans="1:25" ht="15" customHeight="1" x14ac:dyDescent="0.25">
      <c r="B29" s="48"/>
      <c r="C29" s="48"/>
      <c r="D29" s="48"/>
      <c r="E29" s="48"/>
      <c r="F29" s="48"/>
      <c r="G29" s="48"/>
      <c r="H29" s="48"/>
      <c r="I29" s="48"/>
      <c r="J29" s="48"/>
      <c r="K29" s="48"/>
      <c r="L29" s="48"/>
      <c r="M29" s="48"/>
      <c r="N29" s="48"/>
      <c r="O29" s="48"/>
      <c r="P29" s="48"/>
      <c r="Q29" s="48"/>
      <c r="R29" s="48"/>
      <c r="S29" s="48"/>
      <c r="T29" s="48"/>
      <c r="U29" s="48"/>
      <c r="V29" s="48"/>
      <c r="W29" s="48"/>
      <c r="X29" s="48"/>
      <c r="Y29" s="48"/>
    </row>
    <row r="30" spans="1:25" ht="15" customHeight="1" x14ac:dyDescent="0.25">
      <c r="B30" s="48"/>
      <c r="C30" s="48"/>
      <c r="D30" s="48"/>
      <c r="E30" s="48"/>
      <c r="F30" s="48"/>
      <c r="G30" s="48"/>
      <c r="H30" s="48"/>
      <c r="I30" s="48"/>
      <c r="J30" s="48"/>
      <c r="K30" s="48"/>
      <c r="L30" s="48"/>
      <c r="M30" s="48"/>
      <c r="N30" s="48"/>
      <c r="O30" s="48"/>
      <c r="P30" s="48"/>
      <c r="Q30" s="48"/>
      <c r="R30" s="48"/>
      <c r="S30" s="48"/>
      <c r="T30" s="48"/>
      <c r="U30" s="48"/>
      <c r="V30" s="48"/>
      <c r="W30" s="48"/>
      <c r="X30" s="48"/>
      <c r="Y30" s="48"/>
    </row>
    <row r="31" spans="1:25" ht="15" customHeight="1" x14ac:dyDescent="0.25">
      <c r="A31" s="48"/>
      <c r="B31" s="48"/>
      <c r="C31" s="48"/>
      <c r="D31" s="48"/>
      <c r="E31" s="48"/>
      <c r="F31" s="48"/>
      <c r="G31" s="48"/>
      <c r="H31" s="48"/>
      <c r="I31" s="48"/>
      <c r="J31" s="48"/>
      <c r="K31" s="48"/>
      <c r="L31" s="48"/>
      <c r="M31" s="48"/>
      <c r="N31" s="48"/>
      <c r="O31" s="48"/>
      <c r="P31" s="48"/>
      <c r="Q31" s="48"/>
      <c r="R31" s="48"/>
      <c r="S31" s="48"/>
      <c r="T31" s="48"/>
      <c r="U31" s="48"/>
      <c r="V31" s="48"/>
      <c r="W31" s="48"/>
      <c r="X31" s="48"/>
      <c r="Y31" s="48"/>
    </row>
    <row r="32" spans="1:25" ht="15" customHeight="1" x14ac:dyDescent="0.25">
      <c r="A32" s="48"/>
      <c r="B32" s="48"/>
      <c r="C32" s="48"/>
      <c r="D32" s="48"/>
      <c r="E32" s="48"/>
      <c r="F32" s="48"/>
      <c r="G32" s="48"/>
      <c r="H32" s="48"/>
      <c r="I32" s="48"/>
      <c r="J32" s="48"/>
      <c r="K32" s="48"/>
      <c r="L32" s="48"/>
      <c r="M32" s="48"/>
      <c r="N32" s="48"/>
      <c r="O32" s="48"/>
      <c r="P32" s="48"/>
      <c r="Q32" s="48"/>
      <c r="R32" s="48"/>
      <c r="S32" s="48"/>
      <c r="T32" s="48"/>
      <c r="U32" s="48"/>
      <c r="V32" s="48"/>
      <c r="W32" s="48"/>
      <c r="X32" s="48"/>
      <c r="Y32" s="48"/>
    </row>
    <row r="33" spans="1:25" ht="15" customHeight="1" x14ac:dyDescent="0.25">
      <c r="A33" s="48"/>
      <c r="B33" s="48"/>
      <c r="C33" s="48"/>
      <c r="D33" s="48"/>
      <c r="E33" s="48"/>
      <c r="F33" s="48"/>
      <c r="G33" s="48"/>
      <c r="H33" s="48"/>
      <c r="I33" s="48"/>
      <c r="J33" s="48"/>
      <c r="K33" s="48"/>
      <c r="L33" s="48"/>
      <c r="M33" s="48"/>
      <c r="N33" s="48"/>
      <c r="O33" s="48"/>
      <c r="P33" s="48"/>
      <c r="Q33" s="48"/>
      <c r="R33" s="48"/>
      <c r="S33" s="48"/>
      <c r="T33" s="48"/>
      <c r="U33" s="48"/>
      <c r="V33" s="48"/>
      <c r="W33" s="48"/>
      <c r="X33" s="48"/>
      <c r="Y33" s="48"/>
    </row>
  </sheetData>
  <sheetProtection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9"/>
  <dimension ref="A1:A2"/>
  <sheetViews>
    <sheetView showRowColHeaders="0" workbookViewId="0">
      <pane ySplit="2" topLeftCell="A3" activePane="bottomLeft" state="frozen"/>
      <selection pane="bottomLeft" activeCell="S13" sqref="S13"/>
    </sheetView>
  </sheetViews>
  <sheetFormatPr defaultRowHeight="15" x14ac:dyDescent="0.25"/>
  <cols>
    <col min="1" max="1" width="2.7109375" style="25" customWidth="1"/>
    <col min="2" max="16384" width="9.140625" style="25"/>
  </cols>
  <sheetData>
    <row r="1" s="15" customFormat="1" ht="35.1" customHeight="1" x14ac:dyDescent="0.25"/>
    <row r="2" s="16" customFormat="1" ht="30" customHeight="1" x14ac:dyDescent="0.25"/>
  </sheetData>
  <sheetProtection selectLockedCells="1" selectUn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10">
    <tabColor rgb="FFFFC000"/>
  </sheetPr>
  <dimension ref="A1:A4"/>
  <sheetViews>
    <sheetView showGridLines="0" showRowColHeaders="0" workbookViewId="0">
      <pane ySplit="4" topLeftCell="A5" activePane="bottomLeft" state="frozen"/>
      <selection pane="bottomLeft" activeCell="G4" sqref="G4"/>
    </sheetView>
  </sheetViews>
  <sheetFormatPr defaultRowHeight="35.1" customHeight="1" x14ac:dyDescent="0.25"/>
  <cols>
    <col min="1" max="2" width="1.7109375" style="19" customWidth="1"/>
    <col min="3" max="3" width="12.7109375" style="19" customWidth="1"/>
    <col min="4" max="4" width="35.7109375" style="19" customWidth="1"/>
    <col min="5" max="5" width="15.7109375" style="19" customWidth="1"/>
    <col min="6" max="6" width="25.7109375" style="19" customWidth="1"/>
    <col min="7"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7170"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1"/>
  <dimension ref="C1:I506"/>
  <sheetViews>
    <sheetView showGridLines="0" showRowColHeaders="0" workbookViewId="0">
      <pane ySplit="6" topLeftCell="A7" activePane="bottomLeft" state="frozen"/>
      <selection pane="bottomLeft" activeCell="E7" sqref="E7"/>
    </sheetView>
  </sheetViews>
  <sheetFormatPr defaultRowHeight="30" customHeight="1" x14ac:dyDescent="0.25"/>
  <cols>
    <col min="1" max="2" width="1.7109375" style="19" customWidth="1"/>
    <col min="3" max="3" width="6.7109375" style="19" customWidth="1"/>
    <col min="4" max="4" width="35.7109375" style="19" customWidth="1"/>
    <col min="5" max="5" width="20.7109375" style="19" customWidth="1"/>
    <col min="6" max="6" width="10.7109375" style="19" customWidth="1"/>
    <col min="7" max="7" width="8.7109375" style="19" customWidth="1"/>
    <col min="8" max="8" width="35.7109375" style="19" customWidth="1"/>
    <col min="9" max="9" width="20.7109375" style="19" customWidth="1"/>
    <col min="10" max="10" width="11" style="19" bestFit="1" customWidth="1"/>
    <col min="11" max="16384" width="9.140625" style="19"/>
  </cols>
  <sheetData>
    <row r="1" spans="3:9" s="1" customFormat="1" ht="35.1" customHeight="1" x14ac:dyDescent="0.25"/>
    <row r="2" spans="3:9" s="3" customFormat="1" ht="30" customHeight="1" x14ac:dyDescent="0.25"/>
    <row r="3" spans="3:9" ht="30" customHeight="1" thickBot="1" x14ac:dyDescent="0.25">
      <c r="C3" s="52"/>
      <c r="D3" s="83"/>
      <c r="E3" s="83"/>
      <c r="H3" s="86"/>
      <c r="I3" s="86"/>
    </row>
    <row r="4" spans="3:9" ht="30" customHeight="1" thickBot="1" x14ac:dyDescent="0.25">
      <c r="C4" s="81"/>
      <c r="D4" s="82" t="s">
        <v>1068</v>
      </c>
      <c r="E4" s="84">
        <f>SUM($E$7:$E$506)</f>
        <v>5600</v>
      </c>
      <c r="G4" s="85"/>
      <c r="H4" s="87" t="s">
        <v>1062</v>
      </c>
      <c r="I4" s="88">
        <f>SUM($I$7:$I$9)</f>
        <v>5500</v>
      </c>
    </row>
    <row r="5" spans="3:9" ht="30" customHeight="1" thickBot="1" x14ac:dyDescent="0.25">
      <c r="C5" s="51"/>
    </row>
    <row r="6" spans="3:9" ht="21.95" customHeight="1" x14ac:dyDescent="0.25">
      <c r="C6" s="45" t="s">
        <v>22</v>
      </c>
      <c r="D6" s="46" t="s">
        <v>1075</v>
      </c>
      <c r="E6" s="43" t="s">
        <v>27</v>
      </c>
      <c r="G6" s="45" t="s">
        <v>22</v>
      </c>
      <c r="H6" s="46" t="s">
        <v>33</v>
      </c>
      <c r="I6" s="43" t="s">
        <v>27</v>
      </c>
    </row>
    <row r="7" spans="3:9" ht="30" customHeight="1" x14ac:dyDescent="0.25">
      <c r="C7" s="44">
        <v>1</v>
      </c>
      <c r="D7" s="41" t="s">
        <v>28</v>
      </c>
      <c r="E7" s="53">
        <v>800</v>
      </c>
      <c r="G7" s="44">
        <v>1</v>
      </c>
      <c r="H7" s="54" t="s">
        <v>1059</v>
      </c>
      <c r="I7" s="53">
        <v>5000</v>
      </c>
    </row>
    <row r="8" spans="3:9" ht="30" customHeight="1" x14ac:dyDescent="0.25">
      <c r="C8" s="42">
        <v>2</v>
      </c>
      <c r="D8" s="20" t="s">
        <v>29</v>
      </c>
      <c r="E8" s="53">
        <v>1000</v>
      </c>
      <c r="G8" s="42">
        <v>2</v>
      </c>
      <c r="H8" s="55" t="s">
        <v>1060</v>
      </c>
      <c r="I8" s="53">
        <v>500</v>
      </c>
    </row>
    <row r="9" spans="3:9" ht="30" customHeight="1" x14ac:dyDescent="0.25">
      <c r="C9" s="42">
        <v>3</v>
      </c>
      <c r="D9" s="20" t="s">
        <v>30</v>
      </c>
      <c r="E9" s="53">
        <v>700</v>
      </c>
      <c r="G9" s="42">
        <v>3</v>
      </c>
      <c r="H9" s="55" t="s">
        <v>1061</v>
      </c>
      <c r="I9" s="53">
        <v>0</v>
      </c>
    </row>
    <row r="10" spans="3:9" ht="30" customHeight="1" x14ac:dyDescent="0.25">
      <c r="C10" s="42">
        <v>4</v>
      </c>
      <c r="D10" s="20" t="s">
        <v>31</v>
      </c>
      <c r="E10" s="53">
        <v>300</v>
      </c>
    </row>
    <row r="11" spans="3:9" ht="30" customHeight="1" x14ac:dyDescent="0.25">
      <c r="C11" s="42">
        <v>5</v>
      </c>
      <c r="D11" s="20" t="s">
        <v>32</v>
      </c>
      <c r="E11" s="53">
        <v>800</v>
      </c>
    </row>
    <row r="12" spans="3:9" ht="30" customHeight="1" x14ac:dyDescent="0.25">
      <c r="C12" s="42">
        <v>6</v>
      </c>
      <c r="D12" s="20" t="s">
        <v>1076</v>
      </c>
      <c r="E12" s="53">
        <v>2000</v>
      </c>
    </row>
    <row r="13" spans="3:9" ht="30" customHeight="1" x14ac:dyDescent="0.25">
      <c r="C13" s="42">
        <v>7</v>
      </c>
      <c r="D13" s="20"/>
      <c r="E13" s="53"/>
    </row>
    <row r="14" spans="3:9" ht="30" customHeight="1" x14ac:dyDescent="0.25">
      <c r="C14" s="42">
        <v>8</v>
      </c>
      <c r="D14" s="20"/>
      <c r="E14" s="53"/>
    </row>
    <row r="15" spans="3:9" ht="30" customHeight="1" x14ac:dyDescent="0.25">
      <c r="C15" s="42">
        <v>9</v>
      </c>
      <c r="D15" s="20"/>
      <c r="E15" s="53"/>
    </row>
    <row r="16" spans="3:9" ht="30" customHeight="1" x14ac:dyDescent="0.25">
      <c r="C16" s="42">
        <v>10</v>
      </c>
      <c r="D16" s="20"/>
      <c r="E16" s="53"/>
    </row>
    <row r="17" spans="3:5" ht="30" customHeight="1" x14ac:dyDescent="0.25">
      <c r="C17" s="42">
        <v>11</v>
      </c>
      <c r="D17" s="20"/>
      <c r="E17" s="53"/>
    </row>
    <row r="18" spans="3:5" ht="30" customHeight="1" x14ac:dyDescent="0.25">
      <c r="C18" s="42">
        <v>12</v>
      </c>
      <c r="D18" s="20"/>
      <c r="E18" s="53"/>
    </row>
    <row r="19" spans="3:5" ht="30" customHeight="1" x14ac:dyDescent="0.25">
      <c r="C19" s="42">
        <v>13</v>
      </c>
      <c r="D19" s="20"/>
      <c r="E19" s="53"/>
    </row>
    <row r="20" spans="3:5" ht="30" customHeight="1" x14ac:dyDescent="0.25">
      <c r="C20" s="42">
        <v>14</v>
      </c>
      <c r="D20" s="20"/>
      <c r="E20" s="53"/>
    </row>
    <row r="21" spans="3:5" ht="30" customHeight="1" x14ac:dyDescent="0.25">
      <c r="C21" s="42">
        <v>15</v>
      </c>
      <c r="D21" s="20"/>
      <c r="E21" s="53"/>
    </row>
    <row r="22" spans="3:5" ht="30" customHeight="1" x14ac:dyDescent="0.25">
      <c r="C22" s="42">
        <v>16</v>
      </c>
      <c r="D22" s="20"/>
      <c r="E22" s="53"/>
    </row>
    <row r="23" spans="3:5" ht="30" customHeight="1" x14ac:dyDescent="0.25">
      <c r="C23" s="42">
        <v>17</v>
      </c>
      <c r="D23" s="20"/>
      <c r="E23" s="53"/>
    </row>
    <row r="24" spans="3:5" ht="30" customHeight="1" x14ac:dyDescent="0.25">
      <c r="C24" s="42">
        <v>18</v>
      </c>
      <c r="D24" s="20"/>
      <c r="E24" s="53"/>
    </row>
    <row r="25" spans="3:5" ht="30" customHeight="1" x14ac:dyDescent="0.25">
      <c r="C25" s="42">
        <v>19</v>
      </c>
      <c r="D25" s="20"/>
      <c r="E25" s="53"/>
    </row>
    <row r="26" spans="3:5" ht="30" customHeight="1" x14ac:dyDescent="0.25">
      <c r="C26" s="42">
        <v>20</v>
      </c>
      <c r="D26" s="20"/>
      <c r="E26" s="53"/>
    </row>
    <row r="27" spans="3:5" ht="30" customHeight="1" x14ac:dyDescent="0.25">
      <c r="C27" s="42">
        <v>21</v>
      </c>
      <c r="D27" s="20"/>
      <c r="E27" s="53"/>
    </row>
    <row r="28" spans="3:5" ht="30" customHeight="1" x14ac:dyDescent="0.25">
      <c r="C28" s="42">
        <v>22</v>
      </c>
      <c r="D28" s="20"/>
      <c r="E28" s="53"/>
    </row>
    <row r="29" spans="3:5" ht="30" customHeight="1" x14ac:dyDescent="0.25">
      <c r="C29" s="42">
        <v>23</v>
      </c>
      <c r="D29" s="20"/>
      <c r="E29" s="53"/>
    </row>
    <row r="30" spans="3:5" ht="30" customHeight="1" x14ac:dyDescent="0.25">
      <c r="C30" s="42">
        <v>24</v>
      </c>
      <c r="D30" s="20"/>
      <c r="E30" s="53"/>
    </row>
    <row r="31" spans="3:5" ht="30" customHeight="1" x14ac:dyDescent="0.25">
      <c r="C31" s="42">
        <v>25</v>
      </c>
      <c r="D31" s="20"/>
      <c r="E31" s="53"/>
    </row>
    <row r="32" spans="3:5" ht="30" customHeight="1" x14ac:dyDescent="0.25">
      <c r="C32" s="42">
        <v>26</v>
      </c>
      <c r="D32" s="20"/>
      <c r="E32" s="53"/>
    </row>
    <row r="33" spans="3:5" ht="30" customHeight="1" x14ac:dyDescent="0.25">
      <c r="C33" s="42">
        <v>27</v>
      </c>
      <c r="D33" s="20"/>
      <c r="E33" s="53"/>
    </row>
    <row r="34" spans="3:5" ht="30" customHeight="1" x14ac:dyDescent="0.25">
      <c r="C34" s="42">
        <v>28</v>
      </c>
      <c r="D34" s="20"/>
      <c r="E34" s="53"/>
    </row>
    <row r="35" spans="3:5" ht="30" customHeight="1" x14ac:dyDescent="0.25">
      <c r="C35" s="42">
        <v>29</v>
      </c>
      <c r="D35" s="20"/>
      <c r="E35" s="53"/>
    </row>
    <row r="36" spans="3:5" ht="30" customHeight="1" x14ac:dyDescent="0.25">
      <c r="C36" s="42">
        <v>30</v>
      </c>
      <c r="D36" s="20"/>
      <c r="E36" s="53"/>
    </row>
    <row r="37" spans="3:5" ht="30" customHeight="1" x14ac:dyDescent="0.25">
      <c r="C37" s="42">
        <v>31</v>
      </c>
      <c r="D37" s="20"/>
      <c r="E37" s="53"/>
    </row>
    <row r="38" spans="3:5" ht="30" customHeight="1" x14ac:dyDescent="0.25">
      <c r="C38" s="42">
        <v>32</v>
      </c>
      <c r="D38" s="20"/>
      <c r="E38" s="53"/>
    </row>
    <row r="39" spans="3:5" ht="30" customHeight="1" x14ac:dyDescent="0.25">
      <c r="C39" s="42">
        <v>33</v>
      </c>
      <c r="D39" s="20"/>
      <c r="E39" s="53"/>
    </row>
    <row r="40" spans="3:5" ht="30" customHeight="1" x14ac:dyDescent="0.25">
      <c r="C40" s="42">
        <v>34</v>
      </c>
      <c r="D40" s="20"/>
      <c r="E40" s="53"/>
    </row>
    <row r="41" spans="3:5" ht="30" customHeight="1" x14ac:dyDescent="0.25">
      <c r="C41" s="42">
        <v>35</v>
      </c>
      <c r="D41" s="20"/>
      <c r="E41" s="53"/>
    </row>
    <row r="42" spans="3:5" ht="30" customHeight="1" x14ac:dyDescent="0.25">
      <c r="C42" s="42">
        <v>36</v>
      </c>
      <c r="D42" s="20"/>
      <c r="E42" s="53"/>
    </row>
    <row r="43" spans="3:5" ht="30" customHeight="1" x14ac:dyDescent="0.25">
      <c r="C43" s="42">
        <v>37</v>
      </c>
      <c r="D43" s="20"/>
      <c r="E43" s="53"/>
    </row>
    <row r="44" spans="3:5" ht="30" customHeight="1" x14ac:dyDescent="0.25">
      <c r="C44" s="42">
        <v>38</v>
      </c>
      <c r="D44" s="20"/>
      <c r="E44" s="53"/>
    </row>
    <row r="45" spans="3:5" ht="30" customHeight="1" x14ac:dyDescent="0.25">
      <c r="C45" s="42">
        <v>39</v>
      </c>
      <c r="D45" s="20"/>
      <c r="E45" s="53"/>
    </row>
    <row r="46" spans="3:5" ht="30" customHeight="1" x14ac:dyDescent="0.25">
      <c r="C46" s="42">
        <v>40</v>
      </c>
      <c r="D46" s="20"/>
      <c r="E46" s="53"/>
    </row>
    <row r="47" spans="3:5" ht="30" customHeight="1" x14ac:dyDescent="0.25">
      <c r="C47" s="42">
        <v>41</v>
      </c>
      <c r="D47" s="20"/>
      <c r="E47" s="53"/>
    </row>
    <row r="48" spans="3:5" ht="30" customHeight="1" x14ac:dyDescent="0.25">
      <c r="C48" s="42">
        <v>42</v>
      </c>
      <c r="D48" s="20"/>
      <c r="E48" s="53"/>
    </row>
    <row r="49" spans="3:5" ht="30" customHeight="1" x14ac:dyDescent="0.25">
      <c r="C49" s="42">
        <v>43</v>
      </c>
      <c r="D49" s="20"/>
      <c r="E49" s="53"/>
    </row>
    <row r="50" spans="3:5" ht="30" customHeight="1" x14ac:dyDescent="0.25">
      <c r="C50" s="42">
        <v>44</v>
      </c>
      <c r="D50" s="20"/>
      <c r="E50" s="53"/>
    </row>
    <row r="51" spans="3:5" ht="30" customHeight="1" x14ac:dyDescent="0.25">
      <c r="C51" s="42">
        <v>45</v>
      </c>
      <c r="D51" s="20"/>
      <c r="E51" s="53"/>
    </row>
    <row r="52" spans="3:5" ht="30" customHeight="1" x14ac:dyDescent="0.25">
      <c r="C52" s="42">
        <v>46</v>
      </c>
      <c r="D52" s="20"/>
      <c r="E52" s="53"/>
    </row>
    <row r="53" spans="3:5" ht="30" customHeight="1" x14ac:dyDescent="0.25">
      <c r="C53" s="42">
        <v>47</v>
      </c>
      <c r="D53" s="20"/>
      <c r="E53" s="53"/>
    </row>
    <row r="54" spans="3:5" ht="30" customHeight="1" x14ac:dyDescent="0.25">
      <c r="C54" s="42">
        <v>48</v>
      </c>
      <c r="D54" s="20"/>
      <c r="E54" s="53"/>
    </row>
    <row r="55" spans="3:5" ht="30" customHeight="1" x14ac:dyDescent="0.25">
      <c r="C55" s="42">
        <v>49</v>
      </c>
      <c r="D55" s="20"/>
      <c r="E55" s="53"/>
    </row>
    <row r="56" spans="3:5" ht="30" customHeight="1" x14ac:dyDescent="0.25">
      <c r="C56" s="42">
        <v>50</v>
      </c>
      <c r="D56" s="20"/>
      <c r="E56" s="53"/>
    </row>
    <row r="57" spans="3:5" ht="30" customHeight="1" x14ac:dyDescent="0.25">
      <c r="C57" s="42">
        <v>51</v>
      </c>
      <c r="D57" s="20"/>
      <c r="E57" s="53"/>
    </row>
    <row r="58" spans="3:5" ht="30" customHeight="1" x14ac:dyDescent="0.25">
      <c r="C58" s="42">
        <v>52</v>
      </c>
      <c r="D58" s="20"/>
      <c r="E58" s="53"/>
    </row>
    <row r="59" spans="3:5" ht="30" customHeight="1" x14ac:dyDescent="0.25">
      <c r="C59" s="42">
        <v>53</v>
      </c>
      <c r="D59" s="20"/>
      <c r="E59" s="53"/>
    </row>
    <row r="60" spans="3:5" ht="30" customHeight="1" x14ac:dyDescent="0.25">
      <c r="C60" s="42">
        <v>54</v>
      </c>
      <c r="D60" s="20"/>
      <c r="E60" s="53"/>
    </row>
    <row r="61" spans="3:5" ht="30" customHeight="1" x14ac:dyDescent="0.25">
      <c r="C61" s="42">
        <v>55</v>
      </c>
      <c r="D61" s="20"/>
      <c r="E61" s="53"/>
    </row>
    <row r="62" spans="3:5" ht="30" customHeight="1" x14ac:dyDescent="0.25">
      <c r="C62" s="42">
        <v>56</v>
      </c>
      <c r="D62" s="20"/>
      <c r="E62" s="53"/>
    </row>
    <row r="63" spans="3:5" ht="30" customHeight="1" x14ac:dyDescent="0.25">
      <c r="C63" s="42">
        <v>57</v>
      </c>
      <c r="D63" s="20"/>
      <c r="E63" s="53"/>
    </row>
    <row r="64" spans="3:5" ht="30" customHeight="1" x14ac:dyDescent="0.25">
      <c r="C64" s="42">
        <v>58</v>
      </c>
      <c r="D64" s="20"/>
      <c r="E64" s="53"/>
    </row>
    <row r="65" spans="3:5" ht="30" customHeight="1" x14ac:dyDescent="0.25">
      <c r="C65" s="42">
        <v>59</v>
      </c>
      <c r="D65" s="20"/>
      <c r="E65" s="53"/>
    </row>
    <row r="66" spans="3:5" ht="30" customHeight="1" x14ac:dyDescent="0.25">
      <c r="C66" s="42">
        <v>60</v>
      </c>
      <c r="D66" s="20"/>
      <c r="E66" s="53"/>
    </row>
    <row r="67" spans="3:5" ht="30" customHeight="1" x14ac:dyDescent="0.25">
      <c r="C67" s="42">
        <v>61</v>
      </c>
      <c r="D67" s="20"/>
      <c r="E67" s="53"/>
    </row>
    <row r="68" spans="3:5" ht="30" customHeight="1" x14ac:dyDescent="0.25">
      <c r="C68" s="42">
        <v>62</v>
      </c>
      <c r="D68" s="20"/>
      <c r="E68" s="53"/>
    </row>
    <row r="69" spans="3:5" ht="30" customHeight="1" x14ac:dyDescent="0.25">
      <c r="C69" s="42">
        <v>63</v>
      </c>
      <c r="D69" s="20"/>
      <c r="E69" s="53"/>
    </row>
    <row r="70" spans="3:5" ht="30" customHeight="1" x14ac:dyDescent="0.25">
      <c r="C70" s="42">
        <v>64</v>
      </c>
      <c r="D70" s="20"/>
      <c r="E70" s="53"/>
    </row>
    <row r="71" spans="3:5" ht="30" customHeight="1" x14ac:dyDescent="0.25">
      <c r="C71" s="42">
        <v>65</v>
      </c>
      <c r="D71" s="20"/>
      <c r="E71" s="53"/>
    </row>
    <row r="72" spans="3:5" ht="30" customHeight="1" x14ac:dyDescent="0.25">
      <c r="C72" s="42">
        <v>66</v>
      </c>
      <c r="D72" s="20"/>
      <c r="E72" s="53"/>
    </row>
    <row r="73" spans="3:5" ht="30" customHeight="1" x14ac:dyDescent="0.25">
      <c r="C73" s="42">
        <v>67</v>
      </c>
      <c r="D73" s="20"/>
      <c r="E73" s="53"/>
    </row>
    <row r="74" spans="3:5" ht="30" customHeight="1" x14ac:dyDescent="0.25">
      <c r="C74" s="42">
        <v>68</v>
      </c>
      <c r="D74" s="20"/>
      <c r="E74" s="53"/>
    </row>
    <row r="75" spans="3:5" ht="30" customHeight="1" x14ac:dyDescent="0.25">
      <c r="C75" s="42">
        <v>69</v>
      </c>
      <c r="D75" s="20"/>
      <c r="E75" s="53"/>
    </row>
    <row r="76" spans="3:5" ht="30" customHeight="1" x14ac:dyDescent="0.25">
      <c r="C76" s="42">
        <v>70</v>
      </c>
      <c r="D76" s="20"/>
      <c r="E76" s="53"/>
    </row>
    <row r="77" spans="3:5" ht="30" customHeight="1" x14ac:dyDescent="0.25">
      <c r="C77" s="42">
        <v>71</v>
      </c>
      <c r="D77" s="20"/>
      <c r="E77" s="53"/>
    </row>
    <row r="78" spans="3:5" ht="30" customHeight="1" x14ac:dyDescent="0.25">
      <c r="C78" s="42">
        <v>72</v>
      </c>
      <c r="D78" s="20"/>
      <c r="E78" s="53"/>
    </row>
    <row r="79" spans="3:5" ht="30" customHeight="1" x14ac:dyDescent="0.25">
      <c r="C79" s="42">
        <v>73</v>
      </c>
      <c r="D79" s="20"/>
      <c r="E79" s="53"/>
    </row>
    <row r="80" spans="3:5" ht="30" customHeight="1" x14ac:dyDescent="0.25">
      <c r="C80" s="42">
        <v>74</v>
      </c>
      <c r="D80" s="20"/>
      <c r="E80" s="53"/>
    </row>
    <row r="81" spans="3:5" ht="30" customHeight="1" x14ac:dyDescent="0.25">
      <c r="C81" s="42">
        <v>75</v>
      </c>
      <c r="D81" s="20"/>
      <c r="E81" s="53"/>
    </row>
    <row r="82" spans="3:5" ht="30" customHeight="1" x14ac:dyDescent="0.25">
      <c r="C82" s="42">
        <v>76</v>
      </c>
      <c r="D82" s="20"/>
      <c r="E82" s="53"/>
    </row>
    <row r="83" spans="3:5" ht="30" customHeight="1" x14ac:dyDescent="0.25">
      <c r="C83" s="42">
        <v>77</v>
      </c>
      <c r="D83" s="20"/>
      <c r="E83" s="53"/>
    </row>
    <row r="84" spans="3:5" ht="30" customHeight="1" x14ac:dyDescent="0.25">
      <c r="C84" s="42">
        <v>78</v>
      </c>
      <c r="D84" s="20"/>
      <c r="E84" s="53"/>
    </row>
    <row r="85" spans="3:5" ht="30" customHeight="1" x14ac:dyDescent="0.25">
      <c r="C85" s="42">
        <v>79</v>
      </c>
      <c r="D85" s="20"/>
      <c r="E85" s="53"/>
    </row>
    <row r="86" spans="3:5" ht="30" customHeight="1" x14ac:dyDescent="0.25">
      <c r="C86" s="42">
        <v>80</v>
      </c>
      <c r="D86" s="20"/>
      <c r="E86" s="53"/>
    </row>
    <row r="87" spans="3:5" ht="30" customHeight="1" x14ac:dyDescent="0.25">
      <c r="C87" s="42">
        <v>81</v>
      </c>
      <c r="D87" s="20"/>
      <c r="E87" s="53"/>
    </row>
    <row r="88" spans="3:5" ht="30" customHeight="1" x14ac:dyDescent="0.25">
      <c r="C88" s="42">
        <v>82</v>
      </c>
      <c r="D88" s="20"/>
      <c r="E88" s="53"/>
    </row>
    <row r="89" spans="3:5" ht="30" customHeight="1" x14ac:dyDescent="0.25">
      <c r="C89" s="42">
        <v>83</v>
      </c>
      <c r="D89" s="20"/>
      <c r="E89" s="53"/>
    </row>
    <row r="90" spans="3:5" ht="30" customHeight="1" x14ac:dyDescent="0.25">
      <c r="C90" s="42">
        <v>84</v>
      </c>
      <c r="D90" s="20"/>
      <c r="E90" s="53"/>
    </row>
    <row r="91" spans="3:5" ht="30" customHeight="1" x14ac:dyDescent="0.25">
      <c r="C91" s="42">
        <v>85</v>
      </c>
      <c r="D91" s="20"/>
      <c r="E91" s="53"/>
    </row>
    <row r="92" spans="3:5" ht="30" customHeight="1" x14ac:dyDescent="0.25">
      <c r="C92" s="42">
        <v>86</v>
      </c>
      <c r="D92" s="20"/>
      <c r="E92" s="53"/>
    </row>
    <row r="93" spans="3:5" ht="30" customHeight="1" x14ac:dyDescent="0.25">
      <c r="C93" s="42">
        <v>87</v>
      </c>
      <c r="D93" s="20"/>
      <c r="E93" s="53"/>
    </row>
    <row r="94" spans="3:5" ht="30" customHeight="1" x14ac:dyDescent="0.25">
      <c r="C94" s="42">
        <v>88</v>
      </c>
      <c r="D94" s="20"/>
      <c r="E94" s="53"/>
    </row>
    <row r="95" spans="3:5" ht="30" customHeight="1" x14ac:dyDescent="0.25">
      <c r="C95" s="42">
        <v>89</v>
      </c>
      <c r="D95" s="20"/>
      <c r="E95" s="53"/>
    </row>
    <row r="96" spans="3:5" ht="30" customHeight="1" x14ac:dyDescent="0.25">
      <c r="C96" s="42">
        <v>90</v>
      </c>
      <c r="D96" s="20"/>
      <c r="E96" s="53"/>
    </row>
    <row r="97" spans="3:5" ht="30" customHeight="1" x14ac:dyDescent="0.25">
      <c r="C97" s="42">
        <v>91</v>
      </c>
      <c r="D97" s="20"/>
      <c r="E97" s="53"/>
    </row>
    <row r="98" spans="3:5" ht="30" customHeight="1" x14ac:dyDescent="0.25">
      <c r="C98" s="42">
        <v>92</v>
      </c>
      <c r="D98" s="20"/>
      <c r="E98" s="53"/>
    </row>
    <row r="99" spans="3:5" ht="30" customHeight="1" x14ac:dyDescent="0.25">
      <c r="C99" s="42">
        <v>93</v>
      </c>
      <c r="D99" s="20"/>
      <c r="E99" s="53"/>
    </row>
    <row r="100" spans="3:5" ht="30" customHeight="1" x14ac:dyDescent="0.25">
      <c r="C100" s="42">
        <v>94</v>
      </c>
      <c r="D100" s="20"/>
      <c r="E100" s="53"/>
    </row>
    <row r="101" spans="3:5" ht="30" customHeight="1" x14ac:dyDescent="0.25">
      <c r="C101" s="42">
        <v>95</v>
      </c>
      <c r="D101" s="20"/>
      <c r="E101" s="53"/>
    </row>
    <row r="102" spans="3:5" ht="30" customHeight="1" x14ac:dyDescent="0.25">
      <c r="C102" s="42">
        <v>96</v>
      </c>
      <c r="D102" s="20"/>
      <c r="E102" s="53"/>
    </row>
    <row r="103" spans="3:5" ht="30" customHeight="1" x14ac:dyDescent="0.25">
      <c r="C103" s="42">
        <v>97</v>
      </c>
      <c r="D103" s="20"/>
      <c r="E103" s="53"/>
    </row>
    <row r="104" spans="3:5" ht="30" customHeight="1" x14ac:dyDescent="0.25">
      <c r="C104" s="42">
        <v>98</v>
      </c>
      <c r="D104" s="20"/>
      <c r="E104" s="53"/>
    </row>
    <row r="105" spans="3:5" ht="30" customHeight="1" x14ac:dyDescent="0.25">
      <c r="C105" s="42">
        <v>99</v>
      </c>
      <c r="D105" s="20"/>
      <c r="E105" s="53"/>
    </row>
    <row r="106" spans="3:5" ht="30" customHeight="1" x14ac:dyDescent="0.25">
      <c r="C106" s="42">
        <v>100</v>
      </c>
      <c r="D106" s="20"/>
      <c r="E106" s="53"/>
    </row>
    <row r="107" spans="3:5" ht="30" customHeight="1" x14ac:dyDescent="0.25">
      <c r="C107" s="42">
        <v>101</v>
      </c>
      <c r="D107" s="20"/>
      <c r="E107" s="53"/>
    </row>
    <row r="108" spans="3:5" ht="30" customHeight="1" x14ac:dyDescent="0.25">
      <c r="C108" s="42">
        <v>102</v>
      </c>
      <c r="D108" s="20"/>
      <c r="E108" s="53"/>
    </row>
    <row r="109" spans="3:5" ht="30" customHeight="1" x14ac:dyDescent="0.25">
      <c r="C109" s="42">
        <v>103</v>
      </c>
      <c r="D109" s="20"/>
      <c r="E109" s="53"/>
    </row>
    <row r="110" spans="3:5" ht="30" customHeight="1" x14ac:dyDescent="0.25">
      <c r="C110" s="42">
        <v>104</v>
      </c>
      <c r="D110" s="20"/>
      <c r="E110" s="53"/>
    </row>
    <row r="111" spans="3:5" ht="30" customHeight="1" x14ac:dyDescent="0.25">
      <c r="C111" s="42">
        <v>105</v>
      </c>
      <c r="D111" s="20"/>
      <c r="E111" s="53"/>
    </row>
    <row r="112" spans="3:5" ht="30" customHeight="1" x14ac:dyDescent="0.25">
      <c r="C112" s="42">
        <v>106</v>
      </c>
      <c r="D112" s="20"/>
      <c r="E112" s="53"/>
    </row>
    <row r="113" spans="3:5" ht="30" customHeight="1" x14ac:dyDescent="0.25">
      <c r="C113" s="42">
        <v>107</v>
      </c>
      <c r="D113" s="20"/>
      <c r="E113" s="53"/>
    </row>
    <row r="114" spans="3:5" ht="30" customHeight="1" x14ac:dyDescent="0.25">
      <c r="C114" s="42">
        <v>108</v>
      </c>
      <c r="D114" s="20"/>
      <c r="E114" s="53"/>
    </row>
    <row r="115" spans="3:5" ht="30" customHeight="1" x14ac:dyDescent="0.25">
      <c r="C115" s="42">
        <v>109</v>
      </c>
      <c r="D115" s="20"/>
      <c r="E115" s="53"/>
    </row>
    <row r="116" spans="3:5" ht="30" customHeight="1" x14ac:dyDescent="0.25">
      <c r="C116" s="42">
        <v>110</v>
      </c>
      <c r="D116" s="20"/>
      <c r="E116" s="53"/>
    </row>
    <row r="117" spans="3:5" ht="30" customHeight="1" x14ac:dyDescent="0.25">
      <c r="C117" s="42">
        <v>111</v>
      </c>
      <c r="D117" s="20"/>
      <c r="E117" s="53"/>
    </row>
    <row r="118" spans="3:5" ht="30" customHeight="1" x14ac:dyDescent="0.25">
      <c r="C118" s="42">
        <v>112</v>
      </c>
      <c r="D118" s="20"/>
      <c r="E118" s="53"/>
    </row>
    <row r="119" spans="3:5" ht="30" customHeight="1" x14ac:dyDescent="0.25">
      <c r="C119" s="42">
        <v>113</v>
      </c>
      <c r="D119" s="20"/>
      <c r="E119" s="53"/>
    </row>
    <row r="120" spans="3:5" ht="30" customHeight="1" x14ac:dyDescent="0.25">
      <c r="C120" s="42">
        <v>114</v>
      </c>
      <c r="D120" s="20"/>
      <c r="E120" s="53"/>
    </row>
    <row r="121" spans="3:5" ht="30" customHeight="1" x14ac:dyDescent="0.25">
      <c r="C121" s="42">
        <v>115</v>
      </c>
      <c r="D121" s="20"/>
      <c r="E121" s="53"/>
    </row>
    <row r="122" spans="3:5" ht="30" customHeight="1" x14ac:dyDescent="0.25">
      <c r="C122" s="42">
        <v>116</v>
      </c>
      <c r="D122" s="20"/>
      <c r="E122" s="53"/>
    </row>
    <row r="123" spans="3:5" ht="30" customHeight="1" x14ac:dyDescent="0.25">
      <c r="C123" s="42">
        <v>117</v>
      </c>
      <c r="D123" s="20"/>
      <c r="E123" s="53"/>
    </row>
    <row r="124" spans="3:5" ht="30" customHeight="1" x14ac:dyDescent="0.25">
      <c r="C124" s="42">
        <v>118</v>
      </c>
      <c r="D124" s="20"/>
      <c r="E124" s="53"/>
    </row>
    <row r="125" spans="3:5" ht="30" customHeight="1" x14ac:dyDescent="0.25">
      <c r="C125" s="42">
        <v>119</v>
      </c>
      <c r="D125" s="20"/>
      <c r="E125" s="53"/>
    </row>
    <row r="126" spans="3:5" ht="30" customHeight="1" x14ac:dyDescent="0.25">
      <c r="C126" s="42">
        <v>120</v>
      </c>
      <c r="D126" s="20"/>
      <c r="E126" s="53"/>
    </row>
    <row r="127" spans="3:5" ht="30" customHeight="1" x14ac:dyDescent="0.25">
      <c r="C127" s="42">
        <v>121</v>
      </c>
      <c r="D127" s="20"/>
      <c r="E127" s="53"/>
    </row>
    <row r="128" spans="3:5" ht="30" customHeight="1" x14ac:dyDescent="0.25">
      <c r="C128" s="42">
        <v>122</v>
      </c>
      <c r="D128" s="20"/>
      <c r="E128" s="53"/>
    </row>
    <row r="129" spans="3:5" ht="30" customHeight="1" x14ac:dyDescent="0.25">
      <c r="C129" s="42">
        <v>123</v>
      </c>
      <c r="D129" s="20"/>
      <c r="E129" s="53"/>
    </row>
    <row r="130" spans="3:5" ht="30" customHeight="1" x14ac:dyDescent="0.25">
      <c r="C130" s="42">
        <v>124</v>
      </c>
      <c r="D130" s="20"/>
      <c r="E130" s="53"/>
    </row>
    <row r="131" spans="3:5" ht="30" customHeight="1" x14ac:dyDescent="0.25">
      <c r="C131" s="42">
        <v>125</v>
      </c>
      <c r="D131" s="20"/>
      <c r="E131" s="53"/>
    </row>
    <row r="132" spans="3:5" ht="30" customHeight="1" x14ac:dyDescent="0.25">
      <c r="C132" s="42">
        <v>126</v>
      </c>
      <c r="D132" s="20"/>
      <c r="E132" s="53"/>
    </row>
    <row r="133" spans="3:5" ht="30" customHeight="1" x14ac:dyDescent="0.25">
      <c r="C133" s="42">
        <v>127</v>
      </c>
      <c r="D133" s="20"/>
      <c r="E133" s="53"/>
    </row>
    <row r="134" spans="3:5" ht="30" customHeight="1" x14ac:dyDescent="0.25">
      <c r="C134" s="42">
        <v>128</v>
      </c>
      <c r="D134" s="20"/>
      <c r="E134" s="53"/>
    </row>
    <row r="135" spans="3:5" ht="30" customHeight="1" x14ac:dyDescent="0.25">
      <c r="C135" s="42">
        <v>129</v>
      </c>
      <c r="D135" s="20"/>
      <c r="E135" s="53"/>
    </row>
    <row r="136" spans="3:5" ht="30" customHeight="1" x14ac:dyDescent="0.25">
      <c r="C136" s="42">
        <v>130</v>
      </c>
      <c r="D136" s="20"/>
      <c r="E136" s="53"/>
    </row>
    <row r="137" spans="3:5" ht="30" customHeight="1" x14ac:dyDescent="0.25">
      <c r="C137" s="42">
        <v>131</v>
      </c>
      <c r="D137" s="20"/>
      <c r="E137" s="53"/>
    </row>
    <row r="138" spans="3:5" ht="30" customHeight="1" x14ac:dyDescent="0.25">
      <c r="C138" s="42">
        <v>132</v>
      </c>
      <c r="D138" s="20"/>
      <c r="E138" s="53"/>
    </row>
    <row r="139" spans="3:5" ht="30" customHeight="1" x14ac:dyDescent="0.25">
      <c r="C139" s="42">
        <v>133</v>
      </c>
      <c r="D139" s="20"/>
      <c r="E139" s="53"/>
    </row>
    <row r="140" spans="3:5" ht="30" customHeight="1" x14ac:dyDescent="0.25">
      <c r="C140" s="42">
        <v>134</v>
      </c>
      <c r="D140" s="20"/>
      <c r="E140" s="53"/>
    </row>
    <row r="141" spans="3:5" ht="30" customHeight="1" x14ac:dyDescent="0.25">
      <c r="C141" s="42">
        <v>135</v>
      </c>
      <c r="D141" s="20"/>
      <c r="E141" s="53"/>
    </row>
    <row r="142" spans="3:5" ht="30" customHeight="1" x14ac:dyDescent="0.25">
      <c r="C142" s="42">
        <v>136</v>
      </c>
      <c r="D142" s="20"/>
      <c r="E142" s="53"/>
    </row>
    <row r="143" spans="3:5" ht="30" customHeight="1" x14ac:dyDescent="0.25">
      <c r="C143" s="42">
        <v>137</v>
      </c>
      <c r="D143" s="20"/>
      <c r="E143" s="53"/>
    </row>
    <row r="144" spans="3:5" ht="30" customHeight="1" x14ac:dyDescent="0.25">
      <c r="C144" s="42">
        <v>138</v>
      </c>
      <c r="D144" s="20"/>
      <c r="E144" s="53"/>
    </row>
    <row r="145" spans="3:5" ht="30" customHeight="1" x14ac:dyDescent="0.25">
      <c r="C145" s="42">
        <v>139</v>
      </c>
      <c r="D145" s="20"/>
      <c r="E145" s="53"/>
    </row>
    <row r="146" spans="3:5" ht="30" customHeight="1" x14ac:dyDescent="0.25">
      <c r="C146" s="42">
        <v>140</v>
      </c>
      <c r="D146" s="20"/>
      <c r="E146" s="53"/>
    </row>
    <row r="147" spans="3:5" ht="30" customHeight="1" x14ac:dyDescent="0.25">
      <c r="C147" s="42">
        <v>141</v>
      </c>
      <c r="D147" s="20"/>
      <c r="E147" s="53"/>
    </row>
    <row r="148" spans="3:5" ht="30" customHeight="1" x14ac:dyDescent="0.25">
      <c r="C148" s="42">
        <v>142</v>
      </c>
      <c r="D148" s="20"/>
      <c r="E148" s="53"/>
    </row>
    <row r="149" spans="3:5" ht="30" customHeight="1" x14ac:dyDescent="0.25">
      <c r="C149" s="42">
        <v>143</v>
      </c>
      <c r="D149" s="20"/>
      <c r="E149" s="53"/>
    </row>
    <row r="150" spans="3:5" ht="30" customHeight="1" x14ac:dyDescent="0.25">
      <c r="C150" s="42">
        <v>144</v>
      </c>
      <c r="D150" s="20"/>
      <c r="E150" s="53"/>
    </row>
    <row r="151" spans="3:5" ht="30" customHeight="1" x14ac:dyDescent="0.25">
      <c r="C151" s="42">
        <v>145</v>
      </c>
      <c r="D151" s="20"/>
      <c r="E151" s="53"/>
    </row>
    <row r="152" spans="3:5" ht="30" customHeight="1" x14ac:dyDescent="0.25">
      <c r="C152" s="42">
        <v>146</v>
      </c>
      <c r="D152" s="20"/>
      <c r="E152" s="53"/>
    </row>
    <row r="153" spans="3:5" ht="30" customHeight="1" x14ac:dyDescent="0.25">
      <c r="C153" s="42">
        <v>147</v>
      </c>
      <c r="D153" s="20"/>
      <c r="E153" s="53"/>
    </row>
    <row r="154" spans="3:5" ht="30" customHeight="1" x14ac:dyDescent="0.25">
      <c r="C154" s="42">
        <v>148</v>
      </c>
      <c r="D154" s="20"/>
      <c r="E154" s="53"/>
    </row>
    <row r="155" spans="3:5" ht="30" customHeight="1" x14ac:dyDescent="0.25">
      <c r="C155" s="42">
        <v>149</v>
      </c>
      <c r="D155" s="20"/>
      <c r="E155" s="53"/>
    </row>
    <row r="156" spans="3:5" ht="30" customHeight="1" x14ac:dyDescent="0.25">
      <c r="C156" s="42">
        <v>150</v>
      </c>
      <c r="D156" s="20"/>
      <c r="E156" s="53"/>
    </row>
    <row r="157" spans="3:5" ht="30" customHeight="1" x14ac:dyDescent="0.25">
      <c r="C157" s="42">
        <v>151</v>
      </c>
      <c r="D157" s="20"/>
      <c r="E157" s="53"/>
    </row>
    <row r="158" spans="3:5" ht="30" customHeight="1" x14ac:dyDescent="0.25">
      <c r="C158" s="42">
        <v>152</v>
      </c>
      <c r="D158" s="20"/>
      <c r="E158" s="53"/>
    </row>
    <row r="159" spans="3:5" ht="30" customHeight="1" x14ac:dyDescent="0.25">
      <c r="C159" s="42">
        <v>153</v>
      </c>
      <c r="D159" s="20"/>
      <c r="E159" s="53"/>
    </row>
    <row r="160" spans="3:5" ht="30" customHeight="1" x14ac:dyDescent="0.25">
      <c r="C160" s="42">
        <v>154</v>
      </c>
      <c r="D160" s="20"/>
      <c r="E160" s="53"/>
    </row>
    <row r="161" spans="3:5" ht="30" customHeight="1" x14ac:dyDescent="0.25">
      <c r="C161" s="42">
        <v>155</v>
      </c>
      <c r="D161" s="20"/>
      <c r="E161" s="53"/>
    </row>
    <row r="162" spans="3:5" ht="30" customHeight="1" x14ac:dyDescent="0.25">
      <c r="C162" s="42">
        <v>156</v>
      </c>
      <c r="D162" s="20"/>
      <c r="E162" s="53"/>
    </row>
    <row r="163" spans="3:5" ht="30" customHeight="1" x14ac:dyDescent="0.25">
      <c r="C163" s="42">
        <v>157</v>
      </c>
      <c r="D163" s="20"/>
      <c r="E163" s="53"/>
    </row>
    <row r="164" spans="3:5" ht="30" customHeight="1" x14ac:dyDescent="0.25">
      <c r="C164" s="42">
        <v>158</v>
      </c>
      <c r="D164" s="20"/>
      <c r="E164" s="53"/>
    </row>
    <row r="165" spans="3:5" ht="30" customHeight="1" x14ac:dyDescent="0.25">
      <c r="C165" s="42">
        <v>159</v>
      </c>
      <c r="D165" s="20"/>
      <c r="E165" s="53"/>
    </row>
    <row r="166" spans="3:5" ht="30" customHeight="1" x14ac:dyDescent="0.25">
      <c r="C166" s="42">
        <v>160</v>
      </c>
      <c r="D166" s="20"/>
      <c r="E166" s="53"/>
    </row>
    <row r="167" spans="3:5" ht="30" customHeight="1" x14ac:dyDescent="0.25">
      <c r="C167" s="42">
        <v>161</v>
      </c>
      <c r="D167" s="20"/>
      <c r="E167" s="53"/>
    </row>
    <row r="168" spans="3:5" ht="30" customHeight="1" x14ac:dyDescent="0.25">
      <c r="C168" s="42">
        <v>162</v>
      </c>
      <c r="D168" s="20"/>
      <c r="E168" s="53"/>
    </row>
    <row r="169" spans="3:5" ht="30" customHeight="1" x14ac:dyDescent="0.25">
      <c r="C169" s="42">
        <v>163</v>
      </c>
      <c r="D169" s="20"/>
      <c r="E169" s="53"/>
    </row>
    <row r="170" spans="3:5" ht="30" customHeight="1" x14ac:dyDescent="0.25">
      <c r="C170" s="42">
        <v>164</v>
      </c>
      <c r="D170" s="20"/>
      <c r="E170" s="53"/>
    </row>
    <row r="171" spans="3:5" ht="30" customHeight="1" x14ac:dyDescent="0.25">
      <c r="C171" s="42">
        <v>165</v>
      </c>
      <c r="D171" s="20"/>
      <c r="E171" s="53"/>
    </row>
    <row r="172" spans="3:5" ht="30" customHeight="1" x14ac:dyDescent="0.25">
      <c r="C172" s="42">
        <v>166</v>
      </c>
      <c r="D172" s="20"/>
      <c r="E172" s="53"/>
    </row>
    <row r="173" spans="3:5" ht="30" customHeight="1" x14ac:dyDescent="0.25">
      <c r="C173" s="42">
        <v>167</v>
      </c>
      <c r="D173" s="20"/>
      <c r="E173" s="53"/>
    </row>
    <row r="174" spans="3:5" ht="30" customHeight="1" x14ac:dyDescent="0.25">
      <c r="C174" s="42">
        <v>168</v>
      </c>
      <c r="D174" s="20"/>
      <c r="E174" s="53"/>
    </row>
    <row r="175" spans="3:5" ht="30" customHeight="1" x14ac:dyDescent="0.25">
      <c r="C175" s="42">
        <v>169</v>
      </c>
      <c r="D175" s="20"/>
      <c r="E175" s="53"/>
    </row>
    <row r="176" spans="3:5" ht="30" customHeight="1" x14ac:dyDescent="0.25">
      <c r="C176" s="42">
        <v>170</v>
      </c>
      <c r="D176" s="20"/>
      <c r="E176" s="53"/>
    </row>
    <row r="177" spans="3:5" ht="30" customHeight="1" x14ac:dyDescent="0.25">
      <c r="C177" s="42">
        <v>171</v>
      </c>
      <c r="D177" s="20"/>
      <c r="E177" s="53"/>
    </row>
    <row r="178" spans="3:5" ht="30" customHeight="1" x14ac:dyDescent="0.25">
      <c r="C178" s="42">
        <v>172</v>
      </c>
      <c r="D178" s="20"/>
      <c r="E178" s="53"/>
    </row>
    <row r="179" spans="3:5" ht="30" customHeight="1" x14ac:dyDescent="0.25">
      <c r="C179" s="42">
        <v>173</v>
      </c>
      <c r="D179" s="20"/>
      <c r="E179" s="53"/>
    </row>
    <row r="180" spans="3:5" ht="30" customHeight="1" x14ac:dyDescent="0.25">
      <c r="C180" s="42">
        <v>174</v>
      </c>
      <c r="D180" s="20"/>
      <c r="E180" s="53"/>
    </row>
    <row r="181" spans="3:5" ht="30" customHeight="1" x14ac:dyDescent="0.25">
      <c r="C181" s="42">
        <v>175</v>
      </c>
      <c r="D181" s="20"/>
      <c r="E181" s="53"/>
    </row>
    <row r="182" spans="3:5" ht="30" customHeight="1" x14ac:dyDescent="0.25">
      <c r="C182" s="42">
        <v>176</v>
      </c>
      <c r="D182" s="20"/>
      <c r="E182" s="53"/>
    </row>
    <row r="183" spans="3:5" ht="30" customHeight="1" x14ac:dyDescent="0.25">
      <c r="C183" s="42">
        <v>177</v>
      </c>
      <c r="D183" s="20"/>
      <c r="E183" s="53"/>
    </row>
    <row r="184" spans="3:5" ht="30" customHeight="1" x14ac:dyDescent="0.25">
      <c r="C184" s="42">
        <v>178</v>
      </c>
      <c r="D184" s="20"/>
      <c r="E184" s="53"/>
    </row>
    <row r="185" spans="3:5" ht="30" customHeight="1" x14ac:dyDescent="0.25">
      <c r="C185" s="42">
        <v>179</v>
      </c>
      <c r="D185" s="20"/>
      <c r="E185" s="53"/>
    </row>
    <row r="186" spans="3:5" ht="30" customHeight="1" x14ac:dyDescent="0.25">
      <c r="C186" s="42">
        <v>180</v>
      </c>
      <c r="D186" s="20"/>
      <c r="E186" s="53"/>
    </row>
    <row r="187" spans="3:5" ht="30" customHeight="1" x14ac:dyDescent="0.25">
      <c r="C187" s="42">
        <v>181</v>
      </c>
      <c r="D187" s="20"/>
      <c r="E187" s="53"/>
    </row>
    <row r="188" spans="3:5" ht="30" customHeight="1" x14ac:dyDescent="0.25">
      <c r="C188" s="42">
        <v>182</v>
      </c>
      <c r="D188" s="20"/>
      <c r="E188" s="53"/>
    </row>
    <row r="189" spans="3:5" ht="30" customHeight="1" x14ac:dyDescent="0.25">
      <c r="C189" s="42">
        <v>183</v>
      </c>
      <c r="D189" s="20"/>
      <c r="E189" s="53"/>
    </row>
    <row r="190" spans="3:5" ht="30" customHeight="1" x14ac:dyDescent="0.25">
      <c r="C190" s="42">
        <v>184</v>
      </c>
      <c r="D190" s="20"/>
      <c r="E190" s="53"/>
    </row>
    <row r="191" spans="3:5" ht="30" customHeight="1" x14ac:dyDescent="0.25">
      <c r="C191" s="42">
        <v>185</v>
      </c>
      <c r="D191" s="20"/>
      <c r="E191" s="53"/>
    </row>
    <row r="192" spans="3:5" ht="30" customHeight="1" x14ac:dyDescent="0.25">
      <c r="C192" s="42">
        <v>186</v>
      </c>
      <c r="D192" s="20"/>
      <c r="E192" s="53"/>
    </row>
    <row r="193" spans="3:5" ht="30" customHeight="1" x14ac:dyDescent="0.25">
      <c r="C193" s="42">
        <v>187</v>
      </c>
      <c r="D193" s="20"/>
      <c r="E193" s="53"/>
    </row>
    <row r="194" spans="3:5" ht="30" customHeight="1" x14ac:dyDescent="0.25">
      <c r="C194" s="42">
        <v>188</v>
      </c>
      <c r="D194" s="20"/>
      <c r="E194" s="53"/>
    </row>
    <row r="195" spans="3:5" ht="30" customHeight="1" x14ac:dyDescent="0.25">
      <c r="C195" s="42">
        <v>189</v>
      </c>
      <c r="D195" s="20"/>
      <c r="E195" s="53"/>
    </row>
    <row r="196" spans="3:5" ht="30" customHeight="1" x14ac:dyDescent="0.25">
      <c r="C196" s="42">
        <v>190</v>
      </c>
      <c r="D196" s="20"/>
      <c r="E196" s="53"/>
    </row>
    <row r="197" spans="3:5" ht="30" customHeight="1" x14ac:dyDescent="0.25">
      <c r="C197" s="42">
        <v>191</v>
      </c>
      <c r="D197" s="20"/>
      <c r="E197" s="53"/>
    </row>
    <row r="198" spans="3:5" ht="30" customHeight="1" x14ac:dyDescent="0.25">
      <c r="C198" s="42">
        <v>192</v>
      </c>
      <c r="D198" s="20"/>
      <c r="E198" s="53"/>
    </row>
    <row r="199" spans="3:5" ht="30" customHeight="1" x14ac:dyDescent="0.25">
      <c r="C199" s="42">
        <v>193</v>
      </c>
      <c r="D199" s="20"/>
      <c r="E199" s="53"/>
    </row>
    <row r="200" spans="3:5" ht="30" customHeight="1" x14ac:dyDescent="0.25">
      <c r="C200" s="42">
        <v>194</v>
      </c>
      <c r="D200" s="20"/>
      <c r="E200" s="53"/>
    </row>
    <row r="201" spans="3:5" ht="30" customHeight="1" x14ac:dyDescent="0.25">
      <c r="C201" s="42">
        <v>195</v>
      </c>
      <c r="D201" s="20"/>
      <c r="E201" s="53"/>
    </row>
    <row r="202" spans="3:5" ht="30" customHeight="1" x14ac:dyDescent="0.25">
      <c r="C202" s="42">
        <v>196</v>
      </c>
      <c r="D202" s="20"/>
      <c r="E202" s="53"/>
    </row>
    <row r="203" spans="3:5" ht="30" customHeight="1" x14ac:dyDescent="0.25">
      <c r="C203" s="42">
        <v>197</v>
      </c>
      <c r="D203" s="20"/>
      <c r="E203" s="53"/>
    </row>
    <row r="204" spans="3:5" ht="30" customHeight="1" x14ac:dyDescent="0.25">
      <c r="C204" s="42">
        <v>198</v>
      </c>
      <c r="D204" s="20"/>
      <c r="E204" s="53"/>
    </row>
    <row r="205" spans="3:5" ht="30" customHeight="1" x14ac:dyDescent="0.25">
      <c r="C205" s="42">
        <v>199</v>
      </c>
      <c r="D205" s="20"/>
      <c r="E205" s="53"/>
    </row>
    <row r="206" spans="3:5" ht="30" customHeight="1" x14ac:dyDescent="0.25">
      <c r="C206" s="42">
        <v>200</v>
      </c>
      <c r="D206" s="20"/>
      <c r="E206" s="53"/>
    </row>
    <row r="207" spans="3:5" ht="30" customHeight="1" x14ac:dyDescent="0.25">
      <c r="C207" s="42">
        <v>201</v>
      </c>
      <c r="D207" s="20"/>
      <c r="E207" s="53"/>
    </row>
    <row r="208" spans="3:5" ht="30" customHeight="1" x14ac:dyDescent="0.25">
      <c r="C208" s="42">
        <v>202</v>
      </c>
      <c r="D208" s="20"/>
      <c r="E208" s="53"/>
    </row>
    <row r="209" spans="3:5" ht="30" customHeight="1" x14ac:dyDescent="0.25">
      <c r="C209" s="42">
        <v>203</v>
      </c>
      <c r="D209" s="20"/>
      <c r="E209" s="53"/>
    </row>
    <row r="210" spans="3:5" ht="30" customHeight="1" x14ac:dyDescent="0.25">
      <c r="C210" s="42">
        <v>204</v>
      </c>
      <c r="D210" s="20"/>
      <c r="E210" s="53"/>
    </row>
    <row r="211" spans="3:5" ht="30" customHeight="1" x14ac:dyDescent="0.25">
      <c r="C211" s="42">
        <v>205</v>
      </c>
      <c r="D211" s="20"/>
      <c r="E211" s="53"/>
    </row>
    <row r="212" spans="3:5" ht="30" customHeight="1" x14ac:dyDescent="0.25">
      <c r="C212" s="42">
        <v>206</v>
      </c>
      <c r="D212" s="20"/>
      <c r="E212" s="53"/>
    </row>
    <row r="213" spans="3:5" ht="30" customHeight="1" x14ac:dyDescent="0.25">
      <c r="C213" s="42">
        <v>207</v>
      </c>
      <c r="D213" s="20"/>
      <c r="E213" s="53"/>
    </row>
    <row r="214" spans="3:5" ht="30" customHeight="1" x14ac:dyDescent="0.25">
      <c r="C214" s="42">
        <v>208</v>
      </c>
      <c r="D214" s="20"/>
      <c r="E214" s="53"/>
    </row>
    <row r="215" spans="3:5" ht="30" customHeight="1" x14ac:dyDescent="0.25">
      <c r="C215" s="42">
        <v>209</v>
      </c>
      <c r="D215" s="20"/>
      <c r="E215" s="53"/>
    </row>
    <row r="216" spans="3:5" ht="30" customHeight="1" x14ac:dyDescent="0.25">
      <c r="C216" s="42">
        <v>210</v>
      </c>
      <c r="D216" s="20"/>
      <c r="E216" s="53"/>
    </row>
    <row r="217" spans="3:5" ht="30" customHeight="1" x14ac:dyDescent="0.25">
      <c r="C217" s="42">
        <v>211</v>
      </c>
      <c r="D217" s="20"/>
      <c r="E217" s="53"/>
    </row>
    <row r="218" spans="3:5" ht="30" customHeight="1" x14ac:dyDescent="0.25">
      <c r="C218" s="42">
        <v>212</v>
      </c>
      <c r="D218" s="20"/>
      <c r="E218" s="53"/>
    </row>
    <row r="219" spans="3:5" ht="30" customHeight="1" x14ac:dyDescent="0.25">
      <c r="C219" s="42">
        <v>213</v>
      </c>
      <c r="D219" s="20"/>
      <c r="E219" s="53"/>
    </row>
    <row r="220" spans="3:5" ht="30" customHeight="1" x14ac:dyDescent="0.25">
      <c r="C220" s="42">
        <v>214</v>
      </c>
      <c r="D220" s="20"/>
      <c r="E220" s="53"/>
    </row>
    <row r="221" spans="3:5" ht="30" customHeight="1" x14ac:dyDescent="0.25">
      <c r="C221" s="42">
        <v>215</v>
      </c>
      <c r="D221" s="20"/>
      <c r="E221" s="53"/>
    </row>
    <row r="222" spans="3:5" ht="30" customHeight="1" x14ac:dyDescent="0.25">
      <c r="C222" s="42">
        <v>216</v>
      </c>
      <c r="D222" s="20"/>
      <c r="E222" s="53"/>
    </row>
    <row r="223" spans="3:5" ht="30" customHeight="1" x14ac:dyDescent="0.25">
      <c r="C223" s="42">
        <v>217</v>
      </c>
      <c r="D223" s="20"/>
      <c r="E223" s="53"/>
    </row>
    <row r="224" spans="3:5" ht="30" customHeight="1" x14ac:dyDescent="0.25">
      <c r="C224" s="42">
        <v>218</v>
      </c>
      <c r="D224" s="20"/>
      <c r="E224" s="53"/>
    </row>
    <row r="225" spans="3:5" ht="30" customHeight="1" x14ac:dyDescent="0.25">
      <c r="C225" s="42">
        <v>219</v>
      </c>
      <c r="D225" s="20"/>
      <c r="E225" s="53"/>
    </row>
    <row r="226" spans="3:5" ht="30" customHeight="1" x14ac:dyDescent="0.25">
      <c r="C226" s="42">
        <v>220</v>
      </c>
      <c r="D226" s="20"/>
      <c r="E226" s="53"/>
    </row>
    <row r="227" spans="3:5" ht="30" customHeight="1" x14ac:dyDescent="0.25">
      <c r="C227" s="42">
        <v>221</v>
      </c>
      <c r="D227" s="20"/>
      <c r="E227" s="53"/>
    </row>
    <row r="228" spans="3:5" ht="30" customHeight="1" x14ac:dyDescent="0.25">
      <c r="C228" s="42">
        <v>222</v>
      </c>
      <c r="D228" s="20"/>
      <c r="E228" s="53"/>
    </row>
    <row r="229" spans="3:5" ht="30" customHeight="1" x14ac:dyDescent="0.25">
      <c r="C229" s="42">
        <v>223</v>
      </c>
      <c r="D229" s="20"/>
      <c r="E229" s="53"/>
    </row>
    <row r="230" spans="3:5" ht="30" customHeight="1" x14ac:dyDescent="0.25">
      <c r="C230" s="42">
        <v>224</v>
      </c>
      <c r="D230" s="20"/>
      <c r="E230" s="53"/>
    </row>
    <row r="231" spans="3:5" ht="30" customHeight="1" x14ac:dyDescent="0.25">
      <c r="C231" s="42">
        <v>225</v>
      </c>
      <c r="D231" s="20"/>
      <c r="E231" s="53"/>
    </row>
    <row r="232" spans="3:5" ht="30" customHeight="1" x14ac:dyDescent="0.25">
      <c r="C232" s="42">
        <v>226</v>
      </c>
      <c r="D232" s="20"/>
      <c r="E232" s="53"/>
    </row>
    <row r="233" spans="3:5" ht="30" customHeight="1" x14ac:dyDescent="0.25">
      <c r="C233" s="42">
        <v>227</v>
      </c>
      <c r="D233" s="20"/>
      <c r="E233" s="53"/>
    </row>
    <row r="234" spans="3:5" ht="30" customHeight="1" x14ac:dyDescent="0.25">
      <c r="C234" s="42">
        <v>228</v>
      </c>
      <c r="D234" s="20"/>
      <c r="E234" s="53"/>
    </row>
    <row r="235" spans="3:5" ht="30" customHeight="1" x14ac:dyDescent="0.25">
      <c r="C235" s="42">
        <v>229</v>
      </c>
      <c r="D235" s="20"/>
      <c r="E235" s="53"/>
    </row>
    <row r="236" spans="3:5" ht="30" customHeight="1" x14ac:dyDescent="0.25">
      <c r="C236" s="42">
        <v>230</v>
      </c>
      <c r="D236" s="20"/>
      <c r="E236" s="53"/>
    </row>
    <row r="237" spans="3:5" ht="30" customHeight="1" x14ac:dyDescent="0.25">
      <c r="C237" s="42">
        <v>231</v>
      </c>
      <c r="D237" s="20"/>
      <c r="E237" s="53"/>
    </row>
    <row r="238" spans="3:5" ht="30" customHeight="1" x14ac:dyDescent="0.25">
      <c r="C238" s="42">
        <v>232</v>
      </c>
      <c r="D238" s="20"/>
      <c r="E238" s="53"/>
    </row>
    <row r="239" spans="3:5" ht="30" customHeight="1" x14ac:dyDescent="0.25">
      <c r="C239" s="42">
        <v>233</v>
      </c>
      <c r="D239" s="20"/>
      <c r="E239" s="53"/>
    </row>
    <row r="240" spans="3:5" ht="30" customHeight="1" x14ac:dyDescent="0.25">
      <c r="C240" s="42">
        <v>234</v>
      </c>
      <c r="D240" s="20"/>
      <c r="E240" s="53"/>
    </row>
    <row r="241" spans="3:5" ht="30" customHeight="1" x14ac:dyDescent="0.25">
      <c r="C241" s="42">
        <v>235</v>
      </c>
      <c r="D241" s="20"/>
      <c r="E241" s="53"/>
    </row>
    <row r="242" spans="3:5" ht="30" customHeight="1" x14ac:dyDescent="0.25">
      <c r="C242" s="42">
        <v>236</v>
      </c>
      <c r="D242" s="20"/>
      <c r="E242" s="53"/>
    </row>
    <row r="243" spans="3:5" ht="30" customHeight="1" x14ac:dyDescent="0.25">
      <c r="C243" s="42">
        <v>237</v>
      </c>
      <c r="D243" s="20"/>
      <c r="E243" s="53"/>
    </row>
    <row r="244" spans="3:5" ht="30" customHeight="1" x14ac:dyDescent="0.25">
      <c r="C244" s="42">
        <v>238</v>
      </c>
      <c r="D244" s="20"/>
      <c r="E244" s="53"/>
    </row>
    <row r="245" spans="3:5" ht="30" customHeight="1" x14ac:dyDescent="0.25">
      <c r="C245" s="42">
        <v>239</v>
      </c>
      <c r="D245" s="20"/>
      <c r="E245" s="53"/>
    </row>
    <row r="246" spans="3:5" ht="30" customHeight="1" x14ac:dyDescent="0.25">
      <c r="C246" s="42">
        <v>240</v>
      </c>
      <c r="D246" s="20"/>
      <c r="E246" s="53"/>
    </row>
    <row r="247" spans="3:5" ht="30" customHeight="1" x14ac:dyDescent="0.25">
      <c r="C247" s="42">
        <v>241</v>
      </c>
      <c r="D247" s="20"/>
      <c r="E247" s="53"/>
    </row>
    <row r="248" spans="3:5" ht="30" customHeight="1" x14ac:dyDescent="0.25">
      <c r="C248" s="42">
        <v>242</v>
      </c>
      <c r="D248" s="20"/>
      <c r="E248" s="53"/>
    </row>
    <row r="249" spans="3:5" ht="30" customHeight="1" x14ac:dyDescent="0.25">
      <c r="C249" s="42">
        <v>243</v>
      </c>
      <c r="D249" s="20"/>
      <c r="E249" s="53"/>
    </row>
    <row r="250" spans="3:5" ht="30" customHeight="1" x14ac:dyDescent="0.25">
      <c r="C250" s="42">
        <v>244</v>
      </c>
      <c r="D250" s="20"/>
      <c r="E250" s="53"/>
    </row>
    <row r="251" spans="3:5" ht="30" customHeight="1" x14ac:dyDescent="0.25">
      <c r="C251" s="42">
        <v>245</v>
      </c>
      <c r="D251" s="20"/>
      <c r="E251" s="53"/>
    </row>
    <row r="252" spans="3:5" ht="30" customHeight="1" x14ac:dyDescent="0.25">
      <c r="C252" s="42">
        <v>246</v>
      </c>
      <c r="D252" s="20"/>
      <c r="E252" s="53"/>
    </row>
    <row r="253" spans="3:5" ht="30" customHeight="1" x14ac:dyDescent="0.25">
      <c r="C253" s="42">
        <v>247</v>
      </c>
      <c r="D253" s="20"/>
      <c r="E253" s="53"/>
    </row>
    <row r="254" spans="3:5" ht="30" customHeight="1" x14ac:dyDescent="0.25">
      <c r="C254" s="42">
        <v>248</v>
      </c>
      <c r="D254" s="20"/>
      <c r="E254" s="53"/>
    </row>
    <row r="255" spans="3:5" ht="30" customHeight="1" x14ac:dyDescent="0.25">
      <c r="C255" s="42">
        <v>249</v>
      </c>
      <c r="D255" s="20"/>
      <c r="E255" s="53"/>
    </row>
    <row r="256" spans="3:5" ht="30" customHeight="1" x14ac:dyDescent="0.25">
      <c r="C256" s="42">
        <v>250</v>
      </c>
      <c r="D256" s="20"/>
      <c r="E256" s="53"/>
    </row>
    <row r="257" spans="3:5" ht="30" customHeight="1" x14ac:dyDescent="0.25">
      <c r="C257" s="42">
        <v>251</v>
      </c>
      <c r="D257" s="20"/>
      <c r="E257" s="53"/>
    </row>
    <row r="258" spans="3:5" ht="30" customHeight="1" x14ac:dyDescent="0.25">
      <c r="C258" s="42">
        <v>252</v>
      </c>
      <c r="D258" s="20"/>
      <c r="E258" s="53"/>
    </row>
    <row r="259" spans="3:5" ht="30" customHeight="1" x14ac:dyDescent="0.25">
      <c r="C259" s="42">
        <v>253</v>
      </c>
      <c r="D259" s="20"/>
      <c r="E259" s="53"/>
    </row>
    <row r="260" spans="3:5" ht="30" customHeight="1" x14ac:dyDescent="0.25">
      <c r="C260" s="42">
        <v>254</v>
      </c>
      <c r="D260" s="20"/>
      <c r="E260" s="53"/>
    </row>
    <row r="261" spans="3:5" ht="30" customHeight="1" x14ac:dyDescent="0.25">
      <c r="C261" s="42">
        <v>255</v>
      </c>
      <c r="D261" s="20"/>
      <c r="E261" s="53"/>
    </row>
    <row r="262" spans="3:5" ht="30" customHeight="1" x14ac:dyDescent="0.25">
      <c r="C262" s="42">
        <v>256</v>
      </c>
      <c r="D262" s="20"/>
      <c r="E262" s="53"/>
    </row>
    <row r="263" spans="3:5" ht="30" customHeight="1" x14ac:dyDescent="0.25">
      <c r="C263" s="42">
        <v>257</v>
      </c>
      <c r="D263" s="20"/>
      <c r="E263" s="53"/>
    </row>
    <row r="264" spans="3:5" ht="30" customHeight="1" x14ac:dyDescent="0.25">
      <c r="C264" s="42">
        <v>258</v>
      </c>
      <c r="D264" s="20"/>
      <c r="E264" s="53"/>
    </row>
    <row r="265" spans="3:5" ht="30" customHeight="1" x14ac:dyDescent="0.25">
      <c r="C265" s="42">
        <v>259</v>
      </c>
      <c r="D265" s="20"/>
      <c r="E265" s="53"/>
    </row>
    <row r="266" spans="3:5" ht="30" customHeight="1" x14ac:dyDescent="0.25">
      <c r="C266" s="42">
        <v>260</v>
      </c>
      <c r="D266" s="20"/>
      <c r="E266" s="53"/>
    </row>
    <row r="267" spans="3:5" ht="30" customHeight="1" x14ac:dyDescent="0.25">
      <c r="C267" s="42">
        <v>261</v>
      </c>
      <c r="D267" s="20"/>
      <c r="E267" s="53"/>
    </row>
    <row r="268" spans="3:5" ht="30" customHeight="1" x14ac:dyDescent="0.25">
      <c r="C268" s="42">
        <v>262</v>
      </c>
      <c r="D268" s="20"/>
      <c r="E268" s="53"/>
    </row>
    <row r="269" spans="3:5" ht="30" customHeight="1" x14ac:dyDescent="0.25">
      <c r="C269" s="42">
        <v>263</v>
      </c>
      <c r="D269" s="20"/>
      <c r="E269" s="53"/>
    </row>
    <row r="270" spans="3:5" ht="30" customHeight="1" x14ac:dyDescent="0.25">
      <c r="C270" s="42">
        <v>264</v>
      </c>
      <c r="D270" s="20"/>
      <c r="E270" s="53"/>
    </row>
    <row r="271" spans="3:5" ht="30" customHeight="1" x14ac:dyDescent="0.25">
      <c r="C271" s="42">
        <v>265</v>
      </c>
      <c r="D271" s="20"/>
      <c r="E271" s="53"/>
    </row>
    <row r="272" spans="3:5" ht="30" customHeight="1" x14ac:dyDescent="0.25">
      <c r="C272" s="42">
        <v>266</v>
      </c>
      <c r="D272" s="20"/>
      <c r="E272" s="53"/>
    </row>
    <row r="273" spans="3:5" ht="30" customHeight="1" x14ac:dyDescent="0.25">
      <c r="C273" s="42">
        <v>267</v>
      </c>
      <c r="D273" s="20"/>
      <c r="E273" s="53"/>
    </row>
    <row r="274" spans="3:5" ht="30" customHeight="1" x14ac:dyDescent="0.25">
      <c r="C274" s="42">
        <v>268</v>
      </c>
      <c r="D274" s="20"/>
      <c r="E274" s="53"/>
    </row>
    <row r="275" spans="3:5" ht="30" customHeight="1" x14ac:dyDescent="0.25">
      <c r="C275" s="42">
        <v>269</v>
      </c>
      <c r="D275" s="20"/>
      <c r="E275" s="53"/>
    </row>
    <row r="276" spans="3:5" ht="30" customHeight="1" x14ac:dyDescent="0.25">
      <c r="C276" s="42">
        <v>270</v>
      </c>
      <c r="D276" s="20"/>
      <c r="E276" s="53"/>
    </row>
    <row r="277" spans="3:5" ht="30" customHeight="1" x14ac:dyDescent="0.25">
      <c r="C277" s="42">
        <v>271</v>
      </c>
      <c r="D277" s="20"/>
      <c r="E277" s="53"/>
    </row>
    <row r="278" spans="3:5" ht="30" customHeight="1" x14ac:dyDescent="0.25">
      <c r="C278" s="42">
        <v>272</v>
      </c>
      <c r="D278" s="20"/>
      <c r="E278" s="53"/>
    </row>
    <row r="279" spans="3:5" ht="30" customHeight="1" x14ac:dyDescent="0.25">
      <c r="C279" s="42">
        <v>273</v>
      </c>
      <c r="D279" s="20"/>
      <c r="E279" s="53"/>
    </row>
    <row r="280" spans="3:5" ht="30" customHeight="1" x14ac:dyDescent="0.25">
      <c r="C280" s="42">
        <v>274</v>
      </c>
      <c r="D280" s="20"/>
      <c r="E280" s="53"/>
    </row>
    <row r="281" spans="3:5" ht="30" customHeight="1" x14ac:dyDescent="0.25">
      <c r="C281" s="42">
        <v>275</v>
      </c>
      <c r="D281" s="20"/>
      <c r="E281" s="53"/>
    </row>
    <row r="282" spans="3:5" ht="30" customHeight="1" x14ac:dyDescent="0.25">
      <c r="C282" s="42">
        <v>276</v>
      </c>
      <c r="D282" s="20"/>
      <c r="E282" s="53"/>
    </row>
    <row r="283" spans="3:5" ht="30" customHeight="1" x14ac:dyDescent="0.25">
      <c r="C283" s="42">
        <v>277</v>
      </c>
      <c r="D283" s="20"/>
      <c r="E283" s="53"/>
    </row>
    <row r="284" spans="3:5" ht="30" customHeight="1" x14ac:dyDescent="0.25">
      <c r="C284" s="42">
        <v>278</v>
      </c>
      <c r="D284" s="20"/>
      <c r="E284" s="53"/>
    </row>
    <row r="285" spans="3:5" ht="30" customHeight="1" x14ac:dyDescent="0.25">
      <c r="C285" s="42">
        <v>279</v>
      </c>
      <c r="D285" s="20"/>
      <c r="E285" s="53"/>
    </row>
    <row r="286" spans="3:5" ht="30" customHeight="1" x14ac:dyDescent="0.25">
      <c r="C286" s="42">
        <v>280</v>
      </c>
      <c r="D286" s="20"/>
      <c r="E286" s="53"/>
    </row>
    <row r="287" spans="3:5" ht="30" customHeight="1" x14ac:dyDescent="0.25">
      <c r="C287" s="42">
        <v>281</v>
      </c>
      <c r="D287" s="20"/>
      <c r="E287" s="53"/>
    </row>
    <row r="288" spans="3:5" ht="30" customHeight="1" x14ac:dyDescent="0.25">
      <c r="C288" s="42">
        <v>282</v>
      </c>
      <c r="D288" s="20"/>
      <c r="E288" s="53"/>
    </row>
    <row r="289" spans="3:5" ht="30" customHeight="1" x14ac:dyDescent="0.25">
      <c r="C289" s="42">
        <v>283</v>
      </c>
      <c r="D289" s="20"/>
      <c r="E289" s="53"/>
    </row>
    <row r="290" spans="3:5" ht="30" customHeight="1" x14ac:dyDescent="0.25">
      <c r="C290" s="42">
        <v>284</v>
      </c>
      <c r="D290" s="20"/>
      <c r="E290" s="53"/>
    </row>
    <row r="291" spans="3:5" ht="30" customHeight="1" x14ac:dyDescent="0.25">
      <c r="C291" s="42">
        <v>285</v>
      </c>
      <c r="D291" s="20"/>
      <c r="E291" s="53"/>
    </row>
    <row r="292" spans="3:5" ht="30" customHeight="1" x14ac:dyDescent="0.25">
      <c r="C292" s="42">
        <v>286</v>
      </c>
      <c r="D292" s="20"/>
      <c r="E292" s="53"/>
    </row>
    <row r="293" spans="3:5" ht="30" customHeight="1" x14ac:dyDescent="0.25">
      <c r="C293" s="42">
        <v>287</v>
      </c>
      <c r="D293" s="20"/>
      <c r="E293" s="53"/>
    </row>
    <row r="294" spans="3:5" ht="30" customHeight="1" x14ac:dyDescent="0.25">
      <c r="C294" s="42">
        <v>288</v>
      </c>
      <c r="D294" s="20"/>
      <c r="E294" s="53"/>
    </row>
    <row r="295" spans="3:5" ht="30" customHeight="1" x14ac:dyDescent="0.25">
      <c r="C295" s="42">
        <v>289</v>
      </c>
      <c r="D295" s="20"/>
      <c r="E295" s="53"/>
    </row>
    <row r="296" spans="3:5" ht="30" customHeight="1" x14ac:dyDescent="0.25">
      <c r="C296" s="42">
        <v>290</v>
      </c>
      <c r="D296" s="20"/>
      <c r="E296" s="53"/>
    </row>
    <row r="297" spans="3:5" ht="30" customHeight="1" x14ac:dyDescent="0.25">
      <c r="C297" s="42">
        <v>291</v>
      </c>
      <c r="D297" s="20"/>
      <c r="E297" s="53"/>
    </row>
    <row r="298" spans="3:5" ht="30" customHeight="1" x14ac:dyDescent="0.25">
      <c r="C298" s="42">
        <v>292</v>
      </c>
      <c r="D298" s="20"/>
      <c r="E298" s="53"/>
    </row>
    <row r="299" spans="3:5" ht="30" customHeight="1" x14ac:dyDescent="0.25">
      <c r="C299" s="42">
        <v>293</v>
      </c>
      <c r="D299" s="20"/>
      <c r="E299" s="53"/>
    </row>
    <row r="300" spans="3:5" ht="30" customHeight="1" x14ac:dyDescent="0.25">
      <c r="C300" s="42">
        <v>294</v>
      </c>
      <c r="D300" s="20"/>
      <c r="E300" s="53"/>
    </row>
    <row r="301" spans="3:5" ht="30" customHeight="1" x14ac:dyDescent="0.25">
      <c r="C301" s="42">
        <v>295</v>
      </c>
      <c r="D301" s="20"/>
      <c r="E301" s="53"/>
    </row>
    <row r="302" spans="3:5" ht="30" customHeight="1" x14ac:dyDescent="0.25">
      <c r="C302" s="42">
        <v>296</v>
      </c>
      <c r="D302" s="20"/>
      <c r="E302" s="53"/>
    </row>
    <row r="303" spans="3:5" ht="30" customHeight="1" x14ac:dyDescent="0.25">
      <c r="C303" s="42">
        <v>297</v>
      </c>
      <c r="D303" s="20"/>
      <c r="E303" s="53"/>
    </row>
    <row r="304" spans="3:5" ht="30" customHeight="1" x14ac:dyDescent="0.25">
      <c r="C304" s="42">
        <v>298</v>
      </c>
      <c r="D304" s="20"/>
      <c r="E304" s="53"/>
    </row>
    <row r="305" spans="3:5" ht="30" customHeight="1" x14ac:dyDescent="0.25">
      <c r="C305" s="42">
        <v>299</v>
      </c>
      <c r="D305" s="20"/>
      <c r="E305" s="53"/>
    </row>
    <row r="306" spans="3:5" ht="30" customHeight="1" x14ac:dyDescent="0.25">
      <c r="C306" s="42">
        <v>300</v>
      </c>
      <c r="D306" s="20"/>
      <c r="E306" s="53"/>
    </row>
    <row r="307" spans="3:5" ht="30" customHeight="1" x14ac:dyDescent="0.25">
      <c r="C307" s="42">
        <v>301</v>
      </c>
      <c r="D307" s="20"/>
      <c r="E307" s="53"/>
    </row>
    <row r="308" spans="3:5" ht="30" customHeight="1" x14ac:dyDescent="0.25">
      <c r="C308" s="42">
        <v>302</v>
      </c>
      <c r="D308" s="20"/>
      <c r="E308" s="53"/>
    </row>
    <row r="309" spans="3:5" ht="30" customHeight="1" x14ac:dyDescent="0.25">
      <c r="C309" s="42">
        <v>303</v>
      </c>
      <c r="D309" s="20"/>
      <c r="E309" s="53"/>
    </row>
    <row r="310" spans="3:5" ht="30" customHeight="1" x14ac:dyDescent="0.25">
      <c r="C310" s="42">
        <v>304</v>
      </c>
      <c r="D310" s="20"/>
      <c r="E310" s="53"/>
    </row>
    <row r="311" spans="3:5" ht="30" customHeight="1" x14ac:dyDescent="0.25">
      <c r="C311" s="42">
        <v>305</v>
      </c>
      <c r="D311" s="20"/>
      <c r="E311" s="53"/>
    </row>
    <row r="312" spans="3:5" ht="30" customHeight="1" x14ac:dyDescent="0.25">
      <c r="C312" s="42">
        <v>306</v>
      </c>
      <c r="D312" s="20"/>
      <c r="E312" s="53"/>
    </row>
    <row r="313" spans="3:5" ht="30" customHeight="1" x14ac:dyDescent="0.25">
      <c r="C313" s="42">
        <v>307</v>
      </c>
      <c r="D313" s="20"/>
      <c r="E313" s="53"/>
    </row>
    <row r="314" spans="3:5" ht="30" customHeight="1" x14ac:dyDescent="0.25">
      <c r="C314" s="42">
        <v>308</v>
      </c>
      <c r="D314" s="20"/>
      <c r="E314" s="53"/>
    </row>
    <row r="315" spans="3:5" ht="30" customHeight="1" x14ac:dyDescent="0.25">
      <c r="C315" s="42">
        <v>309</v>
      </c>
      <c r="D315" s="20"/>
      <c r="E315" s="53"/>
    </row>
    <row r="316" spans="3:5" ht="30" customHeight="1" x14ac:dyDescent="0.25">
      <c r="C316" s="42">
        <v>310</v>
      </c>
      <c r="D316" s="20"/>
      <c r="E316" s="53"/>
    </row>
    <row r="317" spans="3:5" ht="30" customHeight="1" x14ac:dyDescent="0.25">
      <c r="C317" s="42">
        <v>311</v>
      </c>
      <c r="D317" s="20"/>
      <c r="E317" s="53"/>
    </row>
    <row r="318" spans="3:5" ht="30" customHeight="1" x14ac:dyDescent="0.25">
      <c r="C318" s="42">
        <v>312</v>
      </c>
      <c r="D318" s="20"/>
      <c r="E318" s="53"/>
    </row>
    <row r="319" spans="3:5" ht="30" customHeight="1" x14ac:dyDescent="0.25">
      <c r="C319" s="42">
        <v>313</v>
      </c>
      <c r="D319" s="20"/>
      <c r="E319" s="53"/>
    </row>
    <row r="320" spans="3:5" ht="30" customHeight="1" x14ac:dyDescent="0.25">
      <c r="C320" s="42">
        <v>314</v>
      </c>
      <c r="D320" s="20"/>
      <c r="E320" s="53"/>
    </row>
    <row r="321" spans="3:5" ht="30" customHeight="1" x14ac:dyDescent="0.25">
      <c r="C321" s="42">
        <v>315</v>
      </c>
      <c r="D321" s="20"/>
      <c r="E321" s="53"/>
    </row>
    <row r="322" spans="3:5" ht="30" customHeight="1" x14ac:dyDescent="0.25">
      <c r="C322" s="42">
        <v>316</v>
      </c>
      <c r="D322" s="20"/>
      <c r="E322" s="53"/>
    </row>
    <row r="323" spans="3:5" ht="30" customHeight="1" x14ac:dyDescent="0.25">
      <c r="C323" s="42">
        <v>317</v>
      </c>
      <c r="D323" s="20"/>
      <c r="E323" s="53"/>
    </row>
    <row r="324" spans="3:5" ht="30" customHeight="1" x14ac:dyDescent="0.25">
      <c r="C324" s="42">
        <v>318</v>
      </c>
      <c r="D324" s="20"/>
      <c r="E324" s="53"/>
    </row>
    <row r="325" spans="3:5" ht="30" customHeight="1" x14ac:dyDescent="0.25">
      <c r="C325" s="42">
        <v>319</v>
      </c>
      <c r="D325" s="20"/>
      <c r="E325" s="53"/>
    </row>
    <row r="326" spans="3:5" ht="30" customHeight="1" x14ac:dyDescent="0.25">
      <c r="C326" s="42">
        <v>320</v>
      </c>
      <c r="D326" s="20"/>
      <c r="E326" s="53"/>
    </row>
    <row r="327" spans="3:5" ht="30" customHeight="1" x14ac:dyDescent="0.25">
      <c r="C327" s="42">
        <v>321</v>
      </c>
      <c r="D327" s="20"/>
      <c r="E327" s="53"/>
    </row>
    <row r="328" spans="3:5" ht="30" customHeight="1" x14ac:dyDescent="0.25">
      <c r="C328" s="42">
        <v>322</v>
      </c>
      <c r="D328" s="20"/>
      <c r="E328" s="53"/>
    </row>
    <row r="329" spans="3:5" ht="30" customHeight="1" x14ac:dyDescent="0.25">
      <c r="C329" s="42">
        <v>323</v>
      </c>
      <c r="D329" s="20"/>
      <c r="E329" s="53"/>
    </row>
    <row r="330" spans="3:5" ht="30" customHeight="1" x14ac:dyDescent="0.25">
      <c r="C330" s="42">
        <v>324</v>
      </c>
      <c r="D330" s="20"/>
      <c r="E330" s="53"/>
    </row>
    <row r="331" spans="3:5" ht="30" customHeight="1" x14ac:dyDescent="0.25">
      <c r="C331" s="42">
        <v>325</v>
      </c>
      <c r="D331" s="20"/>
      <c r="E331" s="53"/>
    </row>
    <row r="332" spans="3:5" ht="30" customHeight="1" x14ac:dyDescent="0.25">
      <c r="C332" s="42">
        <v>326</v>
      </c>
      <c r="D332" s="20"/>
      <c r="E332" s="53"/>
    </row>
    <row r="333" spans="3:5" ht="30" customHeight="1" x14ac:dyDescent="0.25">
      <c r="C333" s="42">
        <v>327</v>
      </c>
      <c r="D333" s="20"/>
      <c r="E333" s="53"/>
    </row>
    <row r="334" spans="3:5" ht="30" customHeight="1" x14ac:dyDescent="0.25">
      <c r="C334" s="42">
        <v>328</v>
      </c>
      <c r="D334" s="20"/>
      <c r="E334" s="53"/>
    </row>
    <row r="335" spans="3:5" ht="30" customHeight="1" x14ac:dyDescent="0.25">
      <c r="C335" s="42">
        <v>329</v>
      </c>
      <c r="D335" s="20"/>
      <c r="E335" s="53"/>
    </row>
    <row r="336" spans="3:5" ht="30" customHeight="1" x14ac:dyDescent="0.25">
      <c r="C336" s="42">
        <v>330</v>
      </c>
      <c r="D336" s="20"/>
      <c r="E336" s="53"/>
    </row>
    <row r="337" spans="3:5" ht="30" customHeight="1" x14ac:dyDescent="0.25">
      <c r="C337" s="42">
        <v>331</v>
      </c>
      <c r="D337" s="20"/>
      <c r="E337" s="53"/>
    </row>
    <row r="338" spans="3:5" ht="30" customHeight="1" x14ac:dyDescent="0.25">
      <c r="C338" s="42">
        <v>332</v>
      </c>
      <c r="D338" s="20"/>
      <c r="E338" s="53"/>
    </row>
    <row r="339" spans="3:5" ht="30" customHeight="1" x14ac:dyDescent="0.25">
      <c r="C339" s="42">
        <v>333</v>
      </c>
      <c r="D339" s="20"/>
      <c r="E339" s="53"/>
    </row>
    <row r="340" spans="3:5" ht="30" customHeight="1" x14ac:dyDescent="0.25">
      <c r="C340" s="42">
        <v>334</v>
      </c>
      <c r="D340" s="20"/>
      <c r="E340" s="53"/>
    </row>
    <row r="341" spans="3:5" ht="30" customHeight="1" x14ac:dyDescent="0.25">
      <c r="C341" s="42">
        <v>335</v>
      </c>
      <c r="D341" s="20"/>
      <c r="E341" s="53"/>
    </row>
    <row r="342" spans="3:5" ht="30" customHeight="1" x14ac:dyDescent="0.25">
      <c r="C342" s="42">
        <v>336</v>
      </c>
      <c r="D342" s="20"/>
      <c r="E342" s="53"/>
    </row>
    <row r="343" spans="3:5" ht="30" customHeight="1" x14ac:dyDescent="0.25">
      <c r="C343" s="42">
        <v>337</v>
      </c>
      <c r="D343" s="20"/>
      <c r="E343" s="53"/>
    </row>
    <row r="344" spans="3:5" ht="30" customHeight="1" x14ac:dyDescent="0.25">
      <c r="C344" s="42">
        <v>338</v>
      </c>
      <c r="D344" s="20"/>
      <c r="E344" s="53"/>
    </row>
    <row r="345" spans="3:5" ht="30" customHeight="1" x14ac:dyDescent="0.25">
      <c r="C345" s="42">
        <v>339</v>
      </c>
      <c r="D345" s="20"/>
      <c r="E345" s="53"/>
    </row>
    <row r="346" spans="3:5" ht="30" customHeight="1" x14ac:dyDescent="0.25">
      <c r="C346" s="42">
        <v>340</v>
      </c>
      <c r="D346" s="20"/>
      <c r="E346" s="53"/>
    </row>
    <row r="347" spans="3:5" ht="30" customHeight="1" x14ac:dyDescent="0.25">
      <c r="C347" s="42">
        <v>341</v>
      </c>
      <c r="D347" s="20"/>
      <c r="E347" s="53"/>
    </row>
    <row r="348" spans="3:5" ht="30" customHeight="1" x14ac:dyDescent="0.25">
      <c r="C348" s="42">
        <v>342</v>
      </c>
      <c r="D348" s="20"/>
      <c r="E348" s="53"/>
    </row>
    <row r="349" spans="3:5" ht="30" customHeight="1" x14ac:dyDescent="0.25">
      <c r="C349" s="42">
        <v>343</v>
      </c>
      <c r="D349" s="20"/>
      <c r="E349" s="53"/>
    </row>
    <row r="350" spans="3:5" ht="30" customHeight="1" x14ac:dyDescent="0.25">
      <c r="C350" s="42">
        <v>344</v>
      </c>
      <c r="D350" s="20"/>
      <c r="E350" s="53"/>
    </row>
    <row r="351" spans="3:5" ht="30" customHeight="1" x14ac:dyDescent="0.25">
      <c r="C351" s="42">
        <v>345</v>
      </c>
      <c r="D351" s="20"/>
      <c r="E351" s="53"/>
    </row>
    <row r="352" spans="3:5" ht="30" customHeight="1" x14ac:dyDescent="0.25">
      <c r="C352" s="42">
        <v>346</v>
      </c>
      <c r="D352" s="20"/>
      <c r="E352" s="53"/>
    </row>
    <row r="353" spans="3:5" ht="30" customHeight="1" x14ac:dyDescent="0.25">
      <c r="C353" s="42">
        <v>347</v>
      </c>
      <c r="D353" s="20"/>
      <c r="E353" s="53"/>
    </row>
    <row r="354" spans="3:5" ht="30" customHeight="1" x14ac:dyDescent="0.25">
      <c r="C354" s="42">
        <v>348</v>
      </c>
      <c r="D354" s="20"/>
      <c r="E354" s="53"/>
    </row>
    <row r="355" spans="3:5" ht="30" customHeight="1" x14ac:dyDescent="0.25">
      <c r="C355" s="42">
        <v>349</v>
      </c>
      <c r="D355" s="20"/>
      <c r="E355" s="53"/>
    </row>
    <row r="356" spans="3:5" ht="30" customHeight="1" x14ac:dyDescent="0.25">
      <c r="C356" s="42">
        <v>350</v>
      </c>
      <c r="D356" s="20"/>
      <c r="E356" s="53"/>
    </row>
    <row r="357" spans="3:5" ht="30" customHeight="1" x14ac:dyDescent="0.25">
      <c r="C357" s="42">
        <v>351</v>
      </c>
      <c r="D357" s="20"/>
      <c r="E357" s="53"/>
    </row>
    <row r="358" spans="3:5" ht="30" customHeight="1" x14ac:dyDescent="0.25">
      <c r="C358" s="42">
        <v>352</v>
      </c>
      <c r="D358" s="20"/>
      <c r="E358" s="53"/>
    </row>
    <row r="359" spans="3:5" ht="30" customHeight="1" x14ac:dyDescent="0.25">
      <c r="C359" s="42">
        <v>353</v>
      </c>
      <c r="D359" s="20"/>
      <c r="E359" s="53"/>
    </row>
    <row r="360" spans="3:5" ht="30" customHeight="1" x14ac:dyDescent="0.25">
      <c r="C360" s="42">
        <v>354</v>
      </c>
      <c r="D360" s="20"/>
      <c r="E360" s="53"/>
    </row>
    <row r="361" spans="3:5" ht="30" customHeight="1" x14ac:dyDescent="0.25">
      <c r="C361" s="42">
        <v>355</v>
      </c>
      <c r="D361" s="20"/>
      <c r="E361" s="53"/>
    </row>
    <row r="362" spans="3:5" ht="30" customHeight="1" x14ac:dyDescent="0.25">
      <c r="C362" s="42">
        <v>356</v>
      </c>
      <c r="D362" s="20"/>
      <c r="E362" s="53"/>
    </row>
    <row r="363" spans="3:5" ht="30" customHeight="1" x14ac:dyDescent="0.25">
      <c r="C363" s="42">
        <v>357</v>
      </c>
      <c r="D363" s="20"/>
      <c r="E363" s="53"/>
    </row>
    <row r="364" spans="3:5" ht="30" customHeight="1" x14ac:dyDescent="0.25">
      <c r="C364" s="42">
        <v>358</v>
      </c>
      <c r="D364" s="20"/>
      <c r="E364" s="53"/>
    </row>
    <row r="365" spans="3:5" ht="30" customHeight="1" x14ac:dyDescent="0.25">
      <c r="C365" s="42">
        <v>359</v>
      </c>
      <c r="D365" s="20"/>
      <c r="E365" s="53"/>
    </row>
    <row r="366" spans="3:5" ht="30" customHeight="1" x14ac:dyDescent="0.25">
      <c r="C366" s="42">
        <v>360</v>
      </c>
      <c r="D366" s="20"/>
      <c r="E366" s="53"/>
    </row>
    <row r="367" spans="3:5" ht="30" customHeight="1" x14ac:dyDescent="0.25">
      <c r="C367" s="42">
        <v>361</v>
      </c>
      <c r="D367" s="20"/>
      <c r="E367" s="53"/>
    </row>
    <row r="368" spans="3:5" ht="30" customHeight="1" x14ac:dyDescent="0.25">
      <c r="C368" s="42">
        <v>362</v>
      </c>
      <c r="D368" s="20"/>
      <c r="E368" s="53"/>
    </row>
    <row r="369" spans="3:5" ht="30" customHeight="1" x14ac:dyDescent="0.25">
      <c r="C369" s="42">
        <v>363</v>
      </c>
      <c r="D369" s="20"/>
      <c r="E369" s="53"/>
    </row>
    <row r="370" spans="3:5" ht="30" customHeight="1" x14ac:dyDescent="0.25">
      <c r="C370" s="42">
        <v>364</v>
      </c>
      <c r="D370" s="20"/>
      <c r="E370" s="53"/>
    </row>
    <row r="371" spans="3:5" ht="30" customHeight="1" x14ac:dyDescent="0.25">
      <c r="C371" s="42">
        <v>365</v>
      </c>
      <c r="D371" s="20"/>
      <c r="E371" s="53"/>
    </row>
    <row r="372" spans="3:5" ht="30" customHeight="1" x14ac:dyDescent="0.25">
      <c r="C372" s="42">
        <v>366</v>
      </c>
      <c r="D372" s="20"/>
      <c r="E372" s="53"/>
    </row>
    <row r="373" spans="3:5" ht="30" customHeight="1" x14ac:dyDescent="0.25">
      <c r="C373" s="42">
        <v>367</v>
      </c>
      <c r="D373" s="20"/>
      <c r="E373" s="53"/>
    </row>
    <row r="374" spans="3:5" ht="30" customHeight="1" x14ac:dyDescent="0.25">
      <c r="C374" s="42">
        <v>368</v>
      </c>
      <c r="D374" s="20"/>
      <c r="E374" s="53"/>
    </row>
    <row r="375" spans="3:5" ht="30" customHeight="1" x14ac:dyDescent="0.25">
      <c r="C375" s="42">
        <v>369</v>
      </c>
      <c r="D375" s="20"/>
      <c r="E375" s="53"/>
    </row>
    <row r="376" spans="3:5" ht="30" customHeight="1" x14ac:dyDescent="0.25">
      <c r="C376" s="42">
        <v>370</v>
      </c>
      <c r="D376" s="20"/>
      <c r="E376" s="53"/>
    </row>
    <row r="377" spans="3:5" ht="30" customHeight="1" x14ac:dyDescent="0.25">
      <c r="C377" s="42">
        <v>371</v>
      </c>
      <c r="D377" s="20"/>
      <c r="E377" s="53"/>
    </row>
    <row r="378" spans="3:5" ht="30" customHeight="1" x14ac:dyDescent="0.25">
      <c r="C378" s="42">
        <v>372</v>
      </c>
      <c r="D378" s="20"/>
      <c r="E378" s="53"/>
    </row>
    <row r="379" spans="3:5" ht="30" customHeight="1" x14ac:dyDescent="0.25">
      <c r="C379" s="42">
        <v>373</v>
      </c>
      <c r="D379" s="20"/>
      <c r="E379" s="53"/>
    </row>
    <row r="380" spans="3:5" ht="30" customHeight="1" x14ac:dyDescent="0.25">
      <c r="C380" s="42">
        <v>374</v>
      </c>
      <c r="D380" s="20"/>
      <c r="E380" s="53"/>
    </row>
    <row r="381" spans="3:5" ht="30" customHeight="1" x14ac:dyDescent="0.25">
      <c r="C381" s="42">
        <v>375</v>
      </c>
      <c r="D381" s="20"/>
      <c r="E381" s="53"/>
    </row>
    <row r="382" spans="3:5" ht="30" customHeight="1" x14ac:dyDescent="0.25">
      <c r="C382" s="42">
        <v>376</v>
      </c>
      <c r="D382" s="20"/>
      <c r="E382" s="53"/>
    </row>
    <row r="383" spans="3:5" ht="30" customHeight="1" x14ac:dyDescent="0.25">
      <c r="C383" s="42">
        <v>377</v>
      </c>
      <c r="D383" s="20"/>
      <c r="E383" s="53"/>
    </row>
    <row r="384" spans="3:5" ht="30" customHeight="1" x14ac:dyDescent="0.25">
      <c r="C384" s="42">
        <v>378</v>
      </c>
      <c r="D384" s="20"/>
      <c r="E384" s="53"/>
    </row>
    <row r="385" spans="3:5" ht="30" customHeight="1" x14ac:dyDescent="0.25">
      <c r="C385" s="42">
        <v>379</v>
      </c>
      <c r="D385" s="20"/>
      <c r="E385" s="53"/>
    </row>
    <row r="386" spans="3:5" ht="30" customHeight="1" x14ac:dyDescent="0.25">
      <c r="C386" s="42">
        <v>380</v>
      </c>
      <c r="D386" s="20"/>
      <c r="E386" s="53"/>
    </row>
    <row r="387" spans="3:5" ht="30" customHeight="1" x14ac:dyDescent="0.25">
      <c r="C387" s="42">
        <v>381</v>
      </c>
      <c r="D387" s="20"/>
      <c r="E387" s="53"/>
    </row>
    <row r="388" spans="3:5" ht="30" customHeight="1" x14ac:dyDescent="0.25">
      <c r="C388" s="42">
        <v>382</v>
      </c>
      <c r="D388" s="20"/>
      <c r="E388" s="53"/>
    </row>
    <row r="389" spans="3:5" ht="30" customHeight="1" x14ac:dyDescent="0.25">
      <c r="C389" s="42">
        <v>383</v>
      </c>
      <c r="D389" s="20"/>
      <c r="E389" s="53"/>
    </row>
    <row r="390" spans="3:5" ht="30" customHeight="1" x14ac:dyDescent="0.25">
      <c r="C390" s="42">
        <v>384</v>
      </c>
      <c r="D390" s="20"/>
      <c r="E390" s="53"/>
    </row>
    <row r="391" spans="3:5" ht="30" customHeight="1" x14ac:dyDescent="0.25">
      <c r="C391" s="42">
        <v>385</v>
      </c>
      <c r="D391" s="20"/>
      <c r="E391" s="53"/>
    </row>
    <row r="392" spans="3:5" ht="30" customHeight="1" x14ac:dyDescent="0.25">
      <c r="C392" s="42">
        <v>386</v>
      </c>
      <c r="D392" s="20"/>
      <c r="E392" s="53"/>
    </row>
    <row r="393" spans="3:5" ht="30" customHeight="1" x14ac:dyDescent="0.25">
      <c r="C393" s="42">
        <v>387</v>
      </c>
      <c r="D393" s="20"/>
      <c r="E393" s="53"/>
    </row>
    <row r="394" spans="3:5" ht="30" customHeight="1" x14ac:dyDescent="0.25">
      <c r="C394" s="42">
        <v>388</v>
      </c>
      <c r="D394" s="20"/>
      <c r="E394" s="53"/>
    </row>
    <row r="395" spans="3:5" ht="30" customHeight="1" x14ac:dyDescent="0.25">
      <c r="C395" s="42">
        <v>389</v>
      </c>
      <c r="D395" s="20"/>
      <c r="E395" s="53"/>
    </row>
    <row r="396" spans="3:5" ht="30" customHeight="1" x14ac:dyDescent="0.25">
      <c r="C396" s="42">
        <v>390</v>
      </c>
      <c r="D396" s="20"/>
      <c r="E396" s="53"/>
    </row>
    <row r="397" spans="3:5" ht="30" customHeight="1" x14ac:dyDescent="0.25">
      <c r="C397" s="42">
        <v>391</v>
      </c>
      <c r="D397" s="20"/>
      <c r="E397" s="53"/>
    </row>
    <row r="398" spans="3:5" ht="30" customHeight="1" x14ac:dyDescent="0.25">
      <c r="C398" s="42">
        <v>392</v>
      </c>
      <c r="D398" s="20"/>
      <c r="E398" s="53"/>
    </row>
    <row r="399" spans="3:5" ht="30" customHeight="1" x14ac:dyDescent="0.25">
      <c r="C399" s="42">
        <v>393</v>
      </c>
      <c r="D399" s="20"/>
      <c r="E399" s="53"/>
    </row>
    <row r="400" spans="3:5" ht="30" customHeight="1" x14ac:dyDescent="0.25">
      <c r="C400" s="42">
        <v>394</v>
      </c>
      <c r="D400" s="20"/>
      <c r="E400" s="53"/>
    </row>
    <row r="401" spans="3:5" ht="30" customHeight="1" x14ac:dyDescent="0.25">
      <c r="C401" s="42">
        <v>395</v>
      </c>
      <c r="D401" s="20"/>
      <c r="E401" s="53"/>
    </row>
    <row r="402" spans="3:5" ht="30" customHeight="1" x14ac:dyDescent="0.25">
      <c r="C402" s="42">
        <v>396</v>
      </c>
      <c r="D402" s="20"/>
      <c r="E402" s="53"/>
    </row>
    <row r="403" spans="3:5" ht="30" customHeight="1" x14ac:dyDescent="0.25">
      <c r="C403" s="42">
        <v>397</v>
      </c>
      <c r="D403" s="20"/>
      <c r="E403" s="53"/>
    </row>
    <row r="404" spans="3:5" ht="30" customHeight="1" x14ac:dyDescent="0.25">
      <c r="C404" s="42">
        <v>398</v>
      </c>
      <c r="D404" s="20"/>
      <c r="E404" s="53"/>
    </row>
    <row r="405" spans="3:5" ht="30" customHeight="1" x14ac:dyDescent="0.25">
      <c r="C405" s="42">
        <v>399</v>
      </c>
      <c r="D405" s="20"/>
      <c r="E405" s="53"/>
    </row>
    <row r="406" spans="3:5" ht="30" customHeight="1" x14ac:dyDescent="0.25">
      <c r="C406" s="42">
        <v>400</v>
      </c>
      <c r="D406" s="20"/>
      <c r="E406" s="53"/>
    </row>
    <row r="407" spans="3:5" ht="30" customHeight="1" x14ac:dyDescent="0.25">
      <c r="C407" s="42">
        <v>401</v>
      </c>
      <c r="D407" s="20"/>
      <c r="E407" s="53"/>
    </row>
    <row r="408" spans="3:5" ht="30" customHeight="1" x14ac:dyDescent="0.25">
      <c r="C408" s="42">
        <v>402</v>
      </c>
      <c r="D408" s="20"/>
      <c r="E408" s="53"/>
    </row>
    <row r="409" spans="3:5" ht="30" customHeight="1" x14ac:dyDescent="0.25">
      <c r="C409" s="42">
        <v>403</v>
      </c>
      <c r="D409" s="20"/>
      <c r="E409" s="53"/>
    </row>
    <row r="410" spans="3:5" ht="30" customHeight="1" x14ac:dyDescent="0.25">
      <c r="C410" s="42">
        <v>404</v>
      </c>
      <c r="D410" s="20"/>
      <c r="E410" s="53"/>
    </row>
    <row r="411" spans="3:5" ht="30" customHeight="1" x14ac:dyDescent="0.25">
      <c r="C411" s="42">
        <v>405</v>
      </c>
      <c r="D411" s="20"/>
      <c r="E411" s="53"/>
    </row>
    <row r="412" spans="3:5" ht="30" customHeight="1" x14ac:dyDescent="0.25">
      <c r="C412" s="42">
        <v>406</v>
      </c>
      <c r="D412" s="20"/>
      <c r="E412" s="53"/>
    </row>
    <row r="413" spans="3:5" ht="30" customHeight="1" x14ac:dyDescent="0.25">
      <c r="C413" s="42">
        <v>407</v>
      </c>
      <c r="D413" s="20"/>
      <c r="E413" s="53"/>
    </row>
    <row r="414" spans="3:5" ht="30" customHeight="1" x14ac:dyDescent="0.25">
      <c r="C414" s="42">
        <v>408</v>
      </c>
      <c r="D414" s="20"/>
      <c r="E414" s="53"/>
    </row>
    <row r="415" spans="3:5" ht="30" customHeight="1" x14ac:dyDescent="0.25">
      <c r="C415" s="42">
        <v>409</v>
      </c>
      <c r="D415" s="20"/>
      <c r="E415" s="53"/>
    </row>
    <row r="416" spans="3:5" ht="30" customHeight="1" x14ac:dyDescent="0.25">
      <c r="C416" s="42">
        <v>410</v>
      </c>
      <c r="D416" s="20"/>
      <c r="E416" s="53"/>
    </row>
    <row r="417" spans="3:5" ht="30" customHeight="1" x14ac:dyDescent="0.25">
      <c r="C417" s="42">
        <v>411</v>
      </c>
      <c r="D417" s="20"/>
      <c r="E417" s="53"/>
    </row>
    <row r="418" spans="3:5" ht="30" customHeight="1" x14ac:dyDescent="0.25">
      <c r="C418" s="42">
        <v>412</v>
      </c>
      <c r="D418" s="20"/>
      <c r="E418" s="53"/>
    </row>
    <row r="419" spans="3:5" ht="30" customHeight="1" x14ac:dyDescent="0.25">
      <c r="C419" s="42">
        <v>413</v>
      </c>
      <c r="D419" s="20"/>
      <c r="E419" s="53"/>
    </row>
    <row r="420" spans="3:5" ht="30" customHeight="1" x14ac:dyDescent="0.25">
      <c r="C420" s="42">
        <v>414</v>
      </c>
      <c r="D420" s="20"/>
      <c r="E420" s="53"/>
    </row>
    <row r="421" spans="3:5" ht="30" customHeight="1" x14ac:dyDescent="0.25">
      <c r="C421" s="42">
        <v>415</v>
      </c>
      <c r="D421" s="20"/>
      <c r="E421" s="53"/>
    </row>
    <row r="422" spans="3:5" ht="30" customHeight="1" x14ac:dyDescent="0.25">
      <c r="C422" s="42">
        <v>416</v>
      </c>
      <c r="D422" s="20"/>
      <c r="E422" s="53"/>
    </row>
    <row r="423" spans="3:5" ht="30" customHeight="1" x14ac:dyDescent="0.25">
      <c r="C423" s="42">
        <v>417</v>
      </c>
      <c r="D423" s="20"/>
      <c r="E423" s="53"/>
    </row>
    <row r="424" spans="3:5" ht="30" customHeight="1" x14ac:dyDescent="0.25">
      <c r="C424" s="42">
        <v>418</v>
      </c>
      <c r="D424" s="20"/>
      <c r="E424" s="53"/>
    </row>
    <row r="425" spans="3:5" ht="30" customHeight="1" x14ac:dyDescent="0.25">
      <c r="C425" s="42">
        <v>419</v>
      </c>
      <c r="D425" s="20"/>
      <c r="E425" s="53"/>
    </row>
    <row r="426" spans="3:5" ht="30" customHeight="1" x14ac:dyDescent="0.25">
      <c r="C426" s="42">
        <v>420</v>
      </c>
      <c r="D426" s="20"/>
      <c r="E426" s="53"/>
    </row>
    <row r="427" spans="3:5" ht="30" customHeight="1" x14ac:dyDescent="0.25">
      <c r="C427" s="42">
        <v>421</v>
      </c>
      <c r="D427" s="20"/>
      <c r="E427" s="53"/>
    </row>
    <row r="428" spans="3:5" ht="30" customHeight="1" x14ac:dyDescent="0.25">
      <c r="C428" s="42">
        <v>422</v>
      </c>
      <c r="D428" s="20"/>
      <c r="E428" s="53"/>
    </row>
    <row r="429" spans="3:5" ht="30" customHeight="1" x14ac:dyDescent="0.25">
      <c r="C429" s="42">
        <v>423</v>
      </c>
      <c r="D429" s="20"/>
      <c r="E429" s="53"/>
    </row>
    <row r="430" spans="3:5" ht="30" customHeight="1" x14ac:dyDescent="0.25">
      <c r="C430" s="42">
        <v>424</v>
      </c>
      <c r="D430" s="20"/>
      <c r="E430" s="53"/>
    </row>
    <row r="431" spans="3:5" ht="30" customHeight="1" x14ac:dyDescent="0.25">
      <c r="C431" s="42">
        <v>425</v>
      </c>
      <c r="D431" s="20"/>
      <c r="E431" s="53"/>
    </row>
    <row r="432" spans="3:5" ht="30" customHeight="1" x14ac:dyDescent="0.25">
      <c r="C432" s="42">
        <v>426</v>
      </c>
      <c r="D432" s="20"/>
      <c r="E432" s="53"/>
    </row>
    <row r="433" spans="3:5" ht="30" customHeight="1" x14ac:dyDescent="0.25">
      <c r="C433" s="42">
        <v>427</v>
      </c>
      <c r="D433" s="20"/>
      <c r="E433" s="53"/>
    </row>
    <row r="434" spans="3:5" ht="30" customHeight="1" x14ac:dyDescent="0.25">
      <c r="C434" s="42">
        <v>428</v>
      </c>
      <c r="D434" s="20"/>
      <c r="E434" s="53"/>
    </row>
    <row r="435" spans="3:5" ht="30" customHeight="1" x14ac:dyDescent="0.25">
      <c r="C435" s="42">
        <v>429</v>
      </c>
      <c r="D435" s="20"/>
      <c r="E435" s="53"/>
    </row>
    <row r="436" spans="3:5" ht="30" customHeight="1" x14ac:dyDescent="0.25">
      <c r="C436" s="42">
        <v>430</v>
      </c>
      <c r="D436" s="20"/>
      <c r="E436" s="53"/>
    </row>
    <row r="437" spans="3:5" ht="30" customHeight="1" x14ac:dyDescent="0.25">
      <c r="C437" s="42">
        <v>431</v>
      </c>
      <c r="D437" s="20"/>
      <c r="E437" s="53"/>
    </row>
    <row r="438" spans="3:5" ht="30" customHeight="1" x14ac:dyDescent="0.25">
      <c r="C438" s="42">
        <v>432</v>
      </c>
      <c r="D438" s="20"/>
      <c r="E438" s="53"/>
    </row>
    <row r="439" spans="3:5" ht="30" customHeight="1" x14ac:dyDescent="0.25">
      <c r="C439" s="42">
        <v>433</v>
      </c>
      <c r="D439" s="20"/>
      <c r="E439" s="53"/>
    </row>
    <row r="440" spans="3:5" ht="30" customHeight="1" x14ac:dyDescent="0.25">
      <c r="C440" s="42">
        <v>434</v>
      </c>
      <c r="D440" s="20"/>
      <c r="E440" s="53"/>
    </row>
    <row r="441" spans="3:5" ht="30" customHeight="1" x14ac:dyDescent="0.25">
      <c r="C441" s="42">
        <v>435</v>
      </c>
      <c r="D441" s="20"/>
      <c r="E441" s="53"/>
    </row>
    <row r="442" spans="3:5" ht="30" customHeight="1" x14ac:dyDescent="0.25">
      <c r="C442" s="42">
        <v>436</v>
      </c>
      <c r="D442" s="20"/>
      <c r="E442" s="53"/>
    </row>
    <row r="443" spans="3:5" ht="30" customHeight="1" x14ac:dyDescent="0.25">
      <c r="C443" s="42">
        <v>437</v>
      </c>
      <c r="D443" s="20"/>
      <c r="E443" s="53"/>
    </row>
    <row r="444" spans="3:5" ht="30" customHeight="1" x14ac:dyDescent="0.25">
      <c r="C444" s="42">
        <v>438</v>
      </c>
      <c r="D444" s="20"/>
      <c r="E444" s="53"/>
    </row>
    <row r="445" spans="3:5" ht="30" customHeight="1" x14ac:dyDescent="0.25">
      <c r="C445" s="42">
        <v>439</v>
      </c>
      <c r="D445" s="20"/>
      <c r="E445" s="53"/>
    </row>
    <row r="446" spans="3:5" ht="30" customHeight="1" x14ac:dyDescent="0.25">
      <c r="C446" s="42">
        <v>440</v>
      </c>
      <c r="D446" s="20"/>
      <c r="E446" s="53"/>
    </row>
    <row r="447" spans="3:5" ht="30" customHeight="1" x14ac:dyDescent="0.25">
      <c r="C447" s="42">
        <v>441</v>
      </c>
      <c r="D447" s="20"/>
      <c r="E447" s="53"/>
    </row>
    <row r="448" spans="3:5" ht="30" customHeight="1" x14ac:dyDescent="0.25">
      <c r="C448" s="42">
        <v>442</v>
      </c>
      <c r="D448" s="20"/>
      <c r="E448" s="53"/>
    </row>
    <row r="449" spans="3:5" ht="30" customHeight="1" x14ac:dyDescent="0.25">
      <c r="C449" s="42">
        <v>443</v>
      </c>
      <c r="D449" s="20"/>
      <c r="E449" s="53"/>
    </row>
    <row r="450" spans="3:5" ht="30" customHeight="1" x14ac:dyDescent="0.25">
      <c r="C450" s="42">
        <v>444</v>
      </c>
      <c r="D450" s="20"/>
      <c r="E450" s="53"/>
    </row>
    <row r="451" spans="3:5" ht="30" customHeight="1" x14ac:dyDescent="0.25">
      <c r="C451" s="42">
        <v>445</v>
      </c>
      <c r="D451" s="20"/>
      <c r="E451" s="53"/>
    </row>
    <row r="452" spans="3:5" ht="30" customHeight="1" x14ac:dyDescent="0.25">
      <c r="C452" s="42">
        <v>446</v>
      </c>
      <c r="D452" s="20"/>
      <c r="E452" s="53"/>
    </row>
    <row r="453" spans="3:5" ht="30" customHeight="1" x14ac:dyDescent="0.25">
      <c r="C453" s="42">
        <v>447</v>
      </c>
      <c r="D453" s="20"/>
      <c r="E453" s="53"/>
    </row>
    <row r="454" spans="3:5" ht="30" customHeight="1" x14ac:dyDescent="0.25">
      <c r="C454" s="42">
        <v>448</v>
      </c>
      <c r="D454" s="20"/>
      <c r="E454" s="53"/>
    </row>
    <row r="455" spans="3:5" ht="30" customHeight="1" x14ac:dyDescent="0.25">
      <c r="C455" s="42">
        <v>449</v>
      </c>
      <c r="D455" s="20"/>
      <c r="E455" s="53"/>
    </row>
    <row r="456" spans="3:5" ht="30" customHeight="1" x14ac:dyDescent="0.25">
      <c r="C456" s="42">
        <v>450</v>
      </c>
      <c r="D456" s="20"/>
      <c r="E456" s="53"/>
    </row>
    <row r="457" spans="3:5" ht="30" customHeight="1" x14ac:dyDescent="0.25">
      <c r="C457" s="42">
        <v>451</v>
      </c>
      <c r="D457" s="20"/>
      <c r="E457" s="53"/>
    </row>
    <row r="458" spans="3:5" ht="30" customHeight="1" x14ac:dyDescent="0.25">
      <c r="C458" s="42">
        <v>452</v>
      </c>
      <c r="D458" s="20"/>
      <c r="E458" s="53"/>
    </row>
    <row r="459" spans="3:5" ht="30" customHeight="1" x14ac:dyDescent="0.25">
      <c r="C459" s="42">
        <v>453</v>
      </c>
      <c r="D459" s="20"/>
      <c r="E459" s="53"/>
    </row>
    <row r="460" spans="3:5" ht="30" customHeight="1" x14ac:dyDescent="0.25">
      <c r="C460" s="42">
        <v>454</v>
      </c>
      <c r="D460" s="20"/>
      <c r="E460" s="53"/>
    </row>
    <row r="461" spans="3:5" ht="30" customHeight="1" x14ac:dyDescent="0.25">
      <c r="C461" s="42">
        <v>455</v>
      </c>
      <c r="D461" s="20"/>
      <c r="E461" s="53"/>
    </row>
    <row r="462" spans="3:5" ht="30" customHeight="1" x14ac:dyDescent="0.25">
      <c r="C462" s="42">
        <v>456</v>
      </c>
      <c r="D462" s="20"/>
      <c r="E462" s="53"/>
    </row>
    <row r="463" spans="3:5" ht="30" customHeight="1" x14ac:dyDescent="0.25">
      <c r="C463" s="42">
        <v>457</v>
      </c>
      <c r="D463" s="20"/>
      <c r="E463" s="53"/>
    </row>
    <row r="464" spans="3:5" ht="30" customHeight="1" x14ac:dyDescent="0.25">
      <c r="C464" s="42">
        <v>458</v>
      </c>
      <c r="D464" s="20"/>
      <c r="E464" s="53"/>
    </row>
    <row r="465" spans="3:5" ht="30" customHeight="1" x14ac:dyDescent="0.25">
      <c r="C465" s="42">
        <v>459</v>
      </c>
      <c r="D465" s="20"/>
      <c r="E465" s="53"/>
    </row>
    <row r="466" spans="3:5" ht="30" customHeight="1" x14ac:dyDescent="0.25">
      <c r="C466" s="42">
        <v>460</v>
      </c>
      <c r="D466" s="20"/>
      <c r="E466" s="53"/>
    </row>
    <row r="467" spans="3:5" ht="30" customHeight="1" x14ac:dyDescent="0.25">
      <c r="C467" s="42">
        <v>461</v>
      </c>
      <c r="D467" s="20"/>
      <c r="E467" s="53"/>
    </row>
    <row r="468" spans="3:5" ht="30" customHeight="1" x14ac:dyDescent="0.25">
      <c r="C468" s="42">
        <v>462</v>
      </c>
      <c r="D468" s="20"/>
      <c r="E468" s="53"/>
    </row>
    <row r="469" spans="3:5" ht="30" customHeight="1" x14ac:dyDescent="0.25">
      <c r="C469" s="42">
        <v>463</v>
      </c>
      <c r="D469" s="20"/>
      <c r="E469" s="53"/>
    </row>
    <row r="470" spans="3:5" ht="30" customHeight="1" x14ac:dyDescent="0.25">
      <c r="C470" s="42">
        <v>464</v>
      </c>
      <c r="D470" s="20"/>
      <c r="E470" s="53"/>
    </row>
    <row r="471" spans="3:5" ht="30" customHeight="1" x14ac:dyDescent="0.25">
      <c r="C471" s="42">
        <v>465</v>
      </c>
      <c r="D471" s="20"/>
      <c r="E471" s="53"/>
    </row>
    <row r="472" spans="3:5" ht="30" customHeight="1" x14ac:dyDescent="0.25">
      <c r="C472" s="42">
        <v>466</v>
      </c>
      <c r="D472" s="20"/>
      <c r="E472" s="53"/>
    </row>
    <row r="473" spans="3:5" ht="30" customHeight="1" x14ac:dyDescent="0.25">
      <c r="C473" s="42">
        <v>467</v>
      </c>
      <c r="D473" s="20"/>
      <c r="E473" s="53"/>
    </row>
    <row r="474" spans="3:5" ht="30" customHeight="1" x14ac:dyDescent="0.25">
      <c r="C474" s="42">
        <v>468</v>
      </c>
      <c r="D474" s="20"/>
      <c r="E474" s="53"/>
    </row>
    <row r="475" spans="3:5" ht="30" customHeight="1" x14ac:dyDescent="0.25">
      <c r="C475" s="42">
        <v>469</v>
      </c>
      <c r="D475" s="20"/>
      <c r="E475" s="53"/>
    </row>
    <row r="476" spans="3:5" ht="30" customHeight="1" x14ac:dyDescent="0.25">
      <c r="C476" s="42">
        <v>470</v>
      </c>
      <c r="D476" s="20"/>
      <c r="E476" s="53"/>
    </row>
    <row r="477" spans="3:5" ht="30" customHeight="1" x14ac:dyDescent="0.25">
      <c r="C477" s="42">
        <v>471</v>
      </c>
      <c r="D477" s="20"/>
      <c r="E477" s="53"/>
    </row>
    <row r="478" spans="3:5" ht="30" customHeight="1" x14ac:dyDescent="0.25">
      <c r="C478" s="42">
        <v>472</v>
      </c>
      <c r="D478" s="20"/>
      <c r="E478" s="53"/>
    </row>
    <row r="479" spans="3:5" ht="30" customHeight="1" x14ac:dyDescent="0.25">
      <c r="C479" s="42">
        <v>473</v>
      </c>
      <c r="D479" s="20"/>
      <c r="E479" s="53"/>
    </row>
    <row r="480" spans="3:5" ht="30" customHeight="1" x14ac:dyDescent="0.25">
      <c r="C480" s="42">
        <v>474</v>
      </c>
      <c r="D480" s="20"/>
      <c r="E480" s="53"/>
    </row>
    <row r="481" spans="3:5" ht="30" customHeight="1" x14ac:dyDescent="0.25">
      <c r="C481" s="42">
        <v>475</v>
      </c>
      <c r="D481" s="20"/>
      <c r="E481" s="53"/>
    </row>
    <row r="482" spans="3:5" ht="30" customHeight="1" x14ac:dyDescent="0.25">
      <c r="C482" s="42">
        <v>476</v>
      </c>
      <c r="D482" s="20"/>
      <c r="E482" s="53"/>
    </row>
    <row r="483" spans="3:5" ht="30" customHeight="1" x14ac:dyDescent="0.25">
      <c r="C483" s="42">
        <v>477</v>
      </c>
      <c r="D483" s="20"/>
      <c r="E483" s="53"/>
    </row>
    <row r="484" spans="3:5" ht="30" customHeight="1" x14ac:dyDescent="0.25">
      <c r="C484" s="42">
        <v>478</v>
      </c>
      <c r="D484" s="20"/>
      <c r="E484" s="53"/>
    </row>
    <row r="485" spans="3:5" ht="30" customHeight="1" x14ac:dyDescent="0.25">
      <c r="C485" s="42">
        <v>479</v>
      </c>
      <c r="D485" s="20"/>
      <c r="E485" s="53"/>
    </row>
    <row r="486" spans="3:5" ht="30" customHeight="1" x14ac:dyDescent="0.25">
      <c r="C486" s="42">
        <v>480</v>
      </c>
      <c r="D486" s="20"/>
      <c r="E486" s="53"/>
    </row>
    <row r="487" spans="3:5" ht="30" customHeight="1" x14ac:dyDescent="0.25">
      <c r="C487" s="42">
        <v>481</v>
      </c>
      <c r="D487" s="20"/>
      <c r="E487" s="53"/>
    </row>
    <row r="488" spans="3:5" ht="30" customHeight="1" x14ac:dyDescent="0.25">
      <c r="C488" s="42">
        <v>482</v>
      </c>
      <c r="D488" s="20"/>
      <c r="E488" s="53"/>
    </row>
    <row r="489" spans="3:5" ht="30" customHeight="1" x14ac:dyDescent="0.25">
      <c r="C489" s="42">
        <v>483</v>
      </c>
      <c r="D489" s="20"/>
      <c r="E489" s="53"/>
    </row>
    <row r="490" spans="3:5" ht="30" customHeight="1" x14ac:dyDescent="0.25">
      <c r="C490" s="42">
        <v>484</v>
      </c>
      <c r="D490" s="20"/>
      <c r="E490" s="53"/>
    </row>
    <row r="491" spans="3:5" ht="30" customHeight="1" x14ac:dyDescent="0.25">
      <c r="C491" s="42">
        <v>485</v>
      </c>
      <c r="D491" s="20"/>
      <c r="E491" s="53"/>
    </row>
    <row r="492" spans="3:5" ht="30" customHeight="1" x14ac:dyDescent="0.25">
      <c r="C492" s="42">
        <v>486</v>
      </c>
      <c r="D492" s="20"/>
      <c r="E492" s="53"/>
    </row>
    <row r="493" spans="3:5" ht="30" customHeight="1" x14ac:dyDescent="0.25">
      <c r="C493" s="42">
        <v>487</v>
      </c>
      <c r="D493" s="20"/>
      <c r="E493" s="53"/>
    </row>
    <row r="494" spans="3:5" ht="30" customHeight="1" x14ac:dyDescent="0.25">
      <c r="C494" s="42">
        <v>488</v>
      </c>
      <c r="D494" s="20"/>
      <c r="E494" s="53"/>
    </row>
    <row r="495" spans="3:5" ht="30" customHeight="1" x14ac:dyDescent="0.25">
      <c r="C495" s="42">
        <v>489</v>
      </c>
      <c r="D495" s="20"/>
      <c r="E495" s="53"/>
    </row>
    <row r="496" spans="3:5" ht="30" customHeight="1" x14ac:dyDescent="0.25">
      <c r="C496" s="42">
        <v>490</v>
      </c>
      <c r="D496" s="20"/>
      <c r="E496" s="53"/>
    </row>
    <row r="497" spans="3:5" ht="30" customHeight="1" x14ac:dyDescent="0.25">
      <c r="C497" s="42">
        <v>491</v>
      </c>
      <c r="D497" s="20"/>
      <c r="E497" s="53"/>
    </row>
    <row r="498" spans="3:5" ht="30" customHeight="1" x14ac:dyDescent="0.25">
      <c r="C498" s="42">
        <v>492</v>
      </c>
      <c r="D498" s="20"/>
      <c r="E498" s="53"/>
    </row>
    <row r="499" spans="3:5" ht="30" customHeight="1" x14ac:dyDescent="0.25">
      <c r="C499" s="42">
        <v>493</v>
      </c>
      <c r="D499" s="20"/>
      <c r="E499" s="53"/>
    </row>
    <row r="500" spans="3:5" ht="30" customHeight="1" x14ac:dyDescent="0.25">
      <c r="C500" s="42">
        <v>494</v>
      </c>
      <c r="D500" s="20"/>
      <c r="E500" s="53"/>
    </row>
    <row r="501" spans="3:5" ht="30" customHeight="1" x14ac:dyDescent="0.25">
      <c r="C501" s="42">
        <v>495</v>
      </c>
      <c r="D501" s="20"/>
      <c r="E501" s="53"/>
    </row>
    <row r="502" spans="3:5" ht="30" customHeight="1" x14ac:dyDescent="0.25">
      <c r="C502" s="42">
        <v>496</v>
      </c>
      <c r="D502" s="20"/>
      <c r="E502" s="53"/>
    </row>
    <row r="503" spans="3:5" ht="30" customHeight="1" x14ac:dyDescent="0.25">
      <c r="C503" s="42">
        <v>497</v>
      </c>
      <c r="D503" s="20"/>
      <c r="E503" s="53"/>
    </row>
    <row r="504" spans="3:5" ht="30" customHeight="1" x14ac:dyDescent="0.25">
      <c r="C504" s="42">
        <v>498</v>
      </c>
      <c r="D504" s="20"/>
      <c r="E504" s="53"/>
    </row>
    <row r="505" spans="3:5" ht="30" customHeight="1" x14ac:dyDescent="0.25">
      <c r="C505" s="42">
        <v>499</v>
      </c>
      <c r="D505" s="20"/>
      <c r="E505" s="53"/>
    </row>
    <row r="506" spans="3:5" ht="30" customHeight="1" x14ac:dyDescent="0.25">
      <c r="C506" s="42">
        <v>500</v>
      </c>
      <c r="D506" s="20"/>
      <c r="E506" s="53"/>
    </row>
  </sheetData>
  <sheetProtection sheet="1" objects="1" scenarios="1" selectLockedCells="1" sort="0"/>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B1:R1004"/>
  <sheetViews>
    <sheetView showGridLines="0" showRowColHeaders="0" zoomScaleNormal="100" workbookViewId="0">
      <pane ySplit="4" topLeftCell="A5" activePane="bottomLeft" state="frozen"/>
      <selection activeCell="E6" sqref="E6"/>
      <selection pane="bottomLeft" activeCell="D7" sqref="D7"/>
    </sheetView>
  </sheetViews>
  <sheetFormatPr defaultRowHeight="30" customHeight="1" x14ac:dyDescent="0.25"/>
  <cols>
    <col min="1" max="1" width="1.7109375" style="19" customWidth="1"/>
    <col min="2" max="2" width="1.7109375" style="62" customWidth="1"/>
    <col min="3" max="3" width="6.7109375" style="19" customWidth="1"/>
    <col min="4" max="4" width="35.7109375" style="19" customWidth="1"/>
    <col min="5" max="9" width="20.7109375" style="19" customWidth="1"/>
    <col min="10" max="10" width="30.7109375" style="19" customWidth="1"/>
    <col min="11" max="11" width="9.140625" style="19"/>
    <col min="12" max="12" width="12" style="19" hidden="1" customWidth="1"/>
    <col min="13" max="17" width="9.140625" style="19" hidden="1" customWidth="1"/>
    <col min="18" max="16384" width="9.140625" style="19"/>
  </cols>
  <sheetData>
    <row r="1" spans="2:18" s="1" customFormat="1" ht="35.1" customHeight="1" x14ac:dyDescent="0.25">
      <c r="B1" s="60"/>
    </row>
    <row r="2" spans="2:18" s="3" customFormat="1" ht="30" customHeight="1" x14ac:dyDescent="0.25">
      <c r="B2" s="61"/>
    </row>
    <row r="3" spans="2:18" ht="69.95" customHeight="1" thickBot="1" x14ac:dyDescent="0.25">
      <c r="C3" s="40"/>
      <c r="D3" s="110"/>
      <c r="E3" s="111">
        <f>AVERAGE(E5:E1004)</f>
        <v>340</v>
      </c>
      <c r="F3" s="110"/>
      <c r="G3" s="110"/>
      <c r="H3" s="111">
        <f>AVERAGE(H5:H1004)</f>
        <v>186.608</v>
      </c>
      <c r="I3" s="111">
        <f>AVERAGE(I5:I1004)</f>
        <v>153.39200000299996</v>
      </c>
      <c r="J3" s="110"/>
      <c r="K3" s="62"/>
      <c r="L3" s="62"/>
      <c r="M3" s="62"/>
      <c r="N3" s="62"/>
      <c r="O3" s="62"/>
      <c r="P3" s="62"/>
      <c r="Q3" s="62"/>
      <c r="R3" s="62"/>
    </row>
    <row r="4" spans="2:18" ht="30" customHeight="1" x14ac:dyDescent="0.25">
      <c r="C4" s="45" t="s">
        <v>22</v>
      </c>
      <c r="D4" s="46" t="s">
        <v>39</v>
      </c>
      <c r="E4" s="46" t="s">
        <v>40</v>
      </c>
      <c r="F4" s="56" t="s">
        <v>1065</v>
      </c>
      <c r="G4" s="56" t="s">
        <v>1041</v>
      </c>
      <c r="H4" s="56" t="s">
        <v>1057</v>
      </c>
      <c r="I4" s="56" t="s">
        <v>1058</v>
      </c>
      <c r="J4" s="43" t="s">
        <v>23</v>
      </c>
    </row>
    <row r="5" spans="2:18" ht="30" customHeight="1" x14ac:dyDescent="0.25">
      <c r="B5" s="62">
        <f>IF(I5="","",I5)</f>
        <v>114.46000000100001</v>
      </c>
      <c r="C5" s="44">
        <v>1</v>
      </c>
      <c r="D5" s="41" t="s">
        <v>34</v>
      </c>
      <c r="E5" s="58">
        <v>170</v>
      </c>
      <c r="F5" s="63" t="str">
        <f>IF(D5="","",IFERROR(VLOOKUP(D5,$P$5:$Q$1004,2,0),""))</f>
        <v>Top 4</v>
      </c>
      <c r="G5" s="66">
        <f>IF(D5="","",IFERROR('Prod 3'!H5/'Prod 3'!$H$3,0))</f>
        <v>6.8438003220611915E-2</v>
      </c>
      <c r="H5" s="70">
        <f>IF(D5="","",'Prod 2'!K5)</f>
        <v>55.54</v>
      </c>
      <c r="I5" s="76">
        <f>IF(D5="","",E5-H5+L5)</f>
        <v>114.46000000100001</v>
      </c>
      <c r="J5" s="57"/>
      <c r="L5" s="19">
        <v>1.0000000000000001E-9</v>
      </c>
      <c r="M5" s="59">
        <f>IFERROR(LARGE($I$5:$I$1004,C5),0)</f>
        <v>230.000000003</v>
      </c>
      <c r="N5" s="59">
        <f>IFERROR(M5,0)</f>
        <v>230.000000003</v>
      </c>
      <c r="O5" s="59">
        <f>IFERROR(LARGE($N$5:$N$1004,C5),0)</f>
        <v>230.000000003</v>
      </c>
      <c r="P5" s="19" t="str">
        <f>IFERROR(IF(VLOOKUP(O5,$B$5:$D$1004,3,0)=0,"",(VLOOKUP(O5,$B$5:$D$1004,3,0))),"")</f>
        <v>Produto C</v>
      </c>
      <c r="Q5" s="19" t="s">
        <v>41</v>
      </c>
    </row>
    <row r="6" spans="2:18" ht="30" customHeight="1" x14ac:dyDescent="0.25">
      <c r="B6" s="62">
        <f t="shared" ref="B6:B69" si="0">IF(I6="","",I6)</f>
        <v>134.50000000200001</v>
      </c>
      <c r="C6" s="42">
        <v>2</v>
      </c>
      <c r="D6" s="20" t="s">
        <v>35</v>
      </c>
      <c r="E6" s="58">
        <v>250</v>
      </c>
      <c r="F6" s="63" t="str">
        <f t="shared" ref="F6:F69" si="1">IF(D6="","",IFERROR(VLOOKUP(D6,$P$5:$Q$1004,2,0),""))</f>
        <v>Top 3</v>
      </c>
      <c r="G6" s="66">
        <f>IF(D6="","",IFERROR('Prod 3'!H6/'Prod 3'!$H$3,0))</f>
        <v>0.14090177133655393</v>
      </c>
      <c r="H6" s="70">
        <f>IF(D6="","",'Prod 2'!K6)</f>
        <v>115.5</v>
      </c>
      <c r="I6" s="77">
        <f t="shared" ref="I6:I69" si="2">IF(D6="","",E6-H6+L6)</f>
        <v>134.50000000200001</v>
      </c>
      <c r="J6" s="57"/>
      <c r="L6" s="19">
        <v>2.0000000000000001E-9</v>
      </c>
      <c r="M6" s="59">
        <f t="shared" ref="M6:M69" si="3">IFERROR(LARGE($I$5:$I$1004,C6),0)</f>
        <v>188.00000000399999</v>
      </c>
      <c r="N6" s="59">
        <f t="shared" ref="N6:N69" si="4">IFERROR(M6,0)</f>
        <v>188.00000000399999</v>
      </c>
      <c r="O6" s="59">
        <f t="shared" ref="O6:O69" si="5">IFERROR(LARGE($N$5:$N$1004,C6),0)</f>
        <v>188.00000000399999</v>
      </c>
      <c r="P6" s="19" t="str">
        <f t="shared" ref="P6:P69" si="6">IFERROR(IF(VLOOKUP(O6,$B$5:$D$1004,3,0)=0,"",(VLOOKUP(O6,$B$5:$D$1004,3,0))),"")</f>
        <v>Produto D</v>
      </c>
      <c r="Q6" s="19" t="s">
        <v>42</v>
      </c>
    </row>
    <row r="7" spans="2:18" ht="30" customHeight="1" x14ac:dyDescent="0.25">
      <c r="B7" s="62">
        <f t="shared" si="0"/>
        <v>230.000000003</v>
      </c>
      <c r="C7" s="42">
        <v>3</v>
      </c>
      <c r="D7" s="20" t="s">
        <v>36</v>
      </c>
      <c r="E7" s="58">
        <v>350</v>
      </c>
      <c r="F7" s="63" t="str">
        <f t="shared" si="1"/>
        <v>Top 1</v>
      </c>
      <c r="G7" s="66">
        <f>IF(D7="","",IFERROR('Prod 3'!H7/'Prod 3'!$H$3,0))</f>
        <v>0.22544283413848631</v>
      </c>
      <c r="H7" s="70">
        <f>IF(D7="","",'Prod 2'!K7)</f>
        <v>120</v>
      </c>
      <c r="I7" s="77">
        <f t="shared" si="2"/>
        <v>230.000000003</v>
      </c>
      <c r="J7" s="57"/>
      <c r="L7" s="19">
        <v>3E-9</v>
      </c>
      <c r="M7" s="59">
        <f t="shared" si="3"/>
        <v>134.50000000200001</v>
      </c>
      <c r="N7" s="59">
        <f t="shared" si="4"/>
        <v>134.50000000200001</v>
      </c>
      <c r="O7" s="59">
        <f t="shared" si="5"/>
        <v>134.50000000200001</v>
      </c>
      <c r="P7" s="19" t="str">
        <f t="shared" si="6"/>
        <v>Produto B</v>
      </c>
      <c r="Q7" s="19" t="s">
        <v>43</v>
      </c>
    </row>
    <row r="8" spans="2:18" ht="30" customHeight="1" x14ac:dyDescent="0.25">
      <c r="B8" s="62">
        <f t="shared" si="0"/>
        <v>188.00000000399999</v>
      </c>
      <c r="C8" s="42">
        <v>4</v>
      </c>
      <c r="D8" s="20" t="s">
        <v>37</v>
      </c>
      <c r="E8" s="58">
        <v>480</v>
      </c>
      <c r="F8" s="63" t="str">
        <f t="shared" si="1"/>
        <v>Top 2</v>
      </c>
      <c r="G8" s="66">
        <f>IF(D8="","",IFERROR('Prod 3'!H8/'Prod 3'!$H$3,0))</f>
        <v>0.34782608695652173</v>
      </c>
      <c r="H8" s="70">
        <f>IF(D8="","",'Prod 2'!K8)</f>
        <v>292</v>
      </c>
      <c r="I8" s="77">
        <f t="shared" si="2"/>
        <v>188.00000000399999</v>
      </c>
      <c r="J8" s="57"/>
      <c r="L8" s="19">
        <v>4.0000000000000002E-9</v>
      </c>
      <c r="M8" s="59">
        <f t="shared" si="3"/>
        <v>114.46000000100001</v>
      </c>
      <c r="N8" s="59">
        <f t="shared" si="4"/>
        <v>114.46000000100001</v>
      </c>
      <c r="O8" s="59">
        <f t="shared" si="5"/>
        <v>114.46000000100001</v>
      </c>
      <c r="P8" s="19" t="str">
        <f t="shared" si="6"/>
        <v>Produto A</v>
      </c>
      <c r="Q8" s="19" t="s">
        <v>44</v>
      </c>
    </row>
    <row r="9" spans="2:18" ht="30" customHeight="1" x14ac:dyDescent="0.25">
      <c r="B9" s="62">
        <f t="shared" si="0"/>
        <v>100.000000005</v>
      </c>
      <c r="C9" s="42">
        <v>5</v>
      </c>
      <c r="D9" s="20" t="s">
        <v>38</v>
      </c>
      <c r="E9" s="58">
        <v>450</v>
      </c>
      <c r="F9" s="63" t="str">
        <f t="shared" si="1"/>
        <v>Top 5</v>
      </c>
      <c r="G9" s="66">
        <f>IF(D9="","",IFERROR('Prod 3'!H9/'Prod 3'!$H$3,0))</f>
        <v>0.21739130434782608</v>
      </c>
      <c r="H9" s="70">
        <f>IF(D9="","",'Prod 2'!K9)</f>
        <v>350</v>
      </c>
      <c r="I9" s="77">
        <f t="shared" si="2"/>
        <v>100.000000005</v>
      </c>
      <c r="J9" s="57"/>
      <c r="L9" s="19">
        <v>5.0000000000000001E-9</v>
      </c>
      <c r="M9" s="59">
        <f t="shared" si="3"/>
        <v>100.000000005</v>
      </c>
      <c r="N9" s="59">
        <f t="shared" si="4"/>
        <v>100.000000005</v>
      </c>
      <c r="O9" s="59">
        <f t="shared" si="5"/>
        <v>100.000000005</v>
      </c>
      <c r="P9" s="19" t="str">
        <f t="shared" si="6"/>
        <v>Produto E</v>
      </c>
      <c r="Q9" s="19" t="s">
        <v>45</v>
      </c>
    </row>
    <row r="10" spans="2:18" ht="30" customHeight="1" x14ac:dyDescent="0.25">
      <c r="B10" s="62" t="str">
        <f t="shared" si="0"/>
        <v/>
      </c>
      <c r="C10" s="42">
        <v>6</v>
      </c>
      <c r="D10" s="20"/>
      <c r="E10" s="58"/>
      <c r="F10" s="63" t="str">
        <f t="shared" si="1"/>
        <v/>
      </c>
      <c r="G10" s="66" t="str">
        <f>IF(D10="","",IFERROR('Prod 3'!H10/'Prod 3'!$H$3,0))</f>
        <v/>
      </c>
      <c r="H10" s="70" t="str">
        <f>IF(D10="","",'Prod 2'!K10)</f>
        <v/>
      </c>
      <c r="I10" s="77" t="str">
        <f t="shared" si="2"/>
        <v/>
      </c>
      <c r="J10" s="57"/>
      <c r="L10" s="19">
        <v>6E-9</v>
      </c>
      <c r="M10" s="59">
        <f t="shared" si="3"/>
        <v>0</v>
      </c>
      <c r="N10" s="59">
        <f t="shared" si="4"/>
        <v>0</v>
      </c>
      <c r="O10" s="59">
        <f t="shared" si="5"/>
        <v>0</v>
      </c>
      <c r="P10" s="19" t="str">
        <f t="shared" si="6"/>
        <v/>
      </c>
      <c r="Q10" s="19" t="s">
        <v>46</v>
      </c>
    </row>
    <row r="11" spans="2:18" ht="30" customHeight="1" x14ac:dyDescent="0.25">
      <c r="B11" s="62" t="str">
        <f t="shared" si="0"/>
        <v/>
      </c>
      <c r="C11" s="42">
        <v>7</v>
      </c>
      <c r="D11" s="20"/>
      <c r="E11" s="58"/>
      <c r="F11" s="63" t="str">
        <f t="shared" si="1"/>
        <v/>
      </c>
      <c r="G11" s="66" t="str">
        <f>IF(D11="","",IFERROR('Prod 3'!H11/'Prod 3'!$H$3,0))</f>
        <v/>
      </c>
      <c r="H11" s="70" t="str">
        <f>IF(D11="","",'Prod 2'!K11)</f>
        <v/>
      </c>
      <c r="I11" s="77" t="str">
        <f t="shared" si="2"/>
        <v/>
      </c>
      <c r="J11" s="57"/>
      <c r="L11" s="19">
        <v>6.9999999999999998E-9</v>
      </c>
      <c r="M11" s="59">
        <f t="shared" si="3"/>
        <v>0</v>
      </c>
      <c r="N11" s="59">
        <f t="shared" si="4"/>
        <v>0</v>
      </c>
      <c r="O11" s="59">
        <f t="shared" si="5"/>
        <v>0</v>
      </c>
      <c r="P11" s="19" t="str">
        <f t="shared" si="6"/>
        <v/>
      </c>
      <c r="Q11" s="19" t="s">
        <v>47</v>
      </c>
    </row>
    <row r="12" spans="2:18" ht="30" customHeight="1" x14ac:dyDescent="0.25">
      <c r="B12" s="62" t="str">
        <f t="shared" si="0"/>
        <v/>
      </c>
      <c r="C12" s="42">
        <v>8</v>
      </c>
      <c r="D12" s="20"/>
      <c r="E12" s="58"/>
      <c r="F12" s="63" t="str">
        <f t="shared" si="1"/>
        <v/>
      </c>
      <c r="G12" s="66" t="str">
        <f>IF(D12="","",IFERROR('Prod 3'!H12/'Prod 3'!$H$3,0))</f>
        <v/>
      </c>
      <c r="H12" s="70" t="str">
        <f>IF(D12="","",'Prod 2'!K12)</f>
        <v/>
      </c>
      <c r="I12" s="77" t="str">
        <f t="shared" si="2"/>
        <v/>
      </c>
      <c r="J12" s="57"/>
      <c r="L12" s="19">
        <v>8.0000000000000005E-9</v>
      </c>
      <c r="M12" s="59">
        <f t="shared" si="3"/>
        <v>0</v>
      </c>
      <c r="N12" s="59">
        <f t="shared" si="4"/>
        <v>0</v>
      </c>
      <c r="O12" s="59">
        <f t="shared" si="5"/>
        <v>0</v>
      </c>
      <c r="P12" s="19" t="str">
        <f t="shared" si="6"/>
        <v/>
      </c>
      <c r="Q12" s="19" t="s">
        <v>48</v>
      </c>
    </row>
    <row r="13" spans="2:18" ht="30" customHeight="1" x14ac:dyDescent="0.25">
      <c r="B13" s="62" t="str">
        <f t="shared" si="0"/>
        <v/>
      </c>
      <c r="C13" s="42">
        <v>9</v>
      </c>
      <c r="D13" s="20"/>
      <c r="E13" s="58"/>
      <c r="F13" s="63" t="str">
        <f t="shared" si="1"/>
        <v/>
      </c>
      <c r="G13" s="66" t="str">
        <f>IF(D13="","",IFERROR('Prod 3'!H13/'Prod 3'!$H$3,0))</f>
        <v/>
      </c>
      <c r="H13" s="70" t="str">
        <f>IF(D13="","",'Prod 2'!K13)</f>
        <v/>
      </c>
      <c r="I13" s="77" t="str">
        <f t="shared" si="2"/>
        <v/>
      </c>
      <c r="J13" s="57"/>
      <c r="L13" s="19">
        <v>8.9999999999999995E-9</v>
      </c>
      <c r="M13" s="59">
        <f t="shared" si="3"/>
        <v>0</v>
      </c>
      <c r="N13" s="59">
        <f t="shared" si="4"/>
        <v>0</v>
      </c>
      <c r="O13" s="59">
        <f t="shared" si="5"/>
        <v>0</v>
      </c>
      <c r="P13" s="19" t="str">
        <f t="shared" si="6"/>
        <v/>
      </c>
      <c r="Q13" s="19" t="s">
        <v>49</v>
      </c>
    </row>
    <row r="14" spans="2:18" ht="30" customHeight="1" x14ac:dyDescent="0.25">
      <c r="B14" s="62" t="str">
        <f t="shared" si="0"/>
        <v/>
      </c>
      <c r="C14" s="42">
        <v>10</v>
      </c>
      <c r="D14" s="20"/>
      <c r="E14" s="58"/>
      <c r="F14" s="63" t="str">
        <f t="shared" si="1"/>
        <v/>
      </c>
      <c r="G14" s="66" t="str">
        <f>IF(D14="","",IFERROR('Prod 3'!H14/'Prod 3'!$H$3,0))</f>
        <v/>
      </c>
      <c r="H14" s="70" t="str">
        <f>IF(D14="","",'Prod 2'!K14)</f>
        <v/>
      </c>
      <c r="I14" s="77" t="str">
        <f t="shared" si="2"/>
        <v/>
      </c>
      <c r="J14" s="57"/>
      <c r="L14" s="19">
        <v>1E-8</v>
      </c>
      <c r="M14" s="59">
        <f t="shared" si="3"/>
        <v>0</v>
      </c>
      <c r="N14" s="59">
        <f t="shared" si="4"/>
        <v>0</v>
      </c>
      <c r="O14" s="59">
        <f t="shared" si="5"/>
        <v>0</v>
      </c>
      <c r="P14" s="19" t="str">
        <f t="shared" si="6"/>
        <v/>
      </c>
      <c r="Q14" s="19" t="s">
        <v>50</v>
      </c>
    </row>
    <row r="15" spans="2:18" ht="30" customHeight="1" x14ac:dyDescent="0.25">
      <c r="B15" s="62" t="str">
        <f t="shared" si="0"/>
        <v/>
      </c>
      <c r="C15" s="42">
        <v>11</v>
      </c>
      <c r="D15" s="20"/>
      <c r="E15" s="58"/>
      <c r="F15" s="63" t="str">
        <f t="shared" si="1"/>
        <v/>
      </c>
      <c r="G15" s="66" t="str">
        <f>IF(D15="","",IFERROR('Prod 3'!H15/'Prod 3'!$H$3,0))</f>
        <v/>
      </c>
      <c r="H15" s="70" t="str">
        <f>IF(D15="","",'Prod 2'!K15)</f>
        <v/>
      </c>
      <c r="I15" s="77" t="str">
        <f t="shared" si="2"/>
        <v/>
      </c>
      <c r="J15" s="57"/>
      <c r="L15" s="19">
        <v>1.0999999999999999E-8</v>
      </c>
      <c r="M15" s="59">
        <f t="shared" si="3"/>
        <v>0</v>
      </c>
      <c r="N15" s="59">
        <f t="shared" si="4"/>
        <v>0</v>
      </c>
      <c r="O15" s="59">
        <f t="shared" si="5"/>
        <v>0</v>
      </c>
      <c r="P15" s="19" t="str">
        <f t="shared" si="6"/>
        <v/>
      </c>
      <c r="Q15" s="19" t="s">
        <v>51</v>
      </c>
    </row>
    <row r="16" spans="2:18" ht="30" customHeight="1" x14ac:dyDescent="0.25">
      <c r="B16" s="62" t="str">
        <f t="shared" si="0"/>
        <v/>
      </c>
      <c r="C16" s="42">
        <v>12</v>
      </c>
      <c r="D16" s="20"/>
      <c r="E16" s="58"/>
      <c r="F16" s="63" t="str">
        <f t="shared" si="1"/>
        <v/>
      </c>
      <c r="G16" s="66" t="str">
        <f>IF(D16="","",IFERROR('Prod 3'!H16/'Prod 3'!$H$3,0))</f>
        <v/>
      </c>
      <c r="H16" s="70" t="str">
        <f>IF(D16="","",'Prod 2'!K16)</f>
        <v/>
      </c>
      <c r="I16" s="77" t="str">
        <f t="shared" si="2"/>
        <v/>
      </c>
      <c r="J16" s="57"/>
      <c r="L16" s="19">
        <v>1.2E-8</v>
      </c>
      <c r="M16" s="59">
        <f t="shared" si="3"/>
        <v>0</v>
      </c>
      <c r="N16" s="59">
        <f t="shared" si="4"/>
        <v>0</v>
      </c>
      <c r="O16" s="59">
        <f t="shared" si="5"/>
        <v>0</v>
      </c>
      <c r="P16" s="19" t="str">
        <f t="shared" si="6"/>
        <v/>
      </c>
      <c r="Q16" s="19" t="s">
        <v>52</v>
      </c>
    </row>
    <row r="17" spans="2:17" ht="30" customHeight="1" x14ac:dyDescent="0.25">
      <c r="B17" s="62" t="str">
        <f t="shared" si="0"/>
        <v/>
      </c>
      <c r="C17" s="42">
        <v>13</v>
      </c>
      <c r="D17" s="20"/>
      <c r="E17" s="58"/>
      <c r="F17" s="63" t="str">
        <f t="shared" si="1"/>
        <v/>
      </c>
      <c r="G17" s="66" t="str">
        <f>IF(D17="","",IFERROR('Prod 3'!H17/'Prod 3'!$H$3,0))</f>
        <v/>
      </c>
      <c r="H17" s="70" t="str">
        <f>IF(D17="","",'Prod 2'!K17)</f>
        <v/>
      </c>
      <c r="I17" s="77" t="str">
        <f t="shared" si="2"/>
        <v/>
      </c>
      <c r="J17" s="57"/>
      <c r="L17" s="19">
        <v>1.3000000000000001E-8</v>
      </c>
      <c r="M17" s="59">
        <f t="shared" si="3"/>
        <v>0</v>
      </c>
      <c r="N17" s="59">
        <f t="shared" si="4"/>
        <v>0</v>
      </c>
      <c r="O17" s="59">
        <f t="shared" si="5"/>
        <v>0</v>
      </c>
      <c r="P17" s="19" t="str">
        <f t="shared" si="6"/>
        <v/>
      </c>
      <c r="Q17" s="19" t="s">
        <v>53</v>
      </c>
    </row>
    <row r="18" spans="2:17" ht="30" customHeight="1" x14ac:dyDescent="0.25">
      <c r="B18" s="62" t="str">
        <f t="shared" si="0"/>
        <v/>
      </c>
      <c r="C18" s="42">
        <v>14</v>
      </c>
      <c r="D18" s="20"/>
      <c r="E18" s="58"/>
      <c r="F18" s="63" t="str">
        <f t="shared" si="1"/>
        <v/>
      </c>
      <c r="G18" s="66" t="str">
        <f>IF(D18="","",IFERROR('Prod 3'!H18/'Prod 3'!$H$3,0))</f>
        <v/>
      </c>
      <c r="H18" s="70" t="str">
        <f>IF(D18="","",'Prod 2'!K18)</f>
        <v/>
      </c>
      <c r="I18" s="77" t="str">
        <f t="shared" si="2"/>
        <v/>
      </c>
      <c r="J18" s="57"/>
      <c r="L18" s="19">
        <v>1.4E-8</v>
      </c>
      <c r="M18" s="59">
        <f t="shared" si="3"/>
        <v>0</v>
      </c>
      <c r="N18" s="59">
        <f t="shared" si="4"/>
        <v>0</v>
      </c>
      <c r="O18" s="59">
        <f t="shared" si="5"/>
        <v>0</v>
      </c>
      <c r="P18" s="19" t="str">
        <f t="shared" si="6"/>
        <v/>
      </c>
      <c r="Q18" s="19" t="s">
        <v>54</v>
      </c>
    </row>
    <row r="19" spans="2:17" ht="30" customHeight="1" x14ac:dyDescent="0.25">
      <c r="B19" s="62" t="str">
        <f t="shared" si="0"/>
        <v/>
      </c>
      <c r="C19" s="42">
        <v>15</v>
      </c>
      <c r="D19" s="20"/>
      <c r="E19" s="58"/>
      <c r="F19" s="63" t="str">
        <f t="shared" si="1"/>
        <v/>
      </c>
      <c r="G19" s="66" t="str">
        <f>IF(D19="","",IFERROR('Prod 3'!H19/'Prod 3'!$H$3,0))</f>
        <v/>
      </c>
      <c r="H19" s="70" t="str">
        <f>IF(D19="","",'Prod 2'!K19)</f>
        <v/>
      </c>
      <c r="I19" s="77" t="str">
        <f t="shared" si="2"/>
        <v/>
      </c>
      <c r="J19" s="57"/>
      <c r="L19" s="19">
        <v>1.4999999999999999E-8</v>
      </c>
      <c r="M19" s="59">
        <f t="shared" si="3"/>
        <v>0</v>
      </c>
      <c r="N19" s="59">
        <f t="shared" si="4"/>
        <v>0</v>
      </c>
      <c r="O19" s="59">
        <f t="shared" si="5"/>
        <v>0</v>
      </c>
      <c r="P19" s="19" t="str">
        <f t="shared" si="6"/>
        <v/>
      </c>
      <c r="Q19" s="19" t="s">
        <v>55</v>
      </c>
    </row>
    <row r="20" spans="2:17" ht="30" customHeight="1" x14ac:dyDescent="0.25">
      <c r="B20" s="62" t="str">
        <f t="shared" si="0"/>
        <v/>
      </c>
      <c r="C20" s="42">
        <v>16</v>
      </c>
      <c r="D20" s="20"/>
      <c r="E20" s="58"/>
      <c r="F20" s="63" t="str">
        <f t="shared" si="1"/>
        <v/>
      </c>
      <c r="G20" s="66" t="str">
        <f>IF(D20="","",IFERROR('Prod 3'!H20/'Prod 3'!$H$3,0))</f>
        <v/>
      </c>
      <c r="H20" s="70" t="str">
        <f>IF(D20="","",'Prod 2'!K20)</f>
        <v/>
      </c>
      <c r="I20" s="77" t="str">
        <f t="shared" si="2"/>
        <v/>
      </c>
      <c r="J20" s="57"/>
      <c r="L20" s="19">
        <v>1.6000000000000001E-8</v>
      </c>
      <c r="M20" s="59">
        <f t="shared" si="3"/>
        <v>0</v>
      </c>
      <c r="N20" s="59">
        <f t="shared" si="4"/>
        <v>0</v>
      </c>
      <c r="O20" s="59">
        <f t="shared" si="5"/>
        <v>0</v>
      </c>
      <c r="P20" s="19" t="str">
        <f t="shared" si="6"/>
        <v/>
      </c>
      <c r="Q20" s="19" t="s">
        <v>56</v>
      </c>
    </row>
    <row r="21" spans="2:17" ht="30" customHeight="1" x14ac:dyDescent="0.25">
      <c r="B21" s="62" t="str">
        <f t="shared" si="0"/>
        <v/>
      </c>
      <c r="C21" s="42">
        <v>17</v>
      </c>
      <c r="D21" s="20"/>
      <c r="E21" s="58"/>
      <c r="F21" s="63" t="str">
        <f t="shared" si="1"/>
        <v/>
      </c>
      <c r="G21" s="66" t="str">
        <f>IF(D21="","",IFERROR('Prod 3'!H21/'Prod 3'!$H$3,0))</f>
        <v/>
      </c>
      <c r="H21" s="70" t="str">
        <f>IF(D21="","",'Prod 2'!K21)</f>
        <v/>
      </c>
      <c r="I21" s="77" t="str">
        <f t="shared" si="2"/>
        <v/>
      </c>
      <c r="J21" s="57"/>
      <c r="L21" s="19">
        <v>1.7E-8</v>
      </c>
      <c r="M21" s="59">
        <f t="shared" si="3"/>
        <v>0</v>
      </c>
      <c r="N21" s="59">
        <f t="shared" si="4"/>
        <v>0</v>
      </c>
      <c r="O21" s="59">
        <f t="shared" si="5"/>
        <v>0</v>
      </c>
      <c r="P21" s="19" t="str">
        <f t="shared" si="6"/>
        <v/>
      </c>
      <c r="Q21" s="19" t="s">
        <v>57</v>
      </c>
    </row>
    <row r="22" spans="2:17" ht="30" customHeight="1" x14ac:dyDescent="0.25">
      <c r="B22" s="62" t="str">
        <f t="shared" si="0"/>
        <v/>
      </c>
      <c r="C22" s="42">
        <v>18</v>
      </c>
      <c r="D22" s="20"/>
      <c r="E22" s="58"/>
      <c r="F22" s="63" t="str">
        <f t="shared" si="1"/>
        <v/>
      </c>
      <c r="G22" s="66" t="str">
        <f>IF(D22="","",IFERROR('Prod 3'!H22/'Prod 3'!$H$3,0))</f>
        <v/>
      </c>
      <c r="H22" s="70" t="str">
        <f>IF(D22="","",'Prod 2'!K22)</f>
        <v/>
      </c>
      <c r="I22" s="77" t="str">
        <f t="shared" si="2"/>
        <v/>
      </c>
      <c r="J22" s="57"/>
      <c r="L22" s="19">
        <v>1.7999999999999999E-8</v>
      </c>
      <c r="M22" s="59">
        <f t="shared" si="3"/>
        <v>0</v>
      </c>
      <c r="N22" s="59">
        <f t="shared" si="4"/>
        <v>0</v>
      </c>
      <c r="O22" s="59">
        <f t="shared" si="5"/>
        <v>0</v>
      </c>
      <c r="P22" s="19" t="str">
        <f t="shared" si="6"/>
        <v/>
      </c>
      <c r="Q22" s="19" t="s">
        <v>58</v>
      </c>
    </row>
    <row r="23" spans="2:17" ht="30" customHeight="1" x14ac:dyDescent="0.25">
      <c r="B23" s="62" t="str">
        <f t="shared" si="0"/>
        <v/>
      </c>
      <c r="C23" s="42">
        <v>19</v>
      </c>
      <c r="D23" s="20"/>
      <c r="E23" s="58"/>
      <c r="F23" s="63" t="str">
        <f t="shared" si="1"/>
        <v/>
      </c>
      <c r="G23" s="66" t="str">
        <f>IF(D23="","",IFERROR('Prod 3'!H23/'Prod 3'!$H$3,0))</f>
        <v/>
      </c>
      <c r="H23" s="70" t="str">
        <f>IF(D23="","",'Prod 2'!K23)</f>
        <v/>
      </c>
      <c r="I23" s="77" t="str">
        <f t="shared" si="2"/>
        <v/>
      </c>
      <c r="J23" s="57"/>
      <c r="L23" s="19">
        <v>1.9000000000000001E-8</v>
      </c>
      <c r="M23" s="59">
        <f t="shared" si="3"/>
        <v>0</v>
      </c>
      <c r="N23" s="59">
        <f t="shared" si="4"/>
        <v>0</v>
      </c>
      <c r="O23" s="59">
        <f t="shared" si="5"/>
        <v>0</v>
      </c>
      <c r="P23" s="19" t="str">
        <f t="shared" si="6"/>
        <v/>
      </c>
      <c r="Q23" s="19" t="s">
        <v>59</v>
      </c>
    </row>
    <row r="24" spans="2:17" ht="30" customHeight="1" x14ac:dyDescent="0.25">
      <c r="B24" s="62" t="str">
        <f t="shared" si="0"/>
        <v/>
      </c>
      <c r="C24" s="42">
        <v>20</v>
      </c>
      <c r="D24" s="20"/>
      <c r="E24" s="58"/>
      <c r="F24" s="63" t="str">
        <f t="shared" si="1"/>
        <v/>
      </c>
      <c r="G24" s="66" t="str">
        <f>IF(D24="","",IFERROR('Prod 3'!H24/'Prod 3'!$H$3,0))</f>
        <v/>
      </c>
      <c r="H24" s="70" t="str">
        <f>IF(D24="","",'Prod 2'!K24)</f>
        <v/>
      </c>
      <c r="I24" s="77" t="str">
        <f t="shared" si="2"/>
        <v/>
      </c>
      <c r="J24" s="57"/>
      <c r="L24" s="19">
        <v>2E-8</v>
      </c>
      <c r="M24" s="59">
        <f t="shared" si="3"/>
        <v>0</v>
      </c>
      <c r="N24" s="59">
        <f t="shared" si="4"/>
        <v>0</v>
      </c>
      <c r="O24" s="59">
        <f t="shared" si="5"/>
        <v>0</v>
      </c>
      <c r="P24" s="19" t="str">
        <f t="shared" si="6"/>
        <v/>
      </c>
      <c r="Q24" s="19" t="s">
        <v>60</v>
      </c>
    </row>
    <row r="25" spans="2:17" ht="30" customHeight="1" x14ac:dyDescent="0.25">
      <c r="B25" s="62" t="str">
        <f t="shared" si="0"/>
        <v/>
      </c>
      <c r="C25" s="42">
        <v>21</v>
      </c>
      <c r="D25" s="20"/>
      <c r="E25" s="58"/>
      <c r="F25" s="63" t="str">
        <f t="shared" si="1"/>
        <v/>
      </c>
      <c r="G25" s="66" t="str">
        <f>IF(D25="","",IFERROR('Prod 3'!H25/'Prod 3'!$H$3,0))</f>
        <v/>
      </c>
      <c r="H25" s="70" t="str">
        <f>IF(D25="","",'Prod 2'!K25)</f>
        <v/>
      </c>
      <c r="I25" s="77" t="str">
        <f t="shared" si="2"/>
        <v/>
      </c>
      <c r="J25" s="57"/>
      <c r="L25" s="19">
        <v>2.0999999999999999E-8</v>
      </c>
      <c r="M25" s="59">
        <f t="shared" si="3"/>
        <v>0</v>
      </c>
      <c r="N25" s="59">
        <f t="shared" si="4"/>
        <v>0</v>
      </c>
      <c r="O25" s="59">
        <f t="shared" si="5"/>
        <v>0</v>
      </c>
      <c r="P25" s="19" t="str">
        <f t="shared" si="6"/>
        <v/>
      </c>
      <c r="Q25" s="19" t="s">
        <v>61</v>
      </c>
    </row>
    <row r="26" spans="2:17" ht="30" customHeight="1" x14ac:dyDescent="0.25">
      <c r="B26" s="62" t="str">
        <f t="shared" si="0"/>
        <v/>
      </c>
      <c r="C26" s="42">
        <v>22</v>
      </c>
      <c r="D26" s="20"/>
      <c r="E26" s="58"/>
      <c r="F26" s="63" t="str">
        <f t="shared" si="1"/>
        <v/>
      </c>
      <c r="G26" s="66" t="str">
        <f>IF(D26="","",IFERROR('Prod 3'!H26/'Prod 3'!$H$3,0))</f>
        <v/>
      </c>
      <c r="H26" s="70" t="str">
        <f>IF(D26="","",'Prod 2'!K26)</f>
        <v/>
      </c>
      <c r="I26" s="77" t="str">
        <f t="shared" si="2"/>
        <v/>
      </c>
      <c r="J26" s="57"/>
      <c r="L26" s="19">
        <v>2.1999999999999998E-8</v>
      </c>
      <c r="M26" s="59">
        <f t="shared" si="3"/>
        <v>0</v>
      </c>
      <c r="N26" s="59">
        <f t="shared" si="4"/>
        <v>0</v>
      </c>
      <c r="O26" s="59">
        <f t="shared" si="5"/>
        <v>0</v>
      </c>
      <c r="P26" s="19" t="str">
        <f t="shared" si="6"/>
        <v/>
      </c>
      <c r="Q26" s="19" t="s">
        <v>62</v>
      </c>
    </row>
    <row r="27" spans="2:17" ht="30" customHeight="1" x14ac:dyDescent="0.25">
      <c r="B27" s="62" t="str">
        <f t="shared" si="0"/>
        <v/>
      </c>
      <c r="C27" s="42">
        <v>23</v>
      </c>
      <c r="D27" s="20"/>
      <c r="E27" s="58"/>
      <c r="F27" s="63" t="str">
        <f t="shared" si="1"/>
        <v/>
      </c>
      <c r="G27" s="66" t="str">
        <f>IF(D27="","",IFERROR('Prod 3'!H27/'Prod 3'!$H$3,0))</f>
        <v/>
      </c>
      <c r="H27" s="70" t="str">
        <f>IF(D27="","",'Prod 2'!K27)</f>
        <v/>
      </c>
      <c r="I27" s="77" t="str">
        <f t="shared" si="2"/>
        <v/>
      </c>
      <c r="J27" s="57"/>
      <c r="L27" s="19">
        <v>2.3000000000000001E-8</v>
      </c>
      <c r="M27" s="59">
        <f t="shared" si="3"/>
        <v>0</v>
      </c>
      <c r="N27" s="59">
        <f t="shared" si="4"/>
        <v>0</v>
      </c>
      <c r="O27" s="59">
        <f t="shared" si="5"/>
        <v>0</v>
      </c>
      <c r="P27" s="19" t="str">
        <f t="shared" si="6"/>
        <v/>
      </c>
      <c r="Q27" s="19" t="s">
        <v>63</v>
      </c>
    </row>
    <row r="28" spans="2:17" ht="30" customHeight="1" x14ac:dyDescent="0.25">
      <c r="B28" s="62" t="str">
        <f t="shared" si="0"/>
        <v/>
      </c>
      <c r="C28" s="42">
        <v>24</v>
      </c>
      <c r="D28" s="20"/>
      <c r="E28" s="58"/>
      <c r="F28" s="63" t="str">
        <f t="shared" si="1"/>
        <v/>
      </c>
      <c r="G28" s="66" t="str">
        <f>IF(D28="","",IFERROR('Prod 3'!H28/'Prod 3'!$H$3,0))</f>
        <v/>
      </c>
      <c r="H28" s="70" t="str">
        <f>IF(D28="","",'Prod 2'!K28)</f>
        <v/>
      </c>
      <c r="I28" s="77" t="str">
        <f t="shared" si="2"/>
        <v/>
      </c>
      <c r="J28" s="57"/>
      <c r="L28" s="19">
        <v>2.4E-8</v>
      </c>
      <c r="M28" s="59">
        <f t="shared" si="3"/>
        <v>0</v>
      </c>
      <c r="N28" s="59">
        <f t="shared" si="4"/>
        <v>0</v>
      </c>
      <c r="O28" s="59">
        <f t="shared" si="5"/>
        <v>0</v>
      </c>
      <c r="P28" s="19" t="str">
        <f t="shared" si="6"/>
        <v/>
      </c>
      <c r="Q28" s="19" t="s">
        <v>64</v>
      </c>
    </row>
    <row r="29" spans="2:17" ht="30" customHeight="1" x14ac:dyDescent="0.25">
      <c r="B29" s="62" t="str">
        <f t="shared" si="0"/>
        <v/>
      </c>
      <c r="C29" s="42">
        <v>25</v>
      </c>
      <c r="D29" s="20"/>
      <c r="E29" s="58"/>
      <c r="F29" s="63" t="str">
        <f t="shared" si="1"/>
        <v/>
      </c>
      <c r="G29" s="66" t="str">
        <f>IF(D29="","",IFERROR('Prod 3'!H29/'Prod 3'!$H$3,0))</f>
        <v/>
      </c>
      <c r="H29" s="70" t="str">
        <f>IF(D29="","",'Prod 2'!K29)</f>
        <v/>
      </c>
      <c r="I29" s="77" t="str">
        <f t="shared" si="2"/>
        <v/>
      </c>
      <c r="J29" s="57"/>
      <c r="L29" s="19">
        <v>2.4999999999999999E-8</v>
      </c>
      <c r="M29" s="59">
        <f t="shared" si="3"/>
        <v>0</v>
      </c>
      <c r="N29" s="59">
        <f t="shared" si="4"/>
        <v>0</v>
      </c>
      <c r="O29" s="59">
        <f t="shared" si="5"/>
        <v>0</v>
      </c>
      <c r="P29" s="19" t="str">
        <f t="shared" si="6"/>
        <v/>
      </c>
      <c r="Q29" s="19" t="s">
        <v>65</v>
      </c>
    </row>
    <row r="30" spans="2:17" ht="30" customHeight="1" x14ac:dyDescent="0.25">
      <c r="B30" s="62" t="str">
        <f t="shared" si="0"/>
        <v/>
      </c>
      <c r="C30" s="42">
        <v>26</v>
      </c>
      <c r="D30" s="20"/>
      <c r="E30" s="58"/>
      <c r="F30" s="63" t="str">
        <f t="shared" si="1"/>
        <v/>
      </c>
      <c r="G30" s="66" t="str">
        <f>IF(D30="","",IFERROR('Prod 3'!H30/'Prod 3'!$H$3,0))</f>
        <v/>
      </c>
      <c r="H30" s="70" t="str">
        <f>IF(D30="","",'Prod 2'!K30)</f>
        <v/>
      </c>
      <c r="I30" s="77" t="str">
        <f t="shared" si="2"/>
        <v/>
      </c>
      <c r="J30" s="57"/>
      <c r="L30" s="19">
        <v>2.6000000000000001E-8</v>
      </c>
      <c r="M30" s="59">
        <f t="shared" si="3"/>
        <v>0</v>
      </c>
      <c r="N30" s="59">
        <f t="shared" si="4"/>
        <v>0</v>
      </c>
      <c r="O30" s="59">
        <f t="shared" si="5"/>
        <v>0</v>
      </c>
      <c r="P30" s="19" t="str">
        <f t="shared" si="6"/>
        <v/>
      </c>
      <c r="Q30" s="19" t="s">
        <v>66</v>
      </c>
    </row>
    <row r="31" spans="2:17" ht="30" customHeight="1" x14ac:dyDescent="0.25">
      <c r="B31" s="62" t="str">
        <f t="shared" si="0"/>
        <v/>
      </c>
      <c r="C31" s="42">
        <v>27</v>
      </c>
      <c r="D31" s="20"/>
      <c r="E31" s="58"/>
      <c r="F31" s="63" t="str">
        <f t="shared" si="1"/>
        <v/>
      </c>
      <c r="G31" s="66" t="str">
        <f>IF(D31="","",IFERROR('Prod 3'!H31/'Prod 3'!$H$3,0))</f>
        <v/>
      </c>
      <c r="H31" s="70" t="str">
        <f>IF(D31="","",'Prod 2'!K31)</f>
        <v/>
      </c>
      <c r="I31" s="77" t="str">
        <f t="shared" si="2"/>
        <v/>
      </c>
      <c r="J31" s="57"/>
      <c r="L31" s="19">
        <v>2.7E-8</v>
      </c>
      <c r="M31" s="59">
        <f t="shared" si="3"/>
        <v>0</v>
      </c>
      <c r="N31" s="59">
        <f t="shared" si="4"/>
        <v>0</v>
      </c>
      <c r="O31" s="59">
        <f t="shared" si="5"/>
        <v>0</v>
      </c>
      <c r="P31" s="19" t="str">
        <f t="shared" si="6"/>
        <v/>
      </c>
      <c r="Q31" s="19" t="s">
        <v>67</v>
      </c>
    </row>
    <row r="32" spans="2:17" ht="30" customHeight="1" x14ac:dyDescent="0.25">
      <c r="B32" s="62" t="str">
        <f t="shared" si="0"/>
        <v/>
      </c>
      <c r="C32" s="42">
        <v>28</v>
      </c>
      <c r="D32" s="20"/>
      <c r="E32" s="58"/>
      <c r="F32" s="63" t="str">
        <f t="shared" si="1"/>
        <v/>
      </c>
      <c r="G32" s="66" t="str">
        <f>IF(D32="","",IFERROR('Prod 3'!H32/'Prod 3'!$H$3,0))</f>
        <v/>
      </c>
      <c r="H32" s="70" t="str">
        <f>IF(D32="","",'Prod 2'!K32)</f>
        <v/>
      </c>
      <c r="I32" s="77" t="str">
        <f t="shared" si="2"/>
        <v/>
      </c>
      <c r="J32" s="57"/>
      <c r="L32" s="19">
        <v>2.7999999999999999E-8</v>
      </c>
      <c r="M32" s="59">
        <f t="shared" si="3"/>
        <v>0</v>
      </c>
      <c r="N32" s="59">
        <f t="shared" si="4"/>
        <v>0</v>
      </c>
      <c r="O32" s="59">
        <f t="shared" si="5"/>
        <v>0</v>
      </c>
      <c r="P32" s="19" t="str">
        <f t="shared" si="6"/>
        <v/>
      </c>
      <c r="Q32" s="19" t="s">
        <v>68</v>
      </c>
    </row>
    <row r="33" spans="2:17" ht="30" customHeight="1" x14ac:dyDescent="0.25">
      <c r="B33" s="62" t="str">
        <f t="shared" si="0"/>
        <v/>
      </c>
      <c r="C33" s="42">
        <v>29</v>
      </c>
      <c r="D33" s="20"/>
      <c r="E33" s="58"/>
      <c r="F33" s="63" t="str">
        <f t="shared" si="1"/>
        <v/>
      </c>
      <c r="G33" s="66" t="str">
        <f>IF(D33="","",IFERROR('Prod 3'!H33/'Prod 3'!$H$3,0))</f>
        <v/>
      </c>
      <c r="H33" s="70" t="str">
        <f>IF(D33="","",'Prod 2'!K33)</f>
        <v/>
      </c>
      <c r="I33" s="77" t="str">
        <f t="shared" si="2"/>
        <v/>
      </c>
      <c r="J33" s="57"/>
      <c r="L33" s="19">
        <v>2.9000000000000002E-8</v>
      </c>
      <c r="M33" s="59">
        <f t="shared" si="3"/>
        <v>0</v>
      </c>
      <c r="N33" s="59">
        <f t="shared" si="4"/>
        <v>0</v>
      </c>
      <c r="O33" s="59">
        <f t="shared" si="5"/>
        <v>0</v>
      </c>
      <c r="P33" s="19" t="str">
        <f t="shared" si="6"/>
        <v/>
      </c>
      <c r="Q33" s="19" t="s">
        <v>69</v>
      </c>
    </row>
    <row r="34" spans="2:17" ht="30" customHeight="1" x14ac:dyDescent="0.25">
      <c r="B34" s="62" t="str">
        <f t="shared" si="0"/>
        <v/>
      </c>
      <c r="C34" s="42">
        <v>30</v>
      </c>
      <c r="D34" s="20"/>
      <c r="E34" s="58"/>
      <c r="F34" s="63" t="str">
        <f t="shared" si="1"/>
        <v/>
      </c>
      <c r="G34" s="66" t="str">
        <f>IF(D34="","",IFERROR('Prod 3'!H34/'Prod 3'!$H$3,0))</f>
        <v/>
      </c>
      <c r="H34" s="70" t="str">
        <f>IF(D34="","",'Prod 2'!K34)</f>
        <v/>
      </c>
      <c r="I34" s="77" t="str">
        <f t="shared" si="2"/>
        <v/>
      </c>
      <c r="J34" s="57"/>
      <c r="L34" s="19">
        <v>2.9999999999999997E-8</v>
      </c>
      <c r="M34" s="59">
        <f t="shared" si="3"/>
        <v>0</v>
      </c>
      <c r="N34" s="59">
        <f t="shared" si="4"/>
        <v>0</v>
      </c>
      <c r="O34" s="59">
        <f t="shared" si="5"/>
        <v>0</v>
      </c>
      <c r="P34" s="19" t="str">
        <f t="shared" si="6"/>
        <v/>
      </c>
      <c r="Q34" s="19" t="s">
        <v>70</v>
      </c>
    </row>
    <row r="35" spans="2:17" ht="30" customHeight="1" x14ac:dyDescent="0.25">
      <c r="B35" s="62" t="str">
        <f t="shared" si="0"/>
        <v/>
      </c>
      <c r="C35" s="42">
        <v>31</v>
      </c>
      <c r="D35" s="20"/>
      <c r="E35" s="58"/>
      <c r="F35" s="63" t="str">
        <f t="shared" si="1"/>
        <v/>
      </c>
      <c r="G35" s="66" t="str">
        <f>IF(D35="","",IFERROR('Prod 3'!H35/'Prod 3'!$H$3,0))</f>
        <v/>
      </c>
      <c r="H35" s="70" t="str">
        <f>IF(D35="","",'Prod 2'!K35)</f>
        <v/>
      </c>
      <c r="I35" s="77" t="str">
        <f t="shared" si="2"/>
        <v/>
      </c>
      <c r="J35" s="57"/>
      <c r="L35" s="19">
        <v>3.1E-8</v>
      </c>
      <c r="M35" s="59">
        <f t="shared" si="3"/>
        <v>0</v>
      </c>
      <c r="N35" s="59">
        <f t="shared" si="4"/>
        <v>0</v>
      </c>
      <c r="O35" s="59">
        <f t="shared" si="5"/>
        <v>0</v>
      </c>
      <c r="P35" s="19" t="str">
        <f t="shared" si="6"/>
        <v/>
      </c>
      <c r="Q35" s="19" t="s">
        <v>71</v>
      </c>
    </row>
    <row r="36" spans="2:17" ht="30" customHeight="1" x14ac:dyDescent="0.25">
      <c r="B36" s="62" t="str">
        <f t="shared" si="0"/>
        <v/>
      </c>
      <c r="C36" s="42">
        <v>32</v>
      </c>
      <c r="D36" s="20"/>
      <c r="E36" s="58"/>
      <c r="F36" s="63" t="str">
        <f t="shared" si="1"/>
        <v/>
      </c>
      <c r="G36" s="66" t="str">
        <f>IF(D36="","",IFERROR('Prod 3'!H36/'Prod 3'!$H$3,0))</f>
        <v/>
      </c>
      <c r="H36" s="70" t="str">
        <f>IF(D36="","",'Prod 2'!K36)</f>
        <v/>
      </c>
      <c r="I36" s="77" t="str">
        <f t="shared" si="2"/>
        <v/>
      </c>
      <c r="J36" s="57"/>
      <c r="L36" s="19">
        <v>3.2000000000000002E-8</v>
      </c>
      <c r="M36" s="59">
        <f t="shared" si="3"/>
        <v>0</v>
      </c>
      <c r="N36" s="59">
        <f t="shared" si="4"/>
        <v>0</v>
      </c>
      <c r="O36" s="59">
        <f t="shared" si="5"/>
        <v>0</v>
      </c>
      <c r="P36" s="19" t="str">
        <f t="shared" si="6"/>
        <v/>
      </c>
      <c r="Q36" s="19" t="s">
        <v>72</v>
      </c>
    </row>
    <row r="37" spans="2:17" ht="30" customHeight="1" x14ac:dyDescent="0.25">
      <c r="B37" s="62" t="str">
        <f t="shared" si="0"/>
        <v/>
      </c>
      <c r="C37" s="42">
        <v>33</v>
      </c>
      <c r="D37" s="20"/>
      <c r="E37" s="58"/>
      <c r="F37" s="63" t="str">
        <f t="shared" si="1"/>
        <v/>
      </c>
      <c r="G37" s="66" t="str">
        <f>IF(D37="","",IFERROR('Prod 3'!H37/'Prod 3'!$H$3,0))</f>
        <v/>
      </c>
      <c r="H37" s="70" t="str">
        <f>IF(D37="","",'Prod 2'!K37)</f>
        <v/>
      </c>
      <c r="I37" s="77" t="str">
        <f t="shared" si="2"/>
        <v/>
      </c>
      <c r="J37" s="57"/>
      <c r="L37" s="19">
        <v>3.2999999999999998E-8</v>
      </c>
      <c r="M37" s="59">
        <f t="shared" si="3"/>
        <v>0</v>
      </c>
      <c r="N37" s="59">
        <f t="shared" si="4"/>
        <v>0</v>
      </c>
      <c r="O37" s="59">
        <f t="shared" si="5"/>
        <v>0</v>
      </c>
      <c r="P37" s="19" t="str">
        <f t="shared" si="6"/>
        <v/>
      </c>
      <c r="Q37" s="19" t="s">
        <v>73</v>
      </c>
    </row>
    <row r="38" spans="2:17" ht="30" customHeight="1" x14ac:dyDescent="0.25">
      <c r="B38" s="62" t="str">
        <f t="shared" si="0"/>
        <v/>
      </c>
      <c r="C38" s="42">
        <v>34</v>
      </c>
      <c r="D38" s="20"/>
      <c r="E38" s="58"/>
      <c r="F38" s="63" t="str">
        <f t="shared" si="1"/>
        <v/>
      </c>
      <c r="G38" s="66" t="str">
        <f>IF(D38="","",IFERROR('Prod 3'!H38/'Prod 3'!$H$3,0))</f>
        <v/>
      </c>
      <c r="H38" s="70" t="str">
        <f>IF(D38="","",'Prod 2'!K38)</f>
        <v/>
      </c>
      <c r="I38" s="77" t="str">
        <f t="shared" si="2"/>
        <v/>
      </c>
      <c r="J38" s="57"/>
      <c r="L38" s="19">
        <v>3.4E-8</v>
      </c>
      <c r="M38" s="59">
        <f t="shared" si="3"/>
        <v>0</v>
      </c>
      <c r="N38" s="59">
        <f t="shared" si="4"/>
        <v>0</v>
      </c>
      <c r="O38" s="59">
        <f t="shared" si="5"/>
        <v>0</v>
      </c>
      <c r="P38" s="19" t="str">
        <f t="shared" si="6"/>
        <v/>
      </c>
      <c r="Q38" s="19" t="s">
        <v>74</v>
      </c>
    </row>
    <row r="39" spans="2:17" ht="30" customHeight="1" x14ac:dyDescent="0.25">
      <c r="B39" s="62" t="str">
        <f t="shared" si="0"/>
        <v/>
      </c>
      <c r="C39" s="42">
        <v>35</v>
      </c>
      <c r="D39" s="20"/>
      <c r="E39" s="58"/>
      <c r="F39" s="63" t="str">
        <f t="shared" si="1"/>
        <v/>
      </c>
      <c r="G39" s="66" t="str">
        <f>IF(D39="","",IFERROR('Prod 3'!H39/'Prod 3'!$H$3,0))</f>
        <v/>
      </c>
      <c r="H39" s="70" t="str">
        <f>IF(D39="","",'Prod 2'!K39)</f>
        <v/>
      </c>
      <c r="I39" s="77" t="str">
        <f t="shared" si="2"/>
        <v/>
      </c>
      <c r="J39" s="57"/>
      <c r="L39" s="19">
        <v>3.5000000000000002E-8</v>
      </c>
      <c r="M39" s="59">
        <f t="shared" si="3"/>
        <v>0</v>
      </c>
      <c r="N39" s="59">
        <f t="shared" si="4"/>
        <v>0</v>
      </c>
      <c r="O39" s="59">
        <f t="shared" si="5"/>
        <v>0</v>
      </c>
      <c r="P39" s="19" t="str">
        <f t="shared" si="6"/>
        <v/>
      </c>
      <c r="Q39" s="19" t="s">
        <v>75</v>
      </c>
    </row>
    <row r="40" spans="2:17" ht="30" customHeight="1" x14ac:dyDescent="0.25">
      <c r="B40" s="62" t="str">
        <f t="shared" si="0"/>
        <v/>
      </c>
      <c r="C40" s="42">
        <v>36</v>
      </c>
      <c r="D40" s="20"/>
      <c r="E40" s="58"/>
      <c r="F40" s="63" t="str">
        <f t="shared" si="1"/>
        <v/>
      </c>
      <c r="G40" s="66" t="str">
        <f>IF(D40="","",IFERROR('Prod 3'!H40/'Prod 3'!$H$3,0))</f>
        <v/>
      </c>
      <c r="H40" s="70" t="str">
        <f>IF(D40="","",'Prod 2'!K40)</f>
        <v/>
      </c>
      <c r="I40" s="77" t="str">
        <f t="shared" si="2"/>
        <v/>
      </c>
      <c r="J40" s="57"/>
      <c r="L40" s="19">
        <v>3.5999999999999998E-8</v>
      </c>
      <c r="M40" s="59">
        <f t="shared" si="3"/>
        <v>0</v>
      </c>
      <c r="N40" s="59">
        <f t="shared" si="4"/>
        <v>0</v>
      </c>
      <c r="O40" s="59">
        <f t="shared" si="5"/>
        <v>0</v>
      </c>
      <c r="P40" s="19" t="str">
        <f t="shared" si="6"/>
        <v/>
      </c>
      <c r="Q40" s="19" t="s">
        <v>76</v>
      </c>
    </row>
    <row r="41" spans="2:17" ht="30" customHeight="1" x14ac:dyDescent="0.25">
      <c r="B41" s="62" t="str">
        <f t="shared" si="0"/>
        <v/>
      </c>
      <c r="C41" s="42">
        <v>37</v>
      </c>
      <c r="D41" s="20"/>
      <c r="E41" s="58"/>
      <c r="F41" s="63" t="str">
        <f t="shared" si="1"/>
        <v/>
      </c>
      <c r="G41" s="66" t="str">
        <f>IF(D41="","",IFERROR('Prod 3'!H41/'Prod 3'!$H$3,0))</f>
        <v/>
      </c>
      <c r="H41" s="70" t="str">
        <f>IF(D41="","",'Prod 2'!K41)</f>
        <v/>
      </c>
      <c r="I41" s="77" t="str">
        <f t="shared" si="2"/>
        <v/>
      </c>
      <c r="J41" s="57"/>
      <c r="L41" s="19">
        <v>3.7E-8</v>
      </c>
      <c r="M41" s="59">
        <f t="shared" si="3"/>
        <v>0</v>
      </c>
      <c r="N41" s="59">
        <f t="shared" si="4"/>
        <v>0</v>
      </c>
      <c r="O41" s="59">
        <f t="shared" si="5"/>
        <v>0</v>
      </c>
      <c r="P41" s="19" t="str">
        <f t="shared" si="6"/>
        <v/>
      </c>
      <c r="Q41" s="19" t="s">
        <v>77</v>
      </c>
    </row>
    <row r="42" spans="2:17" ht="30" customHeight="1" x14ac:dyDescent="0.25">
      <c r="B42" s="62" t="str">
        <f t="shared" si="0"/>
        <v/>
      </c>
      <c r="C42" s="42">
        <v>38</v>
      </c>
      <c r="D42" s="20"/>
      <c r="E42" s="58"/>
      <c r="F42" s="63" t="str">
        <f t="shared" si="1"/>
        <v/>
      </c>
      <c r="G42" s="66" t="str">
        <f>IF(D42="","",IFERROR('Prod 3'!H42/'Prod 3'!$H$3,0))</f>
        <v/>
      </c>
      <c r="H42" s="70" t="str">
        <f>IF(D42="","",'Prod 2'!K42)</f>
        <v/>
      </c>
      <c r="I42" s="77" t="str">
        <f t="shared" si="2"/>
        <v/>
      </c>
      <c r="J42" s="57"/>
      <c r="L42" s="19">
        <v>3.8000000000000003E-8</v>
      </c>
      <c r="M42" s="59">
        <f t="shared" si="3"/>
        <v>0</v>
      </c>
      <c r="N42" s="59">
        <f t="shared" si="4"/>
        <v>0</v>
      </c>
      <c r="O42" s="59">
        <f t="shared" si="5"/>
        <v>0</v>
      </c>
      <c r="P42" s="19" t="str">
        <f t="shared" si="6"/>
        <v/>
      </c>
      <c r="Q42" s="19" t="s">
        <v>78</v>
      </c>
    </row>
    <row r="43" spans="2:17" ht="30" customHeight="1" x14ac:dyDescent="0.25">
      <c r="B43" s="62" t="str">
        <f t="shared" si="0"/>
        <v/>
      </c>
      <c r="C43" s="42">
        <v>39</v>
      </c>
      <c r="D43" s="20"/>
      <c r="E43" s="58"/>
      <c r="F43" s="63" t="str">
        <f t="shared" si="1"/>
        <v/>
      </c>
      <c r="G43" s="66" t="str">
        <f>IF(D43="","",IFERROR('Prod 3'!H43/'Prod 3'!$H$3,0))</f>
        <v/>
      </c>
      <c r="H43" s="70" t="str">
        <f>IF(D43="","",'Prod 2'!K43)</f>
        <v/>
      </c>
      <c r="I43" s="77" t="str">
        <f t="shared" si="2"/>
        <v/>
      </c>
      <c r="J43" s="57"/>
      <c r="L43" s="19">
        <v>3.8999999999999998E-8</v>
      </c>
      <c r="M43" s="59">
        <f t="shared" si="3"/>
        <v>0</v>
      </c>
      <c r="N43" s="59">
        <f t="shared" si="4"/>
        <v>0</v>
      </c>
      <c r="O43" s="59">
        <f t="shared" si="5"/>
        <v>0</v>
      </c>
      <c r="P43" s="19" t="str">
        <f t="shared" si="6"/>
        <v/>
      </c>
      <c r="Q43" s="19" t="s">
        <v>79</v>
      </c>
    </row>
    <row r="44" spans="2:17" ht="30" customHeight="1" x14ac:dyDescent="0.25">
      <c r="B44" s="62" t="str">
        <f t="shared" si="0"/>
        <v/>
      </c>
      <c r="C44" s="42">
        <v>40</v>
      </c>
      <c r="D44" s="20"/>
      <c r="E44" s="58"/>
      <c r="F44" s="63" t="str">
        <f t="shared" si="1"/>
        <v/>
      </c>
      <c r="G44" s="66" t="str">
        <f>IF(D44="","",IFERROR('Prod 3'!H44/'Prod 3'!$H$3,0))</f>
        <v/>
      </c>
      <c r="H44" s="70" t="str">
        <f>IF(D44="","",'Prod 2'!K44)</f>
        <v/>
      </c>
      <c r="I44" s="77" t="str">
        <f t="shared" si="2"/>
        <v/>
      </c>
      <c r="J44" s="57"/>
      <c r="L44" s="19">
        <v>4.0000000000000001E-8</v>
      </c>
      <c r="M44" s="59">
        <f t="shared" si="3"/>
        <v>0</v>
      </c>
      <c r="N44" s="59">
        <f t="shared" si="4"/>
        <v>0</v>
      </c>
      <c r="O44" s="59">
        <f t="shared" si="5"/>
        <v>0</v>
      </c>
      <c r="P44" s="19" t="str">
        <f t="shared" si="6"/>
        <v/>
      </c>
      <c r="Q44" s="19" t="s">
        <v>80</v>
      </c>
    </row>
    <row r="45" spans="2:17" ht="30" customHeight="1" x14ac:dyDescent="0.25">
      <c r="B45" s="62" t="str">
        <f t="shared" si="0"/>
        <v/>
      </c>
      <c r="C45" s="42">
        <v>41</v>
      </c>
      <c r="D45" s="20"/>
      <c r="E45" s="58"/>
      <c r="F45" s="63" t="str">
        <f t="shared" si="1"/>
        <v/>
      </c>
      <c r="G45" s="66" t="str">
        <f>IF(D45="","",IFERROR('Prod 3'!H45/'Prod 3'!$H$3,0))</f>
        <v/>
      </c>
      <c r="H45" s="70" t="str">
        <f>IF(D45="","",'Prod 2'!K45)</f>
        <v/>
      </c>
      <c r="I45" s="77" t="str">
        <f t="shared" si="2"/>
        <v/>
      </c>
      <c r="J45" s="57"/>
      <c r="L45" s="19">
        <v>4.1000000000000003E-8</v>
      </c>
      <c r="M45" s="59">
        <f t="shared" si="3"/>
        <v>0</v>
      </c>
      <c r="N45" s="59">
        <f t="shared" si="4"/>
        <v>0</v>
      </c>
      <c r="O45" s="59">
        <f t="shared" si="5"/>
        <v>0</v>
      </c>
      <c r="P45" s="19" t="str">
        <f t="shared" si="6"/>
        <v/>
      </c>
      <c r="Q45" s="19" t="s">
        <v>81</v>
      </c>
    </row>
    <row r="46" spans="2:17" ht="30" customHeight="1" x14ac:dyDescent="0.25">
      <c r="B46" s="62" t="str">
        <f t="shared" si="0"/>
        <v/>
      </c>
      <c r="C46" s="42">
        <v>42</v>
      </c>
      <c r="D46" s="20"/>
      <c r="E46" s="58"/>
      <c r="F46" s="63" t="str">
        <f t="shared" si="1"/>
        <v/>
      </c>
      <c r="G46" s="66" t="str">
        <f>IF(D46="","",IFERROR('Prod 3'!H46/'Prod 3'!$H$3,0))</f>
        <v/>
      </c>
      <c r="H46" s="70" t="str">
        <f>IF(D46="","",'Prod 2'!K46)</f>
        <v/>
      </c>
      <c r="I46" s="77" t="str">
        <f t="shared" si="2"/>
        <v/>
      </c>
      <c r="J46" s="57"/>
      <c r="L46" s="19">
        <v>4.1999999999999999E-8</v>
      </c>
      <c r="M46" s="59">
        <f t="shared" si="3"/>
        <v>0</v>
      </c>
      <c r="N46" s="59">
        <f t="shared" si="4"/>
        <v>0</v>
      </c>
      <c r="O46" s="59">
        <f t="shared" si="5"/>
        <v>0</v>
      </c>
      <c r="P46" s="19" t="str">
        <f t="shared" si="6"/>
        <v/>
      </c>
      <c r="Q46" s="19" t="s">
        <v>82</v>
      </c>
    </row>
    <row r="47" spans="2:17" ht="30" customHeight="1" x14ac:dyDescent="0.25">
      <c r="B47" s="62" t="str">
        <f t="shared" si="0"/>
        <v/>
      </c>
      <c r="C47" s="42">
        <v>43</v>
      </c>
      <c r="D47" s="20"/>
      <c r="E47" s="58"/>
      <c r="F47" s="63" t="str">
        <f t="shared" si="1"/>
        <v/>
      </c>
      <c r="G47" s="66" t="str">
        <f>IF(D47="","",IFERROR('Prod 3'!H47/'Prod 3'!$H$3,0))</f>
        <v/>
      </c>
      <c r="H47" s="70" t="str">
        <f>IF(D47="","",'Prod 2'!K47)</f>
        <v/>
      </c>
      <c r="I47" s="77" t="str">
        <f t="shared" si="2"/>
        <v/>
      </c>
      <c r="J47" s="57"/>
      <c r="L47" s="19">
        <v>4.3000000000000001E-8</v>
      </c>
      <c r="M47" s="59">
        <f t="shared" si="3"/>
        <v>0</v>
      </c>
      <c r="N47" s="59">
        <f t="shared" si="4"/>
        <v>0</v>
      </c>
      <c r="O47" s="59">
        <f t="shared" si="5"/>
        <v>0</v>
      </c>
      <c r="P47" s="19" t="str">
        <f t="shared" si="6"/>
        <v/>
      </c>
      <c r="Q47" s="19" t="s">
        <v>83</v>
      </c>
    </row>
    <row r="48" spans="2:17" ht="30" customHeight="1" x14ac:dyDescent="0.25">
      <c r="B48" s="62" t="str">
        <f t="shared" si="0"/>
        <v/>
      </c>
      <c r="C48" s="42">
        <v>44</v>
      </c>
      <c r="D48" s="20"/>
      <c r="E48" s="58"/>
      <c r="F48" s="63" t="str">
        <f t="shared" si="1"/>
        <v/>
      </c>
      <c r="G48" s="66" t="str">
        <f>IF(D48="","",IFERROR('Prod 3'!H48/'Prod 3'!$H$3,0))</f>
        <v/>
      </c>
      <c r="H48" s="70" t="str">
        <f>IF(D48="","",'Prod 2'!K48)</f>
        <v/>
      </c>
      <c r="I48" s="77" t="str">
        <f t="shared" si="2"/>
        <v/>
      </c>
      <c r="J48" s="57"/>
      <c r="L48" s="19">
        <v>4.3999999999999997E-8</v>
      </c>
      <c r="M48" s="59">
        <f t="shared" si="3"/>
        <v>0</v>
      </c>
      <c r="N48" s="59">
        <f t="shared" si="4"/>
        <v>0</v>
      </c>
      <c r="O48" s="59">
        <f t="shared" si="5"/>
        <v>0</v>
      </c>
      <c r="P48" s="19" t="str">
        <f t="shared" si="6"/>
        <v/>
      </c>
      <c r="Q48" s="19" t="s">
        <v>84</v>
      </c>
    </row>
    <row r="49" spans="2:17" ht="30" customHeight="1" x14ac:dyDescent="0.25">
      <c r="B49" s="62" t="str">
        <f t="shared" si="0"/>
        <v/>
      </c>
      <c r="C49" s="42">
        <v>45</v>
      </c>
      <c r="D49" s="20"/>
      <c r="E49" s="58"/>
      <c r="F49" s="63" t="str">
        <f t="shared" si="1"/>
        <v/>
      </c>
      <c r="G49" s="66" t="str">
        <f>IF(D49="","",IFERROR('Prod 3'!H49/'Prod 3'!$H$3,0))</f>
        <v/>
      </c>
      <c r="H49" s="70" t="str">
        <f>IF(D49="","",'Prod 2'!K49)</f>
        <v/>
      </c>
      <c r="I49" s="77" t="str">
        <f t="shared" si="2"/>
        <v/>
      </c>
      <c r="J49" s="57"/>
      <c r="L49" s="19">
        <v>4.4999999999999999E-8</v>
      </c>
      <c r="M49" s="59">
        <f t="shared" si="3"/>
        <v>0</v>
      </c>
      <c r="N49" s="59">
        <f t="shared" si="4"/>
        <v>0</v>
      </c>
      <c r="O49" s="59">
        <f t="shared" si="5"/>
        <v>0</v>
      </c>
      <c r="P49" s="19" t="str">
        <f t="shared" si="6"/>
        <v/>
      </c>
      <c r="Q49" s="19" t="s">
        <v>85</v>
      </c>
    </row>
    <row r="50" spans="2:17" ht="30" customHeight="1" x14ac:dyDescent="0.25">
      <c r="B50" s="62" t="str">
        <f t="shared" si="0"/>
        <v/>
      </c>
      <c r="C50" s="42">
        <v>46</v>
      </c>
      <c r="D50" s="20"/>
      <c r="E50" s="58"/>
      <c r="F50" s="63" t="str">
        <f t="shared" si="1"/>
        <v/>
      </c>
      <c r="G50" s="66" t="str">
        <f>IF(D50="","",IFERROR('Prod 3'!H50/'Prod 3'!$H$3,0))</f>
        <v/>
      </c>
      <c r="H50" s="70" t="str">
        <f>IF(D50="","",'Prod 2'!K50)</f>
        <v/>
      </c>
      <c r="I50" s="77" t="str">
        <f t="shared" si="2"/>
        <v/>
      </c>
      <c r="J50" s="57"/>
      <c r="L50" s="19">
        <v>4.6000000000000002E-8</v>
      </c>
      <c r="M50" s="59">
        <f t="shared" si="3"/>
        <v>0</v>
      </c>
      <c r="N50" s="59">
        <f t="shared" si="4"/>
        <v>0</v>
      </c>
      <c r="O50" s="59">
        <f t="shared" si="5"/>
        <v>0</v>
      </c>
      <c r="P50" s="19" t="str">
        <f t="shared" si="6"/>
        <v/>
      </c>
      <c r="Q50" s="19" t="s">
        <v>86</v>
      </c>
    </row>
    <row r="51" spans="2:17" ht="30" customHeight="1" x14ac:dyDescent="0.25">
      <c r="B51" s="62" t="str">
        <f t="shared" si="0"/>
        <v/>
      </c>
      <c r="C51" s="42">
        <v>47</v>
      </c>
      <c r="D51" s="20"/>
      <c r="E51" s="58"/>
      <c r="F51" s="63" t="str">
        <f t="shared" si="1"/>
        <v/>
      </c>
      <c r="G51" s="66" t="str">
        <f>IF(D51="","",IFERROR('Prod 3'!H51/'Prod 3'!$H$3,0))</f>
        <v/>
      </c>
      <c r="H51" s="70" t="str">
        <f>IF(D51="","",'Prod 2'!K51)</f>
        <v/>
      </c>
      <c r="I51" s="77" t="str">
        <f t="shared" si="2"/>
        <v/>
      </c>
      <c r="J51" s="57"/>
      <c r="L51" s="19">
        <v>4.6999999999999997E-8</v>
      </c>
      <c r="M51" s="59">
        <f t="shared" si="3"/>
        <v>0</v>
      </c>
      <c r="N51" s="59">
        <f t="shared" si="4"/>
        <v>0</v>
      </c>
      <c r="O51" s="59">
        <f t="shared" si="5"/>
        <v>0</v>
      </c>
      <c r="P51" s="19" t="str">
        <f t="shared" si="6"/>
        <v/>
      </c>
      <c r="Q51" s="19" t="s">
        <v>87</v>
      </c>
    </row>
    <row r="52" spans="2:17" ht="30" customHeight="1" x14ac:dyDescent="0.25">
      <c r="B52" s="62" t="str">
        <f t="shared" si="0"/>
        <v/>
      </c>
      <c r="C52" s="42">
        <v>48</v>
      </c>
      <c r="D52" s="20"/>
      <c r="E52" s="58"/>
      <c r="F52" s="63" t="str">
        <f t="shared" si="1"/>
        <v/>
      </c>
      <c r="G52" s="66" t="str">
        <f>IF(D52="","",IFERROR('Prod 3'!H52/'Prod 3'!$H$3,0))</f>
        <v/>
      </c>
      <c r="H52" s="70" t="str">
        <f>IF(D52="","",'Prod 2'!K52)</f>
        <v/>
      </c>
      <c r="I52" s="77" t="str">
        <f t="shared" si="2"/>
        <v/>
      </c>
      <c r="J52" s="57"/>
      <c r="L52" s="19">
        <v>4.8E-8</v>
      </c>
      <c r="M52" s="59">
        <f t="shared" si="3"/>
        <v>0</v>
      </c>
      <c r="N52" s="59">
        <f t="shared" si="4"/>
        <v>0</v>
      </c>
      <c r="O52" s="59">
        <f t="shared" si="5"/>
        <v>0</v>
      </c>
      <c r="P52" s="19" t="str">
        <f t="shared" si="6"/>
        <v/>
      </c>
      <c r="Q52" s="19" t="s">
        <v>88</v>
      </c>
    </row>
    <row r="53" spans="2:17" ht="30" customHeight="1" x14ac:dyDescent="0.25">
      <c r="B53" s="62" t="str">
        <f t="shared" si="0"/>
        <v/>
      </c>
      <c r="C53" s="42">
        <v>49</v>
      </c>
      <c r="D53" s="20"/>
      <c r="E53" s="58"/>
      <c r="F53" s="63" t="str">
        <f t="shared" si="1"/>
        <v/>
      </c>
      <c r="G53" s="66" t="str">
        <f>IF(D53="","",IFERROR('Prod 3'!H53/'Prod 3'!$H$3,0))</f>
        <v/>
      </c>
      <c r="H53" s="70" t="str">
        <f>IF(D53="","",'Prod 2'!K53)</f>
        <v/>
      </c>
      <c r="I53" s="77" t="str">
        <f t="shared" si="2"/>
        <v/>
      </c>
      <c r="J53" s="57"/>
      <c r="L53" s="19">
        <v>4.9000000000000002E-8</v>
      </c>
      <c r="M53" s="59">
        <f t="shared" si="3"/>
        <v>0</v>
      </c>
      <c r="N53" s="59">
        <f t="shared" si="4"/>
        <v>0</v>
      </c>
      <c r="O53" s="59">
        <f t="shared" si="5"/>
        <v>0</v>
      </c>
      <c r="P53" s="19" t="str">
        <f t="shared" si="6"/>
        <v/>
      </c>
      <c r="Q53" s="19" t="s">
        <v>89</v>
      </c>
    </row>
    <row r="54" spans="2:17" ht="30" customHeight="1" x14ac:dyDescent="0.25">
      <c r="B54" s="62" t="str">
        <f t="shared" si="0"/>
        <v/>
      </c>
      <c r="C54" s="42">
        <v>50</v>
      </c>
      <c r="D54" s="20"/>
      <c r="E54" s="58"/>
      <c r="F54" s="63" t="str">
        <f t="shared" si="1"/>
        <v/>
      </c>
      <c r="G54" s="66" t="str">
        <f>IF(D54="","",IFERROR('Prod 3'!H54/'Prod 3'!$H$3,0))</f>
        <v/>
      </c>
      <c r="H54" s="70" t="str">
        <f>IF(D54="","",'Prod 2'!K54)</f>
        <v/>
      </c>
      <c r="I54" s="77" t="str">
        <f t="shared" si="2"/>
        <v/>
      </c>
      <c r="J54" s="57"/>
      <c r="L54" s="19">
        <v>4.9999999999999998E-8</v>
      </c>
      <c r="M54" s="59">
        <f t="shared" si="3"/>
        <v>0</v>
      </c>
      <c r="N54" s="59">
        <f t="shared" si="4"/>
        <v>0</v>
      </c>
      <c r="O54" s="59">
        <f t="shared" si="5"/>
        <v>0</v>
      </c>
      <c r="P54" s="19" t="str">
        <f t="shared" si="6"/>
        <v/>
      </c>
      <c r="Q54" s="19" t="s">
        <v>90</v>
      </c>
    </row>
    <row r="55" spans="2:17" ht="30" customHeight="1" x14ac:dyDescent="0.25">
      <c r="B55" s="62" t="str">
        <f t="shared" si="0"/>
        <v/>
      </c>
      <c r="C55" s="42">
        <v>51</v>
      </c>
      <c r="D55" s="20"/>
      <c r="E55" s="58"/>
      <c r="F55" s="63" t="str">
        <f t="shared" si="1"/>
        <v/>
      </c>
      <c r="G55" s="66" t="str">
        <f>IF(D55="","",IFERROR('Prod 3'!H55/'Prod 3'!$H$3,0))</f>
        <v/>
      </c>
      <c r="H55" s="70" t="str">
        <f>IF(D55="","",'Prod 2'!K55)</f>
        <v/>
      </c>
      <c r="I55" s="77" t="str">
        <f t="shared" si="2"/>
        <v/>
      </c>
      <c r="J55" s="57"/>
      <c r="L55" s="19">
        <v>5.1E-8</v>
      </c>
      <c r="M55" s="59">
        <f t="shared" si="3"/>
        <v>0</v>
      </c>
      <c r="N55" s="59">
        <f t="shared" si="4"/>
        <v>0</v>
      </c>
      <c r="O55" s="59">
        <f t="shared" si="5"/>
        <v>0</v>
      </c>
      <c r="P55" s="19" t="str">
        <f t="shared" si="6"/>
        <v/>
      </c>
      <c r="Q55" s="19" t="s">
        <v>91</v>
      </c>
    </row>
    <row r="56" spans="2:17" ht="30" customHeight="1" x14ac:dyDescent="0.25">
      <c r="B56" s="62" t="str">
        <f t="shared" si="0"/>
        <v/>
      </c>
      <c r="C56" s="42">
        <v>52</v>
      </c>
      <c r="D56" s="20"/>
      <c r="E56" s="58"/>
      <c r="F56" s="63" t="str">
        <f t="shared" si="1"/>
        <v/>
      </c>
      <c r="G56" s="66" t="str">
        <f>IF(D56="","",IFERROR('Prod 3'!H56/'Prod 3'!$H$3,0))</f>
        <v/>
      </c>
      <c r="H56" s="70" t="str">
        <f>IF(D56="","",'Prod 2'!K56)</f>
        <v/>
      </c>
      <c r="I56" s="77" t="str">
        <f t="shared" si="2"/>
        <v/>
      </c>
      <c r="J56" s="57"/>
      <c r="L56" s="19">
        <v>5.2000000000000002E-8</v>
      </c>
      <c r="M56" s="59">
        <f t="shared" si="3"/>
        <v>0</v>
      </c>
      <c r="N56" s="59">
        <f t="shared" si="4"/>
        <v>0</v>
      </c>
      <c r="O56" s="59">
        <f t="shared" si="5"/>
        <v>0</v>
      </c>
      <c r="P56" s="19" t="str">
        <f t="shared" si="6"/>
        <v/>
      </c>
      <c r="Q56" s="19" t="s">
        <v>92</v>
      </c>
    </row>
    <row r="57" spans="2:17" ht="30" customHeight="1" x14ac:dyDescent="0.25">
      <c r="B57" s="62" t="str">
        <f t="shared" si="0"/>
        <v/>
      </c>
      <c r="C57" s="42">
        <v>53</v>
      </c>
      <c r="D57" s="20"/>
      <c r="E57" s="58"/>
      <c r="F57" s="63" t="str">
        <f t="shared" si="1"/>
        <v/>
      </c>
      <c r="G57" s="66" t="str">
        <f>IF(D57="","",IFERROR('Prod 3'!H57/'Prod 3'!$H$3,0))</f>
        <v/>
      </c>
      <c r="H57" s="70" t="str">
        <f>IF(D57="","",'Prod 2'!K57)</f>
        <v/>
      </c>
      <c r="I57" s="77" t="str">
        <f t="shared" si="2"/>
        <v/>
      </c>
      <c r="J57" s="57"/>
      <c r="L57" s="19">
        <v>5.2999999999999998E-8</v>
      </c>
      <c r="M57" s="59">
        <f t="shared" si="3"/>
        <v>0</v>
      </c>
      <c r="N57" s="59">
        <f t="shared" si="4"/>
        <v>0</v>
      </c>
      <c r="O57" s="59">
        <f t="shared" si="5"/>
        <v>0</v>
      </c>
      <c r="P57" s="19" t="str">
        <f t="shared" si="6"/>
        <v/>
      </c>
      <c r="Q57" s="19" t="s">
        <v>93</v>
      </c>
    </row>
    <row r="58" spans="2:17" ht="30" customHeight="1" x14ac:dyDescent="0.25">
      <c r="B58" s="62" t="str">
        <f t="shared" si="0"/>
        <v/>
      </c>
      <c r="C58" s="42">
        <v>54</v>
      </c>
      <c r="D58" s="20"/>
      <c r="E58" s="58"/>
      <c r="F58" s="63" t="str">
        <f t="shared" si="1"/>
        <v/>
      </c>
      <c r="G58" s="66" t="str">
        <f>IF(D58="","",IFERROR('Prod 3'!H58/'Prod 3'!$H$3,0))</f>
        <v/>
      </c>
      <c r="H58" s="70" t="str">
        <f>IF(D58="","",'Prod 2'!K58)</f>
        <v/>
      </c>
      <c r="I58" s="77" t="str">
        <f t="shared" si="2"/>
        <v/>
      </c>
      <c r="J58" s="57"/>
      <c r="L58" s="19">
        <v>5.4E-8</v>
      </c>
      <c r="M58" s="59">
        <f t="shared" si="3"/>
        <v>0</v>
      </c>
      <c r="N58" s="59">
        <f t="shared" si="4"/>
        <v>0</v>
      </c>
      <c r="O58" s="59">
        <f t="shared" si="5"/>
        <v>0</v>
      </c>
      <c r="P58" s="19" t="str">
        <f t="shared" si="6"/>
        <v/>
      </c>
      <c r="Q58" s="19" t="s">
        <v>94</v>
      </c>
    </row>
    <row r="59" spans="2:17" ht="30" customHeight="1" x14ac:dyDescent="0.25">
      <c r="B59" s="62" t="str">
        <f t="shared" si="0"/>
        <v/>
      </c>
      <c r="C59" s="42">
        <v>55</v>
      </c>
      <c r="D59" s="20"/>
      <c r="E59" s="58"/>
      <c r="F59" s="63" t="str">
        <f t="shared" si="1"/>
        <v/>
      </c>
      <c r="G59" s="66" t="str">
        <f>IF(D59="","",IFERROR('Prod 3'!H59/'Prod 3'!$H$3,0))</f>
        <v/>
      </c>
      <c r="H59" s="70" t="str">
        <f>IF(D59="","",'Prod 2'!K59)</f>
        <v/>
      </c>
      <c r="I59" s="77" t="str">
        <f t="shared" si="2"/>
        <v/>
      </c>
      <c r="J59" s="57"/>
      <c r="L59" s="19">
        <v>5.5000000000000003E-8</v>
      </c>
      <c r="M59" s="59">
        <f t="shared" si="3"/>
        <v>0</v>
      </c>
      <c r="N59" s="59">
        <f t="shared" si="4"/>
        <v>0</v>
      </c>
      <c r="O59" s="59">
        <f t="shared" si="5"/>
        <v>0</v>
      </c>
      <c r="P59" s="19" t="str">
        <f t="shared" si="6"/>
        <v/>
      </c>
      <c r="Q59" s="19" t="s">
        <v>95</v>
      </c>
    </row>
    <row r="60" spans="2:17" ht="30" customHeight="1" x14ac:dyDescent="0.25">
      <c r="B60" s="62" t="str">
        <f t="shared" si="0"/>
        <v/>
      </c>
      <c r="C60" s="42">
        <v>56</v>
      </c>
      <c r="D60" s="20"/>
      <c r="E60" s="58"/>
      <c r="F60" s="63" t="str">
        <f t="shared" si="1"/>
        <v/>
      </c>
      <c r="G60" s="66" t="str">
        <f>IF(D60="","",IFERROR('Prod 3'!H60/'Prod 3'!$H$3,0))</f>
        <v/>
      </c>
      <c r="H60" s="70" t="str">
        <f>IF(D60="","",'Prod 2'!K60)</f>
        <v/>
      </c>
      <c r="I60" s="77" t="str">
        <f t="shared" si="2"/>
        <v/>
      </c>
      <c r="J60" s="57"/>
      <c r="L60" s="19">
        <v>5.5999999999999999E-8</v>
      </c>
      <c r="M60" s="59">
        <f t="shared" si="3"/>
        <v>0</v>
      </c>
      <c r="N60" s="59">
        <f t="shared" si="4"/>
        <v>0</v>
      </c>
      <c r="O60" s="59">
        <f t="shared" si="5"/>
        <v>0</v>
      </c>
      <c r="P60" s="19" t="str">
        <f t="shared" si="6"/>
        <v/>
      </c>
      <c r="Q60" s="19" t="s">
        <v>96</v>
      </c>
    </row>
    <row r="61" spans="2:17" ht="30" customHeight="1" x14ac:dyDescent="0.25">
      <c r="B61" s="62" t="str">
        <f t="shared" si="0"/>
        <v/>
      </c>
      <c r="C61" s="42">
        <v>57</v>
      </c>
      <c r="D61" s="20"/>
      <c r="E61" s="58"/>
      <c r="F61" s="63" t="str">
        <f t="shared" si="1"/>
        <v/>
      </c>
      <c r="G61" s="66" t="str">
        <f>IF(D61="","",IFERROR('Prod 3'!H61/'Prod 3'!$H$3,0))</f>
        <v/>
      </c>
      <c r="H61" s="70" t="str">
        <f>IF(D61="","",'Prod 2'!K61)</f>
        <v/>
      </c>
      <c r="I61" s="77" t="str">
        <f t="shared" si="2"/>
        <v/>
      </c>
      <c r="J61" s="57"/>
      <c r="L61" s="19">
        <v>5.7000000000000001E-8</v>
      </c>
      <c r="M61" s="59">
        <f t="shared" si="3"/>
        <v>0</v>
      </c>
      <c r="N61" s="59">
        <f t="shared" si="4"/>
        <v>0</v>
      </c>
      <c r="O61" s="59">
        <f t="shared" si="5"/>
        <v>0</v>
      </c>
      <c r="P61" s="19" t="str">
        <f t="shared" si="6"/>
        <v/>
      </c>
      <c r="Q61" s="19" t="s">
        <v>97</v>
      </c>
    </row>
    <row r="62" spans="2:17" ht="30" customHeight="1" x14ac:dyDescent="0.25">
      <c r="B62" s="62" t="str">
        <f t="shared" si="0"/>
        <v/>
      </c>
      <c r="C62" s="42">
        <v>58</v>
      </c>
      <c r="D62" s="20"/>
      <c r="E62" s="58"/>
      <c r="F62" s="63" t="str">
        <f t="shared" si="1"/>
        <v/>
      </c>
      <c r="G62" s="66" t="str">
        <f>IF(D62="","",IFERROR('Prod 3'!H62/'Prod 3'!$H$3,0))</f>
        <v/>
      </c>
      <c r="H62" s="70" t="str">
        <f>IF(D62="","",'Prod 2'!K62)</f>
        <v/>
      </c>
      <c r="I62" s="77" t="str">
        <f t="shared" si="2"/>
        <v/>
      </c>
      <c r="J62" s="57"/>
      <c r="L62" s="19">
        <v>5.8000000000000003E-8</v>
      </c>
      <c r="M62" s="59">
        <f t="shared" si="3"/>
        <v>0</v>
      </c>
      <c r="N62" s="59">
        <f t="shared" si="4"/>
        <v>0</v>
      </c>
      <c r="O62" s="59">
        <f t="shared" si="5"/>
        <v>0</v>
      </c>
      <c r="P62" s="19" t="str">
        <f t="shared" si="6"/>
        <v/>
      </c>
      <c r="Q62" s="19" t="s">
        <v>98</v>
      </c>
    </row>
    <row r="63" spans="2:17" ht="30" customHeight="1" x14ac:dyDescent="0.25">
      <c r="B63" s="62" t="str">
        <f t="shared" si="0"/>
        <v/>
      </c>
      <c r="C63" s="42">
        <v>59</v>
      </c>
      <c r="D63" s="20"/>
      <c r="E63" s="58"/>
      <c r="F63" s="63" t="str">
        <f t="shared" si="1"/>
        <v/>
      </c>
      <c r="G63" s="66" t="str">
        <f>IF(D63="","",IFERROR('Prod 3'!H63/'Prod 3'!$H$3,0))</f>
        <v/>
      </c>
      <c r="H63" s="70" t="str">
        <f>IF(D63="","",'Prod 2'!K63)</f>
        <v/>
      </c>
      <c r="I63" s="77" t="str">
        <f t="shared" si="2"/>
        <v/>
      </c>
      <c r="J63" s="57"/>
      <c r="L63" s="19">
        <v>5.8999999999999999E-8</v>
      </c>
      <c r="M63" s="59">
        <f t="shared" si="3"/>
        <v>0</v>
      </c>
      <c r="N63" s="59">
        <f t="shared" si="4"/>
        <v>0</v>
      </c>
      <c r="O63" s="59">
        <f t="shared" si="5"/>
        <v>0</v>
      </c>
      <c r="P63" s="19" t="str">
        <f t="shared" si="6"/>
        <v/>
      </c>
      <c r="Q63" s="19" t="s">
        <v>99</v>
      </c>
    </row>
    <row r="64" spans="2:17" ht="30" customHeight="1" x14ac:dyDescent="0.25">
      <c r="B64" s="62" t="str">
        <f t="shared" si="0"/>
        <v/>
      </c>
      <c r="C64" s="42">
        <v>60</v>
      </c>
      <c r="D64" s="20"/>
      <c r="E64" s="58"/>
      <c r="F64" s="63" t="str">
        <f t="shared" si="1"/>
        <v/>
      </c>
      <c r="G64" s="66" t="str">
        <f>IF(D64="","",IFERROR('Prod 3'!H64/'Prod 3'!$H$3,0))</f>
        <v/>
      </c>
      <c r="H64" s="70" t="str">
        <f>IF(D64="","",'Prod 2'!K64)</f>
        <v/>
      </c>
      <c r="I64" s="77" t="str">
        <f t="shared" si="2"/>
        <v/>
      </c>
      <c r="J64" s="57"/>
      <c r="L64" s="19">
        <v>5.9999999999999995E-8</v>
      </c>
      <c r="M64" s="59">
        <f t="shared" si="3"/>
        <v>0</v>
      </c>
      <c r="N64" s="59">
        <f t="shared" si="4"/>
        <v>0</v>
      </c>
      <c r="O64" s="59">
        <f t="shared" si="5"/>
        <v>0</v>
      </c>
      <c r="P64" s="19" t="str">
        <f t="shared" si="6"/>
        <v/>
      </c>
      <c r="Q64" s="19" t="s">
        <v>100</v>
      </c>
    </row>
    <row r="65" spans="2:17" ht="30" customHeight="1" x14ac:dyDescent="0.25">
      <c r="B65" s="62" t="str">
        <f t="shared" si="0"/>
        <v/>
      </c>
      <c r="C65" s="42">
        <v>61</v>
      </c>
      <c r="D65" s="20"/>
      <c r="E65" s="58"/>
      <c r="F65" s="63" t="str">
        <f t="shared" si="1"/>
        <v/>
      </c>
      <c r="G65" s="66" t="str">
        <f>IF(D65="","",IFERROR('Prod 3'!H65/'Prod 3'!$H$3,0))</f>
        <v/>
      </c>
      <c r="H65" s="70" t="str">
        <f>IF(D65="","",'Prod 2'!K65)</f>
        <v/>
      </c>
      <c r="I65" s="77" t="str">
        <f t="shared" si="2"/>
        <v/>
      </c>
      <c r="J65" s="57"/>
      <c r="L65" s="19">
        <v>6.1000000000000004E-8</v>
      </c>
      <c r="M65" s="59">
        <f t="shared" si="3"/>
        <v>0</v>
      </c>
      <c r="N65" s="59">
        <f t="shared" si="4"/>
        <v>0</v>
      </c>
      <c r="O65" s="59">
        <f t="shared" si="5"/>
        <v>0</v>
      </c>
      <c r="P65" s="19" t="str">
        <f t="shared" si="6"/>
        <v/>
      </c>
      <c r="Q65" s="19" t="s">
        <v>101</v>
      </c>
    </row>
    <row r="66" spans="2:17" ht="30" customHeight="1" x14ac:dyDescent="0.25">
      <c r="B66" s="62" t="str">
        <f t="shared" si="0"/>
        <v/>
      </c>
      <c r="C66" s="42">
        <v>62</v>
      </c>
      <c r="D66" s="20"/>
      <c r="E66" s="58"/>
      <c r="F66" s="63" t="str">
        <f t="shared" si="1"/>
        <v/>
      </c>
      <c r="G66" s="66" t="str">
        <f>IF(D66="","",IFERROR('Prod 3'!H66/'Prod 3'!$H$3,0))</f>
        <v/>
      </c>
      <c r="H66" s="70" t="str">
        <f>IF(D66="","",'Prod 2'!K66)</f>
        <v/>
      </c>
      <c r="I66" s="77" t="str">
        <f t="shared" si="2"/>
        <v/>
      </c>
      <c r="J66" s="57"/>
      <c r="L66" s="19">
        <v>6.1999999999999999E-8</v>
      </c>
      <c r="M66" s="59">
        <f t="shared" si="3"/>
        <v>0</v>
      </c>
      <c r="N66" s="59">
        <f t="shared" si="4"/>
        <v>0</v>
      </c>
      <c r="O66" s="59">
        <f t="shared" si="5"/>
        <v>0</v>
      </c>
      <c r="P66" s="19" t="str">
        <f t="shared" si="6"/>
        <v/>
      </c>
      <c r="Q66" s="19" t="s">
        <v>102</v>
      </c>
    </row>
    <row r="67" spans="2:17" ht="30" customHeight="1" x14ac:dyDescent="0.25">
      <c r="B67" s="62" t="str">
        <f t="shared" si="0"/>
        <v/>
      </c>
      <c r="C67" s="42">
        <v>63</v>
      </c>
      <c r="D67" s="20"/>
      <c r="E67" s="58"/>
      <c r="F67" s="63" t="str">
        <f t="shared" si="1"/>
        <v/>
      </c>
      <c r="G67" s="66" t="str">
        <f>IF(D67="","",IFERROR('Prod 3'!H67/'Prod 3'!$H$3,0))</f>
        <v/>
      </c>
      <c r="H67" s="70" t="str">
        <f>IF(D67="","",'Prod 2'!K67)</f>
        <v/>
      </c>
      <c r="I67" s="77" t="str">
        <f t="shared" si="2"/>
        <v/>
      </c>
      <c r="J67" s="57"/>
      <c r="L67" s="19">
        <v>6.2999999999999995E-8</v>
      </c>
      <c r="M67" s="59">
        <f t="shared" si="3"/>
        <v>0</v>
      </c>
      <c r="N67" s="59">
        <f t="shared" si="4"/>
        <v>0</v>
      </c>
      <c r="O67" s="59">
        <f t="shared" si="5"/>
        <v>0</v>
      </c>
      <c r="P67" s="19" t="str">
        <f t="shared" si="6"/>
        <v/>
      </c>
      <c r="Q67" s="19" t="s">
        <v>103</v>
      </c>
    </row>
    <row r="68" spans="2:17" ht="30" customHeight="1" x14ac:dyDescent="0.25">
      <c r="B68" s="62" t="str">
        <f t="shared" si="0"/>
        <v/>
      </c>
      <c r="C68" s="42">
        <v>64</v>
      </c>
      <c r="D68" s="20"/>
      <c r="E68" s="58"/>
      <c r="F68" s="63" t="str">
        <f t="shared" si="1"/>
        <v/>
      </c>
      <c r="G68" s="66" t="str">
        <f>IF(D68="","",IFERROR('Prod 3'!H68/'Prod 3'!$H$3,0))</f>
        <v/>
      </c>
      <c r="H68" s="70" t="str">
        <f>IF(D68="","",'Prod 2'!K68)</f>
        <v/>
      </c>
      <c r="I68" s="77" t="str">
        <f t="shared" si="2"/>
        <v/>
      </c>
      <c r="J68" s="57"/>
      <c r="L68" s="19">
        <v>6.4000000000000004E-8</v>
      </c>
      <c r="M68" s="59">
        <f t="shared" si="3"/>
        <v>0</v>
      </c>
      <c r="N68" s="59">
        <f t="shared" si="4"/>
        <v>0</v>
      </c>
      <c r="O68" s="59">
        <f t="shared" si="5"/>
        <v>0</v>
      </c>
      <c r="P68" s="19" t="str">
        <f t="shared" si="6"/>
        <v/>
      </c>
      <c r="Q68" s="19" t="s">
        <v>104</v>
      </c>
    </row>
    <row r="69" spans="2:17" ht="30" customHeight="1" x14ac:dyDescent="0.25">
      <c r="B69" s="62" t="str">
        <f t="shared" si="0"/>
        <v/>
      </c>
      <c r="C69" s="42">
        <v>65</v>
      </c>
      <c r="D69" s="20"/>
      <c r="E69" s="58"/>
      <c r="F69" s="63" t="str">
        <f t="shared" si="1"/>
        <v/>
      </c>
      <c r="G69" s="66" t="str">
        <f>IF(D69="","",IFERROR('Prod 3'!H69/'Prod 3'!$H$3,0))</f>
        <v/>
      </c>
      <c r="H69" s="70" t="str">
        <f>IF(D69="","",'Prod 2'!K69)</f>
        <v/>
      </c>
      <c r="I69" s="77" t="str">
        <f t="shared" si="2"/>
        <v/>
      </c>
      <c r="J69" s="57"/>
      <c r="L69" s="19">
        <v>6.5E-8</v>
      </c>
      <c r="M69" s="59">
        <f t="shared" si="3"/>
        <v>0</v>
      </c>
      <c r="N69" s="59">
        <f t="shared" si="4"/>
        <v>0</v>
      </c>
      <c r="O69" s="59">
        <f t="shared" si="5"/>
        <v>0</v>
      </c>
      <c r="P69" s="19" t="str">
        <f t="shared" si="6"/>
        <v/>
      </c>
      <c r="Q69" s="19" t="s">
        <v>105</v>
      </c>
    </row>
    <row r="70" spans="2:17" ht="30" customHeight="1" x14ac:dyDescent="0.25">
      <c r="B70" s="62" t="str">
        <f t="shared" ref="B70:B133" si="7">IF(I70="","",I70)</f>
        <v/>
      </c>
      <c r="C70" s="42">
        <v>66</v>
      </c>
      <c r="D70" s="20"/>
      <c r="E70" s="58"/>
      <c r="F70" s="63" t="str">
        <f t="shared" ref="F70:F133" si="8">IF(D70="","",IFERROR(VLOOKUP(D70,$P$5:$Q$1004,2,0),""))</f>
        <v/>
      </c>
      <c r="G70" s="66" t="str">
        <f>IF(D70="","",IFERROR('Prod 3'!H70/'Prod 3'!$H$3,0))</f>
        <v/>
      </c>
      <c r="H70" s="70" t="str">
        <f>IF(D70="","",'Prod 2'!K70)</f>
        <v/>
      </c>
      <c r="I70" s="77" t="str">
        <f t="shared" ref="I70:I133" si="9">IF(D70="","",E70-H70+L70)</f>
        <v/>
      </c>
      <c r="J70" s="57"/>
      <c r="L70" s="19">
        <v>6.5999999999999995E-8</v>
      </c>
      <c r="M70" s="59">
        <f t="shared" ref="M70:M133" si="10">IFERROR(LARGE($I$5:$I$1004,C70),0)</f>
        <v>0</v>
      </c>
      <c r="N70" s="59">
        <f t="shared" ref="N70:N133" si="11">IFERROR(M70,0)</f>
        <v>0</v>
      </c>
      <c r="O70" s="59">
        <f t="shared" ref="O70:O133" si="12">IFERROR(LARGE($N$5:$N$1004,C70),0)</f>
        <v>0</v>
      </c>
      <c r="P70" s="19" t="str">
        <f t="shared" ref="P70:P133" si="13">IFERROR(IF(VLOOKUP(O70,$B$5:$D$1004,3,0)=0,"",(VLOOKUP(O70,$B$5:$D$1004,3,0))),"")</f>
        <v/>
      </c>
      <c r="Q70" s="19" t="s">
        <v>106</v>
      </c>
    </row>
    <row r="71" spans="2:17" ht="30" customHeight="1" x14ac:dyDescent="0.25">
      <c r="B71" s="62" t="str">
        <f t="shared" si="7"/>
        <v/>
      </c>
      <c r="C71" s="42">
        <v>67</v>
      </c>
      <c r="D71" s="20"/>
      <c r="E71" s="58"/>
      <c r="F71" s="63" t="str">
        <f t="shared" si="8"/>
        <v/>
      </c>
      <c r="G71" s="66" t="str">
        <f>IF(D71="","",IFERROR('Prod 3'!H71/'Prod 3'!$H$3,0))</f>
        <v/>
      </c>
      <c r="H71" s="70" t="str">
        <f>IF(D71="","",'Prod 2'!K71)</f>
        <v/>
      </c>
      <c r="I71" s="77" t="str">
        <f t="shared" si="9"/>
        <v/>
      </c>
      <c r="J71" s="57"/>
      <c r="L71" s="19">
        <v>6.7000000000000004E-8</v>
      </c>
      <c r="M71" s="59">
        <f t="shared" si="10"/>
        <v>0</v>
      </c>
      <c r="N71" s="59">
        <f t="shared" si="11"/>
        <v>0</v>
      </c>
      <c r="O71" s="59">
        <f t="shared" si="12"/>
        <v>0</v>
      </c>
      <c r="P71" s="19" t="str">
        <f t="shared" si="13"/>
        <v/>
      </c>
      <c r="Q71" s="19" t="s">
        <v>107</v>
      </c>
    </row>
    <row r="72" spans="2:17" ht="30" customHeight="1" x14ac:dyDescent="0.25">
      <c r="B72" s="62" t="str">
        <f t="shared" si="7"/>
        <v/>
      </c>
      <c r="C72" s="42">
        <v>68</v>
      </c>
      <c r="D72" s="20"/>
      <c r="E72" s="58"/>
      <c r="F72" s="63" t="str">
        <f t="shared" si="8"/>
        <v/>
      </c>
      <c r="G72" s="66" t="str">
        <f>IF(D72="","",IFERROR('Prod 3'!H72/'Prod 3'!$H$3,0))</f>
        <v/>
      </c>
      <c r="H72" s="70" t="str">
        <f>IF(D72="","",'Prod 2'!K72)</f>
        <v/>
      </c>
      <c r="I72" s="77" t="str">
        <f t="shared" si="9"/>
        <v/>
      </c>
      <c r="J72" s="57"/>
      <c r="L72" s="19">
        <v>6.8E-8</v>
      </c>
      <c r="M72" s="59">
        <f t="shared" si="10"/>
        <v>0</v>
      </c>
      <c r="N72" s="59">
        <f t="shared" si="11"/>
        <v>0</v>
      </c>
      <c r="O72" s="59">
        <f t="shared" si="12"/>
        <v>0</v>
      </c>
      <c r="P72" s="19" t="str">
        <f t="shared" si="13"/>
        <v/>
      </c>
      <c r="Q72" s="19" t="s">
        <v>108</v>
      </c>
    </row>
    <row r="73" spans="2:17" ht="30" customHeight="1" x14ac:dyDescent="0.25">
      <c r="B73" s="62" t="str">
        <f t="shared" si="7"/>
        <v/>
      </c>
      <c r="C73" s="42">
        <v>69</v>
      </c>
      <c r="D73" s="20"/>
      <c r="E73" s="58"/>
      <c r="F73" s="63" t="str">
        <f t="shared" si="8"/>
        <v/>
      </c>
      <c r="G73" s="66" t="str">
        <f>IF(D73="","",IFERROR('Prod 3'!H73/'Prod 3'!$H$3,0))</f>
        <v/>
      </c>
      <c r="H73" s="70" t="str">
        <f>IF(D73="","",'Prod 2'!K73)</f>
        <v/>
      </c>
      <c r="I73" s="77" t="str">
        <f t="shared" si="9"/>
        <v/>
      </c>
      <c r="J73" s="57"/>
      <c r="L73" s="19">
        <v>6.8999999999999996E-8</v>
      </c>
      <c r="M73" s="59">
        <f t="shared" si="10"/>
        <v>0</v>
      </c>
      <c r="N73" s="59">
        <f t="shared" si="11"/>
        <v>0</v>
      </c>
      <c r="O73" s="59">
        <f t="shared" si="12"/>
        <v>0</v>
      </c>
      <c r="P73" s="19" t="str">
        <f t="shared" si="13"/>
        <v/>
      </c>
      <c r="Q73" s="19" t="s">
        <v>109</v>
      </c>
    </row>
    <row r="74" spans="2:17" ht="30" customHeight="1" x14ac:dyDescent="0.25">
      <c r="B74" s="62" t="str">
        <f t="shared" si="7"/>
        <v/>
      </c>
      <c r="C74" s="42">
        <v>70</v>
      </c>
      <c r="D74" s="20"/>
      <c r="E74" s="58"/>
      <c r="F74" s="63" t="str">
        <f t="shared" si="8"/>
        <v/>
      </c>
      <c r="G74" s="66" t="str">
        <f>IF(D74="","",IFERROR('Prod 3'!H74/'Prod 3'!$H$3,0))</f>
        <v/>
      </c>
      <c r="H74" s="70" t="str">
        <f>IF(D74="","",'Prod 2'!K74)</f>
        <v/>
      </c>
      <c r="I74" s="77" t="str">
        <f t="shared" si="9"/>
        <v/>
      </c>
      <c r="J74" s="57"/>
      <c r="L74" s="19">
        <v>7.0000000000000005E-8</v>
      </c>
      <c r="M74" s="59">
        <f t="shared" si="10"/>
        <v>0</v>
      </c>
      <c r="N74" s="59">
        <f t="shared" si="11"/>
        <v>0</v>
      </c>
      <c r="O74" s="59">
        <f t="shared" si="12"/>
        <v>0</v>
      </c>
      <c r="P74" s="19" t="str">
        <f t="shared" si="13"/>
        <v/>
      </c>
      <c r="Q74" s="19" t="s">
        <v>110</v>
      </c>
    </row>
    <row r="75" spans="2:17" ht="30" customHeight="1" x14ac:dyDescent="0.25">
      <c r="B75" s="62" t="str">
        <f t="shared" si="7"/>
        <v/>
      </c>
      <c r="C75" s="42">
        <v>71</v>
      </c>
      <c r="D75" s="20"/>
      <c r="E75" s="58"/>
      <c r="F75" s="63" t="str">
        <f t="shared" si="8"/>
        <v/>
      </c>
      <c r="G75" s="66" t="str">
        <f>IF(D75="","",IFERROR('Prod 3'!H75/'Prod 3'!$H$3,0))</f>
        <v/>
      </c>
      <c r="H75" s="70" t="str">
        <f>IF(D75="","",'Prod 2'!K75)</f>
        <v/>
      </c>
      <c r="I75" s="77" t="str">
        <f t="shared" si="9"/>
        <v/>
      </c>
      <c r="J75" s="57"/>
      <c r="L75" s="19">
        <v>7.1E-8</v>
      </c>
      <c r="M75" s="59">
        <f t="shared" si="10"/>
        <v>0</v>
      </c>
      <c r="N75" s="59">
        <f t="shared" si="11"/>
        <v>0</v>
      </c>
      <c r="O75" s="59">
        <f t="shared" si="12"/>
        <v>0</v>
      </c>
      <c r="P75" s="19" t="str">
        <f t="shared" si="13"/>
        <v/>
      </c>
      <c r="Q75" s="19" t="s">
        <v>111</v>
      </c>
    </row>
    <row r="76" spans="2:17" ht="30" customHeight="1" x14ac:dyDescent="0.25">
      <c r="B76" s="62" t="str">
        <f t="shared" si="7"/>
        <v/>
      </c>
      <c r="C76" s="42">
        <v>72</v>
      </c>
      <c r="D76" s="20"/>
      <c r="E76" s="58"/>
      <c r="F76" s="63" t="str">
        <f t="shared" si="8"/>
        <v/>
      </c>
      <c r="G76" s="66" t="str">
        <f>IF(D76="","",IFERROR('Prod 3'!H76/'Prod 3'!$H$3,0))</f>
        <v/>
      </c>
      <c r="H76" s="70" t="str">
        <f>IF(D76="","",'Prod 2'!K76)</f>
        <v/>
      </c>
      <c r="I76" s="77" t="str">
        <f t="shared" si="9"/>
        <v/>
      </c>
      <c r="J76" s="57"/>
      <c r="L76" s="19">
        <v>7.1999999999999996E-8</v>
      </c>
      <c r="M76" s="59">
        <f t="shared" si="10"/>
        <v>0</v>
      </c>
      <c r="N76" s="59">
        <f t="shared" si="11"/>
        <v>0</v>
      </c>
      <c r="O76" s="59">
        <f t="shared" si="12"/>
        <v>0</v>
      </c>
      <c r="P76" s="19" t="str">
        <f t="shared" si="13"/>
        <v/>
      </c>
      <c r="Q76" s="19" t="s">
        <v>112</v>
      </c>
    </row>
    <row r="77" spans="2:17" ht="30" customHeight="1" x14ac:dyDescent="0.25">
      <c r="B77" s="62" t="str">
        <f t="shared" si="7"/>
        <v/>
      </c>
      <c r="C77" s="42">
        <v>73</v>
      </c>
      <c r="D77" s="20"/>
      <c r="E77" s="58"/>
      <c r="F77" s="63" t="str">
        <f t="shared" si="8"/>
        <v/>
      </c>
      <c r="G77" s="66" t="str">
        <f>IF(D77="","",IFERROR('Prod 3'!H77/'Prod 3'!$H$3,0))</f>
        <v/>
      </c>
      <c r="H77" s="70" t="str">
        <f>IF(D77="","",'Prod 2'!K77)</f>
        <v/>
      </c>
      <c r="I77" s="77" t="str">
        <f t="shared" si="9"/>
        <v/>
      </c>
      <c r="J77" s="57"/>
      <c r="L77" s="19">
        <v>7.3000000000000005E-8</v>
      </c>
      <c r="M77" s="59">
        <f t="shared" si="10"/>
        <v>0</v>
      </c>
      <c r="N77" s="59">
        <f t="shared" si="11"/>
        <v>0</v>
      </c>
      <c r="O77" s="59">
        <f t="shared" si="12"/>
        <v>0</v>
      </c>
      <c r="P77" s="19" t="str">
        <f t="shared" si="13"/>
        <v/>
      </c>
      <c r="Q77" s="19" t="s">
        <v>113</v>
      </c>
    </row>
    <row r="78" spans="2:17" ht="30" customHeight="1" x14ac:dyDescent="0.25">
      <c r="B78" s="62" t="str">
        <f t="shared" si="7"/>
        <v/>
      </c>
      <c r="C78" s="42">
        <v>74</v>
      </c>
      <c r="D78" s="20"/>
      <c r="E78" s="58"/>
      <c r="F78" s="63" t="str">
        <f t="shared" si="8"/>
        <v/>
      </c>
      <c r="G78" s="66" t="str">
        <f>IF(D78="","",IFERROR('Prod 3'!H78/'Prod 3'!$H$3,0))</f>
        <v/>
      </c>
      <c r="H78" s="70" t="str">
        <f>IF(D78="","",'Prod 2'!K78)</f>
        <v/>
      </c>
      <c r="I78" s="77" t="str">
        <f t="shared" si="9"/>
        <v/>
      </c>
      <c r="J78" s="57"/>
      <c r="L78" s="19">
        <v>7.4000000000000001E-8</v>
      </c>
      <c r="M78" s="59">
        <f t="shared" si="10"/>
        <v>0</v>
      </c>
      <c r="N78" s="59">
        <f t="shared" si="11"/>
        <v>0</v>
      </c>
      <c r="O78" s="59">
        <f t="shared" si="12"/>
        <v>0</v>
      </c>
      <c r="P78" s="19" t="str">
        <f t="shared" si="13"/>
        <v/>
      </c>
      <c r="Q78" s="19" t="s">
        <v>114</v>
      </c>
    </row>
    <row r="79" spans="2:17" ht="30" customHeight="1" x14ac:dyDescent="0.25">
      <c r="B79" s="62" t="str">
        <f t="shared" si="7"/>
        <v/>
      </c>
      <c r="C79" s="42">
        <v>75</v>
      </c>
      <c r="D79" s="20"/>
      <c r="E79" s="58"/>
      <c r="F79" s="63" t="str">
        <f t="shared" si="8"/>
        <v/>
      </c>
      <c r="G79" s="66" t="str">
        <f>IF(D79="","",IFERROR('Prod 3'!H79/'Prod 3'!$H$3,0))</f>
        <v/>
      </c>
      <c r="H79" s="70" t="str">
        <f>IF(D79="","",'Prod 2'!K79)</f>
        <v/>
      </c>
      <c r="I79" s="77" t="str">
        <f t="shared" si="9"/>
        <v/>
      </c>
      <c r="J79" s="57"/>
      <c r="L79" s="19">
        <v>7.4999999999999997E-8</v>
      </c>
      <c r="M79" s="59">
        <f t="shared" si="10"/>
        <v>0</v>
      </c>
      <c r="N79" s="59">
        <f t="shared" si="11"/>
        <v>0</v>
      </c>
      <c r="O79" s="59">
        <f t="shared" si="12"/>
        <v>0</v>
      </c>
      <c r="P79" s="19" t="str">
        <f t="shared" si="13"/>
        <v/>
      </c>
      <c r="Q79" s="19" t="s">
        <v>115</v>
      </c>
    </row>
    <row r="80" spans="2:17" ht="30" customHeight="1" x14ac:dyDescent="0.25">
      <c r="B80" s="62" t="str">
        <f t="shared" si="7"/>
        <v/>
      </c>
      <c r="C80" s="42">
        <v>76</v>
      </c>
      <c r="D80" s="20"/>
      <c r="E80" s="58"/>
      <c r="F80" s="63" t="str">
        <f t="shared" si="8"/>
        <v/>
      </c>
      <c r="G80" s="66" t="str">
        <f>IF(D80="","",IFERROR('Prod 3'!H80/'Prod 3'!$H$3,0))</f>
        <v/>
      </c>
      <c r="H80" s="70" t="str">
        <f>IF(D80="","",'Prod 2'!K80)</f>
        <v/>
      </c>
      <c r="I80" s="77" t="str">
        <f t="shared" si="9"/>
        <v/>
      </c>
      <c r="J80" s="57"/>
      <c r="L80" s="19">
        <v>7.6000000000000006E-8</v>
      </c>
      <c r="M80" s="59">
        <f t="shared" si="10"/>
        <v>0</v>
      </c>
      <c r="N80" s="59">
        <f t="shared" si="11"/>
        <v>0</v>
      </c>
      <c r="O80" s="59">
        <f t="shared" si="12"/>
        <v>0</v>
      </c>
      <c r="P80" s="19" t="str">
        <f t="shared" si="13"/>
        <v/>
      </c>
      <c r="Q80" s="19" t="s">
        <v>116</v>
      </c>
    </row>
    <row r="81" spans="2:17" ht="30" customHeight="1" x14ac:dyDescent="0.25">
      <c r="B81" s="62" t="str">
        <f t="shared" si="7"/>
        <v/>
      </c>
      <c r="C81" s="42">
        <v>77</v>
      </c>
      <c r="D81" s="20"/>
      <c r="E81" s="58"/>
      <c r="F81" s="63" t="str">
        <f t="shared" si="8"/>
        <v/>
      </c>
      <c r="G81" s="66" t="str">
        <f>IF(D81="","",IFERROR('Prod 3'!H81/'Prod 3'!$H$3,0))</f>
        <v/>
      </c>
      <c r="H81" s="70" t="str">
        <f>IF(D81="","",'Prod 2'!K81)</f>
        <v/>
      </c>
      <c r="I81" s="77" t="str">
        <f t="shared" si="9"/>
        <v/>
      </c>
      <c r="J81" s="57"/>
      <c r="L81" s="19">
        <v>7.7000000000000001E-8</v>
      </c>
      <c r="M81" s="59">
        <f t="shared" si="10"/>
        <v>0</v>
      </c>
      <c r="N81" s="59">
        <f t="shared" si="11"/>
        <v>0</v>
      </c>
      <c r="O81" s="59">
        <f t="shared" si="12"/>
        <v>0</v>
      </c>
      <c r="P81" s="19" t="str">
        <f t="shared" si="13"/>
        <v/>
      </c>
      <c r="Q81" s="19" t="s">
        <v>117</v>
      </c>
    </row>
    <row r="82" spans="2:17" ht="30" customHeight="1" x14ac:dyDescent="0.25">
      <c r="B82" s="62" t="str">
        <f t="shared" si="7"/>
        <v/>
      </c>
      <c r="C82" s="42">
        <v>78</v>
      </c>
      <c r="D82" s="20"/>
      <c r="E82" s="58"/>
      <c r="F82" s="63" t="str">
        <f t="shared" si="8"/>
        <v/>
      </c>
      <c r="G82" s="66" t="str">
        <f>IF(D82="","",IFERROR('Prod 3'!H82/'Prod 3'!$H$3,0))</f>
        <v/>
      </c>
      <c r="H82" s="70" t="str">
        <f>IF(D82="","",'Prod 2'!K82)</f>
        <v/>
      </c>
      <c r="I82" s="77" t="str">
        <f t="shared" si="9"/>
        <v/>
      </c>
      <c r="J82" s="57"/>
      <c r="L82" s="19">
        <v>7.7999999999999997E-8</v>
      </c>
      <c r="M82" s="59">
        <f t="shared" si="10"/>
        <v>0</v>
      </c>
      <c r="N82" s="59">
        <f t="shared" si="11"/>
        <v>0</v>
      </c>
      <c r="O82" s="59">
        <f t="shared" si="12"/>
        <v>0</v>
      </c>
      <c r="P82" s="19" t="str">
        <f t="shared" si="13"/>
        <v/>
      </c>
      <c r="Q82" s="19" t="s">
        <v>118</v>
      </c>
    </row>
    <row r="83" spans="2:17" ht="30" customHeight="1" x14ac:dyDescent="0.25">
      <c r="B83" s="62" t="str">
        <f t="shared" si="7"/>
        <v/>
      </c>
      <c r="C83" s="42">
        <v>79</v>
      </c>
      <c r="D83" s="20"/>
      <c r="E83" s="58"/>
      <c r="F83" s="63" t="str">
        <f t="shared" si="8"/>
        <v/>
      </c>
      <c r="G83" s="66" t="str">
        <f>IF(D83="","",IFERROR('Prod 3'!H83/'Prod 3'!$H$3,0))</f>
        <v/>
      </c>
      <c r="H83" s="70" t="str">
        <f>IF(D83="","",'Prod 2'!K83)</f>
        <v/>
      </c>
      <c r="I83" s="77" t="str">
        <f t="shared" si="9"/>
        <v/>
      </c>
      <c r="J83" s="57"/>
      <c r="L83" s="19">
        <v>7.9000000000000006E-8</v>
      </c>
      <c r="M83" s="59">
        <f t="shared" si="10"/>
        <v>0</v>
      </c>
      <c r="N83" s="59">
        <f t="shared" si="11"/>
        <v>0</v>
      </c>
      <c r="O83" s="59">
        <f t="shared" si="12"/>
        <v>0</v>
      </c>
      <c r="P83" s="19" t="str">
        <f t="shared" si="13"/>
        <v/>
      </c>
      <c r="Q83" s="19" t="s">
        <v>119</v>
      </c>
    </row>
    <row r="84" spans="2:17" ht="30" customHeight="1" x14ac:dyDescent="0.25">
      <c r="B84" s="62" t="str">
        <f t="shared" si="7"/>
        <v/>
      </c>
      <c r="C84" s="42">
        <v>80</v>
      </c>
      <c r="D84" s="20"/>
      <c r="E84" s="58"/>
      <c r="F84" s="63" t="str">
        <f t="shared" si="8"/>
        <v/>
      </c>
      <c r="G84" s="66" t="str">
        <f>IF(D84="","",IFERROR('Prod 3'!H84/'Prod 3'!$H$3,0))</f>
        <v/>
      </c>
      <c r="H84" s="70" t="str">
        <f>IF(D84="","",'Prod 2'!K84)</f>
        <v/>
      </c>
      <c r="I84" s="77" t="str">
        <f t="shared" si="9"/>
        <v/>
      </c>
      <c r="J84" s="57"/>
      <c r="L84" s="19">
        <v>8.0000000000000002E-8</v>
      </c>
      <c r="M84" s="59">
        <f t="shared" si="10"/>
        <v>0</v>
      </c>
      <c r="N84" s="59">
        <f t="shared" si="11"/>
        <v>0</v>
      </c>
      <c r="O84" s="59">
        <f t="shared" si="12"/>
        <v>0</v>
      </c>
      <c r="P84" s="19" t="str">
        <f t="shared" si="13"/>
        <v/>
      </c>
      <c r="Q84" s="19" t="s">
        <v>120</v>
      </c>
    </row>
    <row r="85" spans="2:17" ht="30" customHeight="1" x14ac:dyDescent="0.25">
      <c r="B85" s="62" t="str">
        <f t="shared" si="7"/>
        <v/>
      </c>
      <c r="C85" s="42">
        <v>81</v>
      </c>
      <c r="D85" s="20"/>
      <c r="E85" s="58"/>
      <c r="F85" s="63" t="str">
        <f t="shared" si="8"/>
        <v/>
      </c>
      <c r="G85" s="66" t="str">
        <f>IF(D85="","",IFERROR('Prod 3'!H85/'Prod 3'!$H$3,0))</f>
        <v/>
      </c>
      <c r="H85" s="70" t="str">
        <f>IF(D85="","",'Prod 2'!K85)</f>
        <v/>
      </c>
      <c r="I85" s="77" t="str">
        <f t="shared" si="9"/>
        <v/>
      </c>
      <c r="J85" s="57"/>
      <c r="L85" s="19">
        <v>8.0999999999999997E-8</v>
      </c>
      <c r="M85" s="59">
        <f t="shared" si="10"/>
        <v>0</v>
      </c>
      <c r="N85" s="59">
        <f t="shared" si="11"/>
        <v>0</v>
      </c>
      <c r="O85" s="59">
        <f t="shared" si="12"/>
        <v>0</v>
      </c>
      <c r="P85" s="19" t="str">
        <f t="shared" si="13"/>
        <v/>
      </c>
      <c r="Q85" s="19" t="s">
        <v>121</v>
      </c>
    </row>
    <row r="86" spans="2:17" ht="30" customHeight="1" x14ac:dyDescent="0.25">
      <c r="B86" s="62" t="str">
        <f t="shared" si="7"/>
        <v/>
      </c>
      <c r="C86" s="42">
        <v>82</v>
      </c>
      <c r="D86" s="20"/>
      <c r="E86" s="58"/>
      <c r="F86" s="63" t="str">
        <f t="shared" si="8"/>
        <v/>
      </c>
      <c r="G86" s="66" t="str">
        <f>IF(D86="","",IFERROR('Prod 3'!H86/'Prod 3'!$H$3,0))</f>
        <v/>
      </c>
      <c r="H86" s="70" t="str">
        <f>IF(D86="","",'Prod 2'!K86)</f>
        <v/>
      </c>
      <c r="I86" s="77" t="str">
        <f t="shared" si="9"/>
        <v/>
      </c>
      <c r="J86" s="57"/>
      <c r="L86" s="19">
        <v>8.2000000000000006E-8</v>
      </c>
      <c r="M86" s="59">
        <f t="shared" si="10"/>
        <v>0</v>
      </c>
      <c r="N86" s="59">
        <f t="shared" si="11"/>
        <v>0</v>
      </c>
      <c r="O86" s="59">
        <f t="shared" si="12"/>
        <v>0</v>
      </c>
      <c r="P86" s="19" t="str">
        <f t="shared" si="13"/>
        <v/>
      </c>
      <c r="Q86" s="19" t="s">
        <v>122</v>
      </c>
    </row>
    <row r="87" spans="2:17" ht="30" customHeight="1" x14ac:dyDescent="0.25">
      <c r="B87" s="62" t="str">
        <f t="shared" si="7"/>
        <v/>
      </c>
      <c r="C87" s="42">
        <v>83</v>
      </c>
      <c r="D87" s="20"/>
      <c r="E87" s="58"/>
      <c r="F87" s="63" t="str">
        <f t="shared" si="8"/>
        <v/>
      </c>
      <c r="G87" s="66" t="str">
        <f>IF(D87="","",IFERROR('Prod 3'!H87/'Prod 3'!$H$3,0))</f>
        <v/>
      </c>
      <c r="H87" s="70" t="str">
        <f>IF(D87="","",'Prod 2'!K87)</f>
        <v/>
      </c>
      <c r="I87" s="77" t="str">
        <f t="shared" si="9"/>
        <v/>
      </c>
      <c r="J87" s="57"/>
      <c r="L87" s="19">
        <v>8.3000000000000002E-8</v>
      </c>
      <c r="M87" s="59">
        <f t="shared" si="10"/>
        <v>0</v>
      </c>
      <c r="N87" s="59">
        <f t="shared" si="11"/>
        <v>0</v>
      </c>
      <c r="O87" s="59">
        <f t="shared" si="12"/>
        <v>0</v>
      </c>
      <c r="P87" s="19" t="str">
        <f t="shared" si="13"/>
        <v/>
      </c>
      <c r="Q87" s="19" t="s">
        <v>123</v>
      </c>
    </row>
    <row r="88" spans="2:17" ht="30" customHeight="1" x14ac:dyDescent="0.25">
      <c r="B88" s="62" t="str">
        <f t="shared" si="7"/>
        <v/>
      </c>
      <c r="C88" s="42">
        <v>84</v>
      </c>
      <c r="D88" s="20"/>
      <c r="E88" s="58"/>
      <c r="F88" s="63" t="str">
        <f t="shared" si="8"/>
        <v/>
      </c>
      <c r="G88" s="66" t="str">
        <f>IF(D88="","",IFERROR('Prod 3'!H88/'Prod 3'!$H$3,0))</f>
        <v/>
      </c>
      <c r="H88" s="70" t="str">
        <f>IF(D88="","",'Prod 2'!K88)</f>
        <v/>
      </c>
      <c r="I88" s="77" t="str">
        <f t="shared" si="9"/>
        <v/>
      </c>
      <c r="J88" s="57"/>
      <c r="L88" s="19">
        <v>8.3999999999999998E-8</v>
      </c>
      <c r="M88" s="59">
        <f t="shared" si="10"/>
        <v>0</v>
      </c>
      <c r="N88" s="59">
        <f t="shared" si="11"/>
        <v>0</v>
      </c>
      <c r="O88" s="59">
        <f t="shared" si="12"/>
        <v>0</v>
      </c>
      <c r="P88" s="19" t="str">
        <f t="shared" si="13"/>
        <v/>
      </c>
      <c r="Q88" s="19" t="s">
        <v>124</v>
      </c>
    </row>
    <row r="89" spans="2:17" ht="30" customHeight="1" x14ac:dyDescent="0.25">
      <c r="B89" s="62" t="str">
        <f t="shared" si="7"/>
        <v/>
      </c>
      <c r="C89" s="42">
        <v>85</v>
      </c>
      <c r="D89" s="20"/>
      <c r="E89" s="58"/>
      <c r="F89" s="63" t="str">
        <f t="shared" si="8"/>
        <v/>
      </c>
      <c r="G89" s="66" t="str">
        <f>IF(D89="","",IFERROR('Prod 3'!H89/'Prod 3'!$H$3,0))</f>
        <v/>
      </c>
      <c r="H89" s="70" t="str">
        <f>IF(D89="","",'Prod 2'!K89)</f>
        <v/>
      </c>
      <c r="I89" s="77" t="str">
        <f t="shared" si="9"/>
        <v/>
      </c>
      <c r="J89" s="57"/>
      <c r="L89" s="19">
        <v>8.4999999999999994E-8</v>
      </c>
      <c r="M89" s="59">
        <f t="shared" si="10"/>
        <v>0</v>
      </c>
      <c r="N89" s="59">
        <f t="shared" si="11"/>
        <v>0</v>
      </c>
      <c r="O89" s="59">
        <f t="shared" si="12"/>
        <v>0</v>
      </c>
      <c r="P89" s="19" t="str">
        <f t="shared" si="13"/>
        <v/>
      </c>
      <c r="Q89" s="19" t="s">
        <v>125</v>
      </c>
    </row>
    <row r="90" spans="2:17" ht="30" customHeight="1" x14ac:dyDescent="0.25">
      <c r="B90" s="62" t="str">
        <f t="shared" si="7"/>
        <v/>
      </c>
      <c r="C90" s="42">
        <v>86</v>
      </c>
      <c r="D90" s="20"/>
      <c r="E90" s="58"/>
      <c r="F90" s="63" t="str">
        <f t="shared" si="8"/>
        <v/>
      </c>
      <c r="G90" s="66" t="str">
        <f>IF(D90="","",IFERROR('Prod 3'!H90/'Prod 3'!$H$3,0))</f>
        <v/>
      </c>
      <c r="H90" s="70" t="str">
        <f>IF(D90="","",'Prod 2'!K90)</f>
        <v/>
      </c>
      <c r="I90" s="77" t="str">
        <f t="shared" si="9"/>
        <v/>
      </c>
      <c r="J90" s="57"/>
      <c r="L90" s="19">
        <v>8.6000000000000002E-8</v>
      </c>
      <c r="M90" s="59">
        <f t="shared" si="10"/>
        <v>0</v>
      </c>
      <c r="N90" s="59">
        <f t="shared" si="11"/>
        <v>0</v>
      </c>
      <c r="O90" s="59">
        <f t="shared" si="12"/>
        <v>0</v>
      </c>
      <c r="P90" s="19" t="str">
        <f t="shared" si="13"/>
        <v/>
      </c>
      <c r="Q90" s="19" t="s">
        <v>126</v>
      </c>
    </row>
    <row r="91" spans="2:17" ht="30" customHeight="1" x14ac:dyDescent="0.25">
      <c r="B91" s="62" t="str">
        <f t="shared" si="7"/>
        <v/>
      </c>
      <c r="C91" s="42">
        <v>87</v>
      </c>
      <c r="D91" s="20"/>
      <c r="E91" s="58"/>
      <c r="F91" s="63" t="str">
        <f t="shared" si="8"/>
        <v/>
      </c>
      <c r="G91" s="66" t="str">
        <f>IF(D91="","",IFERROR('Prod 3'!H91/'Prod 3'!$H$3,0))</f>
        <v/>
      </c>
      <c r="H91" s="70" t="str">
        <f>IF(D91="","",'Prod 2'!K91)</f>
        <v/>
      </c>
      <c r="I91" s="77" t="str">
        <f t="shared" si="9"/>
        <v/>
      </c>
      <c r="J91" s="57"/>
      <c r="L91" s="19">
        <v>8.6999999999999998E-8</v>
      </c>
      <c r="M91" s="59">
        <f t="shared" si="10"/>
        <v>0</v>
      </c>
      <c r="N91" s="59">
        <f t="shared" si="11"/>
        <v>0</v>
      </c>
      <c r="O91" s="59">
        <f t="shared" si="12"/>
        <v>0</v>
      </c>
      <c r="P91" s="19" t="str">
        <f t="shared" si="13"/>
        <v/>
      </c>
      <c r="Q91" s="19" t="s">
        <v>127</v>
      </c>
    </row>
    <row r="92" spans="2:17" ht="30" customHeight="1" x14ac:dyDescent="0.25">
      <c r="B92" s="62" t="str">
        <f t="shared" si="7"/>
        <v/>
      </c>
      <c r="C92" s="42">
        <v>88</v>
      </c>
      <c r="D92" s="20"/>
      <c r="E92" s="58"/>
      <c r="F92" s="63" t="str">
        <f t="shared" si="8"/>
        <v/>
      </c>
      <c r="G92" s="66" t="str">
        <f>IF(D92="","",IFERROR('Prod 3'!H92/'Prod 3'!$H$3,0))</f>
        <v/>
      </c>
      <c r="H92" s="70" t="str">
        <f>IF(D92="","",'Prod 2'!K92)</f>
        <v/>
      </c>
      <c r="I92" s="77" t="str">
        <f t="shared" si="9"/>
        <v/>
      </c>
      <c r="J92" s="57"/>
      <c r="L92" s="19">
        <v>8.7999999999999994E-8</v>
      </c>
      <c r="M92" s="59">
        <f t="shared" si="10"/>
        <v>0</v>
      </c>
      <c r="N92" s="59">
        <f t="shared" si="11"/>
        <v>0</v>
      </c>
      <c r="O92" s="59">
        <f t="shared" si="12"/>
        <v>0</v>
      </c>
      <c r="P92" s="19" t="str">
        <f t="shared" si="13"/>
        <v/>
      </c>
      <c r="Q92" s="19" t="s">
        <v>128</v>
      </c>
    </row>
    <row r="93" spans="2:17" ht="30" customHeight="1" x14ac:dyDescent="0.25">
      <c r="B93" s="62" t="str">
        <f t="shared" si="7"/>
        <v/>
      </c>
      <c r="C93" s="42">
        <v>89</v>
      </c>
      <c r="D93" s="20"/>
      <c r="E93" s="58"/>
      <c r="F93" s="63" t="str">
        <f t="shared" si="8"/>
        <v/>
      </c>
      <c r="G93" s="66" t="str">
        <f>IF(D93="","",IFERROR('Prod 3'!H93/'Prod 3'!$H$3,0))</f>
        <v/>
      </c>
      <c r="H93" s="70" t="str">
        <f>IF(D93="","",'Prod 2'!K93)</f>
        <v/>
      </c>
      <c r="I93" s="77" t="str">
        <f t="shared" si="9"/>
        <v/>
      </c>
      <c r="J93" s="57"/>
      <c r="L93" s="19">
        <v>8.9000000000000003E-8</v>
      </c>
      <c r="M93" s="59">
        <f t="shared" si="10"/>
        <v>0</v>
      </c>
      <c r="N93" s="59">
        <f t="shared" si="11"/>
        <v>0</v>
      </c>
      <c r="O93" s="59">
        <f t="shared" si="12"/>
        <v>0</v>
      </c>
      <c r="P93" s="19" t="str">
        <f t="shared" si="13"/>
        <v/>
      </c>
      <c r="Q93" s="19" t="s">
        <v>129</v>
      </c>
    </row>
    <row r="94" spans="2:17" ht="30" customHeight="1" x14ac:dyDescent="0.25">
      <c r="B94" s="62" t="str">
        <f t="shared" si="7"/>
        <v/>
      </c>
      <c r="C94" s="42">
        <v>90</v>
      </c>
      <c r="D94" s="20"/>
      <c r="E94" s="58"/>
      <c r="F94" s="63" t="str">
        <f t="shared" si="8"/>
        <v/>
      </c>
      <c r="G94" s="66" t="str">
        <f>IF(D94="","",IFERROR('Prod 3'!H94/'Prod 3'!$H$3,0))</f>
        <v/>
      </c>
      <c r="H94" s="70" t="str">
        <f>IF(D94="","",'Prod 2'!K94)</f>
        <v/>
      </c>
      <c r="I94" s="77" t="str">
        <f t="shared" si="9"/>
        <v/>
      </c>
      <c r="J94" s="57"/>
      <c r="L94" s="19">
        <v>8.9999999999999999E-8</v>
      </c>
      <c r="M94" s="59">
        <f t="shared" si="10"/>
        <v>0</v>
      </c>
      <c r="N94" s="59">
        <f t="shared" si="11"/>
        <v>0</v>
      </c>
      <c r="O94" s="59">
        <f t="shared" si="12"/>
        <v>0</v>
      </c>
      <c r="P94" s="19" t="str">
        <f t="shared" si="13"/>
        <v/>
      </c>
      <c r="Q94" s="19" t="s">
        <v>130</v>
      </c>
    </row>
    <row r="95" spans="2:17" ht="30" customHeight="1" x14ac:dyDescent="0.25">
      <c r="B95" s="62" t="str">
        <f t="shared" si="7"/>
        <v/>
      </c>
      <c r="C95" s="42">
        <v>91</v>
      </c>
      <c r="D95" s="20"/>
      <c r="E95" s="58"/>
      <c r="F95" s="63" t="str">
        <f t="shared" si="8"/>
        <v/>
      </c>
      <c r="G95" s="66" t="str">
        <f>IF(D95="","",IFERROR('Prod 3'!H95/'Prod 3'!$H$3,0))</f>
        <v/>
      </c>
      <c r="H95" s="70" t="str">
        <f>IF(D95="","",'Prod 2'!K95)</f>
        <v/>
      </c>
      <c r="I95" s="77" t="str">
        <f t="shared" si="9"/>
        <v/>
      </c>
      <c r="J95" s="57"/>
      <c r="L95" s="19">
        <v>9.0999999999999994E-8</v>
      </c>
      <c r="M95" s="59">
        <f t="shared" si="10"/>
        <v>0</v>
      </c>
      <c r="N95" s="59">
        <f t="shared" si="11"/>
        <v>0</v>
      </c>
      <c r="O95" s="59">
        <f t="shared" si="12"/>
        <v>0</v>
      </c>
      <c r="P95" s="19" t="str">
        <f t="shared" si="13"/>
        <v/>
      </c>
      <c r="Q95" s="19" t="s">
        <v>131</v>
      </c>
    </row>
    <row r="96" spans="2:17" ht="30" customHeight="1" x14ac:dyDescent="0.25">
      <c r="B96" s="62" t="str">
        <f t="shared" si="7"/>
        <v/>
      </c>
      <c r="C96" s="42">
        <v>92</v>
      </c>
      <c r="D96" s="20"/>
      <c r="E96" s="58"/>
      <c r="F96" s="63" t="str">
        <f t="shared" si="8"/>
        <v/>
      </c>
      <c r="G96" s="66" t="str">
        <f>IF(D96="","",IFERROR('Prod 3'!H96/'Prod 3'!$H$3,0))</f>
        <v/>
      </c>
      <c r="H96" s="70" t="str">
        <f>IF(D96="","",'Prod 2'!K96)</f>
        <v/>
      </c>
      <c r="I96" s="77" t="str">
        <f t="shared" si="9"/>
        <v/>
      </c>
      <c r="J96" s="57"/>
      <c r="L96" s="19">
        <v>9.2000000000000003E-8</v>
      </c>
      <c r="M96" s="59">
        <f t="shared" si="10"/>
        <v>0</v>
      </c>
      <c r="N96" s="59">
        <f t="shared" si="11"/>
        <v>0</v>
      </c>
      <c r="O96" s="59">
        <f t="shared" si="12"/>
        <v>0</v>
      </c>
      <c r="P96" s="19" t="str">
        <f t="shared" si="13"/>
        <v/>
      </c>
      <c r="Q96" s="19" t="s">
        <v>132</v>
      </c>
    </row>
    <row r="97" spans="2:17" ht="30" customHeight="1" x14ac:dyDescent="0.25">
      <c r="B97" s="62" t="str">
        <f t="shared" si="7"/>
        <v/>
      </c>
      <c r="C97" s="42">
        <v>93</v>
      </c>
      <c r="D97" s="20"/>
      <c r="E97" s="58"/>
      <c r="F97" s="63" t="str">
        <f t="shared" si="8"/>
        <v/>
      </c>
      <c r="G97" s="66" t="str">
        <f>IF(D97="","",IFERROR('Prod 3'!H97/'Prod 3'!$H$3,0))</f>
        <v/>
      </c>
      <c r="H97" s="70" t="str">
        <f>IF(D97="","",'Prod 2'!K97)</f>
        <v/>
      </c>
      <c r="I97" s="77" t="str">
        <f t="shared" si="9"/>
        <v/>
      </c>
      <c r="J97" s="57"/>
      <c r="L97" s="19">
        <v>9.2999999999999999E-8</v>
      </c>
      <c r="M97" s="59">
        <f t="shared" si="10"/>
        <v>0</v>
      </c>
      <c r="N97" s="59">
        <f t="shared" si="11"/>
        <v>0</v>
      </c>
      <c r="O97" s="59">
        <f t="shared" si="12"/>
        <v>0</v>
      </c>
      <c r="P97" s="19" t="str">
        <f t="shared" si="13"/>
        <v/>
      </c>
      <c r="Q97" s="19" t="s">
        <v>133</v>
      </c>
    </row>
    <row r="98" spans="2:17" ht="30" customHeight="1" x14ac:dyDescent="0.25">
      <c r="B98" s="62" t="str">
        <f t="shared" si="7"/>
        <v/>
      </c>
      <c r="C98" s="42">
        <v>94</v>
      </c>
      <c r="D98" s="20"/>
      <c r="E98" s="58"/>
      <c r="F98" s="63" t="str">
        <f t="shared" si="8"/>
        <v/>
      </c>
      <c r="G98" s="66" t="str">
        <f>IF(D98="","",IFERROR('Prod 3'!H98/'Prod 3'!$H$3,0))</f>
        <v/>
      </c>
      <c r="H98" s="70" t="str">
        <f>IF(D98="","",'Prod 2'!K98)</f>
        <v/>
      </c>
      <c r="I98" s="77" t="str">
        <f t="shared" si="9"/>
        <v/>
      </c>
      <c r="J98" s="57"/>
      <c r="L98" s="19">
        <v>9.3999999999999995E-8</v>
      </c>
      <c r="M98" s="59">
        <f t="shared" si="10"/>
        <v>0</v>
      </c>
      <c r="N98" s="59">
        <f t="shared" si="11"/>
        <v>0</v>
      </c>
      <c r="O98" s="59">
        <f t="shared" si="12"/>
        <v>0</v>
      </c>
      <c r="P98" s="19" t="str">
        <f t="shared" si="13"/>
        <v/>
      </c>
      <c r="Q98" s="19" t="s">
        <v>134</v>
      </c>
    </row>
    <row r="99" spans="2:17" ht="30" customHeight="1" x14ac:dyDescent="0.25">
      <c r="B99" s="62" t="str">
        <f t="shared" si="7"/>
        <v/>
      </c>
      <c r="C99" s="42">
        <v>95</v>
      </c>
      <c r="D99" s="20"/>
      <c r="E99" s="58"/>
      <c r="F99" s="63" t="str">
        <f t="shared" si="8"/>
        <v/>
      </c>
      <c r="G99" s="66" t="str">
        <f>IF(D99="","",IFERROR('Prod 3'!H99/'Prod 3'!$H$3,0))</f>
        <v/>
      </c>
      <c r="H99" s="70" t="str">
        <f>IF(D99="","",'Prod 2'!K99)</f>
        <v/>
      </c>
      <c r="I99" s="77" t="str">
        <f t="shared" si="9"/>
        <v/>
      </c>
      <c r="J99" s="57"/>
      <c r="L99" s="19">
        <v>9.5000000000000004E-8</v>
      </c>
      <c r="M99" s="59">
        <f t="shared" si="10"/>
        <v>0</v>
      </c>
      <c r="N99" s="59">
        <f t="shared" si="11"/>
        <v>0</v>
      </c>
      <c r="O99" s="59">
        <f t="shared" si="12"/>
        <v>0</v>
      </c>
      <c r="P99" s="19" t="str">
        <f t="shared" si="13"/>
        <v/>
      </c>
      <c r="Q99" s="19" t="s">
        <v>135</v>
      </c>
    </row>
    <row r="100" spans="2:17" ht="30" customHeight="1" x14ac:dyDescent="0.25">
      <c r="B100" s="62" t="str">
        <f t="shared" si="7"/>
        <v/>
      </c>
      <c r="C100" s="42">
        <v>96</v>
      </c>
      <c r="D100" s="20"/>
      <c r="E100" s="58"/>
      <c r="F100" s="63" t="str">
        <f t="shared" si="8"/>
        <v/>
      </c>
      <c r="G100" s="66" t="str">
        <f>IF(D100="","",IFERROR('Prod 3'!H100/'Prod 3'!$H$3,0))</f>
        <v/>
      </c>
      <c r="H100" s="70" t="str">
        <f>IF(D100="","",'Prod 2'!K100)</f>
        <v/>
      </c>
      <c r="I100" s="77" t="str">
        <f t="shared" si="9"/>
        <v/>
      </c>
      <c r="J100" s="57"/>
      <c r="L100" s="19">
        <v>9.5999999999999999E-8</v>
      </c>
      <c r="M100" s="59">
        <f t="shared" si="10"/>
        <v>0</v>
      </c>
      <c r="N100" s="59">
        <f t="shared" si="11"/>
        <v>0</v>
      </c>
      <c r="O100" s="59">
        <f t="shared" si="12"/>
        <v>0</v>
      </c>
      <c r="P100" s="19" t="str">
        <f t="shared" si="13"/>
        <v/>
      </c>
      <c r="Q100" s="19" t="s">
        <v>136</v>
      </c>
    </row>
    <row r="101" spans="2:17" ht="30" customHeight="1" x14ac:dyDescent="0.25">
      <c r="B101" s="62" t="str">
        <f t="shared" si="7"/>
        <v/>
      </c>
      <c r="C101" s="42">
        <v>97</v>
      </c>
      <c r="D101" s="20"/>
      <c r="E101" s="58"/>
      <c r="F101" s="63" t="str">
        <f t="shared" si="8"/>
        <v/>
      </c>
      <c r="G101" s="66" t="str">
        <f>IF(D101="","",IFERROR('Prod 3'!H101/'Prod 3'!$H$3,0))</f>
        <v/>
      </c>
      <c r="H101" s="70" t="str">
        <f>IF(D101="","",'Prod 2'!K101)</f>
        <v/>
      </c>
      <c r="I101" s="77" t="str">
        <f t="shared" si="9"/>
        <v/>
      </c>
      <c r="J101" s="57"/>
      <c r="L101" s="19">
        <v>9.6999999999999995E-8</v>
      </c>
      <c r="M101" s="59">
        <f t="shared" si="10"/>
        <v>0</v>
      </c>
      <c r="N101" s="59">
        <f t="shared" si="11"/>
        <v>0</v>
      </c>
      <c r="O101" s="59">
        <f t="shared" si="12"/>
        <v>0</v>
      </c>
      <c r="P101" s="19" t="str">
        <f t="shared" si="13"/>
        <v/>
      </c>
      <c r="Q101" s="19" t="s">
        <v>137</v>
      </c>
    </row>
    <row r="102" spans="2:17" ht="30" customHeight="1" x14ac:dyDescent="0.25">
      <c r="B102" s="62" t="str">
        <f t="shared" si="7"/>
        <v/>
      </c>
      <c r="C102" s="42">
        <v>98</v>
      </c>
      <c r="D102" s="20"/>
      <c r="E102" s="58"/>
      <c r="F102" s="63" t="str">
        <f t="shared" si="8"/>
        <v/>
      </c>
      <c r="G102" s="66" t="str">
        <f>IF(D102="","",IFERROR('Prod 3'!H102/'Prod 3'!$H$3,0))</f>
        <v/>
      </c>
      <c r="H102" s="70" t="str">
        <f>IF(D102="","",'Prod 2'!K102)</f>
        <v/>
      </c>
      <c r="I102" s="77" t="str">
        <f t="shared" si="9"/>
        <v/>
      </c>
      <c r="J102" s="57"/>
      <c r="L102" s="19">
        <v>9.8000000000000004E-8</v>
      </c>
      <c r="M102" s="59">
        <f t="shared" si="10"/>
        <v>0</v>
      </c>
      <c r="N102" s="59">
        <f t="shared" si="11"/>
        <v>0</v>
      </c>
      <c r="O102" s="59">
        <f t="shared" si="12"/>
        <v>0</v>
      </c>
      <c r="P102" s="19" t="str">
        <f t="shared" si="13"/>
        <v/>
      </c>
      <c r="Q102" s="19" t="s">
        <v>138</v>
      </c>
    </row>
    <row r="103" spans="2:17" ht="30" customHeight="1" x14ac:dyDescent="0.25">
      <c r="B103" s="62" t="str">
        <f t="shared" si="7"/>
        <v/>
      </c>
      <c r="C103" s="42">
        <v>99</v>
      </c>
      <c r="D103" s="20"/>
      <c r="E103" s="58"/>
      <c r="F103" s="63" t="str">
        <f t="shared" si="8"/>
        <v/>
      </c>
      <c r="G103" s="66" t="str">
        <f>IF(D103="","",IFERROR('Prod 3'!H103/'Prod 3'!$H$3,0))</f>
        <v/>
      </c>
      <c r="H103" s="70" t="str">
        <f>IF(D103="","",'Prod 2'!K103)</f>
        <v/>
      </c>
      <c r="I103" s="77" t="str">
        <f t="shared" si="9"/>
        <v/>
      </c>
      <c r="J103" s="57"/>
      <c r="L103" s="19">
        <v>9.9E-8</v>
      </c>
      <c r="M103" s="59">
        <f t="shared" si="10"/>
        <v>0</v>
      </c>
      <c r="N103" s="59">
        <f t="shared" si="11"/>
        <v>0</v>
      </c>
      <c r="O103" s="59">
        <f t="shared" si="12"/>
        <v>0</v>
      </c>
      <c r="P103" s="19" t="str">
        <f t="shared" si="13"/>
        <v/>
      </c>
      <c r="Q103" s="19" t="s">
        <v>139</v>
      </c>
    </row>
    <row r="104" spans="2:17" ht="30" customHeight="1" x14ac:dyDescent="0.25">
      <c r="B104" s="62" t="str">
        <f t="shared" si="7"/>
        <v/>
      </c>
      <c r="C104" s="42">
        <v>100</v>
      </c>
      <c r="D104" s="20"/>
      <c r="E104" s="58"/>
      <c r="F104" s="63" t="str">
        <f t="shared" si="8"/>
        <v/>
      </c>
      <c r="G104" s="66" t="str">
        <f>IF(D104="","",IFERROR('Prod 3'!H104/'Prod 3'!$H$3,0))</f>
        <v/>
      </c>
      <c r="H104" s="70" t="str">
        <f>IF(D104="","",'Prod 2'!K104)</f>
        <v/>
      </c>
      <c r="I104" s="77" t="str">
        <f t="shared" si="9"/>
        <v/>
      </c>
      <c r="J104" s="57"/>
      <c r="L104" s="19">
        <v>9.9999999999999995E-8</v>
      </c>
      <c r="M104" s="59">
        <f t="shared" si="10"/>
        <v>0</v>
      </c>
      <c r="N104" s="59">
        <f t="shared" si="11"/>
        <v>0</v>
      </c>
      <c r="O104" s="59">
        <f t="shared" si="12"/>
        <v>0</v>
      </c>
      <c r="P104" s="19" t="str">
        <f t="shared" si="13"/>
        <v/>
      </c>
      <c r="Q104" s="19" t="s">
        <v>140</v>
      </c>
    </row>
    <row r="105" spans="2:17" ht="30" customHeight="1" x14ac:dyDescent="0.25">
      <c r="B105" s="62" t="str">
        <f t="shared" si="7"/>
        <v/>
      </c>
      <c r="C105" s="42">
        <v>101</v>
      </c>
      <c r="D105" s="20"/>
      <c r="E105" s="58"/>
      <c r="F105" s="63" t="str">
        <f t="shared" si="8"/>
        <v/>
      </c>
      <c r="G105" s="66" t="str">
        <f>IF(D105="","",IFERROR('Prod 3'!H105/'Prod 3'!$H$3,0))</f>
        <v/>
      </c>
      <c r="H105" s="70" t="str">
        <f>IF(D105="","",'Prod 2'!K105)</f>
        <v/>
      </c>
      <c r="I105" s="77" t="str">
        <f t="shared" si="9"/>
        <v/>
      </c>
      <c r="J105" s="57"/>
      <c r="L105" s="19">
        <v>1.01E-7</v>
      </c>
      <c r="M105" s="59">
        <f t="shared" si="10"/>
        <v>0</v>
      </c>
      <c r="N105" s="59">
        <f t="shared" si="11"/>
        <v>0</v>
      </c>
      <c r="O105" s="59">
        <f t="shared" si="12"/>
        <v>0</v>
      </c>
      <c r="P105" s="19" t="str">
        <f t="shared" si="13"/>
        <v/>
      </c>
      <c r="Q105" s="19" t="s">
        <v>141</v>
      </c>
    </row>
    <row r="106" spans="2:17" ht="30" customHeight="1" x14ac:dyDescent="0.25">
      <c r="B106" s="62" t="str">
        <f t="shared" si="7"/>
        <v/>
      </c>
      <c r="C106" s="42">
        <v>102</v>
      </c>
      <c r="D106" s="20"/>
      <c r="E106" s="58"/>
      <c r="F106" s="63" t="str">
        <f t="shared" si="8"/>
        <v/>
      </c>
      <c r="G106" s="66" t="str">
        <f>IF(D106="","",IFERROR('Prod 3'!H106/'Prod 3'!$H$3,0))</f>
        <v/>
      </c>
      <c r="H106" s="70" t="str">
        <f>IF(D106="","",'Prod 2'!K106)</f>
        <v/>
      </c>
      <c r="I106" s="77" t="str">
        <f t="shared" si="9"/>
        <v/>
      </c>
      <c r="J106" s="57"/>
      <c r="L106" s="19">
        <v>1.02E-7</v>
      </c>
      <c r="M106" s="59">
        <f t="shared" si="10"/>
        <v>0</v>
      </c>
      <c r="N106" s="59">
        <f t="shared" si="11"/>
        <v>0</v>
      </c>
      <c r="O106" s="59">
        <f t="shared" si="12"/>
        <v>0</v>
      </c>
      <c r="P106" s="19" t="str">
        <f t="shared" si="13"/>
        <v/>
      </c>
      <c r="Q106" s="19" t="s">
        <v>142</v>
      </c>
    </row>
    <row r="107" spans="2:17" ht="30" customHeight="1" x14ac:dyDescent="0.25">
      <c r="B107" s="62" t="str">
        <f t="shared" si="7"/>
        <v/>
      </c>
      <c r="C107" s="42">
        <v>103</v>
      </c>
      <c r="D107" s="20"/>
      <c r="E107" s="58"/>
      <c r="F107" s="63" t="str">
        <f t="shared" si="8"/>
        <v/>
      </c>
      <c r="G107" s="66" t="str">
        <f>IF(D107="","",IFERROR('Prod 3'!H107/'Prod 3'!$H$3,0))</f>
        <v/>
      </c>
      <c r="H107" s="70" t="str">
        <f>IF(D107="","",'Prod 2'!K107)</f>
        <v/>
      </c>
      <c r="I107" s="77" t="str">
        <f t="shared" si="9"/>
        <v/>
      </c>
      <c r="J107" s="57"/>
      <c r="L107" s="19">
        <v>1.03E-7</v>
      </c>
      <c r="M107" s="59">
        <f t="shared" si="10"/>
        <v>0</v>
      </c>
      <c r="N107" s="59">
        <f t="shared" si="11"/>
        <v>0</v>
      </c>
      <c r="O107" s="59">
        <f t="shared" si="12"/>
        <v>0</v>
      </c>
      <c r="P107" s="19" t="str">
        <f t="shared" si="13"/>
        <v/>
      </c>
      <c r="Q107" s="19" t="s">
        <v>143</v>
      </c>
    </row>
    <row r="108" spans="2:17" ht="30" customHeight="1" x14ac:dyDescent="0.25">
      <c r="B108" s="62" t="str">
        <f t="shared" si="7"/>
        <v/>
      </c>
      <c r="C108" s="42">
        <v>104</v>
      </c>
      <c r="D108" s="20"/>
      <c r="E108" s="58"/>
      <c r="F108" s="63" t="str">
        <f t="shared" si="8"/>
        <v/>
      </c>
      <c r="G108" s="66" t="str">
        <f>IF(D108="","",IFERROR('Prod 3'!H108/'Prod 3'!$H$3,0))</f>
        <v/>
      </c>
      <c r="H108" s="70" t="str">
        <f>IF(D108="","",'Prod 2'!K108)</f>
        <v/>
      </c>
      <c r="I108" s="77" t="str">
        <f t="shared" si="9"/>
        <v/>
      </c>
      <c r="J108" s="57"/>
      <c r="L108" s="19">
        <v>1.04E-7</v>
      </c>
      <c r="M108" s="59">
        <f t="shared" si="10"/>
        <v>0</v>
      </c>
      <c r="N108" s="59">
        <f t="shared" si="11"/>
        <v>0</v>
      </c>
      <c r="O108" s="59">
        <f t="shared" si="12"/>
        <v>0</v>
      </c>
      <c r="P108" s="19" t="str">
        <f t="shared" si="13"/>
        <v/>
      </c>
      <c r="Q108" s="19" t="s">
        <v>144</v>
      </c>
    </row>
    <row r="109" spans="2:17" ht="30" customHeight="1" x14ac:dyDescent="0.25">
      <c r="B109" s="62" t="str">
        <f t="shared" si="7"/>
        <v/>
      </c>
      <c r="C109" s="42">
        <v>105</v>
      </c>
      <c r="D109" s="20"/>
      <c r="E109" s="58"/>
      <c r="F109" s="63" t="str">
        <f t="shared" si="8"/>
        <v/>
      </c>
      <c r="G109" s="66" t="str">
        <f>IF(D109="","",IFERROR('Prod 3'!H109/'Prod 3'!$H$3,0))</f>
        <v/>
      </c>
      <c r="H109" s="70" t="str">
        <f>IF(D109="","",'Prod 2'!K109)</f>
        <v/>
      </c>
      <c r="I109" s="77" t="str">
        <f t="shared" si="9"/>
        <v/>
      </c>
      <c r="J109" s="57"/>
      <c r="L109" s="19">
        <v>1.05E-7</v>
      </c>
      <c r="M109" s="59">
        <f t="shared" si="10"/>
        <v>0</v>
      </c>
      <c r="N109" s="59">
        <f t="shared" si="11"/>
        <v>0</v>
      </c>
      <c r="O109" s="59">
        <f t="shared" si="12"/>
        <v>0</v>
      </c>
      <c r="P109" s="19" t="str">
        <f t="shared" si="13"/>
        <v/>
      </c>
      <c r="Q109" s="19" t="s">
        <v>145</v>
      </c>
    </row>
    <row r="110" spans="2:17" ht="30" customHeight="1" x14ac:dyDescent="0.25">
      <c r="B110" s="62" t="str">
        <f t="shared" si="7"/>
        <v/>
      </c>
      <c r="C110" s="42">
        <v>106</v>
      </c>
      <c r="D110" s="20"/>
      <c r="E110" s="58"/>
      <c r="F110" s="63" t="str">
        <f t="shared" si="8"/>
        <v/>
      </c>
      <c r="G110" s="66" t="str">
        <f>IF(D110="","",IFERROR('Prod 3'!H110/'Prod 3'!$H$3,0))</f>
        <v/>
      </c>
      <c r="H110" s="70" t="str">
        <f>IF(D110="","",'Prod 2'!K110)</f>
        <v/>
      </c>
      <c r="I110" s="77" t="str">
        <f t="shared" si="9"/>
        <v/>
      </c>
      <c r="J110" s="57"/>
      <c r="L110" s="19">
        <v>1.06E-7</v>
      </c>
      <c r="M110" s="59">
        <f t="shared" si="10"/>
        <v>0</v>
      </c>
      <c r="N110" s="59">
        <f t="shared" si="11"/>
        <v>0</v>
      </c>
      <c r="O110" s="59">
        <f t="shared" si="12"/>
        <v>0</v>
      </c>
      <c r="P110" s="19" t="str">
        <f t="shared" si="13"/>
        <v/>
      </c>
      <c r="Q110" s="19" t="s">
        <v>146</v>
      </c>
    </row>
    <row r="111" spans="2:17" ht="30" customHeight="1" x14ac:dyDescent="0.25">
      <c r="B111" s="62" t="str">
        <f t="shared" si="7"/>
        <v/>
      </c>
      <c r="C111" s="42">
        <v>107</v>
      </c>
      <c r="D111" s="20"/>
      <c r="E111" s="58"/>
      <c r="F111" s="63" t="str">
        <f t="shared" si="8"/>
        <v/>
      </c>
      <c r="G111" s="66" t="str">
        <f>IF(D111="","",IFERROR('Prod 3'!H111/'Prod 3'!$H$3,0))</f>
        <v/>
      </c>
      <c r="H111" s="70" t="str">
        <f>IF(D111="","",'Prod 2'!K111)</f>
        <v/>
      </c>
      <c r="I111" s="77" t="str">
        <f t="shared" si="9"/>
        <v/>
      </c>
      <c r="J111" s="57"/>
      <c r="L111" s="19">
        <v>1.0700000000000001E-7</v>
      </c>
      <c r="M111" s="59">
        <f t="shared" si="10"/>
        <v>0</v>
      </c>
      <c r="N111" s="59">
        <f t="shared" si="11"/>
        <v>0</v>
      </c>
      <c r="O111" s="59">
        <f t="shared" si="12"/>
        <v>0</v>
      </c>
      <c r="P111" s="19" t="str">
        <f t="shared" si="13"/>
        <v/>
      </c>
      <c r="Q111" s="19" t="s">
        <v>147</v>
      </c>
    </row>
    <row r="112" spans="2:17" ht="30" customHeight="1" x14ac:dyDescent="0.25">
      <c r="B112" s="62" t="str">
        <f t="shared" si="7"/>
        <v/>
      </c>
      <c r="C112" s="42">
        <v>108</v>
      </c>
      <c r="D112" s="20"/>
      <c r="E112" s="58"/>
      <c r="F112" s="63" t="str">
        <f t="shared" si="8"/>
        <v/>
      </c>
      <c r="G112" s="66" t="str">
        <f>IF(D112="","",IFERROR('Prod 3'!H112/'Prod 3'!$H$3,0))</f>
        <v/>
      </c>
      <c r="H112" s="70" t="str">
        <f>IF(D112="","",'Prod 2'!K112)</f>
        <v/>
      </c>
      <c r="I112" s="77" t="str">
        <f t="shared" si="9"/>
        <v/>
      </c>
      <c r="J112" s="57"/>
      <c r="L112" s="19">
        <v>1.08E-7</v>
      </c>
      <c r="M112" s="59">
        <f t="shared" si="10"/>
        <v>0</v>
      </c>
      <c r="N112" s="59">
        <f t="shared" si="11"/>
        <v>0</v>
      </c>
      <c r="O112" s="59">
        <f t="shared" si="12"/>
        <v>0</v>
      </c>
      <c r="P112" s="19" t="str">
        <f t="shared" si="13"/>
        <v/>
      </c>
      <c r="Q112" s="19" t="s">
        <v>148</v>
      </c>
    </row>
    <row r="113" spans="2:17" ht="30" customHeight="1" x14ac:dyDescent="0.25">
      <c r="B113" s="62" t="str">
        <f t="shared" si="7"/>
        <v/>
      </c>
      <c r="C113" s="42">
        <v>109</v>
      </c>
      <c r="D113" s="20"/>
      <c r="E113" s="58"/>
      <c r="F113" s="63" t="str">
        <f t="shared" si="8"/>
        <v/>
      </c>
      <c r="G113" s="66" t="str">
        <f>IF(D113="","",IFERROR('Prod 3'!H113/'Prod 3'!$H$3,0))</f>
        <v/>
      </c>
      <c r="H113" s="70" t="str">
        <f>IF(D113="","",'Prod 2'!K113)</f>
        <v/>
      </c>
      <c r="I113" s="77" t="str">
        <f t="shared" si="9"/>
        <v/>
      </c>
      <c r="J113" s="57"/>
      <c r="L113" s="19">
        <v>1.09E-7</v>
      </c>
      <c r="M113" s="59">
        <f t="shared" si="10"/>
        <v>0</v>
      </c>
      <c r="N113" s="59">
        <f t="shared" si="11"/>
        <v>0</v>
      </c>
      <c r="O113" s="59">
        <f t="shared" si="12"/>
        <v>0</v>
      </c>
      <c r="P113" s="19" t="str">
        <f t="shared" si="13"/>
        <v/>
      </c>
      <c r="Q113" s="19" t="s">
        <v>149</v>
      </c>
    </row>
    <row r="114" spans="2:17" ht="30" customHeight="1" x14ac:dyDescent="0.25">
      <c r="B114" s="62" t="str">
        <f t="shared" si="7"/>
        <v/>
      </c>
      <c r="C114" s="42">
        <v>110</v>
      </c>
      <c r="D114" s="20"/>
      <c r="E114" s="58"/>
      <c r="F114" s="63" t="str">
        <f t="shared" si="8"/>
        <v/>
      </c>
      <c r="G114" s="66" t="str">
        <f>IF(D114="","",IFERROR('Prod 3'!H114/'Prod 3'!$H$3,0))</f>
        <v/>
      </c>
      <c r="H114" s="70" t="str">
        <f>IF(D114="","",'Prod 2'!K114)</f>
        <v/>
      </c>
      <c r="I114" s="77" t="str">
        <f t="shared" si="9"/>
        <v/>
      </c>
      <c r="J114" s="57"/>
      <c r="L114" s="19">
        <v>1.1000000000000001E-7</v>
      </c>
      <c r="M114" s="59">
        <f t="shared" si="10"/>
        <v>0</v>
      </c>
      <c r="N114" s="59">
        <f t="shared" si="11"/>
        <v>0</v>
      </c>
      <c r="O114" s="59">
        <f t="shared" si="12"/>
        <v>0</v>
      </c>
      <c r="P114" s="19" t="str">
        <f t="shared" si="13"/>
        <v/>
      </c>
      <c r="Q114" s="19" t="s">
        <v>150</v>
      </c>
    </row>
    <row r="115" spans="2:17" ht="30" customHeight="1" x14ac:dyDescent="0.25">
      <c r="B115" s="62" t="str">
        <f t="shared" si="7"/>
        <v/>
      </c>
      <c r="C115" s="42">
        <v>111</v>
      </c>
      <c r="D115" s="20"/>
      <c r="E115" s="58"/>
      <c r="F115" s="63" t="str">
        <f t="shared" si="8"/>
        <v/>
      </c>
      <c r="G115" s="66" t="str">
        <f>IF(D115="","",IFERROR('Prod 3'!H115/'Prod 3'!$H$3,0))</f>
        <v/>
      </c>
      <c r="H115" s="70" t="str">
        <f>IF(D115="","",'Prod 2'!K115)</f>
        <v/>
      </c>
      <c r="I115" s="77" t="str">
        <f t="shared" si="9"/>
        <v/>
      </c>
      <c r="J115" s="57"/>
      <c r="L115" s="19">
        <v>1.11E-7</v>
      </c>
      <c r="M115" s="59">
        <f t="shared" si="10"/>
        <v>0</v>
      </c>
      <c r="N115" s="59">
        <f t="shared" si="11"/>
        <v>0</v>
      </c>
      <c r="O115" s="59">
        <f t="shared" si="12"/>
        <v>0</v>
      </c>
      <c r="P115" s="19" t="str">
        <f t="shared" si="13"/>
        <v/>
      </c>
      <c r="Q115" s="19" t="s">
        <v>151</v>
      </c>
    </row>
    <row r="116" spans="2:17" ht="30" customHeight="1" x14ac:dyDescent="0.25">
      <c r="B116" s="62" t="str">
        <f t="shared" si="7"/>
        <v/>
      </c>
      <c r="C116" s="42">
        <v>112</v>
      </c>
      <c r="D116" s="20"/>
      <c r="E116" s="58"/>
      <c r="F116" s="63" t="str">
        <f t="shared" si="8"/>
        <v/>
      </c>
      <c r="G116" s="66" t="str">
        <f>IF(D116="","",IFERROR('Prod 3'!H116/'Prod 3'!$H$3,0))</f>
        <v/>
      </c>
      <c r="H116" s="70" t="str">
        <f>IF(D116="","",'Prod 2'!K116)</f>
        <v/>
      </c>
      <c r="I116" s="77" t="str">
        <f t="shared" si="9"/>
        <v/>
      </c>
      <c r="J116" s="57"/>
      <c r="L116" s="19">
        <v>1.12E-7</v>
      </c>
      <c r="M116" s="59">
        <f t="shared" si="10"/>
        <v>0</v>
      </c>
      <c r="N116" s="59">
        <f t="shared" si="11"/>
        <v>0</v>
      </c>
      <c r="O116" s="59">
        <f t="shared" si="12"/>
        <v>0</v>
      </c>
      <c r="P116" s="19" t="str">
        <f t="shared" si="13"/>
        <v/>
      </c>
      <c r="Q116" s="19" t="s">
        <v>152</v>
      </c>
    </row>
    <row r="117" spans="2:17" ht="30" customHeight="1" x14ac:dyDescent="0.25">
      <c r="B117" s="62" t="str">
        <f t="shared" si="7"/>
        <v/>
      </c>
      <c r="C117" s="42">
        <v>113</v>
      </c>
      <c r="D117" s="20"/>
      <c r="E117" s="58"/>
      <c r="F117" s="63" t="str">
        <f t="shared" si="8"/>
        <v/>
      </c>
      <c r="G117" s="66" t="str">
        <f>IF(D117="","",IFERROR('Prod 3'!H117/'Prod 3'!$H$3,0))</f>
        <v/>
      </c>
      <c r="H117" s="70" t="str">
        <f>IF(D117="","",'Prod 2'!K117)</f>
        <v/>
      </c>
      <c r="I117" s="77" t="str">
        <f t="shared" si="9"/>
        <v/>
      </c>
      <c r="J117" s="57"/>
      <c r="L117" s="19">
        <v>1.1300000000000001E-7</v>
      </c>
      <c r="M117" s="59">
        <f t="shared" si="10"/>
        <v>0</v>
      </c>
      <c r="N117" s="59">
        <f t="shared" si="11"/>
        <v>0</v>
      </c>
      <c r="O117" s="59">
        <f t="shared" si="12"/>
        <v>0</v>
      </c>
      <c r="P117" s="19" t="str">
        <f t="shared" si="13"/>
        <v/>
      </c>
      <c r="Q117" s="19" t="s">
        <v>153</v>
      </c>
    </row>
    <row r="118" spans="2:17" ht="30" customHeight="1" x14ac:dyDescent="0.25">
      <c r="B118" s="62" t="str">
        <f t="shared" si="7"/>
        <v/>
      </c>
      <c r="C118" s="42">
        <v>114</v>
      </c>
      <c r="D118" s="20"/>
      <c r="E118" s="58"/>
      <c r="F118" s="63" t="str">
        <f t="shared" si="8"/>
        <v/>
      </c>
      <c r="G118" s="66" t="str">
        <f>IF(D118="","",IFERROR('Prod 3'!H118/'Prod 3'!$H$3,0))</f>
        <v/>
      </c>
      <c r="H118" s="70" t="str">
        <f>IF(D118="","",'Prod 2'!K118)</f>
        <v/>
      </c>
      <c r="I118" s="77" t="str">
        <f t="shared" si="9"/>
        <v/>
      </c>
      <c r="J118" s="57"/>
      <c r="L118" s="19">
        <v>1.14E-7</v>
      </c>
      <c r="M118" s="59">
        <f t="shared" si="10"/>
        <v>0</v>
      </c>
      <c r="N118" s="59">
        <f t="shared" si="11"/>
        <v>0</v>
      </c>
      <c r="O118" s="59">
        <f t="shared" si="12"/>
        <v>0</v>
      </c>
      <c r="P118" s="19" t="str">
        <f t="shared" si="13"/>
        <v/>
      </c>
      <c r="Q118" s="19" t="s">
        <v>154</v>
      </c>
    </row>
    <row r="119" spans="2:17" ht="30" customHeight="1" x14ac:dyDescent="0.25">
      <c r="B119" s="62" t="str">
        <f t="shared" si="7"/>
        <v/>
      </c>
      <c r="C119" s="42">
        <v>115</v>
      </c>
      <c r="D119" s="20"/>
      <c r="E119" s="58"/>
      <c r="F119" s="63" t="str">
        <f t="shared" si="8"/>
        <v/>
      </c>
      <c r="G119" s="66" t="str">
        <f>IF(D119="","",IFERROR('Prod 3'!H119/'Prod 3'!$H$3,0))</f>
        <v/>
      </c>
      <c r="H119" s="70" t="str">
        <f>IF(D119="","",'Prod 2'!K119)</f>
        <v/>
      </c>
      <c r="I119" s="77" t="str">
        <f t="shared" si="9"/>
        <v/>
      </c>
      <c r="J119" s="57"/>
      <c r="L119" s="19">
        <v>1.15E-7</v>
      </c>
      <c r="M119" s="59">
        <f t="shared" si="10"/>
        <v>0</v>
      </c>
      <c r="N119" s="59">
        <f t="shared" si="11"/>
        <v>0</v>
      </c>
      <c r="O119" s="59">
        <f t="shared" si="12"/>
        <v>0</v>
      </c>
      <c r="P119" s="19" t="str">
        <f t="shared" si="13"/>
        <v/>
      </c>
      <c r="Q119" s="19" t="s">
        <v>155</v>
      </c>
    </row>
    <row r="120" spans="2:17" ht="30" customHeight="1" x14ac:dyDescent="0.25">
      <c r="B120" s="62" t="str">
        <f t="shared" si="7"/>
        <v/>
      </c>
      <c r="C120" s="42">
        <v>116</v>
      </c>
      <c r="D120" s="20"/>
      <c r="E120" s="58"/>
      <c r="F120" s="63" t="str">
        <f t="shared" si="8"/>
        <v/>
      </c>
      <c r="G120" s="66" t="str">
        <f>IF(D120="","",IFERROR('Prod 3'!H120/'Prod 3'!$H$3,0))</f>
        <v/>
      </c>
      <c r="H120" s="70" t="str">
        <f>IF(D120="","",'Prod 2'!K120)</f>
        <v/>
      </c>
      <c r="I120" s="77" t="str">
        <f t="shared" si="9"/>
        <v/>
      </c>
      <c r="J120" s="57"/>
      <c r="L120" s="19">
        <v>1.1600000000000001E-7</v>
      </c>
      <c r="M120" s="59">
        <f t="shared" si="10"/>
        <v>0</v>
      </c>
      <c r="N120" s="59">
        <f t="shared" si="11"/>
        <v>0</v>
      </c>
      <c r="O120" s="59">
        <f t="shared" si="12"/>
        <v>0</v>
      </c>
      <c r="P120" s="19" t="str">
        <f t="shared" si="13"/>
        <v/>
      </c>
      <c r="Q120" s="19" t="s">
        <v>156</v>
      </c>
    </row>
    <row r="121" spans="2:17" ht="30" customHeight="1" x14ac:dyDescent="0.25">
      <c r="B121" s="62" t="str">
        <f t="shared" si="7"/>
        <v/>
      </c>
      <c r="C121" s="42">
        <v>117</v>
      </c>
      <c r="D121" s="20"/>
      <c r="E121" s="58"/>
      <c r="F121" s="63" t="str">
        <f t="shared" si="8"/>
        <v/>
      </c>
      <c r="G121" s="66" t="str">
        <f>IF(D121="","",IFERROR('Prod 3'!H121/'Prod 3'!$H$3,0))</f>
        <v/>
      </c>
      <c r="H121" s="70" t="str">
        <f>IF(D121="","",'Prod 2'!K121)</f>
        <v/>
      </c>
      <c r="I121" s="77" t="str">
        <f t="shared" si="9"/>
        <v/>
      </c>
      <c r="J121" s="57"/>
      <c r="L121" s="19">
        <v>1.17E-7</v>
      </c>
      <c r="M121" s="59">
        <f t="shared" si="10"/>
        <v>0</v>
      </c>
      <c r="N121" s="59">
        <f t="shared" si="11"/>
        <v>0</v>
      </c>
      <c r="O121" s="59">
        <f t="shared" si="12"/>
        <v>0</v>
      </c>
      <c r="P121" s="19" t="str">
        <f t="shared" si="13"/>
        <v/>
      </c>
      <c r="Q121" s="19" t="s">
        <v>157</v>
      </c>
    </row>
    <row r="122" spans="2:17" ht="30" customHeight="1" x14ac:dyDescent="0.25">
      <c r="B122" s="62" t="str">
        <f t="shared" si="7"/>
        <v/>
      </c>
      <c r="C122" s="42">
        <v>118</v>
      </c>
      <c r="D122" s="20"/>
      <c r="E122" s="58"/>
      <c r="F122" s="63" t="str">
        <f t="shared" si="8"/>
        <v/>
      </c>
      <c r="G122" s="66" t="str">
        <f>IF(D122="","",IFERROR('Prod 3'!H122/'Prod 3'!$H$3,0))</f>
        <v/>
      </c>
      <c r="H122" s="70" t="str">
        <f>IF(D122="","",'Prod 2'!K122)</f>
        <v/>
      </c>
      <c r="I122" s="77" t="str">
        <f t="shared" si="9"/>
        <v/>
      </c>
      <c r="J122" s="57"/>
      <c r="L122" s="19">
        <v>1.18E-7</v>
      </c>
      <c r="M122" s="59">
        <f t="shared" si="10"/>
        <v>0</v>
      </c>
      <c r="N122" s="59">
        <f t="shared" si="11"/>
        <v>0</v>
      </c>
      <c r="O122" s="59">
        <f t="shared" si="12"/>
        <v>0</v>
      </c>
      <c r="P122" s="19" t="str">
        <f t="shared" si="13"/>
        <v/>
      </c>
      <c r="Q122" s="19" t="s">
        <v>158</v>
      </c>
    </row>
    <row r="123" spans="2:17" ht="30" customHeight="1" x14ac:dyDescent="0.25">
      <c r="B123" s="62" t="str">
        <f t="shared" si="7"/>
        <v/>
      </c>
      <c r="C123" s="42">
        <v>119</v>
      </c>
      <c r="D123" s="20"/>
      <c r="E123" s="58"/>
      <c r="F123" s="63" t="str">
        <f t="shared" si="8"/>
        <v/>
      </c>
      <c r="G123" s="66" t="str">
        <f>IF(D123="","",IFERROR('Prod 3'!H123/'Prod 3'!$H$3,0))</f>
        <v/>
      </c>
      <c r="H123" s="70" t="str">
        <f>IF(D123="","",'Prod 2'!K123)</f>
        <v/>
      </c>
      <c r="I123" s="77" t="str">
        <f t="shared" si="9"/>
        <v/>
      </c>
      <c r="J123" s="57"/>
      <c r="L123" s="19">
        <v>1.1899999999999999E-7</v>
      </c>
      <c r="M123" s="59">
        <f t="shared" si="10"/>
        <v>0</v>
      </c>
      <c r="N123" s="59">
        <f t="shared" si="11"/>
        <v>0</v>
      </c>
      <c r="O123" s="59">
        <f t="shared" si="12"/>
        <v>0</v>
      </c>
      <c r="P123" s="19" t="str">
        <f t="shared" si="13"/>
        <v/>
      </c>
      <c r="Q123" s="19" t="s">
        <v>159</v>
      </c>
    </row>
    <row r="124" spans="2:17" ht="30" customHeight="1" x14ac:dyDescent="0.25">
      <c r="B124" s="62" t="str">
        <f t="shared" si="7"/>
        <v/>
      </c>
      <c r="C124" s="42">
        <v>120</v>
      </c>
      <c r="D124" s="20"/>
      <c r="E124" s="58"/>
      <c r="F124" s="63" t="str">
        <f t="shared" si="8"/>
        <v/>
      </c>
      <c r="G124" s="66" t="str">
        <f>IF(D124="","",IFERROR('Prod 3'!H124/'Prod 3'!$H$3,0))</f>
        <v/>
      </c>
      <c r="H124" s="70" t="str">
        <f>IF(D124="","",'Prod 2'!K124)</f>
        <v/>
      </c>
      <c r="I124" s="77" t="str">
        <f t="shared" si="9"/>
        <v/>
      </c>
      <c r="J124" s="57"/>
      <c r="L124" s="19">
        <v>1.1999999999999999E-7</v>
      </c>
      <c r="M124" s="59">
        <f t="shared" si="10"/>
        <v>0</v>
      </c>
      <c r="N124" s="59">
        <f t="shared" si="11"/>
        <v>0</v>
      </c>
      <c r="O124" s="59">
        <f t="shared" si="12"/>
        <v>0</v>
      </c>
      <c r="P124" s="19" t="str">
        <f t="shared" si="13"/>
        <v/>
      </c>
      <c r="Q124" s="19" t="s">
        <v>160</v>
      </c>
    </row>
    <row r="125" spans="2:17" ht="30" customHeight="1" x14ac:dyDescent="0.25">
      <c r="B125" s="62" t="str">
        <f t="shared" si="7"/>
        <v/>
      </c>
      <c r="C125" s="42">
        <v>121</v>
      </c>
      <c r="D125" s="20"/>
      <c r="E125" s="58"/>
      <c r="F125" s="63" t="str">
        <f t="shared" si="8"/>
        <v/>
      </c>
      <c r="G125" s="66" t="str">
        <f>IF(D125="","",IFERROR('Prod 3'!H125/'Prod 3'!$H$3,0))</f>
        <v/>
      </c>
      <c r="H125" s="70" t="str">
        <f>IF(D125="","",'Prod 2'!K125)</f>
        <v/>
      </c>
      <c r="I125" s="77" t="str">
        <f t="shared" si="9"/>
        <v/>
      </c>
      <c r="J125" s="57"/>
      <c r="L125" s="19">
        <v>1.2100000000000001E-7</v>
      </c>
      <c r="M125" s="59">
        <f t="shared" si="10"/>
        <v>0</v>
      </c>
      <c r="N125" s="59">
        <f t="shared" si="11"/>
        <v>0</v>
      </c>
      <c r="O125" s="59">
        <f t="shared" si="12"/>
        <v>0</v>
      </c>
      <c r="P125" s="19" t="str">
        <f t="shared" si="13"/>
        <v/>
      </c>
      <c r="Q125" s="19" t="s">
        <v>161</v>
      </c>
    </row>
    <row r="126" spans="2:17" ht="30" customHeight="1" x14ac:dyDescent="0.25">
      <c r="B126" s="62" t="str">
        <f t="shared" si="7"/>
        <v/>
      </c>
      <c r="C126" s="42">
        <v>122</v>
      </c>
      <c r="D126" s="20"/>
      <c r="E126" s="58"/>
      <c r="F126" s="63" t="str">
        <f t="shared" si="8"/>
        <v/>
      </c>
      <c r="G126" s="66" t="str">
        <f>IF(D126="","",IFERROR('Prod 3'!H126/'Prod 3'!$H$3,0))</f>
        <v/>
      </c>
      <c r="H126" s="70" t="str">
        <f>IF(D126="","",'Prod 2'!K126)</f>
        <v/>
      </c>
      <c r="I126" s="77" t="str">
        <f t="shared" si="9"/>
        <v/>
      </c>
      <c r="J126" s="57"/>
      <c r="L126" s="19">
        <v>1.2200000000000001E-7</v>
      </c>
      <c r="M126" s="59">
        <f t="shared" si="10"/>
        <v>0</v>
      </c>
      <c r="N126" s="59">
        <f t="shared" si="11"/>
        <v>0</v>
      </c>
      <c r="O126" s="59">
        <f t="shared" si="12"/>
        <v>0</v>
      </c>
      <c r="P126" s="19" t="str">
        <f t="shared" si="13"/>
        <v/>
      </c>
      <c r="Q126" s="19" t="s">
        <v>162</v>
      </c>
    </row>
    <row r="127" spans="2:17" ht="30" customHeight="1" x14ac:dyDescent="0.25">
      <c r="B127" s="62" t="str">
        <f t="shared" si="7"/>
        <v/>
      </c>
      <c r="C127" s="42">
        <v>123</v>
      </c>
      <c r="D127" s="20"/>
      <c r="E127" s="58"/>
      <c r="F127" s="63" t="str">
        <f t="shared" si="8"/>
        <v/>
      </c>
      <c r="G127" s="66" t="str">
        <f>IF(D127="","",IFERROR('Prod 3'!H127/'Prod 3'!$H$3,0))</f>
        <v/>
      </c>
      <c r="H127" s="70" t="str">
        <f>IF(D127="","",'Prod 2'!K127)</f>
        <v/>
      </c>
      <c r="I127" s="77" t="str">
        <f t="shared" si="9"/>
        <v/>
      </c>
      <c r="J127" s="57"/>
      <c r="L127" s="19">
        <v>1.23E-7</v>
      </c>
      <c r="M127" s="59">
        <f t="shared" si="10"/>
        <v>0</v>
      </c>
      <c r="N127" s="59">
        <f t="shared" si="11"/>
        <v>0</v>
      </c>
      <c r="O127" s="59">
        <f t="shared" si="12"/>
        <v>0</v>
      </c>
      <c r="P127" s="19" t="str">
        <f t="shared" si="13"/>
        <v/>
      </c>
      <c r="Q127" s="19" t="s">
        <v>163</v>
      </c>
    </row>
    <row r="128" spans="2:17" ht="30" customHeight="1" x14ac:dyDescent="0.25">
      <c r="B128" s="62" t="str">
        <f t="shared" si="7"/>
        <v/>
      </c>
      <c r="C128" s="42">
        <v>124</v>
      </c>
      <c r="D128" s="20"/>
      <c r="E128" s="58"/>
      <c r="F128" s="63" t="str">
        <f t="shared" si="8"/>
        <v/>
      </c>
      <c r="G128" s="66" t="str">
        <f>IF(D128="","",IFERROR('Prod 3'!H128/'Prod 3'!$H$3,0))</f>
        <v/>
      </c>
      <c r="H128" s="70" t="str">
        <f>IF(D128="","",'Prod 2'!K128)</f>
        <v/>
      </c>
      <c r="I128" s="77" t="str">
        <f t="shared" si="9"/>
        <v/>
      </c>
      <c r="J128" s="57"/>
      <c r="L128" s="19">
        <v>1.24E-7</v>
      </c>
      <c r="M128" s="59">
        <f t="shared" si="10"/>
        <v>0</v>
      </c>
      <c r="N128" s="59">
        <f t="shared" si="11"/>
        <v>0</v>
      </c>
      <c r="O128" s="59">
        <f t="shared" si="12"/>
        <v>0</v>
      </c>
      <c r="P128" s="19" t="str">
        <f t="shared" si="13"/>
        <v/>
      </c>
      <c r="Q128" s="19" t="s">
        <v>164</v>
      </c>
    </row>
    <row r="129" spans="2:17" ht="30" customHeight="1" x14ac:dyDescent="0.25">
      <c r="B129" s="62" t="str">
        <f t="shared" si="7"/>
        <v/>
      </c>
      <c r="C129" s="42">
        <v>125</v>
      </c>
      <c r="D129" s="20"/>
      <c r="E129" s="58"/>
      <c r="F129" s="63" t="str">
        <f t="shared" si="8"/>
        <v/>
      </c>
      <c r="G129" s="66" t="str">
        <f>IF(D129="","",IFERROR('Prod 3'!H129/'Prod 3'!$H$3,0))</f>
        <v/>
      </c>
      <c r="H129" s="70" t="str">
        <f>IF(D129="","",'Prod 2'!K129)</f>
        <v/>
      </c>
      <c r="I129" s="77" t="str">
        <f t="shared" si="9"/>
        <v/>
      </c>
      <c r="J129" s="57"/>
      <c r="L129" s="19">
        <v>1.2499999999999999E-7</v>
      </c>
      <c r="M129" s="59">
        <f t="shared" si="10"/>
        <v>0</v>
      </c>
      <c r="N129" s="59">
        <f t="shared" si="11"/>
        <v>0</v>
      </c>
      <c r="O129" s="59">
        <f t="shared" si="12"/>
        <v>0</v>
      </c>
      <c r="P129" s="19" t="str">
        <f t="shared" si="13"/>
        <v/>
      </c>
      <c r="Q129" s="19" t="s">
        <v>165</v>
      </c>
    </row>
    <row r="130" spans="2:17" ht="30" customHeight="1" x14ac:dyDescent="0.25">
      <c r="B130" s="62" t="str">
        <f t="shared" si="7"/>
        <v/>
      </c>
      <c r="C130" s="42">
        <v>126</v>
      </c>
      <c r="D130" s="20"/>
      <c r="E130" s="58"/>
      <c r="F130" s="63" t="str">
        <f t="shared" si="8"/>
        <v/>
      </c>
      <c r="G130" s="66" t="str">
        <f>IF(D130="","",IFERROR('Prod 3'!H130/'Prod 3'!$H$3,0))</f>
        <v/>
      </c>
      <c r="H130" s="70" t="str">
        <f>IF(D130="","",'Prod 2'!K130)</f>
        <v/>
      </c>
      <c r="I130" s="77" t="str">
        <f t="shared" si="9"/>
        <v/>
      </c>
      <c r="J130" s="57"/>
      <c r="L130" s="19">
        <v>1.2599999999999999E-7</v>
      </c>
      <c r="M130" s="59">
        <f t="shared" si="10"/>
        <v>0</v>
      </c>
      <c r="N130" s="59">
        <f t="shared" si="11"/>
        <v>0</v>
      </c>
      <c r="O130" s="59">
        <f t="shared" si="12"/>
        <v>0</v>
      </c>
      <c r="P130" s="19" t="str">
        <f t="shared" si="13"/>
        <v/>
      </c>
      <c r="Q130" s="19" t="s">
        <v>166</v>
      </c>
    </row>
    <row r="131" spans="2:17" ht="30" customHeight="1" x14ac:dyDescent="0.25">
      <c r="B131" s="62" t="str">
        <f t="shared" si="7"/>
        <v/>
      </c>
      <c r="C131" s="42">
        <v>127</v>
      </c>
      <c r="D131" s="20"/>
      <c r="E131" s="58"/>
      <c r="F131" s="63" t="str">
        <f t="shared" si="8"/>
        <v/>
      </c>
      <c r="G131" s="66" t="str">
        <f>IF(D131="","",IFERROR('Prod 3'!H131/'Prod 3'!$H$3,0))</f>
        <v/>
      </c>
      <c r="H131" s="70" t="str">
        <f>IF(D131="","",'Prod 2'!K131)</f>
        <v/>
      </c>
      <c r="I131" s="77" t="str">
        <f t="shared" si="9"/>
        <v/>
      </c>
      <c r="J131" s="57"/>
      <c r="L131" s="19">
        <v>1.2700000000000001E-7</v>
      </c>
      <c r="M131" s="59">
        <f t="shared" si="10"/>
        <v>0</v>
      </c>
      <c r="N131" s="59">
        <f t="shared" si="11"/>
        <v>0</v>
      </c>
      <c r="O131" s="59">
        <f t="shared" si="12"/>
        <v>0</v>
      </c>
      <c r="P131" s="19" t="str">
        <f t="shared" si="13"/>
        <v/>
      </c>
      <c r="Q131" s="19" t="s">
        <v>167</v>
      </c>
    </row>
    <row r="132" spans="2:17" ht="30" customHeight="1" x14ac:dyDescent="0.25">
      <c r="B132" s="62" t="str">
        <f t="shared" si="7"/>
        <v/>
      </c>
      <c r="C132" s="42">
        <v>128</v>
      </c>
      <c r="D132" s="20"/>
      <c r="E132" s="58"/>
      <c r="F132" s="63" t="str">
        <f t="shared" si="8"/>
        <v/>
      </c>
      <c r="G132" s="66" t="str">
        <f>IF(D132="","",IFERROR('Prod 3'!H132/'Prod 3'!$H$3,0))</f>
        <v/>
      </c>
      <c r="H132" s="70" t="str">
        <f>IF(D132="","",'Prod 2'!K132)</f>
        <v/>
      </c>
      <c r="I132" s="77" t="str">
        <f t="shared" si="9"/>
        <v/>
      </c>
      <c r="J132" s="57"/>
      <c r="L132" s="19">
        <v>1.2800000000000001E-7</v>
      </c>
      <c r="M132" s="59">
        <f t="shared" si="10"/>
        <v>0</v>
      </c>
      <c r="N132" s="59">
        <f t="shared" si="11"/>
        <v>0</v>
      </c>
      <c r="O132" s="59">
        <f t="shared" si="12"/>
        <v>0</v>
      </c>
      <c r="P132" s="19" t="str">
        <f t="shared" si="13"/>
        <v/>
      </c>
      <c r="Q132" s="19" t="s">
        <v>168</v>
      </c>
    </row>
    <row r="133" spans="2:17" ht="30" customHeight="1" x14ac:dyDescent="0.25">
      <c r="B133" s="62" t="str">
        <f t="shared" si="7"/>
        <v/>
      </c>
      <c r="C133" s="42">
        <v>129</v>
      </c>
      <c r="D133" s="20"/>
      <c r="E133" s="58"/>
      <c r="F133" s="63" t="str">
        <f t="shared" si="8"/>
        <v/>
      </c>
      <c r="G133" s="66" t="str">
        <f>IF(D133="","",IFERROR('Prod 3'!H133/'Prod 3'!$H$3,0))</f>
        <v/>
      </c>
      <c r="H133" s="70" t="str">
        <f>IF(D133="","",'Prod 2'!K133)</f>
        <v/>
      </c>
      <c r="I133" s="77" t="str">
        <f t="shared" si="9"/>
        <v/>
      </c>
      <c r="J133" s="57"/>
      <c r="L133" s="19">
        <v>1.29E-7</v>
      </c>
      <c r="M133" s="59">
        <f t="shared" si="10"/>
        <v>0</v>
      </c>
      <c r="N133" s="59">
        <f t="shared" si="11"/>
        <v>0</v>
      </c>
      <c r="O133" s="59">
        <f t="shared" si="12"/>
        <v>0</v>
      </c>
      <c r="P133" s="19" t="str">
        <f t="shared" si="13"/>
        <v/>
      </c>
      <c r="Q133" s="19" t="s">
        <v>169</v>
      </c>
    </row>
    <row r="134" spans="2:17" ht="30" customHeight="1" x14ac:dyDescent="0.25">
      <c r="B134" s="62" t="str">
        <f t="shared" ref="B134:B197" si="14">IF(I134="","",I134)</f>
        <v/>
      </c>
      <c r="C134" s="42">
        <v>130</v>
      </c>
      <c r="D134" s="20"/>
      <c r="E134" s="58"/>
      <c r="F134" s="63" t="str">
        <f t="shared" ref="F134:F197" si="15">IF(D134="","",IFERROR(VLOOKUP(D134,$P$5:$Q$1004,2,0),""))</f>
        <v/>
      </c>
      <c r="G134" s="66" t="str">
        <f>IF(D134="","",IFERROR('Prod 3'!H134/'Prod 3'!$H$3,0))</f>
        <v/>
      </c>
      <c r="H134" s="70" t="str">
        <f>IF(D134="","",'Prod 2'!K134)</f>
        <v/>
      </c>
      <c r="I134" s="77" t="str">
        <f t="shared" ref="I134:I197" si="16">IF(D134="","",E134-H134+L134)</f>
        <v/>
      </c>
      <c r="J134" s="57"/>
      <c r="L134" s="19">
        <v>1.3E-7</v>
      </c>
      <c r="M134" s="59">
        <f t="shared" ref="M134:M197" si="17">IFERROR(LARGE($I$5:$I$1004,C134),0)</f>
        <v>0</v>
      </c>
      <c r="N134" s="59">
        <f t="shared" ref="N134:N197" si="18">IFERROR(M134,0)</f>
        <v>0</v>
      </c>
      <c r="O134" s="59">
        <f t="shared" ref="O134:O197" si="19">IFERROR(LARGE($N$5:$N$1004,C134),0)</f>
        <v>0</v>
      </c>
      <c r="P134" s="19" t="str">
        <f t="shared" ref="P134:P197" si="20">IFERROR(IF(VLOOKUP(O134,$B$5:$D$1004,3,0)=0,"",(VLOOKUP(O134,$B$5:$D$1004,3,0))),"")</f>
        <v/>
      </c>
      <c r="Q134" s="19" t="s">
        <v>170</v>
      </c>
    </row>
    <row r="135" spans="2:17" ht="30" customHeight="1" x14ac:dyDescent="0.25">
      <c r="B135" s="62" t="str">
        <f t="shared" si="14"/>
        <v/>
      </c>
      <c r="C135" s="42">
        <v>131</v>
      </c>
      <c r="D135" s="20"/>
      <c r="E135" s="58"/>
      <c r="F135" s="63" t="str">
        <f t="shared" si="15"/>
        <v/>
      </c>
      <c r="G135" s="66" t="str">
        <f>IF(D135="","",IFERROR('Prod 3'!H135/'Prod 3'!$H$3,0))</f>
        <v/>
      </c>
      <c r="H135" s="70" t="str">
        <f>IF(D135="","",'Prod 2'!K135)</f>
        <v/>
      </c>
      <c r="I135" s="77" t="str">
        <f t="shared" si="16"/>
        <v/>
      </c>
      <c r="J135" s="57"/>
      <c r="L135" s="19">
        <v>1.31E-7</v>
      </c>
      <c r="M135" s="59">
        <f t="shared" si="17"/>
        <v>0</v>
      </c>
      <c r="N135" s="59">
        <f t="shared" si="18"/>
        <v>0</v>
      </c>
      <c r="O135" s="59">
        <f t="shared" si="19"/>
        <v>0</v>
      </c>
      <c r="P135" s="19" t="str">
        <f t="shared" si="20"/>
        <v/>
      </c>
      <c r="Q135" s="19" t="s">
        <v>171</v>
      </c>
    </row>
    <row r="136" spans="2:17" ht="30" customHeight="1" x14ac:dyDescent="0.25">
      <c r="B136" s="62" t="str">
        <f t="shared" si="14"/>
        <v/>
      </c>
      <c r="C136" s="42">
        <v>132</v>
      </c>
      <c r="D136" s="20"/>
      <c r="E136" s="58"/>
      <c r="F136" s="63" t="str">
        <f t="shared" si="15"/>
        <v/>
      </c>
      <c r="G136" s="66" t="str">
        <f>IF(D136="","",IFERROR('Prod 3'!H136/'Prod 3'!$H$3,0))</f>
        <v/>
      </c>
      <c r="H136" s="70" t="str">
        <f>IF(D136="","",'Prod 2'!K136)</f>
        <v/>
      </c>
      <c r="I136" s="77" t="str">
        <f t="shared" si="16"/>
        <v/>
      </c>
      <c r="J136" s="57"/>
      <c r="L136" s="19">
        <v>1.3199999999999999E-7</v>
      </c>
      <c r="M136" s="59">
        <f t="shared" si="17"/>
        <v>0</v>
      </c>
      <c r="N136" s="59">
        <f t="shared" si="18"/>
        <v>0</v>
      </c>
      <c r="O136" s="59">
        <f t="shared" si="19"/>
        <v>0</v>
      </c>
      <c r="P136" s="19" t="str">
        <f t="shared" si="20"/>
        <v/>
      </c>
      <c r="Q136" s="19" t="s">
        <v>172</v>
      </c>
    </row>
    <row r="137" spans="2:17" ht="30" customHeight="1" x14ac:dyDescent="0.25">
      <c r="B137" s="62" t="str">
        <f t="shared" si="14"/>
        <v/>
      </c>
      <c r="C137" s="42">
        <v>133</v>
      </c>
      <c r="D137" s="20"/>
      <c r="E137" s="58"/>
      <c r="F137" s="63" t="str">
        <f t="shared" si="15"/>
        <v/>
      </c>
      <c r="G137" s="66" t="str">
        <f>IF(D137="","",IFERROR('Prod 3'!H137/'Prod 3'!$H$3,0))</f>
        <v/>
      </c>
      <c r="H137" s="70" t="str">
        <f>IF(D137="","",'Prod 2'!K137)</f>
        <v/>
      </c>
      <c r="I137" s="77" t="str">
        <f t="shared" si="16"/>
        <v/>
      </c>
      <c r="J137" s="57"/>
      <c r="L137" s="19">
        <v>1.3300000000000001E-7</v>
      </c>
      <c r="M137" s="59">
        <f t="shared" si="17"/>
        <v>0</v>
      </c>
      <c r="N137" s="59">
        <f t="shared" si="18"/>
        <v>0</v>
      </c>
      <c r="O137" s="59">
        <f t="shared" si="19"/>
        <v>0</v>
      </c>
      <c r="P137" s="19" t="str">
        <f t="shared" si="20"/>
        <v/>
      </c>
      <c r="Q137" s="19" t="s">
        <v>173</v>
      </c>
    </row>
    <row r="138" spans="2:17" ht="30" customHeight="1" x14ac:dyDescent="0.25">
      <c r="B138" s="62" t="str">
        <f t="shared" si="14"/>
        <v/>
      </c>
      <c r="C138" s="42">
        <v>134</v>
      </c>
      <c r="D138" s="20"/>
      <c r="E138" s="58"/>
      <c r="F138" s="63" t="str">
        <f t="shared" si="15"/>
        <v/>
      </c>
      <c r="G138" s="66" t="str">
        <f>IF(D138="","",IFERROR('Prod 3'!H138/'Prod 3'!$H$3,0))</f>
        <v/>
      </c>
      <c r="H138" s="70" t="str">
        <f>IF(D138="","",'Prod 2'!K138)</f>
        <v/>
      </c>
      <c r="I138" s="77" t="str">
        <f t="shared" si="16"/>
        <v/>
      </c>
      <c r="J138" s="57"/>
      <c r="L138" s="19">
        <v>1.3400000000000001E-7</v>
      </c>
      <c r="M138" s="59">
        <f t="shared" si="17"/>
        <v>0</v>
      </c>
      <c r="N138" s="59">
        <f t="shared" si="18"/>
        <v>0</v>
      </c>
      <c r="O138" s="59">
        <f t="shared" si="19"/>
        <v>0</v>
      </c>
      <c r="P138" s="19" t="str">
        <f t="shared" si="20"/>
        <v/>
      </c>
      <c r="Q138" s="19" t="s">
        <v>174</v>
      </c>
    </row>
    <row r="139" spans="2:17" ht="30" customHeight="1" x14ac:dyDescent="0.25">
      <c r="B139" s="62" t="str">
        <f t="shared" si="14"/>
        <v/>
      </c>
      <c r="C139" s="42">
        <v>135</v>
      </c>
      <c r="D139" s="20"/>
      <c r="E139" s="58"/>
      <c r="F139" s="63" t="str">
        <f t="shared" si="15"/>
        <v/>
      </c>
      <c r="G139" s="66" t="str">
        <f>IF(D139="","",IFERROR('Prod 3'!H139/'Prod 3'!$H$3,0))</f>
        <v/>
      </c>
      <c r="H139" s="70" t="str">
        <f>IF(D139="","",'Prod 2'!K139)</f>
        <v/>
      </c>
      <c r="I139" s="77" t="str">
        <f t="shared" si="16"/>
        <v/>
      </c>
      <c r="J139" s="57"/>
      <c r="L139" s="19">
        <v>1.35E-7</v>
      </c>
      <c r="M139" s="59">
        <f t="shared" si="17"/>
        <v>0</v>
      </c>
      <c r="N139" s="59">
        <f t="shared" si="18"/>
        <v>0</v>
      </c>
      <c r="O139" s="59">
        <f t="shared" si="19"/>
        <v>0</v>
      </c>
      <c r="P139" s="19" t="str">
        <f t="shared" si="20"/>
        <v/>
      </c>
      <c r="Q139" s="19" t="s">
        <v>175</v>
      </c>
    </row>
    <row r="140" spans="2:17" ht="30" customHeight="1" x14ac:dyDescent="0.25">
      <c r="B140" s="62" t="str">
        <f t="shared" si="14"/>
        <v/>
      </c>
      <c r="C140" s="42">
        <v>136</v>
      </c>
      <c r="D140" s="20"/>
      <c r="E140" s="58"/>
      <c r="F140" s="63" t="str">
        <f t="shared" si="15"/>
        <v/>
      </c>
      <c r="G140" s="66" t="str">
        <f>IF(D140="","",IFERROR('Prod 3'!H140/'Prod 3'!$H$3,0))</f>
        <v/>
      </c>
      <c r="H140" s="70" t="str">
        <f>IF(D140="","",'Prod 2'!K140)</f>
        <v/>
      </c>
      <c r="I140" s="77" t="str">
        <f t="shared" si="16"/>
        <v/>
      </c>
      <c r="J140" s="57"/>
      <c r="L140" s="19">
        <v>1.36E-7</v>
      </c>
      <c r="M140" s="59">
        <f t="shared" si="17"/>
        <v>0</v>
      </c>
      <c r="N140" s="59">
        <f t="shared" si="18"/>
        <v>0</v>
      </c>
      <c r="O140" s="59">
        <f t="shared" si="19"/>
        <v>0</v>
      </c>
      <c r="P140" s="19" t="str">
        <f t="shared" si="20"/>
        <v/>
      </c>
      <c r="Q140" s="19" t="s">
        <v>176</v>
      </c>
    </row>
    <row r="141" spans="2:17" ht="30" customHeight="1" x14ac:dyDescent="0.25">
      <c r="B141" s="62" t="str">
        <f t="shared" si="14"/>
        <v/>
      </c>
      <c r="C141" s="42">
        <v>137</v>
      </c>
      <c r="D141" s="20"/>
      <c r="E141" s="58"/>
      <c r="F141" s="63" t="str">
        <f t="shared" si="15"/>
        <v/>
      </c>
      <c r="G141" s="66" t="str">
        <f>IF(D141="","",IFERROR('Prod 3'!H141/'Prod 3'!$H$3,0))</f>
        <v/>
      </c>
      <c r="H141" s="70" t="str">
        <f>IF(D141="","",'Prod 2'!K141)</f>
        <v/>
      </c>
      <c r="I141" s="77" t="str">
        <f t="shared" si="16"/>
        <v/>
      </c>
      <c r="J141" s="57"/>
      <c r="L141" s="19">
        <v>1.37E-7</v>
      </c>
      <c r="M141" s="59">
        <f t="shared" si="17"/>
        <v>0</v>
      </c>
      <c r="N141" s="59">
        <f t="shared" si="18"/>
        <v>0</v>
      </c>
      <c r="O141" s="59">
        <f t="shared" si="19"/>
        <v>0</v>
      </c>
      <c r="P141" s="19" t="str">
        <f t="shared" si="20"/>
        <v/>
      </c>
      <c r="Q141" s="19" t="s">
        <v>177</v>
      </c>
    </row>
    <row r="142" spans="2:17" ht="30" customHeight="1" x14ac:dyDescent="0.25">
      <c r="B142" s="62" t="str">
        <f t="shared" si="14"/>
        <v/>
      </c>
      <c r="C142" s="42">
        <v>138</v>
      </c>
      <c r="D142" s="20"/>
      <c r="E142" s="58"/>
      <c r="F142" s="63" t="str">
        <f t="shared" si="15"/>
        <v/>
      </c>
      <c r="G142" s="66" t="str">
        <f>IF(D142="","",IFERROR('Prod 3'!H142/'Prod 3'!$H$3,0))</f>
        <v/>
      </c>
      <c r="H142" s="70" t="str">
        <f>IF(D142="","",'Prod 2'!K142)</f>
        <v/>
      </c>
      <c r="I142" s="77" t="str">
        <f t="shared" si="16"/>
        <v/>
      </c>
      <c r="J142" s="57"/>
      <c r="L142" s="19">
        <v>1.3799999999999999E-7</v>
      </c>
      <c r="M142" s="59">
        <f t="shared" si="17"/>
        <v>0</v>
      </c>
      <c r="N142" s="59">
        <f t="shared" si="18"/>
        <v>0</v>
      </c>
      <c r="O142" s="59">
        <f t="shared" si="19"/>
        <v>0</v>
      </c>
      <c r="P142" s="19" t="str">
        <f t="shared" si="20"/>
        <v/>
      </c>
      <c r="Q142" s="19" t="s">
        <v>178</v>
      </c>
    </row>
    <row r="143" spans="2:17" ht="30" customHeight="1" x14ac:dyDescent="0.25">
      <c r="B143" s="62" t="str">
        <f t="shared" si="14"/>
        <v/>
      </c>
      <c r="C143" s="42">
        <v>139</v>
      </c>
      <c r="D143" s="20"/>
      <c r="E143" s="58"/>
      <c r="F143" s="63" t="str">
        <f t="shared" si="15"/>
        <v/>
      </c>
      <c r="G143" s="66" t="str">
        <f>IF(D143="","",IFERROR('Prod 3'!H143/'Prod 3'!$H$3,0))</f>
        <v/>
      </c>
      <c r="H143" s="70" t="str">
        <f>IF(D143="","",'Prod 2'!K143)</f>
        <v/>
      </c>
      <c r="I143" s="77" t="str">
        <f t="shared" si="16"/>
        <v/>
      </c>
      <c r="J143" s="57"/>
      <c r="L143" s="19">
        <v>1.3899999999999999E-7</v>
      </c>
      <c r="M143" s="59">
        <f t="shared" si="17"/>
        <v>0</v>
      </c>
      <c r="N143" s="59">
        <f t="shared" si="18"/>
        <v>0</v>
      </c>
      <c r="O143" s="59">
        <f t="shared" si="19"/>
        <v>0</v>
      </c>
      <c r="P143" s="19" t="str">
        <f t="shared" si="20"/>
        <v/>
      </c>
      <c r="Q143" s="19" t="s">
        <v>179</v>
      </c>
    </row>
    <row r="144" spans="2:17" ht="30" customHeight="1" x14ac:dyDescent="0.25">
      <c r="B144" s="62" t="str">
        <f t="shared" si="14"/>
        <v/>
      </c>
      <c r="C144" s="42">
        <v>140</v>
      </c>
      <c r="D144" s="20"/>
      <c r="E144" s="58"/>
      <c r="F144" s="63" t="str">
        <f t="shared" si="15"/>
        <v/>
      </c>
      <c r="G144" s="66" t="str">
        <f>IF(D144="","",IFERROR('Prod 3'!H144/'Prod 3'!$H$3,0))</f>
        <v/>
      </c>
      <c r="H144" s="70" t="str">
        <f>IF(D144="","",'Prod 2'!K144)</f>
        <v/>
      </c>
      <c r="I144" s="77" t="str">
        <f t="shared" si="16"/>
        <v/>
      </c>
      <c r="J144" s="57"/>
      <c r="L144" s="19">
        <v>1.4000000000000001E-7</v>
      </c>
      <c r="M144" s="59">
        <f t="shared" si="17"/>
        <v>0</v>
      </c>
      <c r="N144" s="59">
        <f t="shared" si="18"/>
        <v>0</v>
      </c>
      <c r="O144" s="59">
        <f t="shared" si="19"/>
        <v>0</v>
      </c>
      <c r="P144" s="19" t="str">
        <f t="shared" si="20"/>
        <v/>
      </c>
      <c r="Q144" s="19" t="s">
        <v>180</v>
      </c>
    </row>
    <row r="145" spans="2:17" ht="30" customHeight="1" x14ac:dyDescent="0.25">
      <c r="B145" s="62" t="str">
        <f t="shared" si="14"/>
        <v/>
      </c>
      <c r="C145" s="42">
        <v>141</v>
      </c>
      <c r="D145" s="20"/>
      <c r="E145" s="58"/>
      <c r="F145" s="63" t="str">
        <f t="shared" si="15"/>
        <v/>
      </c>
      <c r="G145" s="66" t="str">
        <f>IF(D145="","",IFERROR('Prod 3'!H145/'Prod 3'!$H$3,0))</f>
        <v/>
      </c>
      <c r="H145" s="70" t="str">
        <f>IF(D145="","",'Prod 2'!K145)</f>
        <v/>
      </c>
      <c r="I145" s="77" t="str">
        <f t="shared" si="16"/>
        <v/>
      </c>
      <c r="J145" s="57"/>
      <c r="L145" s="19">
        <v>1.4100000000000001E-7</v>
      </c>
      <c r="M145" s="59">
        <f t="shared" si="17"/>
        <v>0</v>
      </c>
      <c r="N145" s="59">
        <f t="shared" si="18"/>
        <v>0</v>
      </c>
      <c r="O145" s="59">
        <f t="shared" si="19"/>
        <v>0</v>
      </c>
      <c r="P145" s="19" t="str">
        <f t="shared" si="20"/>
        <v/>
      </c>
      <c r="Q145" s="19" t="s">
        <v>181</v>
      </c>
    </row>
    <row r="146" spans="2:17" ht="30" customHeight="1" x14ac:dyDescent="0.25">
      <c r="B146" s="62" t="str">
        <f t="shared" si="14"/>
        <v/>
      </c>
      <c r="C146" s="42">
        <v>142</v>
      </c>
      <c r="D146" s="20"/>
      <c r="E146" s="58"/>
      <c r="F146" s="63" t="str">
        <f t="shared" si="15"/>
        <v/>
      </c>
      <c r="G146" s="66" t="str">
        <f>IF(D146="","",IFERROR('Prod 3'!H146/'Prod 3'!$H$3,0))</f>
        <v/>
      </c>
      <c r="H146" s="70" t="str">
        <f>IF(D146="","",'Prod 2'!K146)</f>
        <v/>
      </c>
      <c r="I146" s="77" t="str">
        <f t="shared" si="16"/>
        <v/>
      </c>
      <c r="J146" s="57"/>
      <c r="L146" s="19">
        <v>1.42E-7</v>
      </c>
      <c r="M146" s="59">
        <f t="shared" si="17"/>
        <v>0</v>
      </c>
      <c r="N146" s="59">
        <f t="shared" si="18"/>
        <v>0</v>
      </c>
      <c r="O146" s="59">
        <f t="shared" si="19"/>
        <v>0</v>
      </c>
      <c r="P146" s="19" t="str">
        <f t="shared" si="20"/>
        <v/>
      </c>
      <c r="Q146" s="19" t="s">
        <v>182</v>
      </c>
    </row>
    <row r="147" spans="2:17" ht="30" customHeight="1" x14ac:dyDescent="0.25">
      <c r="B147" s="62" t="str">
        <f t="shared" si="14"/>
        <v/>
      </c>
      <c r="C147" s="42">
        <v>143</v>
      </c>
      <c r="D147" s="20"/>
      <c r="E147" s="58"/>
      <c r="F147" s="63" t="str">
        <f t="shared" si="15"/>
        <v/>
      </c>
      <c r="G147" s="66" t="str">
        <f>IF(D147="","",IFERROR('Prod 3'!H147/'Prod 3'!$H$3,0))</f>
        <v/>
      </c>
      <c r="H147" s="70" t="str">
        <f>IF(D147="","",'Prod 2'!K147)</f>
        <v/>
      </c>
      <c r="I147" s="77" t="str">
        <f t="shared" si="16"/>
        <v/>
      </c>
      <c r="J147" s="57"/>
      <c r="L147" s="19">
        <v>1.43E-7</v>
      </c>
      <c r="M147" s="59">
        <f t="shared" si="17"/>
        <v>0</v>
      </c>
      <c r="N147" s="59">
        <f t="shared" si="18"/>
        <v>0</v>
      </c>
      <c r="O147" s="59">
        <f t="shared" si="19"/>
        <v>0</v>
      </c>
      <c r="P147" s="19" t="str">
        <f t="shared" si="20"/>
        <v/>
      </c>
      <c r="Q147" s="19" t="s">
        <v>183</v>
      </c>
    </row>
    <row r="148" spans="2:17" ht="30" customHeight="1" x14ac:dyDescent="0.25">
      <c r="B148" s="62" t="str">
        <f t="shared" si="14"/>
        <v/>
      </c>
      <c r="C148" s="42">
        <v>144</v>
      </c>
      <c r="D148" s="20"/>
      <c r="E148" s="58"/>
      <c r="F148" s="63" t="str">
        <f t="shared" si="15"/>
        <v/>
      </c>
      <c r="G148" s="66" t="str">
        <f>IF(D148="","",IFERROR('Prod 3'!H148/'Prod 3'!$H$3,0))</f>
        <v/>
      </c>
      <c r="H148" s="70" t="str">
        <f>IF(D148="","",'Prod 2'!K148)</f>
        <v/>
      </c>
      <c r="I148" s="77" t="str">
        <f t="shared" si="16"/>
        <v/>
      </c>
      <c r="J148" s="57"/>
      <c r="L148" s="19">
        <v>1.4399999999999999E-7</v>
      </c>
      <c r="M148" s="59">
        <f t="shared" si="17"/>
        <v>0</v>
      </c>
      <c r="N148" s="59">
        <f t="shared" si="18"/>
        <v>0</v>
      </c>
      <c r="O148" s="59">
        <f t="shared" si="19"/>
        <v>0</v>
      </c>
      <c r="P148" s="19" t="str">
        <f t="shared" si="20"/>
        <v/>
      </c>
      <c r="Q148" s="19" t="s">
        <v>184</v>
      </c>
    </row>
    <row r="149" spans="2:17" ht="30" customHeight="1" x14ac:dyDescent="0.25">
      <c r="B149" s="62" t="str">
        <f t="shared" si="14"/>
        <v/>
      </c>
      <c r="C149" s="42">
        <v>145</v>
      </c>
      <c r="D149" s="20"/>
      <c r="E149" s="58"/>
      <c r="F149" s="63" t="str">
        <f t="shared" si="15"/>
        <v/>
      </c>
      <c r="G149" s="66" t="str">
        <f>IF(D149="","",IFERROR('Prod 3'!H149/'Prod 3'!$H$3,0))</f>
        <v/>
      </c>
      <c r="H149" s="70" t="str">
        <f>IF(D149="","",'Prod 2'!K149)</f>
        <v/>
      </c>
      <c r="I149" s="77" t="str">
        <f t="shared" si="16"/>
        <v/>
      </c>
      <c r="J149" s="57"/>
      <c r="L149" s="19">
        <v>1.4499999999999999E-7</v>
      </c>
      <c r="M149" s="59">
        <f t="shared" si="17"/>
        <v>0</v>
      </c>
      <c r="N149" s="59">
        <f t="shared" si="18"/>
        <v>0</v>
      </c>
      <c r="O149" s="59">
        <f t="shared" si="19"/>
        <v>0</v>
      </c>
      <c r="P149" s="19" t="str">
        <f t="shared" si="20"/>
        <v/>
      </c>
      <c r="Q149" s="19" t="s">
        <v>185</v>
      </c>
    </row>
    <row r="150" spans="2:17" ht="30" customHeight="1" x14ac:dyDescent="0.25">
      <c r="B150" s="62" t="str">
        <f t="shared" si="14"/>
        <v/>
      </c>
      <c r="C150" s="42">
        <v>146</v>
      </c>
      <c r="D150" s="20"/>
      <c r="E150" s="58"/>
      <c r="F150" s="63" t="str">
        <f t="shared" si="15"/>
        <v/>
      </c>
      <c r="G150" s="66" t="str">
        <f>IF(D150="","",IFERROR('Prod 3'!H150/'Prod 3'!$H$3,0))</f>
        <v/>
      </c>
      <c r="H150" s="70" t="str">
        <f>IF(D150="","",'Prod 2'!K150)</f>
        <v/>
      </c>
      <c r="I150" s="77" t="str">
        <f t="shared" si="16"/>
        <v/>
      </c>
      <c r="J150" s="57"/>
      <c r="L150" s="19">
        <v>1.4600000000000001E-7</v>
      </c>
      <c r="M150" s="59">
        <f t="shared" si="17"/>
        <v>0</v>
      </c>
      <c r="N150" s="59">
        <f t="shared" si="18"/>
        <v>0</v>
      </c>
      <c r="O150" s="59">
        <f t="shared" si="19"/>
        <v>0</v>
      </c>
      <c r="P150" s="19" t="str">
        <f t="shared" si="20"/>
        <v/>
      </c>
      <c r="Q150" s="19" t="s">
        <v>186</v>
      </c>
    </row>
    <row r="151" spans="2:17" ht="30" customHeight="1" x14ac:dyDescent="0.25">
      <c r="B151" s="62" t="str">
        <f t="shared" si="14"/>
        <v/>
      </c>
      <c r="C151" s="42">
        <v>147</v>
      </c>
      <c r="D151" s="20"/>
      <c r="E151" s="58"/>
      <c r="F151" s="63" t="str">
        <f t="shared" si="15"/>
        <v/>
      </c>
      <c r="G151" s="66" t="str">
        <f>IF(D151="","",IFERROR('Prod 3'!H151/'Prod 3'!$H$3,0))</f>
        <v/>
      </c>
      <c r="H151" s="70" t="str">
        <f>IF(D151="","",'Prod 2'!K151)</f>
        <v/>
      </c>
      <c r="I151" s="77" t="str">
        <f t="shared" si="16"/>
        <v/>
      </c>
      <c r="J151" s="57"/>
      <c r="L151" s="19">
        <v>1.4700000000000001E-7</v>
      </c>
      <c r="M151" s="59">
        <f t="shared" si="17"/>
        <v>0</v>
      </c>
      <c r="N151" s="59">
        <f t="shared" si="18"/>
        <v>0</v>
      </c>
      <c r="O151" s="59">
        <f t="shared" si="19"/>
        <v>0</v>
      </c>
      <c r="P151" s="19" t="str">
        <f t="shared" si="20"/>
        <v/>
      </c>
      <c r="Q151" s="19" t="s">
        <v>187</v>
      </c>
    </row>
    <row r="152" spans="2:17" ht="30" customHeight="1" x14ac:dyDescent="0.25">
      <c r="B152" s="62" t="str">
        <f t="shared" si="14"/>
        <v/>
      </c>
      <c r="C152" s="42">
        <v>148</v>
      </c>
      <c r="D152" s="20"/>
      <c r="E152" s="58"/>
      <c r="F152" s="63" t="str">
        <f t="shared" si="15"/>
        <v/>
      </c>
      <c r="G152" s="66" t="str">
        <f>IF(D152="","",IFERROR('Prod 3'!H152/'Prod 3'!$H$3,0))</f>
        <v/>
      </c>
      <c r="H152" s="70" t="str">
        <f>IF(D152="","",'Prod 2'!K152)</f>
        <v/>
      </c>
      <c r="I152" s="77" t="str">
        <f t="shared" si="16"/>
        <v/>
      </c>
      <c r="J152" s="57"/>
      <c r="L152" s="19">
        <v>1.48E-7</v>
      </c>
      <c r="M152" s="59">
        <f t="shared" si="17"/>
        <v>0</v>
      </c>
      <c r="N152" s="59">
        <f t="shared" si="18"/>
        <v>0</v>
      </c>
      <c r="O152" s="59">
        <f t="shared" si="19"/>
        <v>0</v>
      </c>
      <c r="P152" s="19" t="str">
        <f t="shared" si="20"/>
        <v/>
      </c>
      <c r="Q152" s="19" t="s">
        <v>188</v>
      </c>
    </row>
    <row r="153" spans="2:17" ht="30" customHeight="1" x14ac:dyDescent="0.25">
      <c r="B153" s="62" t="str">
        <f t="shared" si="14"/>
        <v/>
      </c>
      <c r="C153" s="42">
        <v>149</v>
      </c>
      <c r="D153" s="20"/>
      <c r="E153" s="58"/>
      <c r="F153" s="63" t="str">
        <f t="shared" si="15"/>
        <v/>
      </c>
      <c r="G153" s="66" t="str">
        <f>IF(D153="","",IFERROR('Prod 3'!H153/'Prod 3'!$H$3,0))</f>
        <v/>
      </c>
      <c r="H153" s="70" t="str">
        <f>IF(D153="","",'Prod 2'!K153)</f>
        <v/>
      </c>
      <c r="I153" s="77" t="str">
        <f t="shared" si="16"/>
        <v/>
      </c>
      <c r="J153" s="57"/>
      <c r="L153" s="19">
        <v>1.49E-7</v>
      </c>
      <c r="M153" s="59">
        <f t="shared" si="17"/>
        <v>0</v>
      </c>
      <c r="N153" s="59">
        <f t="shared" si="18"/>
        <v>0</v>
      </c>
      <c r="O153" s="59">
        <f t="shared" si="19"/>
        <v>0</v>
      </c>
      <c r="P153" s="19" t="str">
        <f t="shared" si="20"/>
        <v/>
      </c>
      <c r="Q153" s="19" t="s">
        <v>189</v>
      </c>
    </row>
    <row r="154" spans="2:17" ht="30" customHeight="1" x14ac:dyDescent="0.25">
      <c r="B154" s="62" t="str">
        <f t="shared" si="14"/>
        <v/>
      </c>
      <c r="C154" s="42">
        <v>150</v>
      </c>
      <c r="D154" s="20"/>
      <c r="E154" s="58"/>
      <c r="F154" s="63" t="str">
        <f t="shared" si="15"/>
        <v/>
      </c>
      <c r="G154" s="66" t="str">
        <f>IF(D154="","",IFERROR('Prod 3'!H154/'Prod 3'!$H$3,0))</f>
        <v/>
      </c>
      <c r="H154" s="70" t="str">
        <f>IF(D154="","",'Prod 2'!K154)</f>
        <v/>
      </c>
      <c r="I154" s="77" t="str">
        <f t="shared" si="16"/>
        <v/>
      </c>
      <c r="J154" s="57"/>
      <c r="L154" s="19">
        <v>1.4999999999999999E-7</v>
      </c>
      <c r="M154" s="59">
        <f t="shared" si="17"/>
        <v>0</v>
      </c>
      <c r="N154" s="59">
        <f t="shared" si="18"/>
        <v>0</v>
      </c>
      <c r="O154" s="59">
        <f t="shared" si="19"/>
        <v>0</v>
      </c>
      <c r="P154" s="19" t="str">
        <f t="shared" si="20"/>
        <v/>
      </c>
      <c r="Q154" s="19" t="s">
        <v>190</v>
      </c>
    </row>
    <row r="155" spans="2:17" ht="30" customHeight="1" x14ac:dyDescent="0.25">
      <c r="B155" s="62" t="str">
        <f t="shared" si="14"/>
        <v/>
      </c>
      <c r="C155" s="42">
        <v>151</v>
      </c>
      <c r="D155" s="20"/>
      <c r="E155" s="58"/>
      <c r="F155" s="63" t="str">
        <f t="shared" si="15"/>
        <v/>
      </c>
      <c r="G155" s="66" t="str">
        <f>IF(D155="","",IFERROR('Prod 3'!H155/'Prod 3'!$H$3,0))</f>
        <v/>
      </c>
      <c r="H155" s="70" t="str">
        <f>IF(D155="","",'Prod 2'!K155)</f>
        <v/>
      </c>
      <c r="I155" s="77" t="str">
        <f t="shared" si="16"/>
        <v/>
      </c>
      <c r="J155" s="57"/>
      <c r="L155" s="19">
        <v>1.5099999999999999E-7</v>
      </c>
      <c r="M155" s="59">
        <f t="shared" si="17"/>
        <v>0</v>
      </c>
      <c r="N155" s="59">
        <f t="shared" si="18"/>
        <v>0</v>
      </c>
      <c r="O155" s="59">
        <f t="shared" si="19"/>
        <v>0</v>
      </c>
      <c r="P155" s="19" t="str">
        <f t="shared" si="20"/>
        <v/>
      </c>
      <c r="Q155" s="19" t="s">
        <v>191</v>
      </c>
    </row>
    <row r="156" spans="2:17" ht="30" customHeight="1" x14ac:dyDescent="0.25">
      <c r="B156" s="62" t="str">
        <f t="shared" si="14"/>
        <v/>
      </c>
      <c r="C156" s="42">
        <v>152</v>
      </c>
      <c r="D156" s="20"/>
      <c r="E156" s="58"/>
      <c r="F156" s="63" t="str">
        <f t="shared" si="15"/>
        <v/>
      </c>
      <c r="G156" s="66" t="str">
        <f>IF(D156="","",IFERROR('Prod 3'!H156/'Prod 3'!$H$3,0))</f>
        <v/>
      </c>
      <c r="H156" s="70" t="str">
        <f>IF(D156="","",'Prod 2'!K156)</f>
        <v/>
      </c>
      <c r="I156" s="77" t="str">
        <f t="shared" si="16"/>
        <v/>
      </c>
      <c r="J156" s="57"/>
      <c r="L156" s="19">
        <v>1.5200000000000001E-7</v>
      </c>
      <c r="M156" s="59">
        <f t="shared" si="17"/>
        <v>0</v>
      </c>
      <c r="N156" s="59">
        <f t="shared" si="18"/>
        <v>0</v>
      </c>
      <c r="O156" s="59">
        <f t="shared" si="19"/>
        <v>0</v>
      </c>
      <c r="P156" s="19" t="str">
        <f t="shared" si="20"/>
        <v/>
      </c>
      <c r="Q156" s="19" t="s">
        <v>192</v>
      </c>
    </row>
    <row r="157" spans="2:17" ht="30" customHeight="1" x14ac:dyDescent="0.25">
      <c r="B157" s="62" t="str">
        <f t="shared" si="14"/>
        <v/>
      </c>
      <c r="C157" s="42">
        <v>153</v>
      </c>
      <c r="D157" s="20"/>
      <c r="E157" s="58"/>
      <c r="F157" s="63" t="str">
        <f t="shared" si="15"/>
        <v/>
      </c>
      <c r="G157" s="66" t="str">
        <f>IF(D157="","",IFERROR('Prod 3'!H157/'Prod 3'!$H$3,0))</f>
        <v/>
      </c>
      <c r="H157" s="70" t="str">
        <f>IF(D157="","",'Prod 2'!K157)</f>
        <v/>
      </c>
      <c r="I157" s="77" t="str">
        <f t="shared" si="16"/>
        <v/>
      </c>
      <c r="J157" s="57"/>
      <c r="L157" s="19">
        <v>1.5300000000000001E-7</v>
      </c>
      <c r="M157" s="59">
        <f t="shared" si="17"/>
        <v>0</v>
      </c>
      <c r="N157" s="59">
        <f t="shared" si="18"/>
        <v>0</v>
      </c>
      <c r="O157" s="59">
        <f t="shared" si="19"/>
        <v>0</v>
      </c>
      <c r="P157" s="19" t="str">
        <f t="shared" si="20"/>
        <v/>
      </c>
      <c r="Q157" s="19" t="s">
        <v>193</v>
      </c>
    </row>
    <row r="158" spans="2:17" ht="30" customHeight="1" x14ac:dyDescent="0.25">
      <c r="B158" s="62" t="str">
        <f t="shared" si="14"/>
        <v/>
      </c>
      <c r="C158" s="42">
        <v>154</v>
      </c>
      <c r="D158" s="20"/>
      <c r="E158" s="58"/>
      <c r="F158" s="63" t="str">
        <f t="shared" si="15"/>
        <v/>
      </c>
      <c r="G158" s="66" t="str">
        <f>IF(D158="","",IFERROR('Prod 3'!H158/'Prod 3'!$H$3,0))</f>
        <v/>
      </c>
      <c r="H158" s="70" t="str">
        <f>IF(D158="","",'Prod 2'!K158)</f>
        <v/>
      </c>
      <c r="I158" s="77" t="str">
        <f t="shared" si="16"/>
        <v/>
      </c>
      <c r="J158" s="57"/>
      <c r="L158" s="19">
        <v>1.54E-7</v>
      </c>
      <c r="M158" s="59">
        <f t="shared" si="17"/>
        <v>0</v>
      </c>
      <c r="N158" s="59">
        <f t="shared" si="18"/>
        <v>0</v>
      </c>
      <c r="O158" s="59">
        <f t="shared" si="19"/>
        <v>0</v>
      </c>
      <c r="P158" s="19" t="str">
        <f t="shared" si="20"/>
        <v/>
      </c>
      <c r="Q158" s="19" t="s">
        <v>194</v>
      </c>
    </row>
    <row r="159" spans="2:17" ht="30" customHeight="1" x14ac:dyDescent="0.25">
      <c r="B159" s="62" t="str">
        <f t="shared" si="14"/>
        <v/>
      </c>
      <c r="C159" s="42">
        <v>155</v>
      </c>
      <c r="D159" s="20"/>
      <c r="E159" s="58"/>
      <c r="F159" s="63" t="str">
        <f t="shared" si="15"/>
        <v/>
      </c>
      <c r="G159" s="66" t="str">
        <f>IF(D159="","",IFERROR('Prod 3'!H159/'Prod 3'!$H$3,0))</f>
        <v/>
      </c>
      <c r="H159" s="70" t="str">
        <f>IF(D159="","",'Prod 2'!K159)</f>
        <v/>
      </c>
      <c r="I159" s="77" t="str">
        <f t="shared" si="16"/>
        <v/>
      </c>
      <c r="J159" s="57"/>
      <c r="L159" s="19">
        <v>1.55E-7</v>
      </c>
      <c r="M159" s="59">
        <f t="shared" si="17"/>
        <v>0</v>
      </c>
      <c r="N159" s="59">
        <f t="shared" si="18"/>
        <v>0</v>
      </c>
      <c r="O159" s="59">
        <f t="shared" si="19"/>
        <v>0</v>
      </c>
      <c r="P159" s="19" t="str">
        <f t="shared" si="20"/>
        <v/>
      </c>
      <c r="Q159" s="19" t="s">
        <v>195</v>
      </c>
    </row>
    <row r="160" spans="2:17" ht="30" customHeight="1" x14ac:dyDescent="0.25">
      <c r="B160" s="62" t="str">
        <f t="shared" si="14"/>
        <v/>
      </c>
      <c r="C160" s="42">
        <v>156</v>
      </c>
      <c r="D160" s="20"/>
      <c r="E160" s="58"/>
      <c r="F160" s="63" t="str">
        <f t="shared" si="15"/>
        <v/>
      </c>
      <c r="G160" s="66" t="str">
        <f>IF(D160="","",IFERROR('Prod 3'!H160/'Prod 3'!$H$3,0))</f>
        <v/>
      </c>
      <c r="H160" s="70" t="str">
        <f>IF(D160="","",'Prod 2'!K160)</f>
        <v/>
      </c>
      <c r="I160" s="77" t="str">
        <f t="shared" si="16"/>
        <v/>
      </c>
      <c r="J160" s="57"/>
      <c r="L160" s="19">
        <v>1.5599999999999999E-7</v>
      </c>
      <c r="M160" s="59">
        <f t="shared" si="17"/>
        <v>0</v>
      </c>
      <c r="N160" s="59">
        <f t="shared" si="18"/>
        <v>0</v>
      </c>
      <c r="O160" s="59">
        <f t="shared" si="19"/>
        <v>0</v>
      </c>
      <c r="P160" s="19" t="str">
        <f t="shared" si="20"/>
        <v/>
      </c>
      <c r="Q160" s="19" t="s">
        <v>196</v>
      </c>
    </row>
    <row r="161" spans="2:17" ht="30" customHeight="1" x14ac:dyDescent="0.25">
      <c r="B161" s="62" t="str">
        <f t="shared" si="14"/>
        <v/>
      </c>
      <c r="C161" s="42">
        <v>157</v>
      </c>
      <c r="D161" s="20"/>
      <c r="E161" s="58"/>
      <c r="F161" s="63" t="str">
        <f t="shared" si="15"/>
        <v/>
      </c>
      <c r="G161" s="66" t="str">
        <f>IF(D161="","",IFERROR('Prod 3'!H161/'Prod 3'!$H$3,0))</f>
        <v/>
      </c>
      <c r="H161" s="70" t="str">
        <f>IF(D161="","",'Prod 2'!K161)</f>
        <v/>
      </c>
      <c r="I161" s="77" t="str">
        <f t="shared" si="16"/>
        <v/>
      </c>
      <c r="J161" s="57"/>
      <c r="L161" s="19">
        <v>1.5699999999999999E-7</v>
      </c>
      <c r="M161" s="59">
        <f t="shared" si="17"/>
        <v>0</v>
      </c>
      <c r="N161" s="59">
        <f t="shared" si="18"/>
        <v>0</v>
      </c>
      <c r="O161" s="59">
        <f t="shared" si="19"/>
        <v>0</v>
      </c>
      <c r="P161" s="19" t="str">
        <f t="shared" si="20"/>
        <v/>
      </c>
      <c r="Q161" s="19" t="s">
        <v>197</v>
      </c>
    </row>
    <row r="162" spans="2:17" ht="30" customHeight="1" x14ac:dyDescent="0.25">
      <c r="B162" s="62" t="str">
        <f t="shared" si="14"/>
        <v/>
      </c>
      <c r="C162" s="42">
        <v>158</v>
      </c>
      <c r="D162" s="20"/>
      <c r="E162" s="58"/>
      <c r="F162" s="63" t="str">
        <f t="shared" si="15"/>
        <v/>
      </c>
      <c r="G162" s="66" t="str">
        <f>IF(D162="","",IFERROR('Prod 3'!H162/'Prod 3'!$H$3,0))</f>
        <v/>
      </c>
      <c r="H162" s="70" t="str">
        <f>IF(D162="","",'Prod 2'!K162)</f>
        <v/>
      </c>
      <c r="I162" s="77" t="str">
        <f t="shared" si="16"/>
        <v/>
      </c>
      <c r="J162" s="57"/>
      <c r="L162" s="19">
        <v>1.5800000000000001E-7</v>
      </c>
      <c r="M162" s="59">
        <f t="shared" si="17"/>
        <v>0</v>
      </c>
      <c r="N162" s="59">
        <f t="shared" si="18"/>
        <v>0</v>
      </c>
      <c r="O162" s="59">
        <f t="shared" si="19"/>
        <v>0</v>
      </c>
      <c r="P162" s="19" t="str">
        <f t="shared" si="20"/>
        <v/>
      </c>
      <c r="Q162" s="19" t="s">
        <v>198</v>
      </c>
    </row>
    <row r="163" spans="2:17" ht="30" customHeight="1" x14ac:dyDescent="0.25">
      <c r="B163" s="62" t="str">
        <f t="shared" si="14"/>
        <v/>
      </c>
      <c r="C163" s="42">
        <v>159</v>
      </c>
      <c r="D163" s="20"/>
      <c r="E163" s="58"/>
      <c r="F163" s="63" t="str">
        <f t="shared" si="15"/>
        <v/>
      </c>
      <c r="G163" s="66" t="str">
        <f>IF(D163="","",IFERROR('Prod 3'!H163/'Prod 3'!$H$3,0))</f>
        <v/>
      </c>
      <c r="H163" s="70" t="str">
        <f>IF(D163="","",'Prod 2'!K163)</f>
        <v/>
      </c>
      <c r="I163" s="77" t="str">
        <f t="shared" si="16"/>
        <v/>
      </c>
      <c r="J163" s="57"/>
      <c r="L163" s="19">
        <v>1.5900000000000001E-7</v>
      </c>
      <c r="M163" s="59">
        <f t="shared" si="17"/>
        <v>0</v>
      </c>
      <c r="N163" s="59">
        <f t="shared" si="18"/>
        <v>0</v>
      </c>
      <c r="O163" s="59">
        <f t="shared" si="19"/>
        <v>0</v>
      </c>
      <c r="P163" s="19" t="str">
        <f t="shared" si="20"/>
        <v/>
      </c>
      <c r="Q163" s="19" t="s">
        <v>199</v>
      </c>
    </row>
    <row r="164" spans="2:17" ht="30" customHeight="1" x14ac:dyDescent="0.25">
      <c r="B164" s="62" t="str">
        <f t="shared" si="14"/>
        <v/>
      </c>
      <c r="C164" s="42">
        <v>160</v>
      </c>
      <c r="D164" s="20"/>
      <c r="E164" s="58"/>
      <c r="F164" s="63" t="str">
        <f t="shared" si="15"/>
        <v/>
      </c>
      <c r="G164" s="66" t="str">
        <f>IF(D164="","",IFERROR('Prod 3'!H164/'Prod 3'!$H$3,0))</f>
        <v/>
      </c>
      <c r="H164" s="70" t="str">
        <f>IF(D164="","",'Prod 2'!K164)</f>
        <v/>
      </c>
      <c r="I164" s="77" t="str">
        <f t="shared" si="16"/>
        <v/>
      </c>
      <c r="J164" s="57"/>
      <c r="L164" s="19">
        <v>1.6E-7</v>
      </c>
      <c r="M164" s="59">
        <f t="shared" si="17"/>
        <v>0</v>
      </c>
      <c r="N164" s="59">
        <f t="shared" si="18"/>
        <v>0</v>
      </c>
      <c r="O164" s="59">
        <f t="shared" si="19"/>
        <v>0</v>
      </c>
      <c r="P164" s="19" t="str">
        <f t="shared" si="20"/>
        <v/>
      </c>
      <c r="Q164" s="19" t="s">
        <v>200</v>
      </c>
    </row>
    <row r="165" spans="2:17" ht="30" customHeight="1" x14ac:dyDescent="0.25">
      <c r="B165" s="62" t="str">
        <f t="shared" si="14"/>
        <v/>
      </c>
      <c r="C165" s="42">
        <v>161</v>
      </c>
      <c r="D165" s="20"/>
      <c r="E165" s="58"/>
      <c r="F165" s="63" t="str">
        <f t="shared" si="15"/>
        <v/>
      </c>
      <c r="G165" s="66" t="str">
        <f>IF(D165="","",IFERROR('Prod 3'!H165/'Prod 3'!$H$3,0))</f>
        <v/>
      </c>
      <c r="H165" s="70" t="str">
        <f>IF(D165="","",'Prod 2'!K165)</f>
        <v/>
      </c>
      <c r="I165" s="77" t="str">
        <f t="shared" si="16"/>
        <v/>
      </c>
      <c r="J165" s="57"/>
      <c r="L165" s="19">
        <v>1.61E-7</v>
      </c>
      <c r="M165" s="59">
        <f t="shared" si="17"/>
        <v>0</v>
      </c>
      <c r="N165" s="59">
        <f t="shared" si="18"/>
        <v>0</v>
      </c>
      <c r="O165" s="59">
        <f t="shared" si="19"/>
        <v>0</v>
      </c>
      <c r="P165" s="19" t="str">
        <f t="shared" si="20"/>
        <v/>
      </c>
      <c r="Q165" s="19" t="s">
        <v>201</v>
      </c>
    </row>
    <row r="166" spans="2:17" ht="30" customHeight="1" x14ac:dyDescent="0.25">
      <c r="B166" s="62" t="str">
        <f t="shared" si="14"/>
        <v/>
      </c>
      <c r="C166" s="42">
        <v>162</v>
      </c>
      <c r="D166" s="20"/>
      <c r="E166" s="58"/>
      <c r="F166" s="63" t="str">
        <f t="shared" si="15"/>
        <v/>
      </c>
      <c r="G166" s="66" t="str">
        <f>IF(D166="","",IFERROR('Prod 3'!H166/'Prod 3'!$H$3,0))</f>
        <v/>
      </c>
      <c r="H166" s="70" t="str">
        <f>IF(D166="","",'Prod 2'!K166)</f>
        <v/>
      </c>
      <c r="I166" s="77" t="str">
        <f t="shared" si="16"/>
        <v/>
      </c>
      <c r="J166" s="57"/>
      <c r="L166" s="19">
        <v>1.6199999999999999E-7</v>
      </c>
      <c r="M166" s="59">
        <f t="shared" si="17"/>
        <v>0</v>
      </c>
      <c r="N166" s="59">
        <f t="shared" si="18"/>
        <v>0</v>
      </c>
      <c r="O166" s="59">
        <f t="shared" si="19"/>
        <v>0</v>
      </c>
      <c r="P166" s="19" t="str">
        <f t="shared" si="20"/>
        <v/>
      </c>
      <c r="Q166" s="19" t="s">
        <v>202</v>
      </c>
    </row>
    <row r="167" spans="2:17" ht="30" customHeight="1" x14ac:dyDescent="0.25">
      <c r="B167" s="62" t="str">
        <f t="shared" si="14"/>
        <v/>
      </c>
      <c r="C167" s="42">
        <v>163</v>
      </c>
      <c r="D167" s="20"/>
      <c r="E167" s="58"/>
      <c r="F167" s="63" t="str">
        <f t="shared" si="15"/>
        <v/>
      </c>
      <c r="G167" s="66" t="str">
        <f>IF(D167="","",IFERROR('Prod 3'!H167/'Prod 3'!$H$3,0))</f>
        <v/>
      </c>
      <c r="H167" s="70" t="str">
        <f>IF(D167="","",'Prod 2'!K167)</f>
        <v/>
      </c>
      <c r="I167" s="77" t="str">
        <f t="shared" si="16"/>
        <v/>
      </c>
      <c r="J167" s="57"/>
      <c r="L167" s="19">
        <v>1.6299999999999999E-7</v>
      </c>
      <c r="M167" s="59">
        <f t="shared" si="17"/>
        <v>0</v>
      </c>
      <c r="N167" s="59">
        <f t="shared" si="18"/>
        <v>0</v>
      </c>
      <c r="O167" s="59">
        <f t="shared" si="19"/>
        <v>0</v>
      </c>
      <c r="P167" s="19" t="str">
        <f t="shared" si="20"/>
        <v/>
      </c>
      <c r="Q167" s="19" t="s">
        <v>203</v>
      </c>
    </row>
    <row r="168" spans="2:17" ht="30" customHeight="1" x14ac:dyDescent="0.25">
      <c r="B168" s="62" t="str">
        <f t="shared" si="14"/>
        <v/>
      </c>
      <c r="C168" s="42">
        <v>164</v>
      </c>
      <c r="D168" s="20"/>
      <c r="E168" s="58"/>
      <c r="F168" s="63" t="str">
        <f t="shared" si="15"/>
        <v/>
      </c>
      <c r="G168" s="66" t="str">
        <f>IF(D168="","",IFERROR('Prod 3'!H168/'Prod 3'!$H$3,0))</f>
        <v/>
      </c>
      <c r="H168" s="70" t="str">
        <f>IF(D168="","",'Prod 2'!K168)</f>
        <v/>
      </c>
      <c r="I168" s="77" t="str">
        <f t="shared" si="16"/>
        <v/>
      </c>
      <c r="J168" s="57"/>
      <c r="L168" s="19">
        <v>1.6400000000000001E-7</v>
      </c>
      <c r="M168" s="59">
        <f t="shared" si="17"/>
        <v>0</v>
      </c>
      <c r="N168" s="59">
        <f t="shared" si="18"/>
        <v>0</v>
      </c>
      <c r="O168" s="59">
        <f t="shared" si="19"/>
        <v>0</v>
      </c>
      <c r="P168" s="19" t="str">
        <f t="shared" si="20"/>
        <v/>
      </c>
      <c r="Q168" s="19" t="s">
        <v>204</v>
      </c>
    </row>
    <row r="169" spans="2:17" ht="30" customHeight="1" x14ac:dyDescent="0.25">
      <c r="B169" s="62" t="str">
        <f t="shared" si="14"/>
        <v/>
      </c>
      <c r="C169" s="42">
        <v>165</v>
      </c>
      <c r="D169" s="20"/>
      <c r="E169" s="58"/>
      <c r="F169" s="63" t="str">
        <f t="shared" si="15"/>
        <v/>
      </c>
      <c r="G169" s="66" t="str">
        <f>IF(D169="","",IFERROR('Prod 3'!H169/'Prod 3'!$H$3,0))</f>
        <v/>
      </c>
      <c r="H169" s="70" t="str">
        <f>IF(D169="","",'Prod 2'!K169)</f>
        <v/>
      </c>
      <c r="I169" s="77" t="str">
        <f t="shared" si="16"/>
        <v/>
      </c>
      <c r="J169" s="57"/>
      <c r="L169" s="19">
        <v>1.6500000000000001E-7</v>
      </c>
      <c r="M169" s="59">
        <f t="shared" si="17"/>
        <v>0</v>
      </c>
      <c r="N169" s="59">
        <f t="shared" si="18"/>
        <v>0</v>
      </c>
      <c r="O169" s="59">
        <f t="shared" si="19"/>
        <v>0</v>
      </c>
      <c r="P169" s="19" t="str">
        <f t="shared" si="20"/>
        <v/>
      </c>
      <c r="Q169" s="19" t="s">
        <v>205</v>
      </c>
    </row>
    <row r="170" spans="2:17" ht="30" customHeight="1" x14ac:dyDescent="0.25">
      <c r="B170" s="62" t="str">
        <f t="shared" si="14"/>
        <v/>
      </c>
      <c r="C170" s="42">
        <v>166</v>
      </c>
      <c r="D170" s="20"/>
      <c r="E170" s="58"/>
      <c r="F170" s="63" t="str">
        <f t="shared" si="15"/>
        <v/>
      </c>
      <c r="G170" s="66" t="str">
        <f>IF(D170="","",IFERROR('Prod 3'!H170/'Prod 3'!$H$3,0))</f>
        <v/>
      </c>
      <c r="H170" s="70" t="str">
        <f>IF(D170="","",'Prod 2'!K170)</f>
        <v/>
      </c>
      <c r="I170" s="77" t="str">
        <f t="shared" si="16"/>
        <v/>
      </c>
      <c r="J170" s="57"/>
      <c r="L170" s="19">
        <v>1.66E-7</v>
      </c>
      <c r="M170" s="59">
        <f t="shared" si="17"/>
        <v>0</v>
      </c>
      <c r="N170" s="59">
        <f t="shared" si="18"/>
        <v>0</v>
      </c>
      <c r="O170" s="59">
        <f t="shared" si="19"/>
        <v>0</v>
      </c>
      <c r="P170" s="19" t="str">
        <f t="shared" si="20"/>
        <v/>
      </c>
      <c r="Q170" s="19" t="s">
        <v>206</v>
      </c>
    </row>
    <row r="171" spans="2:17" ht="30" customHeight="1" x14ac:dyDescent="0.25">
      <c r="B171" s="62" t="str">
        <f t="shared" si="14"/>
        <v/>
      </c>
      <c r="C171" s="42">
        <v>167</v>
      </c>
      <c r="D171" s="20"/>
      <c r="E171" s="58"/>
      <c r="F171" s="63" t="str">
        <f t="shared" si="15"/>
        <v/>
      </c>
      <c r="G171" s="66" t="str">
        <f>IF(D171="","",IFERROR('Prod 3'!H171/'Prod 3'!$H$3,0))</f>
        <v/>
      </c>
      <c r="H171" s="70" t="str">
        <f>IF(D171="","",'Prod 2'!K171)</f>
        <v/>
      </c>
      <c r="I171" s="77" t="str">
        <f t="shared" si="16"/>
        <v/>
      </c>
      <c r="J171" s="57"/>
      <c r="L171" s="19">
        <v>1.67E-7</v>
      </c>
      <c r="M171" s="59">
        <f t="shared" si="17"/>
        <v>0</v>
      </c>
      <c r="N171" s="59">
        <f t="shared" si="18"/>
        <v>0</v>
      </c>
      <c r="O171" s="59">
        <f t="shared" si="19"/>
        <v>0</v>
      </c>
      <c r="P171" s="19" t="str">
        <f t="shared" si="20"/>
        <v/>
      </c>
      <c r="Q171" s="19" t="s">
        <v>207</v>
      </c>
    </row>
    <row r="172" spans="2:17" ht="30" customHeight="1" x14ac:dyDescent="0.25">
      <c r="B172" s="62" t="str">
        <f t="shared" si="14"/>
        <v/>
      </c>
      <c r="C172" s="42">
        <v>168</v>
      </c>
      <c r="D172" s="20"/>
      <c r="E172" s="58"/>
      <c r="F172" s="63" t="str">
        <f t="shared" si="15"/>
        <v/>
      </c>
      <c r="G172" s="66" t="str">
        <f>IF(D172="","",IFERROR('Prod 3'!H172/'Prod 3'!$H$3,0))</f>
        <v/>
      </c>
      <c r="H172" s="70" t="str">
        <f>IF(D172="","",'Prod 2'!K172)</f>
        <v/>
      </c>
      <c r="I172" s="77" t="str">
        <f t="shared" si="16"/>
        <v/>
      </c>
      <c r="J172" s="57"/>
      <c r="L172" s="19">
        <v>1.68E-7</v>
      </c>
      <c r="M172" s="59">
        <f t="shared" si="17"/>
        <v>0</v>
      </c>
      <c r="N172" s="59">
        <f t="shared" si="18"/>
        <v>0</v>
      </c>
      <c r="O172" s="59">
        <f t="shared" si="19"/>
        <v>0</v>
      </c>
      <c r="P172" s="19" t="str">
        <f t="shared" si="20"/>
        <v/>
      </c>
      <c r="Q172" s="19" t="s">
        <v>208</v>
      </c>
    </row>
    <row r="173" spans="2:17" ht="30" customHeight="1" x14ac:dyDescent="0.25">
      <c r="B173" s="62" t="str">
        <f t="shared" si="14"/>
        <v/>
      </c>
      <c r="C173" s="42">
        <v>169</v>
      </c>
      <c r="D173" s="20"/>
      <c r="E173" s="58"/>
      <c r="F173" s="63" t="str">
        <f t="shared" si="15"/>
        <v/>
      </c>
      <c r="G173" s="66" t="str">
        <f>IF(D173="","",IFERROR('Prod 3'!H173/'Prod 3'!$H$3,0))</f>
        <v/>
      </c>
      <c r="H173" s="70" t="str">
        <f>IF(D173="","",'Prod 2'!K173)</f>
        <v/>
      </c>
      <c r="I173" s="77" t="str">
        <f t="shared" si="16"/>
        <v/>
      </c>
      <c r="J173" s="57"/>
      <c r="L173" s="19">
        <v>1.6899999999999999E-7</v>
      </c>
      <c r="M173" s="59">
        <f t="shared" si="17"/>
        <v>0</v>
      </c>
      <c r="N173" s="59">
        <f t="shared" si="18"/>
        <v>0</v>
      </c>
      <c r="O173" s="59">
        <f t="shared" si="19"/>
        <v>0</v>
      </c>
      <c r="P173" s="19" t="str">
        <f t="shared" si="20"/>
        <v/>
      </c>
      <c r="Q173" s="19" t="s">
        <v>209</v>
      </c>
    </row>
    <row r="174" spans="2:17" ht="30" customHeight="1" x14ac:dyDescent="0.25">
      <c r="B174" s="62" t="str">
        <f t="shared" si="14"/>
        <v/>
      </c>
      <c r="C174" s="42">
        <v>170</v>
      </c>
      <c r="D174" s="20"/>
      <c r="E174" s="58"/>
      <c r="F174" s="63" t="str">
        <f t="shared" si="15"/>
        <v/>
      </c>
      <c r="G174" s="66" t="str">
        <f>IF(D174="","",IFERROR('Prod 3'!H174/'Prod 3'!$H$3,0))</f>
        <v/>
      </c>
      <c r="H174" s="70" t="str">
        <f>IF(D174="","",'Prod 2'!K174)</f>
        <v/>
      </c>
      <c r="I174" s="77" t="str">
        <f t="shared" si="16"/>
        <v/>
      </c>
      <c r="J174" s="57"/>
      <c r="L174" s="19">
        <v>1.6999999999999999E-7</v>
      </c>
      <c r="M174" s="59">
        <f t="shared" si="17"/>
        <v>0</v>
      </c>
      <c r="N174" s="59">
        <f t="shared" si="18"/>
        <v>0</v>
      </c>
      <c r="O174" s="59">
        <f t="shared" si="19"/>
        <v>0</v>
      </c>
      <c r="P174" s="19" t="str">
        <f t="shared" si="20"/>
        <v/>
      </c>
      <c r="Q174" s="19" t="s">
        <v>210</v>
      </c>
    </row>
    <row r="175" spans="2:17" ht="30" customHeight="1" x14ac:dyDescent="0.25">
      <c r="B175" s="62" t="str">
        <f t="shared" si="14"/>
        <v/>
      </c>
      <c r="C175" s="42">
        <v>171</v>
      </c>
      <c r="D175" s="20"/>
      <c r="E175" s="58"/>
      <c r="F175" s="63" t="str">
        <f t="shared" si="15"/>
        <v/>
      </c>
      <c r="G175" s="66" t="str">
        <f>IF(D175="","",IFERROR('Prod 3'!H175/'Prod 3'!$H$3,0))</f>
        <v/>
      </c>
      <c r="H175" s="70" t="str">
        <f>IF(D175="","",'Prod 2'!K175)</f>
        <v/>
      </c>
      <c r="I175" s="77" t="str">
        <f t="shared" si="16"/>
        <v/>
      </c>
      <c r="J175" s="57"/>
      <c r="L175" s="19">
        <v>1.7100000000000001E-7</v>
      </c>
      <c r="M175" s="59">
        <f t="shared" si="17"/>
        <v>0</v>
      </c>
      <c r="N175" s="59">
        <f t="shared" si="18"/>
        <v>0</v>
      </c>
      <c r="O175" s="59">
        <f t="shared" si="19"/>
        <v>0</v>
      </c>
      <c r="P175" s="19" t="str">
        <f t="shared" si="20"/>
        <v/>
      </c>
      <c r="Q175" s="19" t="s">
        <v>211</v>
      </c>
    </row>
    <row r="176" spans="2:17" ht="30" customHeight="1" x14ac:dyDescent="0.25">
      <c r="B176" s="62" t="str">
        <f t="shared" si="14"/>
        <v/>
      </c>
      <c r="C176" s="42">
        <v>172</v>
      </c>
      <c r="D176" s="20"/>
      <c r="E176" s="58"/>
      <c r="F176" s="63" t="str">
        <f t="shared" si="15"/>
        <v/>
      </c>
      <c r="G176" s="66" t="str">
        <f>IF(D176="","",IFERROR('Prod 3'!H176/'Prod 3'!$H$3,0))</f>
        <v/>
      </c>
      <c r="H176" s="70" t="str">
        <f>IF(D176="","",'Prod 2'!K176)</f>
        <v/>
      </c>
      <c r="I176" s="77" t="str">
        <f t="shared" si="16"/>
        <v/>
      </c>
      <c r="J176" s="57"/>
      <c r="L176" s="19">
        <v>1.72E-7</v>
      </c>
      <c r="M176" s="59">
        <f t="shared" si="17"/>
        <v>0</v>
      </c>
      <c r="N176" s="59">
        <f t="shared" si="18"/>
        <v>0</v>
      </c>
      <c r="O176" s="59">
        <f t="shared" si="19"/>
        <v>0</v>
      </c>
      <c r="P176" s="19" t="str">
        <f t="shared" si="20"/>
        <v/>
      </c>
      <c r="Q176" s="19" t="s">
        <v>212</v>
      </c>
    </row>
    <row r="177" spans="2:17" ht="30" customHeight="1" x14ac:dyDescent="0.25">
      <c r="B177" s="62" t="str">
        <f t="shared" si="14"/>
        <v/>
      </c>
      <c r="C177" s="42">
        <v>173</v>
      </c>
      <c r="D177" s="20"/>
      <c r="E177" s="58"/>
      <c r="F177" s="63" t="str">
        <f t="shared" si="15"/>
        <v/>
      </c>
      <c r="G177" s="66" t="str">
        <f>IF(D177="","",IFERROR('Prod 3'!H177/'Prod 3'!$H$3,0))</f>
        <v/>
      </c>
      <c r="H177" s="70" t="str">
        <f>IF(D177="","",'Prod 2'!K177)</f>
        <v/>
      </c>
      <c r="I177" s="77" t="str">
        <f t="shared" si="16"/>
        <v/>
      </c>
      <c r="J177" s="57"/>
      <c r="L177" s="19">
        <v>1.73E-7</v>
      </c>
      <c r="M177" s="59">
        <f t="shared" si="17"/>
        <v>0</v>
      </c>
      <c r="N177" s="59">
        <f t="shared" si="18"/>
        <v>0</v>
      </c>
      <c r="O177" s="59">
        <f t="shared" si="19"/>
        <v>0</v>
      </c>
      <c r="P177" s="19" t="str">
        <f t="shared" si="20"/>
        <v/>
      </c>
      <c r="Q177" s="19" t="s">
        <v>213</v>
      </c>
    </row>
    <row r="178" spans="2:17" ht="30" customHeight="1" x14ac:dyDescent="0.25">
      <c r="B178" s="62" t="str">
        <f t="shared" si="14"/>
        <v/>
      </c>
      <c r="C178" s="42">
        <v>174</v>
      </c>
      <c r="D178" s="20"/>
      <c r="E178" s="58"/>
      <c r="F178" s="63" t="str">
        <f t="shared" si="15"/>
        <v/>
      </c>
      <c r="G178" s="66" t="str">
        <f>IF(D178="","",IFERROR('Prod 3'!H178/'Prod 3'!$H$3,0))</f>
        <v/>
      </c>
      <c r="H178" s="70" t="str">
        <f>IF(D178="","",'Prod 2'!K178)</f>
        <v/>
      </c>
      <c r="I178" s="77" t="str">
        <f t="shared" si="16"/>
        <v/>
      </c>
      <c r="J178" s="57"/>
      <c r="L178" s="19">
        <v>1.74E-7</v>
      </c>
      <c r="M178" s="59">
        <f t="shared" si="17"/>
        <v>0</v>
      </c>
      <c r="N178" s="59">
        <f t="shared" si="18"/>
        <v>0</v>
      </c>
      <c r="O178" s="59">
        <f t="shared" si="19"/>
        <v>0</v>
      </c>
      <c r="P178" s="19" t="str">
        <f t="shared" si="20"/>
        <v/>
      </c>
      <c r="Q178" s="19" t="s">
        <v>214</v>
      </c>
    </row>
    <row r="179" spans="2:17" ht="30" customHeight="1" x14ac:dyDescent="0.25">
      <c r="B179" s="62" t="str">
        <f t="shared" si="14"/>
        <v/>
      </c>
      <c r="C179" s="42">
        <v>175</v>
      </c>
      <c r="D179" s="20"/>
      <c r="E179" s="58"/>
      <c r="F179" s="63" t="str">
        <f t="shared" si="15"/>
        <v/>
      </c>
      <c r="G179" s="66" t="str">
        <f>IF(D179="","",IFERROR('Prod 3'!H179/'Prod 3'!$H$3,0))</f>
        <v/>
      </c>
      <c r="H179" s="70" t="str">
        <f>IF(D179="","",'Prod 2'!K179)</f>
        <v/>
      </c>
      <c r="I179" s="77" t="str">
        <f t="shared" si="16"/>
        <v/>
      </c>
      <c r="J179" s="57"/>
      <c r="L179" s="19">
        <v>1.7499999999999999E-7</v>
      </c>
      <c r="M179" s="59">
        <f t="shared" si="17"/>
        <v>0</v>
      </c>
      <c r="N179" s="59">
        <f t="shared" si="18"/>
        <v>0</v>
      </c>
      <c r="O179" s="59">
        <f t="shared" si="19"/>
        <v>0</v>
      </c>
      <c r="P179" s="19" t="str">
        <f t="shared" si="20"/>
        <v/>
      </c>
      <c r="Q179" s="19" t="s">
        <v>215</v>
      </c>
    </row>
    <row r="180" spans="2:17" ht="30" customHeight="1" x14ac:dyDescent="0.25">
      <c r="B180" s="62" t="str">
        <f t="shared" si="14"/>
        <v/>
      </c>
      <c r="C180" s="42">
        <v>176</v>
      </c>
      <c r="D180" s="20"/>
      <c r="E180" s="58"/>
      <c r="F180" s="63" t="str">
        <f t="shared" si="15"/>
        <v/>
      </c>
      <c r="G180" s="66" t="str">
        <f>IF(D180="","",IFERROR('Prod 3'!H180/'Prod 3'!$H$3,0))</f>
        <v/>
      </c>
      <c r="H180" s="70" t="str">
        <f>IF(D180="","",'Prod 2'!K180)</f>
        <v/>
      </c>
      <c r="I180" s="77" t="str">
        <f t="shared" si="16"/>
        <v/>
      </c>
      <c r="J180" s="57"/>
      <c r="L180" s="19">
        <v>1.7599999999999999E-7</v>
      </c>
      <c r="M180" s="59">
        <f t="shared" si="17"/>
        <v>0</v>
      </c>
      <c r="N180" s="59">
        <f t="shared" si="18"/>
        <v>0</v>
      </c>
      <c r="O180" s="59">
        <f t="shared" si="19"/>
        <v>0</v>
      </c>
      <c r="P180" s="19" t="str">
        <f t="shared" si="20"/>
        <v/>
      </c>
      <c r="Q180" s="19" t="s">
        <v>216</v>
      </c>
    </row>
    <row r="181" spans="2:17" ht="30" customHeight="1" x14ac:dyDescent="0.25">
      <c r="B181" s="62" t="str">
        <f t="shared" si="14"/>
        <v/>
      </c>
      <c r="C181" s="42">
        <v>177</v>
      </c>
      <c r="D181" s="20"/>
      <c r="E181" s="58"/>
      <c r="F181" s="63" t="str">
        <f t="shared" si="15"/>
        <v/>
      </c>
      <c r="G181" s="66" t="str">
        <f>IF(D181="","",IFERROR('Prod 3'!H181/'Prod 3'!$H$3,0))</f>
        <v/>
      </c>
      <c r="H181" s="70" t="str">
        <f>IF(D181="","",'Prod 2'!K181)</f>
        <v/>
      </c>
      <c r="I181" s="77" t="str">
        <f t="shared" si="16"/>
        <v/>
      </c>
      <c r="J181" s="57"/>
      <c r="L181" s="19">
        <v>1.7700000000000001E-7</v>
      </c>
      <c r="M181" s="59">
        <f t="shared" si="17"/>
        <v>0</v>
      </c>
      <c r="N181" s="59">
        <f t="shared" si="18"/>
        <v>0</v>
      </c>
      <c r="O181" s="59">
        <f t="shared" si="19"/>
        <v>0</v>
      </c>
      <c r="P181" s="19" t="str">
        <f t="shared" si="20"/>
        <v/>
      </c>
      <c r="Q181" s="19" t="s">
        <v>217</v>
      </c>
    </row>
    <row r="182" spans="2:17" ht="30" customHeight="1" x14ac:dyDescent="0.25">
      <c r="B182" s="62" t="str">
        <f t="shared" si="14"/>
        <v/>
      </c>
      <c r="C182" s="42">
        <v>178</v>
      </c>
      <c r="D182" s="20"/>
      <c r="E182" s="58"/>
      <c r="F182" s="63" t="str">
        <f t="shared" si="15"/>
        <v/>
      </c>
      <c r="G182" s="66" t="str">
        <f>IF(D182="","",IFERROR('Prod 3'!H182/'Prod 3'!$H$3,0))</f>
        <v/>
      </c>
      <c r="H182" s="70" t="str">
        <f>IF(D182="","",'Prod 2'!K182)</f>
        <v/>
      </c>
      <c r="I182" s="77" t="str">
        <f t="shared" si="16"/>
        <v/>
      </c>
      <c r="J182" s="57"/>
      <c r="L182" s="19">
        <v>1.7800000000000001E-7</v>
      </c>
      <c r="M182" s="59">
        <f t="shared" si="17"/>
        <v>0</v>
      </c>
      <c r="N182" s="59">
        <f t="shared" si="18"/>
        <v>0</v>
      </c>
      <c r="O182" s="59">
        <f t="shared" si="19"/>
        <v>0</v>
      </c>
      <c r="P182" s="19" t="str">
        <f t="shared" si="20"/>
        <v/>
      </c>
      <c r="Q182" s="19" t="s">
        <v>218</v>
      </c>
    </row>
    <row r="183" spans="2:17" ht="30" customHeight="1" x14ac:dyDescent="0.25">
      <c r="B183" s="62" t="str">
        <f t="shared" si="14"/>
        <v/>
      </c>
      <c r="C183" s="42">
        <v>179</v>
      </c>
      <c r="D183" s="20"/>
      <c r="E183" s="58"/>
      <c r="F183" s="63" t="str">
        <f t="shared" si="15"/>
        <v/>
      </c>
      <c r="G183" s="66" t="str">
        <f>IF(D183="","",IFERROR('Prod 3'!H183/'Prod 3'!$H$3,0))</f>
        <v/>
      </c>
      <c r="H183" s="70" t="str">
        <f>IF(D183="","",'Prod 2'!K183)</f>
        <v/>
      </c>
      <c r="I183" s="77" t="str">
        <f t="shared" si="16"/>
        <v/>
      </c>
      <c r="J183" s="57"/>
      <c r="L183" s="19">
        <v>1.79E-7</v>
      </c>
      <c r="M183" s="59">
        <f t="shared" si="17"/>
        <v>0</v>
      </c>
      <c r="N183" s="59">
        <f t="shared" si="18"/>
        <v>0</v>
      </c>
      <c r="O183" s="59">
        <f t="shared" si="19"/>
        <v>0</v>
      </c>
      <c r="P183" s="19" t="str">
        <f t="shared" si="20"/>
        <v/>
      </c>
      <c r="Q183" s="19" t="s">
        <v>219</v>
      </c>
    </row>
    <row r="184" spans="2:17" ht="30" customHeight="1" x14ac:dyDescent="0.25">
      <c r="B184" s="62" t="str">
        <f t="shared" si="14"/>
        <v/>
      </c>
      <c r="C184" s="42">
        <v>180</v>
      </c>
      <c r="D184" s="20"/>
      <c r="E184" s="58"/>
      <c r="F184" s="63" t="str">
        <f t="shared" si="15"/>
        <v/>
      </c>
      <c r="G184" s="66" t="str">
        <f>IF(D184="","",IFERROR('Prod 3'!H184/'Prod 3'!$H$3,0))</f>
        <v/>
      </c>
      <c r="H184" s="70" t="str">
        <f>IF(D184="","",'Prod 2'!K184)</f>
        <v/>
      </c>
      <c r="I184" s="77" t="str">
        <f t="shared" si="16"/>
        <v/>
      </c>
      <c r="J184" s="57"/>
      <c r="L184" s="19">
        <v>1.8E-7</v>
      </c>
      <c r="M184" s="59">
        <f t="shared" si="17"/>
        <v>0</v>
      </c>
      <c r="N184" s="59">
        <f t="shared" si="18"/>
        <v>0</v>
      </c>
      <c r="O184" s="59">
        <f t="shared" si="19"/>
        <v>0</v>
      </c>
      <c r="P184" s="19" t="str">
        <f t="shared" si="20"/>
        <v/>
      </c>
      <c r="Q184" s="19" t="s">
        <v>220</v>
      </c>
    </row>
    <row r="185" spans="2:17" ht="30" customHeight="1" x14ac:dyDescent="0.25">
      <c r="B185" s="62" t="str">
        <f t="shared" si="14"/>
        <v/>
      </c>
      <c r="C185" s="42">
        <v>181</v>
      </c>
      <c r="D185" s="20"/>
      <c r="E185" s="58"/>
      <c r="F185" s="63" t="str">
        <f t="shared" si="15"/>
        <v/>
      </c>
      <c r="G185" s="66" t="str">
        <f>IF(D185="","",IFERROR('Prod 3'!H185/'Prod 3'!$H$3,0))</f>
        <v/>
      </c>
      <c r="H185" s="70" t="str">
        <f>IF(D185="","",'Prod 2'!K185)</f>
        <v/>
      </c>
      <c r="I185" s="77" t="str">
        <f t="shared" si="16"/>
        <v/>
      </c>
      <c r="J185" s="57"/>
      <c r="L185" s="19">
        <v>1.8099999999999999E-7</v>
      </c>
      <c r="M185" s="59">
        <f t="shared" si="17"/>
        <v>0</v>
      </c>
      <c r="N185" s="59">
        <f t="shared" si="18"/>
        <v>0</v>
      </c>
      <c r="O185" s="59">
        <f t="shared" si="19"/>
        <v>0</v>
      </c>
      <c r="P185" s="19" t="str">
        <f t="shared" si="20"/>
        <v/>
      </c>
      <c r="Q185" s="19" t="s">
        <v>221</v>
      </c>
    </row>
    <row r="186" spans="2:17" ht="30" customHeight="1" x14ac:dyDescent="0.25">
      <c r="B186" s="62" t="str">
        <f t="shared" si="14"/>
        <v/>
      </c>
      <c r="C186" s="42">
        <v>182</v>
      </c>
      <c r="D186" s="20"/>
      <c r="E186" s="58"/>
      <c r="F186" s="63" t="str">
        <f t="shared" si="15"/>
        <v/>
      </c>
      <c r="G186" s="66" t="str">
        <f>IF(D186="","",IFERROR('Prod 3'!H186/'Prod 3'!$H$3,0))</f>
        <v/>
      </c>
      <c r="H186" s="70" t="str">
        <f>IF(D186="","",'Prod 2'!K186)</f>
        <v/>
      </c>
      <c r="I186" s="77" t="str">
        <f t="shared" si="16"/>
        <v/>
      </c>
      <c r="J186" s="57"/>
      <c r="L186" s="19">
        <v>1.8199999999999999E-7</v>
      </c>
      <c r="M186" s="59">
        <f t="shared" si="17"/>
        <v>0</v>
      </c>
      <c r="N186" s="59">
        <f t="shared" si="18"/>
        <v>0</v>
      </c>
      <c r="O186" s="59">
        <f t="shared" si="19"/>
        <v>0</v>
      </c>
      <c r="P186" s="19" t="str">
        <f t="shared" si="20"/>
        <v/>
      </c>
      <c r="Q186" s="19" t="s">
        <v>222</v>
      </c>
    </row>
    <row r="187" spans="2:17" ht="30" customHeight="1" x14ac:dyDescent="0.25">
      <c r="B187" s="62" t="str">
        <f t="shared" si="14"/>
        <v/>
      </c>
      <c r="C187" s="42">
        <v>183</v>
      </c>
      <c r="D187" s="20"/>
      <c r="E187" s="58"/>
      <c r="F187" s="63" t="str">
        <f t="shared" si="15"/>
        <v/>
      </c>
      <c r="G187" s="66" t="str">
        <f>IF(D187="","",IFERROR('Prod 3'!H187/'Prod 3'!$H$3,0))</f>
        <v/>
      </c>
      <c r="H187" s="70" t="str">
        <f>IF(D187="","",'Prod 2'!K187)</f>
        <v/>
      </c>
      <c r="I187" s="77" t="str">
        <f t="shared" si="16"/>
        <v/>
      </c>
      <c r="J187" s="57"/>
      <c r="L187" s="19">
        <v>1.8300000000000001E-7</v>
      </c>
      <c r="M187" s="59">
        <f t="shared" si="17"/>
        <v>0</v>
      </c>
      <c r="N187" s="59">
        <f t="shared" si="18"/>
        <v>0</v>
      </c>
      <c r="O187" s="59">
        <f t="shared" si="19"/>
        <v>0</v>
      </c>
      <c r="P187" s="19" t="str">
        <f t="shared" si="20"/>
        <v/>
      </c>
      <c r="Q187" s="19" t="s">
        <v>223</v>
      </c>
    </row>
    <row r="188" spans="2:17" ht="30" customHeight="1" x14ac:dyDescent="0.25">
      <c r="B188" s="62" t="str">
        <f t="shared" si="14"/>
        <v/>
      </c>
      <c r="C188" s="42">
        <v>184</v>
      </c>
      <c r="D188" s="20"/>
      <c r="E188" s="58"/>
      <c r="F188" s="63" t="str">
        <f t="shared" si="15"/>
        <v/>
      </c>
      <c r="G188" s="66" t="str">
        <f>IF(D188="","",IFERROR('Prod 3'!H188/'Prod 3'!$H$3,0))</f>
        <v/>
      </c>
      <c r="H188" s="70" t="str">
        <f>IF(D188="","",'Prod 2'!K188)</f>
        <v/>
      </c>
      <c r="I188" s="77" t="str">
        <f t="shared" si="16"/>
        <v/>
      </c>
      <c r="J188" s="57"/>
      <c r="L188" s="19">
        <v>1.8400000000000001E-7</v>
      </c>
      <c r="M188" s="59">
        <f t="shared" si="17"/>
        <v>0</v>
      </c>
      <c r="N188" s="59">
        <f t="shared" si="18"/>
        <v>0</v>
      </c>
      <c r="O188" s="59">
        <f t="shared" si="19"/>
        <v>0</v>
      </c>
      <c r="P188" s="19" t="str">
        <f t="shared" si="20"/>
        <v/>
      </c>
      <c r="Q188" s="19" t="s">
        <v>224</v>
      </c>
    </row>
    <row r="189" spans="2:17" ht="30" customHeight="1" x14ac:dyDescent="0.25">
      <c r="B189" s="62" t="str">
        <f t="shared" si="14"/>
        <v/>
      </c>
      <c r="C189" s="42">
        <v>185</v>
      </c>
      <c r="D189" s="20"/>
      <c r="E189" s="58"/>
      <c r="F189" s="63" t="str">
        <f t="shared" si="15"/>
        <v/>
      </c>
      <c r="G189" s="66" t="str">
        <f>IF(D189="","",IFERROR('Prod 3'!H189/'Prod 3'!$H$3,0))</f>
        <v/>
      </c>
      <c r="H189" s="70" t="str">
        <f>IF(D189="","",'Prod 2'!K189)</f>
        <v/>
      </c>
      <c r="I189" s="77" t="str">
        <f t="shared" si="16"/>
        <v/>
      </c>
      <c r="J189" s="57"/>
      <c r="L189" s="19">
        <v>1.85E-7</v>
      </c>
      <c r="M189" s="59">
        <f t="shared" si="17"/>
        <v>0</v>
      </c>
      <c r="N189" s="59">
        <f t="shared" si="18"/>
        <v>0</v>
      </c>
      <c r="O189" s="59">
        <f t="shared" si="19"/>
        <v>0</v>
      </c>
      <c r="P189" s="19" t="str">
        <f t="shared" si="20"/>
        <v/>
      </c>
      <c r="Q189" s="19" t="s">
        <v>225</v>
      </c>
    </row>
    <row r="190" spans="2:17" ht="30" customHeight="1" x14ac:dyDescent="0.25">
      <c r="B190" s="62" t="str">
        <f t="shared" si="14"/>
        <v/>
      </c>
      <c r="C190" s="42">
        <v>186</v>
      </c>
      <c r="D190" s="20"/>
      <c r="E190" s="58"/>
      <c r="F190" s="63" t="str">
        <f t="shared" si="15"/>
        <v/>
      </c>
      <c r="G190" s="66" t="str">
        <f>IF(D190="","",IFERROR('Prod 3'!H190/'Prod 3'!$H$3,0))</f>
        <v/>
      </c>
      <c r="H190" s="70" t="str">
        <f>IF(D190="","",'Prod 2'!K190)</f>
        <v/>
      </c>
      <c r="I190" s="77" t="str">
        <f t="shared" si="16"/>
        <v/>
      </c>
      <c r="J190" s="57"/>
      <c r="L190" s="19">
        <v>1.86E-7</v>
      </c>
      <c r="M190" s="59">
        <f t="shared" si="17"/>
        <v>0</v>
      </c>
      <c r="N190" s="59">
        <f t="shared" si="18"/>
        <v>0</v>
      </c>
      <c r="O190" s="59">
        <f t="shared" si="19"/>
        <v>0</v>
      </c>
      <c r="P190" s="19" t="str">
        <f t="shared" si="20"/>
        <v/>
      </c>
      <c r="Q190" s="19" t="s">
        <v>226</v>
      </c>
    </row>
    <row r="191" spans="2:17" ht="30" customHeight="1" x14ac:dyDescent="0.25">
      <c r="B191" s="62" t="str">
        <f t="shared" si="14"/>
        <v/>
      </c>
      <c r="C191" s="42">
        <v>187</v>
      </c>
      <c r="D191" s="20"/>
      <c r="E191" s="58"/>
      <c r="F191" s="63" t="str">
        <f t="shared" si="15"/>
        <v/>
      </c>
      <c r="G191" s="66" t="str">
        <f>IF(D191="","",IFERROR('Prod 3'!H191/'Prod 3'!$H$3,0))</f>
        <v/>
      </c>
      <c r="H191" s="70" t="str">
        <f>IF(D191="","",'Prod 2'!K191)</f>
        <v/>
      </c>
      <c r="I191" s="77" t="str">
        <f t="shared" si="16"/>
        <v/>
      </c>
      <c r="J191" s="57"/>
      <c r="L191" s="19">
        <v>1.8699999999999999E-7</v>
      </c>
      <c r="M191" s="59">
        <f t="shared" si="17"/>
        <v>0</v>
      </c>
      <c r="N191" s="59">
        <f t="shared" si="18"/>
        <v>0</v>
      </c>
      <c r="O191" s="59">
        <f t="shared" si="19"/>
        <v>0</v>
      </c>
      <c r="P191" s="19" t="str">
        <f t="shared" si="20"/>
        <v/>
      </c>
      <c r="Q191" s="19" t="s">
        <v>227</v>
      </c>
    </row>
    <row r="192" spans="2:17" ht="30" customHeight="1" x14ac:dyDescent="0.25">
      <c r="B192" s="62" t="str">
        <f t="shared" si="14"/>
        <v/>
      </c>
      <c r="C192" s="42">
        <v>188</v>
      </c>
      <c r="D192" s="20"/>
      <c r="E192" s="58"/>
      <c r="F192" s="63" t="str">
        <f t="shared" si="15"/>
        <v/>
      </c>
      <c r="G192" s="66" t="str">
        <f>IF(D192="","",IFERROR('Prod 3'!H192/'Prod 3'!$H$3,0))</f>
        <v/>
      </c>
      <c r="H192" s="70" t="str">
        <f>IF(D192="","",'Prod 2'!K192)</f>
        <v/>
      </c>
      <c r="I192" s="77" t="str">
        <f t="shared" si="16"/>
        <v/>
      </c>
      <c r="J192" s="57"/>
      <c r="L192" s="19">
        <v>1.8799999999999999E-7</v>
      </c>
      <c r="M192" s="59">
        <f t="shared" si="17"/>
        <v>0</v>
      </c>
      <c r="N192" s="59">
        <f t="shared" si="18"/>
        <v>0</v>
      </c>
      <c r="O192" s="59">
        <f t="shared" si="19"/>
        <v>0</v>
      </c>
      <c r="P192" s="19" t="str">
        <f t="shared" si="20"/>
        <v/>
      </c>
      <c r="Q192" s="19" t="s">
        <v>228</v>
      </c>
    </row>
    <row r="193" spans="2:17" ht="30" customHeight="1" x14ac:dyDescent="0.25">
      <c r="B193" s="62" t="str">
        <f t="shared" si="14"/>
        <v/>
      </c>
      <c r="C193" s="42">
        <v>189</v>
      </c>
      <c r="D193" s="20"/>
      <c r="E193" s="58"/>
      <c r="F193" s="63" t="str">
        <f t="shared" si="15"/>
        <v/>
      </c>
      <c r="G193" s="66" t="str">
        <f>IF(D193="","",IFERROR('Prod 3'!H193/'Prod 3'!$H$3,0))</f>
        <v/>
      </c>
      <c r="H193" s="70" t="str">
        <f>IF(D193="","",'Prod 2'!K193)</f>
        <v/>
      </c>
      <c r="I193" s="77" t="str">
        <f t="shared" si="16"/>
        <v/>
      </c>
      <c r="J193" s="57"/>
      <c r="L193" s="19">
        <v>1.8900000000000001E-7</v>
      </c>
      <c r="M193" s="59">
        <f t="shared" si="17"/>
        <v>0</v>
      </c>
      <c r="N193" s="59">
        <f t="shared" si="18"/>
        <v>0</v>
      </c>
      <c r="O193" s="59">
        <f t="shared" si="19"/>
        <v>0</v>
      </c>
      <c r="P193" s="19" t="str">
        <f t="shared" si="20"/>
        <v/>
      </c>
      <c r="Q193" s="19" t="s">
        <v>229</v>
      </c>
    </row>
    <row r="194" spans="2:17" ht="30" customHeight="1" x14ac:dyDescent="0.25">
      <c r="B194" s="62" t="str">
        <f t="shared" si="14"/>
        <v/>
      </c>
      <c r="C194" s="42">
        <v>190</v>
      </c>
      <c r="D194" s="20"/>
      <c r="E194" s="58"/>
      <c r="F194" s="63" t="str">
        <f t="shared" si="15"/>
        <v/>
      </c>
      <c r="G194" s="66" t="str">
        <f>IF(D194="","",IFERROR('Prod 3'!H194/'Prod 3'!$H$3,0))</f>
        <v/>
      </c>
      <c r="H194" s="70" t="str">
        <f>IF(D194="","",'Prod 2'!K194)</f>
        <v/>
      </c>
      <c r="I194" s="77" t="str">
        <f t="shared" si="16"/>
        <v/>
      </c>
      <c r="J194" s="57"/>
      <c r="L194" s="19">
        <v>1.9000000000000001E-7</v>
      </c>
      <c r="M194" s="59">
        <f t="shared" si="17"/>
        <v>0</v>
      </c>
      <c r="N194" s="59">
        <f t="shared" si="18"/>
        <v>0</v>
      </c>
      <c r="O194" s="59">
        <f t="shared" si="19"/>
        <v>0</v>
      </c>
      <c r="P194" s="19" t="str">
        <f t="shared" si="20"/>
        <v/>
      </c>
      <c r="Q194" s="19" t="s">
        <v>230</v>
      </c>
    </row>
    <row r="195" spans="2:17" ht="30" customHeight="1" x14ac:dyDescent="0.25">
      <c r="B195" s="62" t="str">
        <f t="shared" si="14"/>
        <v/>
      </c>
      <c r="C195" s="42">
        <v>191</v>
      </c>
      <c r="D195" s="20"/>
      <c r="E195" s="58"/>
      <c r="F195" s="63" t="str">
        <f t="shared" si="15"/>
        <v/>
      </c>
      <c r="G195" s="66" t="str">
        <f>IF(D195="","",IFERROR('Prod 3'!H195/'Prod 3'!$H$3,0))</f>
        <v/>
      </c>
      <c r="H195" s="70" t="str">
        <f>IF(D195="","",'Prod 2'!K195)</f>
        <v/>
      </c>
      <c r="I195" s="77" t="str">
        <f t="shared" si="16"/>
        <v/>
      </c>
      <c r="J195" s="57"/>
      <c r="L195" s="19">
        <v>1.91E-7</v>
      </c>
      <c r="M195" s="59">
        <f t="shared" si="17"/>
        <v>0</v>
      </c>
      <c r="N195" s="59">
        <f t="shared" si="18"/>
        <v>0</v>
      </c>
      <c r="O195" s="59">
        <f t="shared" si="19"/>
        <v>0</v>
      </c>
      <c r="P195" s="19" t="str">
        <f t="shared" si="20"/>
        <v/>
      </c>
      <c r="Q195" s="19" t="s">
        <v>231</v>
      </c>
    </row>
    <row r="196" spans="2:17" ht="30" customHeight="1" x14ac:dyDescent="0.25">
      <c r="B196" s="62" t="str">
        <f t="shared" si="14"/>
        <v/>
      </c>
      <c r="C196" s="42">
        <v>192</v>
      </c>
      <c r="D196" s="20"/>
      <c r="E196" s="58"/>
      <c r="F196" s="63" t="str">
        <f t="shared" si="15"/>
        <v/>
      </c>
      <c r="G196" s="66" t="str">
        <f>IF(D196="","",IFERROR('Prod 3'!H196/'Prod 3'!$H$3,0))</f>
        <v/>
      </c>
      <c r="H196" s="70" t="str">
        <f>IF(D196="","",'Prod 2'!K196)</f>
        <v/>
      </c>
      <c r="I196" s="77" t="str">
        <f t="shared" si="16"/>
        <v/>
      </c>
      <c r="J196" s="57"/>
      <c r="L196" s="19">
        <v>1.92E-7</v>
      </c>
      <c r="M196" s="59">
        <f t="shared" si="17"/>
        <v>0</v>
      </c>
      <c r="N196" s="59">
        <f t="shared" si="18"/>
        <v>0</v>
      </c>
      <c r="O196" s="59">
        <f t="shared" si="19"/>
        <v>0</v>
      </c>
      <c r="P196" s="19" t="str">
        <f t="shared" si="20"/>
        <v/>
      </c>
      <c r="Q196" s="19" t="s">
        <v>232</v>
      </c>
    </row>
    <row r="197" spans="2:17" ht="30" customHeight="1" x14ac:dyDescent="0.25">
      <c r="B197" s="62" t="str">
        <f t="shared" si="14"/>
        <v/>
      </c>
      <c r="C197" s="42">
        <v>193</v>
      </c>
      <c r="D197" s="20"/>
      <c r="E197" s="58"/>
      <c r="F197" s="63" t="str">
        <f t="shared" si="15"/>
        <v/>
      </c>
      <c r="G197" s="66" t="str">
        <f>IF(D197="","",IFERROR('Prod 3'!H197/'Prod 3'!$H$3,0))</f>
        <v/>
      </c>
      <c r="H197" s="70" t="str">
        <f>IF(D197="","",'Prod 2'!K197)</f>
        <v/>
      </c>
      <c r="I197" s="77" t="str">
        <f t="shared" si="16"/>
        <v/>
      </c>
      <c r="J197" s="57"/>
      <c r="L197" s="19">
        <v>1.9299999999999999E-7</v>
      </c>
      <c r="M197" s="59">
        <f t="shared" si="17"/>
        <v>0</v>
      </c>
      <c r="N197" s="59">
        <f t="shared" si="18"/>
        <v>0</v>
      </c>
      <c r="O197" s="59">
        <f t="shared" si="19"/>
        <v>0</v>
      </c>
      <c r="P197" s="19" t="str">
        <f t="shared" si="20"/>
        <v/>
      </c>
      <c r="Q197" s="19" t="s">
        <v>233</v>
      </c>
    </row>
    <row r="198" spans="2:17" ht="30" customHeight="1" x14ac:dyDescent="0.25">
      <c r="B198" s="62" t="str">
        <f t="shared" ref="B198:B261" si="21">IF(I198="","",I198)</f>
        <v/>
      </c>
      <c r="C198" s="42">
        <v>194</v>
      </c>
      <c r="D198" s="20"/>
      <c r="E198" s="58"/>
      <c r="F198" s="63" t="str">
        <f t="shared" ref="F198:F261" si="22">IF(D198="","",IFERROR(VLOOKUP(D198,$P$5:$Q$1004,2,0),""))</f>
        <v/>
      </c>
      <c r="G198" s="66" t="str">
        <f>IF(D198="","",IFERROR('Prod 3'!H198/'Prod 3'!$H$3,0))</f>
        <v/>
      </c>
      <c r="H198" s="70" t="str">
        <f>IF(D198="","",'Prod 2'!K198)</f>
        <v/>
      </c>
      <c r="I198" s="77" t="str">
        <f t="shared" ref="I198:I261" si="23">IF(D198="","",E198-H198+L198)</f>
        <v/>
      </c>
      <c r="J198" s="57"/>
      <c r="L198" s="19">
        <v>1.9399999999999999E-7</v>
      </c>
      <c r="M198" s="59">
        <f t="shared" ref="M198:M261" si="24">IFERROR(LARGE($I$5:$I$1004,C198),0)</f>
        <v>0</v>
      </c>
      <c r="N198" s="59">
        <f t="shared" ref="N198:N261" si="25">IFERROR(M198,0)</f>
        <v>0</v>
      </c>
      <c r="O198" s="59">
        <f t="shared" ref="O198:O261" si="26">IFERROR(LARGE($N$5:$N$1004,C198),0)</f>
        <v>0</v>
      </c>
      <c r="P198" s="19" t="str">
        <f t="shared" ref="P198:P261" si="27">IFERROR(IF(VLOOKUP(O198,$B$5:$D$1004,3,0)=0,"",(VLOOKUP(O198,$B$5:$D$1004,3,0))),"")</f>
        <v/>
      </c>
      <c r="Q198" s="19" t="s">
        <v>234</v>
      </c>
    </row>
    <row r="199" spans="2:17" ht="30" customHeight="1" x14ac:dyDescent="0.25">
      <c r="B199" s="62" t="str">
        <f t="shared" si="21"/>
        <v/>
      </c>
      <c r="C199" s="42">
        <v>195</v>
      </c>
      <c r="D199" s="20"/>
      <c r="E199" s="58"/>
      <c r="F199" s="63" t="str">
        <f t="shared" si="22"/>
        <v/>
      </c>
      <c r="G199" s="66" t="str">
        <f>IF(D199="","",IFERROR('Prod 3'!H199/'Prod 3'!$H$3,0))</f>
        <v/>
      </c>
      <c r="H199" s="70" t="str">
        <f>IF(D199="","",'Prod 2'!K199)</f>
        <v/>
      </c>
      <c r="I199" s="77" t="str">
        <f t="shared" si="23"/>
        <v/>
      </c>
      <c r="J199" s="57"/>
      <c r="L199" s="19">
        <v>1.9500000000000001E-7</v>
      </c>
      <c r="M199" s="59">
        <f t="shared" si="24"/>
        <v>0</v>
      </c>
      <c r="N199" s="59">
        <f t="shared" si="25"/>
        <v>0</v>
      </c>
      <c r="O199" s="59">
        <f t="shared" si="26"/>
        <v>0</v>
      </c>
      <c r="P199" s="19" t="str">
        <f t="shared" si="27"/>
        <v/>
      </c>
      <c r="Q199" s="19" t="s">
        <v>235</v>
      </c>
    </row>
    <row r="200" spans="2:17" ht="30" customHeight="1" x14ac:dyDescent="0.25">
      <c r="B200" s="62" t="str">
        <f t="shared" si="21"/>
        <v/>
      </c>
      <c r="C200" s="42">
        <v>196</v>
      </c>
      <c r="D200" s="20"/>
      <c r="E200" s="58"/>
      <c r="F200" s="63" t="str">
        <f t="shared" si="22"/>
        <v/>
      </c>
      <c r="G200" s="66" t="str">
        <f>IF(D200="","",IFERROR('Prod 3'!H200/'Prod 3'!$H$3,0))</f>
        <v/>
      </c>
      <c r="H200" s="70" t="str">
        <f>IF(D200="","",'Prod 2'!K200)</f>
        <v/>
      </c>
      <c r="I200" s="77" t="str">
        <f t="shared" si="23"/>
        <v/>
      </c>
      <c r="J200" s="57"/>
      <c r="L200" s="19">
        <v>1.9600000000000001E-7</v>
      </c>
      <c r="M200" s="59">
        <f t="shared" si="24"/>
        <v>0</v>
      </c>
      <c r="N200" s="59">
        <f t="shared" si="25"/>
        <v>0</v>
      </c>
      <c r="O200" s="59">
        <f t="shared" si="26"/>
        <v>0</v>
      </c>
      <c r="P200" s="19" t="str">
        <f t="shared" si="27"/>
        <v/>
      </c>
      <c r="Q200" s="19" t="s">
        <v>236</v>
      </c>
    </row>
    <row r="201" spans="2:17" ht="30" customHeight="1" x14ac:dyDescent="0.25">
      <c r="B201" s="62" t="str">
        <f t="shared" si="21"/>
        <v/>
      </c>
      <c r="C201" s="42">
        <v>197</v>
      </c>
      <c r="D201" s="20"/>
      <c r="E201" s="58"/>
      <c r="F201" s="63" t="str">
        <f t="shared" si="22"/>
        <v/>
      </c>
      <c r="G201" s="66" t="str">
        <f>IF(D201="","",IFERROR('Prod 3'!H201/'Prod 3'!$H$3,0))</f>
        <v/>
      </c>
      <c r="H201" s="70" t="str">
        <f>IF(D201="","",'Prod 2'!K201)</f>
        <v/>
      </c>
      <c r="I201" s="77" t="str">
        <f t="shared" si="23"/>
        <v/>
      </c>
      <c r="J201" s="57"/>
      <c r="L201" s="19">
        <v>1.97E-7</v>
      </c>
      <c r="M201" s="59">
        <f t="shared" si="24"/>
        <v>0</v>
      </c>
      <c r="N201" s="59">
        <f t="shared" si="25"/>
        <v>0</v>
      </c>
      <c r="O201" s="59">
        <f t="shared" si="26"/>
        <v>0</v>
      </c>
      <c r="P201" s="19" t="str">
        <f t="shared" si="27"/>
        <v/>
      </c>
      <c r="Q201" s="19" t="s">
        <v>237</v>
      </c>
    </row>
    <row r="202" spans="2:17" ht="30" customHeight="1" x14ac:dyDescent="0.25">
      <c r="B202" s="62" t="str">
        <f t="shared" si="21"/>
        <v/>
      </c>
      <c r="C202" s="42">
        <v>198</v>
      </c>
      <c r="D202" s="20"/>
      <c r="E202" s="58"/>
      <c r="F202" s="63" t="str">
        <f t="shared" si="22"/>
        <v/>
      </c>
      <c r="G202" s="66" t="str">
        <f>IF(D202="","",IFERROR('Prod 3'!H202/'Prod 3'!$H$3,0))</f>
        <v/>
      </c>
      <c r="H202" s="70" t="str">
        <f>IF(D202="","",'Prod 2'!K202)</f>
        <v/>
      </c>
      <c r="I202" s="77" t="str">
        <f t="shared" si="23"/>
        <v/>
      </c>
      <c r="J202" s="57"/>
      <c r="L202" s="19">
        <v>1.98E-7</v>
      </c>
      <c r="M202" s="59">
        <f t="shared" si="24"/>
        <v>0</v>
      </c>
      <c r="N202" s="59">
        <f t="shared" si="25"/>
        <v>0</v>
      </c>
      <c r="O202" s="59">
        <f t="shared" si="26"/>
        <v>0</v>
      </c>
      <c r="P202" s="19" t="str">
        <f t="shared" si="27"/>
        <v/>
      </c>
      <c r="Q202" s="19" t="s">
        <v>238</v>
      </c>
    </row>
    <row r="203" spans="2:17" ht="30" customHeight="1" x14ac:dyDescent="0.25">
      <c r="B203" s="62" t="str">
        <f t="shared" si="21"/>
        <v/>
      </c>
      <c r="C203" s="42">
        <v>199</v>
      </c>
      <c r="D203" s="20"/>
      <c r="E203" s="58"/>
      <c r="F203" s="63" t="str">
        <f t="shared" si="22"/>
        <v/>
      </c>
      <c r="G203" s="66" t="str">
        <f>IF(D203="","",IFERROR('Prod 3'!H203/'Prod 3'!$H$3,0))</f>
        <v/>
      </c>
      <c r="H203" s="70" t="str">
        <f>IF(D203="","",'Prod 2'!K203)</f>
        <v/>
      </c>
      <c r="I203" s="77" t="str">
        <f t="shared" si="23"/>
        <v/>
      </c>
      <c r="J203" s="57"/>
      <c r="L203" s="19">
        <v>1.99E-7</v>
      </c>
      <c r="M203" s="59">
        <f t="shared" si="24"/>
        <v>0</v>
      </c>
      <c r="N203" s="59">
        <f t="shared" si="25"/>
        <v>0</v>
      </c>
      <c r="O203" s="59">
        <f t="shared" si="26"/>
        <v>0</v>
      </c>
      <c r="P203" s="19" t="str">
        <f t="shared" si="27"/>
        <v/>
      </c>
      <c r="Q203" s="19" t="s">
        <v>239</v>
      </c>
    </row>
    <row r="204" spans="2:17" ht="30" customHeight="1" x14ac:dyDescent="0.25">
      <c r="B204" s="62" t="str">
        <f t="shared" si="21"/>
        <v/>
      </c>
      <c r="C204" s="42">
        <v>200</v>
      </c>
      <c r="D204" s="20"/>
      <c r="E204" s="58"/>
      <c r="F204" s="63" t="str">
        <f t="shared" si="22"/>
        <v/>
      </c>
      <c r="G204" s="66" t="str">
        <f>IF(D204="","",IFERROR('Prod 3'!H204/'Prod 3'!$H$3,0))</f>
        <v/>
      </c>
      <c r="H204" s="70" t="str">
        <f>IF(D204="","",'Prod 2'!K204)</f>
        <v/>
      </c>
      <c r="I204" s="77" t="str">
        <f t="shared" si="23"/>
        <v/>
      </c>
      <c r="J204" s="57"/>
      <c r="L204" s="19">
        <v>1.9999999999999999E-7</v>
      </c>
      <c r="M204" s="59">
        <f t="shared" si="24"/>
        <v>0</v>
      </c>
      <c r="N204" s="59">
        <f t="shared" si="25"/>
        <v>0</v>
      </c>
      <c r="O204" s="59">
        <f t="shared" si="26"/>
        <v>0</v>
      </c>
      <c r="P204" s="19" t="str">
        <f t="shared" si="27"/>
        <v/>
      </c>
      <c r="Q204" s="19" t="s">
        <v>240</v>
      </c>
    </row>
    <row r="205" spans="2:17" ht="30" customHeight="1" x14ac:dyDescent="0.25">
      <c r="B205" s="62" t="str">
        <f t="shared" si="21"/>
        <v/>
      </c>
      <c r="C205" s="42">
        <v>201</v>
      </c>
      <c r="D205" s="20"/>
      <c r="E205" s="58"/>
      <c r="F205" s="63" t="str">
        <f t="shared" si="22"/>
        <v/>
      </c>
      <c r="G205" s="66" t="str">
        <f>IF(D205="","",IFERROR('Prod 3'!H205/'Prod 3'!$H$3,0))</f>
        <v/>
      </c>
      <c r="H205" s="70" t="str">
        <f>IF(D205="","",'Prod 2'!K205)</f>
        <v/>
      </c>
      <c r="I205" s="77" t="str">
        <f t="shared" si="23"/>
        <v/>
      </c>
      <c r="J205" s="57"/>
      <c r="L205" s="19">
        <v>2.0100000000000001E-7</v>
      </c>
      <c r="M205" s="59">
        <f t="shared" si="24"/>
        <v>0</v>
      </c>
      <c r="N205" s="59">
        <f t="shared" si="25"/>
        <v>0</v>
      </c>
      <c r="O205" s="59">
        <f t="shared" si="26"/>
        <v>0</v>
      </c>
      <c r="P205" s="19" t="str">
        <f t="shared" si="27"/>
        <v/>
      </c>
      <c r="Q205" s="19" t="s">
        <v>241</v>
      </c>
    </row>
    <row r="206" spans="2:17" ht="30" customHeight="1" x14ac:dyDescent="0.25">
      <c r="B206" s="62" t="str">
        <f t="shared" si="21"/>
        <v/>
      </c>
      <c r="C206" s="42">
        <v>202</v>
      </c>
      <c r="D206" s="20"/>
      <c r="E206" s="58"/>
      <c r="F206" s="63" t="str">
        <f t="shared" si="22"/>
        <v/>
      </c>
      <c r="G206" s="66" t="str">
        <f>IF(D206="","",IFERROR('Prod 3'!H206/'Prod 3'!$H$3,0))</f>
        <v/>
      </c>
      <c r="H206" s="70" t="str">
        <f>IF(D206="","",'Prod 2'!K206)</f>
        <v/>
      </c>
      <c r="I206" s="77" t="str">
        <f t="shared" si="23"/>
        <v/>
      </c>
      <c r="J206" s="57"/>
      <c r="L206" s="19">
        <v>2.0200000000000001E-7</v>
      </c>
      <c r="M206" s="59">
        <f t="shared" si="24"/>
        <v>0</v>
      </c>
      <c r="N206" s="59">
        <f t="shared" si="25"/>
        <v>0</v>
      </c>
      <c r="O206" s="59">
        <f t="shared" si="26"/>
        <v>0</v>
      </c>
      <c r="P206" s="19" t="str">
        <f t="shared" si="27"/>
        <v/>
      </c>
      <c r="Q206" s="19" t="s">
        <v>242</v>
      </c>
    </row>
    <row r="207" spans="2:17" ht="30" customHeight="1" x14ac:dyDescent="0.25">
      <c r="B207" s="62" t="str">
        <f t="shared" si="21"/>
        <v/>
      </c>
      <c r="C207" s="42">
        <v>203</v>
      </c>
      <c r="D207" s="20"/>
      <c r="E207" s="58"/>
      <c r="F207" s="63" t="str">
        <f t="shared" si="22"/>
        <v/>
      </c>
      <c r="G207" s="66" t="str">
        <f>IF(D207="","",IFERROR('Prod 3'!H207/'Prod 3'!$H$3,0))</f>
        <v/>
      </c>
      <c r="H207" s="70" t="str">
        <f>IF(D207="","",'Prod 2'!K207)</f>
        <v/>
      </c>
      <c r="I207" s="77" t="str">
        <f t="shared" si="23"/>
        <v/>
      </c>
      <c r="J207" s="57"/>
      <c r="L207" s="19">
        <v>2.03E-7</v>
      </c>
      <c r="M207" s="59">
        <f t="shared" si="24"/>
        <v>0</v>
      </c>
      <c r="N207" s="59">
        <f t="shared" si="25"/>
        <v>0</v>
      </c>
      <c r="O207" s="59">
        <f t="shared" si="26"/>
        <v>0</v>
      </c>
      <c r="P207" s="19" t="str">
        <f t="shared" si="27"/>
        <v/>
      </c>
      <c r="Q207" s="19" t="s">
        <v>243</v>
      </c>
    </row>
    <row r="208" spans="2:17" ht="30" customHeight="1" x14ac:dyDescent="0.25">
      <c r="B208" s="62" t="str">
        <f t="shared" si="21"/>
        <v/>
      </c>
      <c r="C208" s="42">
        <v>204</v>
      </c>
      <c r="D208" s="20"/>
      <c r="E208" s="58"/>
      <c r="F208" s="63" t="str">
        <f t="shared" si="22"/>
        <v/>
      </c>
      <c r="G208" s="66" t="str">
        <f>IF(D208="","",IFERROR('Prod 3'!H208/'Prod 3'!$H$3,0))</f>
        <v/>
      </c>
      <c r="H208" s="70" t="str">
        <f>IF(D208="","",'Prod 2'!K208)</f>
        <v/>
      </c>
      <c r="I208" s="77" t="str">
        <f t="shared" si="23"/>
        <v/>
      </c>
      <c r="J208" s="57"/>
      <c r="L208" s="19">
        <v>2.04E-7</v>
      </c>
      <c r="M208" s="59">
        <f t="shared" si="24"/>
        <v>0</v>
      </c>
      <c r="N208" s="59">
        <f t="shared" si="25"/>
        <v>0</v>
      </c>
      <c r="O208" s="59">
        <f t="shared" si="26"/>
        <v>0</v>
      </c>
      <c r="P208" s="19" t="str">
        <f t="shared" si="27"/>
        <v/>
      </c>
      <c r="Q208" s="19" t="s">
        <v>244</v>
      </c>
    </row>
    <row r="209" spans="2:17" ht="30" customHeight="1" x14ac:dyDescent="0.25">
      <c r="B209" s="62" t="str">
        <f t="shared" si="21"/>
        <v/>
      </c>
      <c r="C209" s="42">
        <v>205</v>
      </c>
      <c r="D209" s="20"/>
      <c r="E209" s="58"/>
      <c r="F209" s="63" t="str">
        <f t="shared" si="22"/>
        <v/>
      </c>
      <c r="G209" s="66" t="str">
        <f>IF(D209="","",IFERROR('Prod 3'!H209/'Prod 3'!$H$3,0))</f>
        <v/>
      </c>
      <c r="H209" s="70" t="str">
        <f>IF(D209="","",'Prod 2'!K209)</f>
        <v/>
      </c>
      <c r="I209" s="77" t="str">
        <f t="shared" si="23"/>
        <v/>
      </c>
      <c r="J209" s="57"/>
      <c r="L209" s="19">
        <v>2.05E-7</v>
      </c>
      <c r="M209" s="59">
        <f t="shared" si="24"/>
        <v>0</v>
      </c>
      <c r="N209" s="59">
        <f t="shared" si="25"/>
        <v>0</v>
      </c>
      <c r="O209" s="59">
        <f t="shared" si="26"/>
        <v>0</v>
      </c>
      <c r="P209" s="19" t="str">
        <f t="shared" si="27"/>
        <v/>
      </c>
      <c r="Q209" s="19" t="s">
        <v>245</v>
      </c>
    </row>
    <row r="210" spans="2:17" ht="30" customHeight="1" x14ac:dyDescent="0.25">
      <c r="B210" s="62" t="str">
        <f t="shared" si="21"/>
        <v/>
      </c>
      <c r="C210" s="42">
        <v>206</v>
      </c>
      <c r="D210" s="20"/>
      <c r="E210" s="58"/>
      <c r="F210" s="63" t="str">
        <f t="shared" si="22"/>
        <v/>
      </c>
      <c r="G210" s="66" t="str">
        <f>IF(D210="","",IFERROR('Prod 3'!H210/'Prod 3'!$H$3,0))</f>
        <v/>
      </c>
      <c r="H210" s="70" t="str">
        <f>IF(D210="","",'Prod 2'!K210)</f>
        <v/>
      </c>
      <c r="I210" s="77" t="str">
        <f t="shared" si="23"/>
        <v/>
      </c>
      <c r="J210" s="57"/>
      <c r="L210" s="19">
        <v>2.0599999999999999E-7</v>
      </c>
      <c r="M210" s="59">
        <f t="shared" si="24"/>
        <v>0</v>
      </c>
      <c r="N210" s="59">
        <f t="shared" si="25"/>
        <v>0</v>
      </c>
      <c r="O210" s="59">
        <f t="shared" si="26"/>
        <v>0</v>
      </c>
      <c r="P210" s="19" t="str">
        <f t="shared" si="27"/>
        <v/>
      </c>
      <c r="Q210" s="19" t="s">
        <v>246</v>
      </c>
    </row>
    <row r="211" spans="2:17" ht="30" customHeight="1" x14ac:dyDescent="0.25">
      <c r="B211" s="62" t="str">
        <f t="shared" si="21"/>
        <v/>
      </c>
      <c r="C211" s="42">
        <v>207</v>
      </c>
      <c r="D211" s="20"/>
      <c r="E211" s="58"/>
      <c r="F211" s="63" t="str">
        <f t="shared" si="22"/>
        <v/>
      </c>
      <c r="G211" s="66" t="str">
        <f>IF(D211="","",IFERROR('Prod 3'!H211/'Prod 3'!$H$3,0))</f>
        <v/>
      </c>
      <c r="H211" s="70" t="str">
        <f>IF(D211="","",'Prod 2'!K211)</f>
        <v/>
      </c>
      <c r="I211" s="77" t="str">
        <f t="shared" si="23"/>
        <v/>
      </c>
      <c r="J211" s="57"/>
      <c r="L211" s="19">
        <v>2.0699999999999999E-7</v>
      </c>
      <c r="M211" s="59">
        <f t="shared" si="24"/>
        <v>0</v>
      </c>
      <c r="N211" s="59">
        <f t="shared" si="25"/>
        <v>0</v>
      </c>
      <c r="O211" s="59">
        <f t="shared" si="26"/>
        <v>0</v>
      </c>
      <c r="P211" s="19" t="str">
        <f t="shared" si="27"/>
        <v/>
      </c>
      <c r="Q211" s="19" t="s">
        <v>247</v>
      </c>
    </row>
    <row r="212" spans="2:17" ht="30" customHeight="1" x14ac:dyDescent="0.25">
      <c r="B212" s="62" t="str">
        <f t="shared" si="21"/>
        <v/>
      </c>
      <c r="C212" s="42">
        <v>208</v>
      </c>
      <c r="D212" s="20"/>
      <c r="E212" s="58"/>
      <c r="F212" s="63" t="str">
        <f t="shared" si="22"/>
        <v/>
      </c>
      <c r="G212" s="66" t="str">
        <f>IF(D212="","",IFERROR('Prod 3'!H212/'Prod 3'!$H$3,0))</f>
        <v/>
      </c>
      <c r="H212" s="70" t="str">
        <f>IF(D212="","",'Prod 2'!K212)</f>
        <v/>
      </c>
      <c r="I212" s="77" t="str">
        <f t="shared" si="23"/>
        <v/>
      </c>
      <c r="J212" s="57"/>
      <c r="L212" s="19">
        <v>2.0800000000000001E-7</v>
      </c>
      <c r="M212" s="59">
        <f t="shared" si="24"/>
        <v>0</v>
      </c>
      <c r="N212" s="59">
        <f t="shared" si="25"/>
        <v>0</v>
      </c>
      <c r="O212" s="59">
        <f t="shared" si="26"/>
        <v>0</v>
      </c>
      <c r="P212" s="19" t="str">
        <f t="shared" si="27"/>
        <v/>
      </c>
      <c r="Q212" s="19" t="s">
        <v>248</v>
      </c>
    </row>
    <row r="213" spans="2:17" ht="30" customHeight="1" x14ac:dyDescent="0.25">
      <c r="B213" s="62" t="str">
        <f t="shared" si="21"/>
        <v/>
      </c>
      <c r="C213" s="42">
        <v>209</v>
      </c>
      <c r="D213" s="20"/>
      <c r="E213" s="58"/>
      <c r="F213" s="63" t="str">
        <f t="shared" si="22"/>
        <v/>
      </c>
      <c r="G213" s="66" t="str">
        <f>IF(D213="","",IFERROR('Prod 3'!H213/'Prod 3'!$H$3,0))</f>
        <v/>
      </c>
      <c r="H213" s="70" t="str">
        <f>IF(D213="","",'Prod 2'!K213)</f>
        <v/>
      </c>
      <c r="I213" s="77" t="str">
        <f t="shared" si="23"/>
        <v/>
      </c>
      <c r="J213" s="57"/>
      <c r="L213" s="19">
        <v>2.0900000000000001E-7</v>
      </c>
      <c r="M213" s="59">
        <f t="shared" si="24"/>
        <v>0</v>
      </c>
      <c r="N213" s="59">
        <f t="shared" si="25"/>
        <v>0</v>
      </c>
      <c r="O213" s="59">
        <f t="shared" si="26"/>
        <v>0</v>
      </c>
      <c r="P213" s="19" t="str">
        <f t="shared" si="27"/>
        <v/>
      </c>
      <c r="Q213" s="19" t="s">
        <v>249</v>
      </c>
    </row>
    <row r="214" spans="2:17" ht="30" customHeight="1" x14ac:dyDescent="0.25">
      <c r="B214" s="62" t="str">
        <f t="shared" si="21"/>
        <v/>
      </c>
      <c r="C214" s="42">
        <v>210</v>
      </c>
      <c r="D214" s="20"/>
      <c r="E214" s="58"/>
      <c r="F214" s="63" t="str">
        <f t="shared" si="22"/>
        <v/>
      </c>
      <c r="G214" s="66" t="str">
        <f>IF(D214="","",IFERROR('Prod 3'!H214/'Prod 3'!$H$3,0))</f>
        <v/>
      </c>
      <c r="H214" s="70" t="str">
        <f>IF(D214="","",'Prod 2'!K214)</f>
        <v/>
      </c>
      <c r="I214" s="77" t="str">
        <f t="shared" si="23"/>
        <v/>
      </c>
      <c r="J214" s="57"/>
      <c r="L214" s="19">
        <v>2.1E-7</v>
      </c>
      <c r="M214" s="59">
        <f t="shared" si="24"/>
        <v>0</v>
      </c>
      <c r="N214" s="59">
        <f t="shared" si="25"/>
        <v>0</v>
      </c>
      <c r="O214" s="59">
        <f t="shared" si="26"/>
        <v>0</v>
      </c>
      <c r="P214" s="19" t="str">
        <f t="shared" si="27"/>
        <v/>
      </c>
      <c r="Q214" s="19" t="s">
        <v>250</v>
      </c>
    </row>
    <row r="215" spans="2:17" ht="30" customHeight="1" x14ac:dyDescent="0.25">
      <c r="B215" s="62" t="str">
        <f t="shared" si="21"/>
        <v/>
      </c>
      <c r="C215" s="42">
        <v>211</v>
      </c>
      <c r="D215" s="20"/>
      <c r="E215" s="58"/>
      <c r="F215" s="63" t="str">
        <f t="shared" si="22"/>
        <v/>
      </c>
      <c r="G215" s="66" t="str">
        <f>IF(D215="","",IFERROR('Prod 3'!H215/'Prod 3'!$H$3,0))</f>
        <v/>
      </c>
      <c r="H215" s="70" t="str">
        <f>IF(D215="","",'Prod 2'!K215)</f>
        <v/>
      </c>
      <c r="I215" s="77" t="str">
        <f t="shared" si="23"/>
        <v/>
      </c>
      <c r="J215" s="57"/>
      <c r="L215" s="19">
        <v>2.11E-7</v>
      </c>
      <c r="M215" s="59">
        <f t="shared" si="24"/>
        <v>0</v>
      </c>
      <c r="N215" s="59">
        <f t="shared" si="25"/>
        <v>0</v>
      </c>
      <c r="O215" s="59">
        <f t="shared" si="26"/>
        <v>0</v>
      </c>
      <c r="P215" s="19" t="str">
        <f t="shared" si="27"/>
        <v/>
      </c>
      <c r="Q215" s="19" t="s">
        <v>251</v>
      </c>
    </row>
    <row r="216" spans="2:17" ht="30" customHeight="1" x14ac:dyDescent="0.25">
      <c r="B216" s="62" t="str">
        <f t="shared" si="21"/>
        <v/>
      </c>
      <c r="C216" s="42">
        <v>212</v>
      </c>
      <c r="D216" s="20"/>
      <c r="E216" s="58"/>
      <c r="F216" s="63" t="str">
        <f t="shared" si="22"/>
        <v/>
      </c>
      <c r="G216" s="66" t="str">
        <f>IF(D216="","",IFERROR('Prod 3'!H216/'Prod 3'!$H$3,0))</f>
        <v/>
      </c>
      <c r="H216" s="70" t="str">
        <f>IF(D216="","",'Prod 2'!K216)</f>
        <v/>
      </c>
      <c r="I216" s="77" t="str">
        <f t="shared" si="23"/>
        <v/>
      </c>
      <c r="J216" s="57"/>
      <c r="L216" s="19">
        <v>2.1199999999999999E-7</v>
      </c>
      <c r="M216" s="59">
        <f t="shared" si="24"/>
        <v>0</v>
      </c>
      <c r="N216" s="59">
        <f t="shared" si="25"/>
        <v>0</v>
      </c>
      <c r="O216" s="59">
        <f t="shared" si="26"/>
        <v>0</v>
      </c>
      <c r="P216" s="19" t="str">
        <f t="shared" si="27"/>
        <v/>
      </c>
      <c r="Q216" s="19" t="s">
        <v>252</v>
      </c>
    </row>
    <row r="217" spans="2:17" ht="30" customHeight="1" x14ac:dyDescent="0.25">
      <c r="B217" s="62" t="str">
        <f t="shared" si="21"/>
        <v/>
      </c>
      <c r="C217" s="42">
        <v>213</v>
      </c>
      <c r="D217" s="20"/>
      <c r="E217" s="58"/>
      <c r="F217" s="63" t="str">
        <f t="shared" si="22"/>
        <v/>
      </c>
      <c r="G217" s="66" t="str">
        <f>IF(D217="","",IFERROR('Prod 3'!H217/'Prod 3'!$H$3,0))</f>
        <v/>
      </c>
      <c r="H217" s="70" t="str">
        <f>IF(D217="","",'Prod 2'!K217)</f>
        <v/>
      </c>
      <c r="I217" s="77" t="str">
        <f t="shared" si="23"/>
        <v/>
      </c>
      <c r="J217" s="57"/>
      <c r="L217" s="19">
        <v>2.1299999999999999E-7</v>
      </c>
      <c r="M217" s="59">
        <f t="shared" si="24"/>
        <v>0</v>
      </c>
      <c r="N217" s="59">
        <f t="shared" si="25"/>
        <v>0</v>
      </c>
      <c r="O217" s="59">
        <f t="shared" si="26"/>
        <v>0</v>
      </c>
      <c r="P217" s="19" t="str">
        <f t="shared" si="27"/>
        <v/>
      </c>
      <c r="Q217" s="19" t="s">
        <v>253</v>
      </c>
    </row>
    <row r="218" spans="2:17" ht="30" customHeight="1" x14ac:dyDescent="0.25">
      <c r="B218" s="62" t="str">
        <f t="shared" si="21"/>
        <v/>
      </c>
      <c r="C218" s="42">
        <v>214</v>
      </c>
      <c r="D218" s="20"/>
      <c r="E218" s="58"/>
      <c r="F218" s="63" t="str">
        <f t="shared" si="22"/>
        <v/>
      </c>
      <c r="G218" s="66" t="str">
        <f>IF(D218="","",IFERROR('Prod 3'!H218/'Prod 3'!$H$3,0))</f>
        <v/>
      </c>
      <c r="H218" s="70" t="str">
        <f>IF(D218="","",'Prod 2'!K218)</f>
        <v/>
      </c>
      <c r="I218" s="77" t="str">
        <f t="shared" si="23"/>
        <v/>
      </c>
      <c r="J218" s="57"/>
      <c r="L218" s="19">
        <v>2.1400000000000001E-7</v>
      </c>
      <c r="M218" s="59">
        <f t="shared" si="24"/>
        <v>0</v>
      </c>
      <c r="N218" s="59">
        <f t="shared" si="25"/>
        <v>0</v>
      </c>
      <c r="O218" s="59">
        <f t="shared" si="26"/>
        <v>0</v>
      </c>
      <c r="P218" s="19" t="str">
        <f t="shared" si="27"/>
        <v/>
      </c>
      <c r="Q218" s="19" t="s">
        <v>254</v>
      </c>
    </row>
    <row r="219" spans="2:17" ht="30" customHeight="1" x14ac:dyDescent="0.25">
      <c r="B219" s="62" t="str">
        <f t="shared" si="21"/>
        <v/>
      </c>
      <c r="C219" s="42">
        <v>215</v>
      </c>
      <c r="D219" s="20"/>
      <c r="E219" s="58"/>
      <c r="F219" s="63" t="str">
        <f t="shared" si="22"/>
        <v/>
      </c>
      <c r="G219" s="66" t="str">
        <f>IF(D219="","",IFERROR('Prod 3'!H219/'Prod 3'!$H$3,0))</f>
        <v/>
      </c>
      <c r="H219" s="70" t="str">
        <f>IF(D219="","",'Prod 2'!K219)</f>
        <v/>
      </c>
      <c r="I219" s="77" t="str">
        <f t="shared" si="23"/>
        <v/>
      </c>
      <c r="J219" s="57"/>
      <c r="L219" s="19">
        <v>2.1500000000000001E-7</v>
      </c>
      <c r="M219" s="59">
        <f t="shared" si="24"/>
        <v>0</v>
      </c>
      <c r="N219" s="59">
        <f t="shared" si="25"/>
        <v>0</v>
      </c>
      <c r="O219" s="59">
        <f t="shared" si="26"/>
        <v>0</v>
      </c>
      <c r="P219" s="19" t="str">
        <f t="shared" si="27"/>
        <v/>
      </c>
      <c r="Q219" s="19" t="s">
        <v>255</v>
      </c>
    </row>
    <row r="220" spans="2:17" ht="30" customHeight="1" x14ac:dyDescent="0.25">
      <c r="B220" s="62" t="str">
        <f t="shared" si="21"/>
        <v/>
      </c>
      <c r="C220" s="42">
        <v>216</v>
      </c>
      <c r="D220" s="20"/>
      <c r="E220" s="58"/>
      <c r="F220" s="63" t="str">
        <f t="shared" si="22"/>
        <v/>
      </c>
      <c r="G220" s="66" t="str">
        <f>IF(D220="","",IFERROR('Prod 3'!H220/'Prod 3'!$H$3,0))</f>
        <v/>
      </c>
      <c r="H220" s="70" t="str">
        <f>IF(D220="","",'Prod 2'!K220)</f>
        <v/>
      </c>
      <c r="I220" s="77" t="str">
        <f t="shared" si="23"/>
        <v/>
      </c>
      <c r="J220" s="57"/>
      <c r="L220" s="19">
        <v>2.16E-7</v>
      </c>
      <c r="M220" s="59">
        <f t="shared" si="24"/>
        <v>0</v>
      </c>
      <c r="N220" s="59">
        <f t="shared" si="25"/>
        <v>0</v>
      </c>
      <c r="O220" s="59">
        <f t="shared" si="26"/>
        <v>0</v>
      </c>
      <c r="P220" s="19" t="str">
        <f t="shared" si="27"/>
        <v/>
      </c>
      <c r="Q220" s="19" t="s">
        <v>256</v>
      </c>
    </row>
    <row r="221" spans="2:17" ht="30" customHeight="1" x14ac:dyDescent="0.25">
      <c r="B221" s="62" t="str">
        <f t="shared" si="21"/>
        <v/>
      </c>
      <c r="C221" s="42">
        <v>217</v>
      </c>
      <c r="D221" s="20"/>
      <c r="E221" s="58"/>
      <c r="F221" s="63" t="str">
        <f t="shared" si="22"/>
        <v/>
      </c>
      <c r="G221" s="66" t="str">
        <f>IF(D221="","",IFERROR('Prod 3'!H221/'Prod 3'!$H$3,0))</f>
        <v/>
      </c>
      <c r="H221" s="70" t="str">
        <f>IF(D221="","",'Prod 2'!K221)</f>
        <v/>
      </c>
      <c r="I221" s="77" t="str">
        <f t="shared" si="23"/>
        <v/>
      </c>
      <c r="J221" s="57"/>
      <c r="L221" s="19">
        <v>2.17E-7</v>
      </c>
      <c r="M221" s="59">
        <f t="shared" si="24"/>
        <v>0</v>
      </c>
      <c r="N221" s="59">
        <f t="shared" si="25"/>
        <v>0</v>
      </c>
      <c r="O221" s="59">
        <f t="shared" si="26"/>
        <v>0</v>
      </c>
      <c r="P221" s="19" t="str">
        <f t="shared" si="27"/>
        <v/>
      </c>
      <c r="Q221" s="19" t="s">
        <v>257</v>
      </c>
    </row>
    <row r="222" spans="2:17" ht="30" customHeight="1" x14ac:dyDescent="0.25">
      <c r="B222" s="62" t="str">
        <f t="shared" si="21"/>
        <v/>
      </c>
      <c r="C222" s="42">
        <v>218</v>
      </c>
      <c r="D222" s="20"/>
      <c r="E222" s="58"/>
      <c r="F222" s="63" t="str">
        <f t="shared" si="22"/>
        <v/>
      </c>
      <c r="G222" s="66" t="str">
        <f>IF(D222="","",IFERROR('Prod 3'!H222/'Prod 3'!$H$3,0))</f>
        <v/>
      </c>
      <c r="H222" s="70" t="str">
        <f>IF(D222="","",'Prod 2'!K222)</f>
        <v/>
      </c>
      <c r="I222" s="77" t="str">
        <f t="shared" si="23"/>
        <v/>
      </c>
      <c r="J222" s="57"/>
      <c r="L222" s="19">
        <v>2.1799999999999999E-7</v>
      </c>
      <c r="M222" s="59">
        <f t="shared" si="24"/>
        <v>0</v>
      </c>
      <c r="N222" s="59">
        <f t="shared" si="25"/>
        <v>0</v>
      </c>
      <c r="O222" s="59">
        <f t="shared" si="26"/>
        <v>0</v>
      </c>
      <c r="P222" s="19" t="str">
        <f t="shared" si="27"/>
        <v/>
      </c>
      <c r="Q222" s="19" t="s">
        <v>258</v>
      </c>
    </row>
    <row r="223" spans="2:17" ht="30" customHeight="1" x14ac:dyDescent="0.25">
      <c r="B223" s="62" t="str">
        <f t="shared" si="21"/>
        <v/>
      </c>
      <c r="C223" s="42">
        <v>219</v>
      </c>
      <c r="D223" s="20"/>
      <c r="E223" s="58"/>
      <c r="F223" s="63" t="str">
        <f t="shared" si="22"/>
        <v/>
      </c>
      <c r="G223" s="66" t="str">
        <f>IF(D223="","",IFERROR('Prod 3'!H223/'Prod 3'!$H$3,0))</f>
        <v/>
      </c>
      <c r="H223" s="70" t="str">
        <f>IF(D223="","",'Prod 2'!K223)</f>
        <v/>
      </c>
      <c r="I223" s="77" t="str">
        <f t="shared" si="23"/>
        <v/>
      </c>
      <c r="J223" s="57"/>
      <c r="L223" s="19">
        <v>2.1899999999999999E-7</v>
      </c>
      <c r="M223" s="59">
        <f t="shared" si="24"/>
        <v>0</v>
      </c>
      <c r="N223" s="59">
        <f t="shared" si="25"/>
        <v>0</v>
      </c>
      <c r="O223" s="59">
        <f t="shared" si="26"/>
        <v>0</v>
      </c>
      <c r="P223" s="19" t="str">
        <f t="shared" si="27"/>
        <v/>
      </c>
      <c r="Q223" s="19" t="s">
        <v>259</v>
      </c>
    </row>
    <row r="224" spans="2:17" ht="30" customHeight="1" x14ac:dyDescent="0.25">
      <c r="B224" s="62" t="str">
        <f t="shared" si="21"/>
        <v/>
      </c>
      <c r="C224" s="42">
        <v>220</v>
      </c>
      <c r="D224" s="20"/>
      <c r="E224" s="58"/>
      <c r="F224" s="63" t="str">
        <f t="shared" si="22"/>
        <v/>
      </c>
      <c r="G224" s="66" t="str">
        <f>IF(D224="","",IFERROR('Prod 3'!H224/'Prod 3'!$H$3,0))</f>
        <v/>
      </c>
      <c r="H224" s="70" t="str">
        <f>IF(D224="","",'Prod 2'!K224)</f>
        <v/>
      </c>
      <c r="I224" s="77" t="str">
        <f t="shared" si="23"/>
        <v/>
      </c>
      <c r="J224" s="57"/>
      <c r="L224" s="19">
        <v>2.2000000000000001E-7</v>
      </c>
      <c r="M224" s="59">
        <f t="shared" si="24"/>
        <v>0</v>
      </c>
      <c r="N224" s="59">
        <f t="shared" si="25"/>
        <v>0</v>
      </c>
      <c r="O224" s="59">
        <f t="shared" si="26"/>
        <v>0</v>
      </c>
      <c r="P224" s="19" t="str">
        <f t="shared" si="27"/>
        <v/>
      </c>
      <c r="Q224" s="19" t="s">
        <v>260</v>
      </c>
    </row>
    <row r="225" spans="2:17" ht="30" customHeight="1" x14ac:dyDescent="0.25">
      <c r="B225" s="62" t="str">
        <f t="shared" si="21"/>
        <v/>
      </c>
      <c r="C225" s="42">
        <v>221</v>
      </c>
      <c r="D225" s="20"/>
      <c r="E225" s="58"/>
      <c r="F225" s="63" t="str">
        <f t="shared" si="22"/>
        <v/>
      </c>
      <c r="G225" s="66" t="str">
        <f>IF(D225="","",IFERROR('Prod 3'!H225/'Prod 3'!$H$3,0))</f>
        <v/>
      </c>
      <c r="H225" s="70" t="str">
        <f>IF(D225="","",'Prod 2'!K225)</f>
        <v/>
      </c>
      <c r="I225" s="77" t="str">
        <f t="shared" si="23"/>
        <v/>
      </c>
      <c r="J225" s="57"/>
      <c r="L225" s="19">
        <v>2.2100000000000001E-7</v>
      </c>
      <c r="M225" s="59">
        <f t="shared" si="24"/>
        <v>0</v>
      </c>
      <c r="N225" s="59">
        <f t="shared" si="25"/>
        <v>0</v>
      </c>
      <c r="O225" s="59">
        <f t="shared" si="26"/>
        <v>0</v>
      </c>
      <c r="P225" s="19" t="str">
        <f t="shared" si="27"/>
        <v/>
      </c>
      <c r="Q225" s="19" t="s">
        <v>261</v>
      </c>
    </row>
    <row r="226" spans="2:17" ht="30" customHeight="1" x14ac:dyDescent="0.25">
      <c r="B226" s="62" t="str">
        <f t="shared" si="21"/>
        <v/>
      </c>
      <c r="C226" s="42">
        <v>222</v>
      </c>
      <c r="D226" s="20"/>
      <c r="E226" s="58"/>
      <c r="F226" s="63" t="str">
        <f t="shared" si="22"/>
        <v/>
      </c>
      <c r="G226" s="66" t="str">
        <f>IF(D226="","",IFERROR('Prod 3'!H226/'Prod 3'!$H$3,0))</f>
        <v/>
      </c>
      <c r="H226" s="70" t="str">
        <f>IF(D226="","",'Prod 2'!K226)</f>
        <v/>
      </c>
      <c r="I226" s="77" t="str">
        <f t="shared" si="23"/>
        <v/>
      </c>
      <c r="J226" s="57"/>
      <c r="L226" s="19">
        <v>2.22E-7</v>
      </c>
      <c r="M226" s="59">
        <f t="shared" si="24"/>
        <v>0</v>
      </c>
      <c r="N226" s="59">
        <f t="shared" si="25"/>
        <v>0</v>
      </c>
      <c r="O226" s="59">
        <f t="shared" si="26"/>
        <v>0</v>
      </c>
      <c r="P226" s="19" t="str">
        <f t="shared" si="27"/>
        <v/>
      </c>
      <c r="Q226" s="19" t="s">
        <v>262</v>
      </c>
    </row>
    <row r="227" spans="2:17" ht="30" customHeight="1" x14ac:dyDescent="0.25">
      <c r="B227" s="62" t="str">
        <f t="shared" si="21"/>
        <v/>
      </c>
      <c r="C227" s="42">
        <v>223</v>
      </c>
      <c r="D227" s="20"/>
      <c r="E227" s="58"/>
      <c r="F227" s="63" t="str">
        <f t="shared" si="22"/>
        <v/>
      </c>
      <c r="G227" s="66" t="str">
        <f>IF(D227="","",IFERROR('Prod 3'!H227/'Prod 3'!$H$3,0))</f>
        <v/>
      </c>
      <c r="H227" s="70" t="str">
        <f>IF(D227="","",'Prod 2'!K227)</f>
        <v/>
      </c>
      <c r="I227" s="77" t="str">
        <f t="shared" si="23"/>
        <v/>
      </c>
      <c r="J227" s="57"/>
      <c r="L227" s="19">
        <v>2.23E-7</v>
      </c>
      <c r="M227" s="59">
        <f t="shared" si="24"/>
        <v>0</v>
      </c>
      <c r="N227" s="59">
        <f t="shared" si="25"/>
        <v>0</v>
      </c>
      <c r="O227" s="59">
        <f t="shared" si="26"/>
        <v>0</v>
      </c>
      <c r="P227" s="19" t="str">
        <f t="shared" si="27"/>
        <v/>
      </c>
      <c r="Q227" s="19" t="s">
        <v>263</v>
      </c>
    </row>
    <row r="228" spans="2:17" ht="30" customHeight="1" x14ac:dyDescent="0.25">
      <c r="B228" s="62" t="str">
        <f t="shared" si="21"/>
        <v/>
      </c>
      <c r="C228" s="42">
        <v>224</v>
      </c>
      <c r="D228" s="20"/>
      <c r="E228" s="58"/>
      <c r="F228" s="63" t="str">
        <f t="shared" si="22"/>
        <v/>
      </c>
      <c r="G228" s="66" t="str">
        <f>IF(D228="","",IFERROR('Prod 3'!H228/'Prod 3'!$H$3,0))</f>
        <v/>
      </c>
      <c r="H228" s="70" t="str">
        <f>IF(D228="","",'Prod 2'!K228)</f>
        <v/>
      </c>
      <c r="I228" s="77" t="str">
        <f t="shared" si="23"/>
        <v/>
      </c>
      <c r="J228" s="57"/>
      <c r="L228" s="19">
        <v>2.2399999999999999E-7</v>
      </c>
      <c r="M228" s="59">
        <f t="shared" si="24"/>
        <v>0</v>
      </c>
      <c r="N228" s="59">
        <f t="shared" si="25"/>
        <v>0</v>
      </c>
      <c r="O228" s="59">
        <f t="shared" si="26"/>
        <v>0</v>
      </c>
      <c r="P228" s="19" t="str">
        <f t="shared" si="27"/>
        <v/>
      </c>
      <c r="Q228" s="19" t="s">
        <v>264</v>
      </c>
    </row>
    <row r="229" spans="2:17" ht="30" customHeight="1" x14ac:dyDescent="0.25">
      <c r="B229" s="62" t="str">
        <f t="shared" si="21"/>
        <v/>
      </c>
      <c r="C229" s="42">
        <v>225</v>
      </c>
      <c r="D229" s="20"/>
      <c r="E229" s="58"/>
      <c r="F229" s="63" t="str">
        <f t="shared" si="22"/>
        <v/>
      </c>
      <c r="G229" s="66" t="str">
        <f>IF(D229="","",IFERROR('Prod 3'!H229/'Prod 3'!$H$3,0))</f>
        <v/>
      </c>
      <c r="H229" s="70" t="str">
        <f>IF(D229="","",'Prod 2'!K229)</f>
        <v/>
      </c>
      <c r="I229" s="77" t="str">
        <f t="shared" si="23"/>
        <v/>
      </c>
      <c r="J229" s="57"/>
      <c r="L229" s="19">
        <v>2.2499999999999999E-7</v>
      </c>
      <c r="M229" s="59">
        <f t="shared" si="24"/>
        <v>0</v>
      </c>
      <c r="N229" s="59">
        <f t="shared" si="25"/>
        <v>0</v>
      </c>
      <c r="O229" s="59">
        <f t="shared" si="26"/>
        <v>0</v>
      </c>
      <c r="P229" s="19" t="str">
        <f t="shared" si="27"/>
        <v/>
      </c>
      <c r="Q229" s="19" t="s">
        <v>265</v>
      </c>
    </row>
    <row r="230" spans="2:17" ht="30" customHeight="1" x14ac:dyDescent="0.25">
      <c r="B230" s="62" t="str">
        <f t="shared" si="21"/>
        <v/>
      </c>
      <c r="C230" s="42">
        <v>226</v>
      </c>
      <c r="D230" s="20"/>
      <c r="E230" s="58"/>
      <c r="F230" s="63" t="str">
        <f t="shared" si="22"/>
        <v/>
      </c>
      <c r="G230" s="66" t="str">
        <f>IF(D230="","",IFERROR('Prod 3'!H230/'Prod 3'!$H$3,0))</f>
        <v/>
      </c>
      <c r="H230" s="70" t="str">
        <f>IF(D230="","",'Prod 2'!K230)</f>
        <v/>
      </c>
      <c r="I230" s="77" t="str">
        <f t="shared" si="23"/>
        <v/>
      </c>
      <c r="J230" s="57"/>
      <c r="L230" s="19">
        <v>2.2600000000000001E-7</v>
      </c>
      <c r="M230" s="59">
        <f t="shared" si="24"/>
        <v>0</v>
      </c>
      <c r="N230" s="59">
        <f t="shared" si="25"/>
        <v>0</v>
      </c>
      <c r="O230" s="59">
        <f t="shared" si="26"/>
        <v>0</v>
      </c>
      <c r="P230" s="19" t="str">
        <f t="shared" si="27"/>
        <v/>
      </c>
      <c r="Q230" s="19" t="s">
        <v>266</v>
      </c>
    </row>
    <row r="231" spans="2:17" ht="30" customHeight="1" x14ac:dyDescent="0.25">
      <c r="B231" s="62" t="str">
        <f t="shared" si="21"/>
        <v/>
      </c>
      <c r="C231" s="42">
        <v>227</v>
      </c>
      <c r="D231" s="20"/>
      <c r="E231" s="58"/>
      <c r="F231" s="63" t="str">
        <f t="shared" si="22"/>
        <v/>
      </c>
      <c r="G231" s="66" t="str">
        <f>IF(D231="","",IFERROR('Prod 3'!H231/'Prod 3'!$H$3,0))</f>
        <v/>
      </c>
      <c r="H231" s="70" t="str">
        <f>IF(D231="","",'Prod 2'!K231)</f>
        <v/>
      </c>
      <c r="I231" s="77" t="str">
        <f t="shared" si="23"/>
        <v/>
      </c>
      <c r="J231" s="57"/>
      <c r="L231" s="19">
        <v>2.2700000000000001E-7</v>
      </c>
      <c r="M231" s="59">
        <f t="shared" si="24"/>
        <v>0</v>
      </c>
      <c r="N231" s="59">
        <f t="shared" si="25"/>
        <v>0</v>
      </c>
      <c r="O231" s="59">
        <f t="shared" si="26"/>
        <v>0</v>
      </c>
      <c r="P231" s="19" t="str">
        <f t="shared" si="27"/>
        <v/>
      </c>
      <c r="Q231" s="19" t="s">
        <v>267</v>
      </c>
    </row>
    <row r="232" spans="2:17" ht="30" customHeight="1" x14ac:dyDescent="0.25">
      <c r="B232" s="62" t="str">
        <f t="shared" si="21"/>
        <v/>
      </c>
      <c r="C232" s="42">
        <v>228</v>
      </c>
      <c r="D232" s="20"/>
      <c r="E232" s="58"/>
      <c r="F232" s="63" t="str">
        <f t="shared" si="22"/>
        <v/>
      </c>
      <c r="G232" s="66" t="str">
        <f>IF(D232="","",IFERROR('Prod 3'!H232/'Prod 3'!$H$3,0))</f>
        <v/>
      </c>
      <c r="H232" s="70" t="str">
        <f>IF(D232="","",'Prod 2'!K232)</f>
        <v/>
      </c>
      <c r="I232" s="77" t="str">
        <f t="shared" si="23"/>
        <v/>
      </c>
      <c r="J232" s="57"/>
      <c r="L232" s="19">
        <v>2.28E-7</v>
      </c>
      <c r="M232" s="59">
        <f t="shared" si="24"/>
        <v>0</v>
      </c>
      <c r="N232" s="59">
        <f t="shared" si="25"/>
        <v>0</v>
      </c>
      <c r="O232" s="59">
        <f t="shared" si="26"/>
        <v>0</v>
      </c>
      <c r="P232" s="19" t="str">
        <f t="shared" si="27"/>
        <v/>
      </c>
      <c r="Q232" s="19" t="s">
        <v>268</v>
      </c>
    </row>
    <row r="233" spans="2:17" ht="30" customHeight="1" x14ac:dyDescent="0.25">
      <c r="B233" s="62" t="str">
        <f t="shared" si="21"/>
        <v/>
      </c>
      <c r="C233" s="42">
        <v>229</v>
      </c>
      <c r="D233" s="20"/>
      <c r="E233" s="58"/>
      <c r="F233" s="63" t="str">
        <f t="shared" si="22"/>
        <v/>
      </c>
      <c r="G233" s="66" t="str">
        <f>IF(D233="","",IFERROR('Prod 3'!H233/'Prod 3'!$H$3,0))</f>
        <v/>
      </c>
      <c r="H233" s="70" t="str">
        <f>IF(D233="","",'Prod 2'!K233)</f>
        <v/>
      </c>
      <c r="I233" s="77" t="str">
        <f t="shared" si="23"/>
        <v/>
      </c>
      <c r="J233" s="57"/>
      <c r="L233" s="19">
        <v>2.29E-7</v>
      </c>
      <c r="M233" s="59">
        <f t="shared" si="24"/>
        <v>0</v>
      </c>
      <c r="N233" s="59">
        <f t="shared" si="25"/>
        <v>0</v>
      </c>
      <c r="O233" s="59">
        <f t="shared" si="26"/>
        <v>0</v>
      </c>
      <c r="P233" s="19" t="str">
        <f t="shared" si="27"/>
        <v/>
      </c>
      <c r="Q233" s="19" t="s">
        <v>269</v>
      </c>
    </row>
    <row r="234" spans="2:17" ht="30" customHeight="1" x14ac:dyDescent="0.25">
      <c r="B234" s="62" t="str">
        <f t="shared" si="21"/>
        <v/>
      </c>
      <c r="C234" s="42">
        <v>230</v>
      </c>
      <c r="D234" s="20"/>
      <c r="E234" s="58"/>
      <c r="F234" s="63" t="str">
        <f t="shared" si="22"/>
        <v/>
      </c>
      <c r="G234" s="66" t="str">
        <f>IF(D234="","",IFERROR('Prod 3'!H234/'Prod 3'!$H$3,0))</f>
        <v/>
      </c>
      <c r="H234" s="70" t="str">
        <f>IF(D234="","",'Prod 2'!K234)</f>
        <v/>
      </c>
      <c r="I234" s="77" t="str">
        <f t="shared" si="23"/>
        <v/>
      </c>
      <c r="J234" s="57"/>
      <c r="L234" s="19">
        <v>2.2999999999999999E-7</v>
      </c>
      <c r="M234" s="59">
        <f t="shared" si="24"/>
        <v>0</v>
      </c>
      <c r="N234" s="59">
        <f t="shared" si="25"/>
        <v>0</v>
      </c>
      <c r="O234" s="59">
        <f t="shared" si="26"/>
        <v>0</v>
      </c>
      <c r="P234" s="19" t="str">
        <f t="shared" si="27"/>
        <v/>
      </c>
      <c r="Q234" s="19" t="s">
        <v>270</v>
      </c>
    </row>
    <row r="235" spans="2:17" ht="30" customHeight="1" x14ac:dyDescent="0.25">
      <c r="B235" s="62" t="str">
        <f t="shared" si="21"/>
        <v/>
      </c>
      <c r="C235" s="42">
        <v>231</v>
      </c>
      <c r="D235" s="20"/>
      <c r="E235" s="58"/>
      <c r="F235" s="63" t="str">
        <f t="shared" si="22"/>
        <v/>
      </c>
      <c r="G235" s="66" t="str">
        <f>IF(D235="","",IFERROR('Prod 3'!H235/'Prod 3'!$H$3,0))</f>
        <v/>
      </c>
      <c r="H235" s="70" t="str">
        <f>IF(D235="","",'Prod 2'!K235)</f>
        <v/>
      </c>
      <c r="I235" s="77" t="str">
        <f t="shared" si="23"/>
        <v/>
      </c>
      <c r="J235" s="57"/>
      <c r="L235" s="19">
        <v>2.3099999999999999E-7</v>
      </c>
      <c r="M235" s="59">
        <f t="shared" si="24"/>
        <v>0</v>
      </c>
      <c r="N235" s="59">
        <f t="shared" si="25"/>
        <v>0</v>
      </c>
      <c r="O235" s="59">
        <f t="shared" si="26"/>
        <v>0</v>
      </c>
      <c r="P235" s="19" t="str">
        <f t="shared" si="27"/>
        <v/>
      </c>
      <c r="Q235" s="19" t="s">
        <v>271</v>
      </c>
    </row>
    <row r="236" spans="2:17" ht="30" customHeight="1" x14ac:dyDescent="0.25">
      <c r="B236" s="62" t="str">
        <f t="shared" si="21"/>
        <v/>
      </c>
      <c r="C236" s="42">
        <v>232</v>
      </c>
      <c r="D236" s="20"/>
      <c r="E236" s="58"/>
      <c r="F236" s="63" t="str">
        <f t="shared" si="22"/>
        <v/>
      </c>
      <c r="G236" s="66" t="str">
        <f>IF(D236="","",IFERROR('Prod 3'!H236/'Prod 3'!$H$3,0))</f>
        <v/>
      </c>
      <c r="H236" s="70" t="str">
        <f>IF(D236="","",'Prod 2'!K236)</f>
        <v/>
      </c>
      <c r="I236" s="77" t="str">
        <f t="shared" si="23"/>
        <v/>
      </c>
      <c r="J236" s="57"/>
      <c r="L236" s="19">
        <v>2.3200000000000001E-7</v>
      </c>
      <c r="M236" s="59">
        <f t="shared" si="24"/>
        <v>0</v>
      </c>
      <c r="N236" s="59">
        <f t="shared" si="25"/>
        <v>0</v>
      </c>
      <c r="O236" s="59">
        <f t="shared" si="26"/>
        <v>0</v>
      </c>
      <c r="P236" s="19" t="str">
        <f t="shared" si="27"/>
        <v/>
      </c>
      <c r="Q236" s="19" t="s">
        <v>272</v>
      </c>
    </row>
    <row r="237" spans="2:17" ht="30" customHeight="1" x14ac:dyDescent="0.25">
      <c r="B237" s="62" t="str">
        <f t="shared" si="21"/>
        <v/>
      </c>
      <c r="C237" s="42">
        <v>233</v>
      </c>
      <c r="D237" s="20"/>
      <c r="E237" s="58"/>
      <c r="F237" s="63" t="str">
        <f t="shared" si="22"/>
        <v/>
      </c>
      <c r="G237" s="66" t="str">
        <f>IF(D237="","",IFERROR('Prod 3'!H237/'Prod 3'!$H$3,0))</f>
        <v/>
      </c>
      <c r="H237" s="70" t="str">
        <f>IF(D237="","",'Prod 2'!K237)</f>
        <v/>
      </c>
      <c r="I237" s="77" t="str">
        <f t="shared" si="23"/>
        <v/>
      </c>
      <c r="J237" s="57"/>
      <c r="L237" s="19">
        <v>2.3300000000000001E-7</v>
      </c>
      <c r="M237" s="59">
        <f t="shared" si="24"/>
        <v>0</v>
      </c>
      <c r="N237" s="59">
        <f t="shared" si="25"/>
        <v>0</v>
      </c>
      <c r="O237" s="59">
        <f t="shared" si="26"/>
        <v>0</v>
      </c>
      <c r="P237" s="19" t="str">
        <f t="shared" si="27"/>
        <v/>
      </c>
      <c r="Q237" s="19" t="s">
        <v>273</v>
      </c>
    </row>
    <row r="238" spans="2:17" ht="30" customHeight="1" x14ac:dyDescent="0.25">
      <c r="B238" s="62" t="str">
        <f t="shared" si="21"/>
        <v/>
      </c>
      <c r="C238" s="42">
        <v>234</v>
      </c>
      <c r="D238" s="20"/>
      <c r="E238" s="58"/>
      <c r="F238" s="63" t="str">
        <f t="shared" si="22"/>
        <v/>
      </c>
      <c r="G238" s="66" t="str">
        <f>IF(D238="","",IFERROR('Prod 3'!H238/'Prod 3'!$H$3,0))</f>
        <v/>
      </c>
      <c r="H238" s="70" t="str">
        <f>IF(D238="","",'Prod 2'!K238)</f>
        <v/>
      </c>
      <c r="I238" s="77" t="str">
        <f t="shared" si="23"/>
        <v/>
      </c>
      <c r="J238" s="57"/>
      <c r="L238" s="19">
        <v>2.34E-7</v>
      </c>
      <c r="M238" s="59">
        <f t="shared" si="24"/>
        <v>0</v>
      </c>
      <c r="N238" s="59">
        <f t="shared" si="25"/>
        <v>0</v>
      </c>
      <c r="O238" s="59">
        <f t="shared" si="26"/>
        <v>0</v>
      </c>
      <c r="P238" s="19" t="str">
        <f t="shared" si="27"/>
        <v/>
      </c>
      <c r="Q238" s="19" t="s">
        <v>274</v>
      </c>
    </row>
    <row r="239" spans="2:17" ht="30" customHeight="1" x14ac:dyDescent="0.25">
      <c r="B239" s="62" t="str">
        <f t="shared" si="21"/>
        <v/>
      </c>
      <c r="C239" s="42">
        <v>235</v>
      </c>
      <c r="D239" s="20"/>
      <c r="E239" s="58"/>
      <c r="F239" s="63" t="str">
        <f t="shared" si="22"/>
        <v/>
      </c>
      <c r="G239" s="66" t="str">
        <f>IF(D239="","",IFERROR('Prod 3'!H239/'Prod 3'!$H$3,0))</f>
        <v/>
      </c>
      <c r="H239" s="70" t="str">
        <f>IF(D239="","",'Prod 2'!K239)</f>
        <v/>
      </c>
      <c r="I239" s="77" t="str">
        <f t="shared" si="23"/>
        <v/>
      </c>
      <c r="J239" s="57"/>
      <c r="L239" s="19">
        <v>2.35E-7</v>
      </c>
      <c r="M239" s="59">
        <f t="shared" si="24"/>
        <v>0</v>
      </c>
      <c r="N239" s="59">
        <f t="shared" si="25"/>
        <v>0</v>
      </c>
      <c r="O239" s="59">
        <f t="shared" si="26"/>
        <v>0</v>
      </c>
      <c r="P239" s="19" t="str">
        <f t="shared" si="27"/>
        <v/>
      </c>
      <c r="Q239" s="19" t="s">
        <v>275</v>
      </c>
    </row>
    <row r="240" spans="2:17" ht="30" customHeight="1" x14ac:dyDescent="0.25">
      <c r="B240" s="62" t="str">
        <f t="shared" si="21"/>
        <v/>
      </c>
      <c r="C240" s="42">
        <v>236</v>
      </c>
      <c r="D240" s="20"/>
      <c r="E240" s="58"/>
      <c r="F240" s="63" t="str">
        <f t="shared" si="22"/>
        <v/>
      </c>
      <c r="G240" s="66" t="str">
        <f>IF(D240="","",IFERROR('Prod 3'!H240/'Prod 3'!$H$3,0))</f>
        <v/>
      </c>
      <c r="H240" s="70" t="str">
        <f>IF(D240="","",'Prod 2'!K240)</f>
        <v/>
      </c>
      <c r="I240" s="77" t="str">
        <f t="shared" si="23"/>
        <v/>
      </c>
      <c r="J240" s="57"/>
      <c r="L240" s="19">
        <v>2.36E-7</v>
      </c>
      <c r="M240" s="59">
        <f t="shared" si="24"/>
        <v>0</v>
      </c>
      <c r="N240" s="59">
        <f t="shared" si="25"/>
        <v>0</v>
      </c>
      <c r="O240" s="59">
        <f t="shared" si="26"/>
        <v>0</v>
      </c>
      <c r="P240" s="19" t="str">
        <f t="shared" si="27"/>
        <v/>
      </c>
      <c r="Q240" s="19" t="s">
        <v>276</v>
      </c>
    </row>
    <row r="241" spans="2:17" ht="30" customHeight="1" x14ac:dyDescent="0.25">
      <c r="B241" s="62" t="str">
        <f t="shared" si="21"/>
        <v/>
      </c>
      <c r="C241" s="42">
        <v>237</v>
      </c>
      <c r="D241" s="20"/>
      <c r="E241" s="58"/>
      <c r="F241" s="63" t="str">
        <f t="shared" si="22"/>
        <v/>
      </c>
      <c r="G241" s="66" t="str">
        <f>IF(D241="","",IFERROR('Prod 3'!H241/'Prod 3'!$H$3,0))</f>
        <v/>
      </c>
      <c r="H241" s="70" t="str">
        <f>IF(D241="","",'Prod 2'!K241)</f>
        <v/>
      </c>
      <c r="I241" s="77" t="str">
        <f t="shared" si="23"/>
        <v/>
      </c>
      <c r="J241" s="57"/>
      <c r="L241" s="19">
        <v>2.3699999999999999E-7</v>
      </c>
      <c r="M241" s="59">
        <f t="shared" si="24"/>
        <v>0</v>
      </c>
      <c r="N241" s="59">
        <f t="shared" si="25"/>
        <v>0</v>
      </c>
      <c r="O241" s="59">
        <f t="shared" si="26"/>
        <v>0</v>
      </c>
      <c r="P241" s="19" t="str">
        <f t="shared" si="27"/>
        <v/>
      </c>
      <c r="Q241" s="19" t="s">
        <v>277</v>
      </c>
    </row>
    <row r="242" spans="2:17" ht="30" customHeight="1" x14ac:dyDescent="0.25">
      <c r="B242" s="62" t="str">
        <f t="shared" si="21"/>
        <v/>
      </c>
      <c r="C242" s="42">
        <v>238</v>
      </c>
      <c r="D242" s="20"/>
      <c r="E242" s="58"/>
      <c r="F242" s="63" t="str">
        <f t="shared" si="22"/>
        <v/>
      </c>
      <c r="G242" s="66" t="str">
        <f>IF(D242="","",IFERROR('Prod 3'!H242/'Prod 3'!$H$3,0))</f>
        <v/>
      </c>
      <c r="H242" s="70" t="str">
        <f>IF(D242="","",'Prod 2'!K242)</f>
        <v/>
      </c>
      <c r="I242" s="77" t="str">
        <f t="shared" si="23"/>
        <v/>
      </c>
      <c r="J242" s="57"/>
      <c r="L242" s="19">
        <v>2.3799999999999999E-7</v>
      </c>
      <c r="M242" s="59">
        <f t="shared" si="24"/>
        <v>0</v>
      </c>
      <c r="N242" s="59">
        <f t="shared" si="25"/>
        <v>0</v>
      </c>
      <c r="O242" s="59">
        <f t="shared" si="26"/>
        <v>0</v>
      </c>
      <c r="P242" s="19" t="str">
        <f t="shared" si="27"/>
        <v/>
      </c>
      <c r="Q242" s="19" t="s">
        <v>278</v>
      </c>
    </row>
    <row r="243" spans="2:17" ht="30" customHeight="1" x14ac:dyDescent="0.25">
      <c r="B243" s="62" t="str">
        <f t="shared" si="21"/>
        <v/>
      </c>
      <c r="C243" s="42">
        <v>239</v>
      </c>
      <c r="D243" s="20"/>
      <c r="E243" s="58"/>
      <c r="F243" s="63" t="str">
        <f t="shared" si="22"/>
        <v/>
      </c>
      <c r="G243" s="66" t="str">
        <f>IF(D243="","",IFERROR('Prod 3'!H243/'Prod 3'!$H$3,0))</f>
        <v/>
      </c>
      <c r="H243" s="70" t="str">
        <f>IF(D243="","",'Prod 2'!K243)</f>
        <v/>
      </c>
      <c r="I243" s="77" t="str">
        <f t="shared" si="23"/>
        <v/>
      </c>
      <c r="J243" s="57"/>
      <c r="L243" s="19">
        <v>2.3900000000000001E-7</v>
      </c>
      <c r="M243" s="59">
        <f t="shared" si="24"/>
        <v>0</v>
      </c>
      <c r="N243" s="59">
        <f t="shared" si="25"/>
        <v>0</v>
      </c>
      <c r="O243" s="59">
        <f t="shared" si="26"/>
        <v>0</v>
      </c>
      <c r="P243" s="19" t="str">
        <f t="shared" si="27"/>
        <v/>
      </c>
      <c r="Q243" s="19" t="s">
        <v>279</v>
      </c>
    </row>
    <row r="244" spans="2:17" ht="30" customHeight="1" x14ac:dyDescent="0.25">
      <c r="B244" s="62" t="str">
        <f t="shared" si="21"/>
        <v/>
      </c>
      <c r="C244" s="42">
        <v>240</v>
      </c>
      <c r="D244" s="20"/>
      <c r="E244" s="58"/>
      <c r="F244" s="63" t="str">
        <f t="shared" si="22"/>
        <v/>
      </c>
      <c r="G244" s="66" t="str">
        <f>IF(D244="","",IFERROR('Prod 3'!H244/'Prod 3'!$H$3,0))</f>
        <v/>
      </c>
      <c r="H244" s="70" t="str">
        <f>IF(D244="","",'Prod 2'!K244)</f>
        <v/>
      </c>
      <c r="I244" s="77" t="str">
        <f t="shared" si="23"/>
        <v/>
      </c>
      <c r="J244" s="57"/>
      <c r="L244" s="19">
        <v>2.3999999999999998E-7</v>
      </c>
      <c r="M244" s="59">
        <f t="shared" si="24"/>
        <v>0</v>
      </c>
      <c r="N244" s="59">
        <f t="shared" si="25"/>
        <v>0</v>
      </c>
      <c r="O244" s="59">
        <f t="shared" si="26"/>
        <v>0</v>
      </c>
      <c r="P244" s="19" t="str">
        <f t="shared" si="27"/>
        <v/>
      </c>
      <c r="Q244" s="19" t="s">
        <v>280</v>
      </c>
    </row>
    <row r="245" spans="2:17" ht="30" customHeight="1" x14ac:dyDescent="0.25">
      <c r="B245" s="62" t="str">
        <f t="shared" si="21"/>
        <v/>
      </c>
      <c r="C245" s="42">
        <v>241</v>
      </c>
      <c r="D245" s="20"/>
      <c r="E245" s="58"/>
      <c r="F245" s="63" t="str">
        <f t="shared" si="22"/>
        <v/>
      </c>
      <c r="G245" s="66" t="str">
        <f>IF(D245="","",IFERROR('Prod 3'!H245/'Prod 3'!$H$3,0))</f>
        <v/>
      </c>
      <c r="H245" s="70" t="str">
        <f>IF(D245="","",'Prod 2'!K245)</f>
        <v/>
      </c>
      <c r="I245" s="77" t="str">
        <f t="shared" si="23"/>
        <v/>
      </c>
      <c r="J245" s="57"/>
      <c r="L245" s="19">
        <v>2.41E-7</v>
      </c>
      <c r="M245" s="59">
        <f t="shared" si="24"/>
        <v>0</v>
      </c>
      <c r="N245" s="59">
        <f t="shared" si="25"/>
        <v>0</v>
      </c>
      <c r="O245" s="59">
        <f t="shared" si="26"/>
        <v>0</v>
      </c>
      <c r="P245" s="19" t="str">
        <f t="shared" si="27"/>
        <v/>
      </c>
      <c r="Q245" s="19" t="s">
        <v>281</v>
      </c>
    </row>
    <row r="246" spans="2:17" ht="30" customHeight="1" x14ac:dyDescent="0.25">
      <c r="B246" s="62" t="str">
        <f t="shared" si="21"/>
        <v/>
      </c>
      <c r="C246" s="42">
        <v>242</v>
      </c>
      <c r="D246" s="20"/>
      <c r="E246" s="58"/>
      <c r="F246" s="63" t="str">
        <f t="shared" si="22"/>
        <v/>
      </c>
      <c r="G246" s="66" t="str">
        <f>IF(D246="","",IFERROR('Prod 3'!H246/'Prod 3'!$H$3,0))</f>
        <v/>
      </c>
      <c r="H246" s="70" t="str">
        <f>IF(D246="","",'Prod 2'!K246)</f>
        <v/>
      </c>
      <c r="I246" s="77" t="str">
        <f t="shared" si="23"/>
        <v/>
      </c>
      <c r="J246" s="57"/>
      <c r="L246" s="19">
        <v>2.4200000000000002E-7</v>
      </c>
      <c r="M246" s="59">
        <f t="shared" si="24"/>
        <v>0</v>
      </c>
      <c r="N246" s="59">
        <f t="shared" si="25"/>
        <v>0</v>
      </c>
      <c r="O246" s="59">
        <f t="shared" si="26"/>
        <v>0</v>
      </c>
      <c r="P246" s="19" t="str">
        <f t="shared" si="27"/>
        <v/>
      </c>
      <c r="Q246" s="19" t="s">
        <v>282</v>
      </c>
    </row>
    <row r="247" spans="2:17" ht="30" customHeight="1" x14ac:dyDescent="0.25">
      <c r="B247" s="62" t="str">
        <f t="shared" si="21"/>
        <v/>
      </c>
      <c r="C247" s="42">
        <v>243</v>
      </c>
      <c r="D247" s="20"/>
      <c r="E247" s="58"/>
      <c r="F247" s="63" t="str">
        <f t="shared" si="22"/>
        <v/>
      </c>
      <c r="G247" s="66" t="str">
        <f>IF(D247="","",IFERROR('Prod 3'!H247/'Prod 3'!$H$3,0))</f>
        <v/>
      </c>
      <c r="H247" s="70" t="str">
        <f>IF(D247="","",'Prod 2'!K247)</f>
        <v/>
      </c>
      <c r="I247" s="77" t="str">
        <f t="shared" si="23"/>
        <v/>
      </c>
      <c r="J247" s="57"/>
      <c r="L247" s="19">
        <v>2.4299999999999999E-7</v>
      </c>
      <c r="M247" s="59">
        <f t="shared" si="24"/>
        <v>0</v>
      </c>
      <c r="N247" s="59">
        <f t="shared" si="25"/>
        <v>0</v>
      </c>
      <c r="O247" s="59">
        <f t="shared" si="26"/>
        <v>0</v>
      </c>
      <c r="P247" s="19" t="str">
        <f t="shared" si="27"/>
        <v/>
      </c>
      <c r="Q247" s="19" t="s">
        <v>283</v>
      </c>
    </row>
    <row r="248" spans="2:17" ht="30" customHeight="1" x14ac:dyDescent="0.25">
      <c r="B248" s="62" t="str">
        <f t="shared" si="21"/>
        <v/>
      </c>
      <c r="C248" s="42">
        <v>244</v>
      </c>
      <c r="D248" s="20"/>
      <c r="E248" s="58"/>
      <c r="F248" s="63" t="str">
        <f t="shared" si="22"/>
        <v/>
      </c>
      <c r="G248" s="66" t="str">
        <f>IF(D248="","",IFERROR('Prod 3'!H248/'Prod 3'!$H$3,0))</f>
        <v/>
      </c>
      <c r="H248" s="70" t="str">
        <f>IF(D248="","",'Prod 2'!K248)</f>
        <v/>
      </c>
      <c r="I248" s="77" t="str">
        <f t="shared" si="23"/>
        <v/>
      </c>
      <c r="J248" s="57"/>
      <c r="L248" s="19">
        <v>2.4400000000000001E-7</v>
      </c>
      <c r="M248" s="59">
        <f t="shared" si="24"/>
        <v>0</v>
      </c>
      <c r="N248" s="59">
        <f t="shared" si="25"/>
        <v>0</v>
      </c>
      <c r="O248" s="59">
        <f t="shared" si="26"/>
        <v>0</v>
      </c>
      <c r="P248" s="19" t="str">
        <f t="shared" si="27"/>
        <v/>
      </c>
      <c r="Q248" s="19" t="s">
        <v>284</v>
      </c>
    </row>
    <row r="249" spans="2:17" ht="30" customHeight="1" x14ac:dyDescent="0.25">
      <c r="B249" s="62" t="str">
        <f t="shared" si="21"/>
        <v/>
      </c>
      <c r="C249" s="42">
        <v>245</v>
      </c>
      <c r="D249" s="20"/>
      <c r="E249" s="58"/>
      <c r="F249" s="63" t="str">
        <f t="shared" si="22"/>
        <v/>
      </c>
      <c r="G249" s="66" t="str">
        <f>IF(D249="","",IFERROR('Prod 3'!H249/'Prod 3'!$H$3,0))</f>
        <v/>
      </c>
      <c r="H249" s="70" t="str">
        <f>IF(D249="","",'Prod 2'!K249)</f>
        <v/>
      </c>
      <c r="I249" s="77" t="str">
        <f t="shared" si="23"/>
        <v/>
      </c>
      <c r="J249" s="57"/>
      <c r="L249" s="19">
        <v>2.4499999999999998E-7</v>
      </c>
      <c r="M249" s="59">
        <f t="shared" si="24"/>
        <v>0</v>
      </c>
      <c r="N249" s="59">
        <f t="shared" si="25"/>
        <v>0</v>
      </c>
      <c r="O249" s="59">
        <f t="shared" si="26"/>
        <v>0</v>
      </c>
      <c r="P249" s="19" t="str">
        <f t="shared" si="27"/>
        <v/>
      </c>
      <c r="Q249" s="19" t="s">
        <v>285</v>
      </c>
    </row>
    <row r="250" spans="2:17" ht="30" customHeight="1" x14ac:dyDescent="0.25">
      <c r="B250" s="62" t="str">
        <f t="shared" si="21"/>
        <v/>
      </c>
      <c r="C250" s="42">
        <v>246</v>
      </c>
      <c r="D250" s="20"/>
      <c r="E250" s="58"/>
      <c r="F250" s="63" t="str">
        <f t="shared" si="22"/>
        <v/>
      </c>
      <c r="G250" s="66" t="str">
        <f>IF(D250="","",IFERROR('Prod 3'!H250/'Prod 3'!$H$3,0))</f>
        <v/>
      </c>
      <c r="H250" s="70" t="str">
        <f>IF(D250="","",'Prod 2'!K250)</f>
        <v/>
      </c>
      <c r="I250" s="77" t="str">
        <f t="shared" si="23"/>
        <v/>
      </c>
      <c r="J250" s="57"/>
      <c r="L250" s="19">
        <v>2.4600000000000001E-7</v>
      </c>
      <c r="M250" s="59">
        <f t="shared" si="24"/>
        <v>0</v>
      </c>
      <c r="N250" s="59">
        <f t="shared" si="25"/>
        <v>0</v>
      </c>
      <c r="O250" s="59">
        <f t="shared" si="26"/>
        <v>0</v>
      </c>
      <c r="P250" s="19" t="str">
        <f t="shared" si="27"/>
        <v/>
      </c>
      <c r="Q250" s="19" t="s">
        <v>286</v>
      </c>
    </row>
    <row r="251" spans="2:17" ht="30" customHeight="1" x14ac:dyDescent="0.25">
      <c r="B251" s="62" t="str">
        <f t="shared" si="21"/>
        <v/>
      </c>
      <c r="C251" s="42">
        <v>247</v>
      </c>
      <c r="D251" s="20"/>
      <c r="E251" s="58"/>
      <c r="F251" s="63" t="str">
        <f t="shared" si="22"/>
        <v/>
      </c>
      <c r="G251" s="66" t="str">
        <f>IF(D251="","",IFERROR('Prod 3'!H251/'Prod 3'!$H$3,0))</f>
        <v/>
      </c>
      <c r="H251" s="70" t="str">
        <f>IF(D251="","",'Prod 2'!K251)</f>
        <v/>
      </c>
      <c r="I251" s="77" t="str">
        <f t="shared" si="23"/>
        <v/>
      </c>
      <c r="J251" s="57"/>
      <c r="L251" s="19">
        <v>2.4699999999999998E-7</v>
      </c>
      <c r="M251" s="59">
        <f t="shared" si="24"/>
        <v>0</v>
      </c>
      <c r="N251" s="59">
        <f t="shared" si="25"/>
        <v>0</v>
      </c>
      <c r="O251" s="59">
        <f t="shared" si="26"/>
        <v>0</v>
      </c>
      <c r="P251" s="19" t="str">
        <f t="shared" si="27"/>
        <v/>
      </c>
      <c r="Q251" s="19" t="s">
        <v>287</v>
      </c>
    </row>
    <row r="252" spans="2:17" ht="30" customHeight="1" x14ac:dyDescent="0.25">
      <c r="B252" s="62" t="str">
        <f t="shared" si="21"/>
        <v/>
      </c>
      <c r="C252" s="42">
        <v>248</v>
      </c>
      <c r="D252" s="20"/>
      <c r="E252" s="58"/>
      <c r="F252" s="63" t="str">
        <f t="shared" si="22"/>
        <v/>
      </c>
      <c r="G252" s="66" t="str">
        <f>IF(D252="","",IFERROR('Prod 3'!H252/'Prod 3'!$H$3,0))</f>
        <v/>
      </c>
      <c r="H252" s="70" t="str">
        <f>IF(D252="","",'Prod 2'!K252)</f>
        <v/>
      </c>
      <c r="I252" s="77" t="str">
        <f t="shared" si="23"/>
        <v/>
      </c>
      <c r="J252" s="57"/>
      <c r="L252" s="19">
        <v>2.48E-7</v>
      </c>
      <c r="M252" s="59">
        <f t="shared" si="24"/>
        <v>0</v>
      </c>
      <c r="N252" s="59">
        <f t="shared" si="25"/>
        <v>0</v>
      </c>
      <c r="O252" s="59">
        <f t="shared" si="26"/>
        <v>0</v>
      </c>
      <c r="P252" s="19" t="str">
        <f t="shared" si="27"/>
        <v/>
      </c>
      <c r="Q252" s="19" t="s">
        <v>288</v>
      </c>
    </row>
    <row r="253" spans="2:17" ht="30" customHeight="1" x14ac:dyDescent="0.25">
      <c r="B253" s="62" t="str">
        <f t="shared" si="21"/>
        <v/>
      </c>
      <c r="C253" s="42">
        <v>249</v>
      </c>
      <c r="D253" s="20"/>
      <c r="E253" s="58"/>
      <c r="F253" s="63" t="str">
        <f t="shared" si="22"/>
        <v/>
      </c>
      <c r="G253" s="66" t="str">
        <f>IF(D253="","",IFERROR('Prod 3'!H253/'Prod 3'!$H$3,0))</f>
        <v/>
      </c>
      <c r="H253" s="70" t="str">
        <f>IF(D253="","",'Prod 2'!K253)</f>
        <v/>
      </c>
      <c r="I253" s="77" t="str">
        <f t="shared" si="23"/>
        <v/>
      </c>
      <c r="J253" s="57"/>
      <c r="L253" s="19">
        <v>2.4900000000000002E-7</v>
      </c>
      <c r="M253" s="59">
        <f t="shared" si="24"/>
        <v>0</v>
      </c>
      <c r="N253" s="59">
        <f t="shared" si="25"/>
        <v>0</v>
      </c>
      <c r="O253" s="59">
        <f t="shared" si="26"/>
        <v>0</v>
      </c>
      <c r="P253" s="19" t="str">
        <f t="shared" si="27"/>
        <v/>
      </c>
      <c r="Q253" s="19" t="s">
        <v>289</v>
      </c>
    </row>
    <row r="254" spans="2:17" ht="30" customHeight="1" x14ac:dyDescent="0.25">
      <c r="B254" s="62" t="str">
        <f t="shared" si="21"/>
        <v/>
      </c>
      <c r="C254" s="42">
        <v>250</v>
      </c>
      <c r="D254" s="20"/>
      <c r="E254" s="58"/>
      <c r="F254" s="63" t="str">
        <f t="shared" si="22"/>
        <v/>
      </c>
      <c r="G254" s="66" t="str">
        <f>IF(D254="","",IFERROR('Prod 3'!H254/'Prod 3'!$H$3,0))</f>
        <v/>
      </c>
      <c r="H254" s="70" t="str">
        <f>IF(D254="","",'Prod 2'!K254)</f>
        <v/>
      </c>
      <c r="I254" s="77" t="str">
        <f t="shared" si="23"/>
        <v/>
      </c>
      <c r="J254" s="57"/>
      <c r="L254" s="19">
        <v>2.4999999999999999E-7</v>
      </c>
      <c r="M254" s="59">
        <f t="shared" si="24"/>
        <v>0</v>
      </c>
      <c r="N254" s="59">
        <f t="shared" si="25"/>
        <v>0</v>
      </c>
      <c r="O254" s="59">
        <f t="shared" si="26"/>
        <v>0</v>
      </c>
      <c r="P254" s="19" t="str">
        <f t="shared" si="27"/>
        <v/>
      </c>
      <c r="Q254" s="19" t="s">
        <v>290</v>
      </c>
    </row>
    <row r="255" spans="2:17" ht="30" customHeight="1" x14ac:dyDescent="0.25">
      <c r="B255" s="62" t="str">
        <f t="shared" si="21"/>
        <v/>
      </c>
      <c r="C255" s="42">
        <v>251</v>
      </c>
      <c r="D255" s="20"/>
      <c r="E255" s="58"/>
      <c r="F255" s="63" t="str">
        <f t="shared" si="22"/>
        <v/>
      </c>
      <c r="G255" s="66" t="str">
        <f>IF(D255="","",IFERROR('Prod 3'!H255/'Prod 3'!$H$3,0))</f>
        <v/>
      </c>
      <c r="H255" s="70" t="str">
        <f>IF(D255="","",'Prod 2'!K255)</f>
        <v/>
      </c>
      <c r="I255" s="77" t="str">
        <f t="shared" si="23"/>
        <v/>
      </c>
      <c r="J255" s="57"/>
      <c r="L255" s="19">
        <v>2.5100000000000001E-7</v>
      </c>
      <c r="M255" s="59">
        <f t="shared" si="24"/>
        <v>0</v>
      </c>
      <c r="N255" s="59">
        <f t="shared" si="25"/>
        <v>0</v>
      </c>
      <c r="O255" s="59">
        <f t="shared" si="26"/>
        <v>0</v>
      </c>
      <c r="P255" s="19" t="str">
        <f t="shared" si="27"/>
        <v/>
      </c>
      <c r="Q255" s="19" t="s">
        <v>291</v>
      </c>
    </row>
    <row r="256" spans="2:17" ht="30" customHeight="1" x14ac:dyDescent="0.25">
      <c r="B256" s="62" t="str">
        <f t="shared" si="21"/>
        <v/>
      </c>
      <c r="C256" s="42">
        <v>252</v>
      </c>
      <c r="D256" s="20"/>
      <c r="E256" s="58"/>
      <c r="F256" s="63" t="str">
        <f t="shared" si="22"/>
        <v/>
      </c>
      <c r="G256" s="66" t="str">
        <f>IF(D256="","",IFERROR('Prod 3'!H256/'Prod 3'!$H$3,0))</f>
        <v/>
      </c>
      <c r="H256" s="70" t="str">
        <f>IF(D256="","",'Prod 2'!K256)</f>
        <v/>
      </c>
      <c r="I256" s="77" t="str">
        <f t="shared" si="23"/>
        <v/>
      </c>
      <c r="J256" s="57"/>
      <c r="L256" s="19">
        <v>2.5199999999999998E-7</v>
      </c>
      <c r="M256" s="59">
        <f t="shared" si="24"/>
        <v>0</v>
      </c>
      <c r="N256" s="59">
        <f t="shared" si="25"/>
        <v>0</v>
      </c>
      <c r="O256" s="59">
        <f t="shared" si="26"/>
        <v>0</v>
      </c>
      <c r="P256" s="19" t="str">
        <f t="shared" si="27"/>
        <v/>
      </c>
      <c r="Q256" s="19" t="s">
        <v>292</v>
      </c>
    </row>
    <row r="257" spans="2:17" ht="30" customHeight="1" x14ac:dyDescent="0.25">
      <c r="B257" s="62" t="str">
        <f t="shared" si="21"/>
        <v/>
      </c>
      <c r="C257" s="42">
        <v>253</v>
      </c>
      <c r="D257" s="20"/>
      <c r="E257" s="58"/>
      <c r="F257" s="63" t="str">
        <f t="shared" si="22"/>
        <v/>
      </c>
      <c r="G257" s="66" t="str">
        <f>IF(D257="","",IFERROR('Prod 3'!H257/'Prod 3'!$H$3,0))</f>
        <v/>
      </c>
      <c r="H257" s="70" t="str">
        <f>IF(D257="","",'Prod 2'!K257)</f>
        <v/>
      </c>
      <c r="I257" s="77" t="str">
        <f t="shared" si="23"/>
        <v/>
      </c>
      <c r="J257" s="57"/>
      <c r="L257" s="19">
        <v>2.53E-7</v>
      </c>
      <c r="M257" s="59">
        <f t="shared" si="24"/>
        <v>0</v>
      </c>
      <c r="N257" s="59">
        <f t="shared" si="25"/>
        <v>0</v>
      </c>
      <c r="O257" s="59">
        <f t="shared" si="26"/>
        <v>0</v>
      </c>
      <c r="P257" s="19" t="str">
        <f t="shared" si="27"/>
        <v/>
      </c>
      <c r="Q257" s="19" t="s">
        <v>293</v>
      </c>
    </row>
    <row r="258" spans="2:17" ht="30" customHeight="1" x14ac:dyDescent="0.25">
      <c r="B258" s="62" t="str">
        <f t="shared" si="21"/>
        <v/>
      </c>
      <c r="C258" s="42">
        <v>254</v>
      </c>
      <c r="D258" s="20"/>
      <c r="E258" s="58"/>
      <c r="F258" s="63" t="str">
        <f t="shared" si="22"/>
        <v/>
      </c>
      <c r="G258" s="66" t="str">
        <f>IF(D258="","",IFERROR('Prod 3'!H258/'Prod 3'!$H$3,0))</f>
        <v/>
      </c>
      <c r="H258" s="70" t="str">
        <f>IF(D258="","",'Prod 2'!K258)</f>
        <v/>
      </c>
      <c r="I258" s="77" t="str">
        <f t="shared" si="23"/>
        <v/>
      </c>
      <c r="J258" s="57"/>
      <c r="L258" s="19">
        <v>2.5400000000000002E-7</v>
      </c>
      <c r="M258" s="59">
        <f t="shared" si="24"/>
        <v>0</v>
      </c>
      <c r="N258" s="59">
        <f t="shared" si="25"/>
        <v>0</v>
      </c>
      <c r="O258" s="59">
        <f t="shared" si="26"/>
        <v>0</v>
      </c>
      <c r="P258" s="19" t="str">
        <f t="shared" si="27"/>
        <v/>
      </c>
      <c r="Q258" s="19" t="s">
        <v>294</v>
      </c>
    </row>
    <row r="259" spans="2:17" ht="30" customHeight="1" x14ac:dyDescent="0.25">
      <c r="B259" s="62" t="str">
        <f t="shared" si="21"/>
        <v/>
      </c>
      <c r="C259" s="42">
        <v>255</v>
      </c>
      <c r="D259" s="20"/>
      <c r="E259" s="58"/>
      <c r="F259" s="63" t="str">
        <f t="shared" si="22"/>
        <v/>
      </c>
      <c r="G259" s="66" t="str">
        <f>IF(D259="","",IFERROR('Prod 3'!H259/'Prod 3'!$H$3,0))</f>
        <v/>
      </c>
      <c r="H259" s="70" t="str">
        <f>IF(D259="","",'Prod 2'!K259)</f>
        <v/>
      </c>
      <c r="I259" s="77" t="str">
        <f t="shared" si="23"/>
        <v/>
      </c>
      <c r="J259" s="57"/>
      <c r="L259" s="19">
        <v>2.5499999999999999E-7</v>
      </c>
      <c r="M259" s="59">
        <f t="shared" si="24"/>
        <v>0</v>
      </c>
      <c r="N259" s="59">
        <f t="shared" si="25"/>
        <v>0</v>
      </c>
      <c r="O259" s="59">
        <f t="shared" si="26"/>
        <v>0</v>
      </c>
      <c r="P259" s="19" t="str">
        <f t="shared" si="27"/>
        <v/>
      </c>
      <c r="Q259" s="19" t="s">
        <v>295</v>
      </c>
    </row>
    <row r="260" spans="2:17" ht="30" customHeight="1" x14ac:dyDescent="0.25">
      <c r="B260" s="62" t="str">
        <f t="shared" si="21"/>
        <v/>
      </c>
      <c r="C260" s="42">
        <v>256</v>
      </c>
      <c r="D260" s="20"/>
      <c r="E260" s="58"/>
      <c r="F260" s="63" t="str">
        <f t="shared" si="22"/>
        <v/>
      </c>
      <c r="G260" s="66" t="str">
        <f>IF(D260="","",IFERROR('Prod 3'!H260/'Prod 3'!$H$3,0))</f>
        <v/>
      </c>
      <c r="H260" s="70" t="str">
        <f>IF(D260="","",'Prod 2'!K260)</f>
        <v/>
      </c>
      <c r="I260" s="77" t="str">
        <f t="shared" si="23"/>
        <v/>
      </c>
      <c r="J260" s="57"/>
      <c r="L260" s="19">
        <v>2.5600000000000002E-7</v>
      </c>
      <c r="M260" s="59">
        <f t="shared" si="24"/>
        <v>0</v>
      </c>
      <c r="N260" s="59">
        <f t="shared" si="25"/>
        <v>0</v>
      </c>
      <c r="O260" s="59">
        <f t="shared" si="26"/>
        <v>0</v>
      </c>
      <c r="P260" s="19" t="str">
        <f t="shared" si="27"/>
        <v/>
      </c>
      <c r="Q260" s="19" t="s">
        <v>296</v>
      </c>
    </row>
    <row r="261" spans="2:17" ht="30" customHeight="1" x14ac:dyDescent="0.25">
      <c r="B261" s="62" t="str">
        <f t="shared" si="21"/>
        <v/>
      </c>
      <c r="C261" s="42">
        <v>257</v>
      </c>
      <c r="D261" s="20"/>
      <c r="E261" s="58"/>
      <c r="F261" s="63" t="str">
        <f t="shared" si="22"/>
        <v/>
      </c>
      <c r="G261" s="66" t="str">
        <f>IF(D261="","",IFERROR('Prod 3'!H261/'Prod 3'!$H$3,0))</f>
        <v/>
      </c>
      <c r="H261" s="70" t="str">
        <f>IF(D261="","",'Prod 2'!K261)</f>
        <v/>
      </c>
      <c r="I261" s="77" t="str">
        <f t="shared" si="23"/>
        <v/>
      </c>
      <c r="J261" s="57"/>
      <c r="L261" s="19">
        <v>2.5699999999999999E-7</v>
      </c>
      <c r="M261" s="59">
        <f t="shared" si="24"/>
        <v>0</v>
      </c>
      <c r="N261" s="59">
        <f t="shared" si="25"/>
        <v>0</v>
      </c>
      <c r="O261" s="59">
        <f t="shared" si="26"/>
        <v>0</v>
      </c>
      <c r="P261" s="19" t="str">
        <f t="shared" si="27"/>
        <v/>
      </c>
      <c r="Q261" s="19" t="s">
        <v>297</v>
      </c>
    </row>
    <row r="262" spans="2:17" ht="30" customHeight="1" x14ac:dyDescent="0.25">
      <c r="B262" s="62" t="str">
        <f t="shared" ref="B262:B325" si="28">IF(I262="","",I262)</f>
        <v/>
      </c>
      <c r="C262" s="42">
        <v>258</v>
      </c>
      <c r="D262" s="20"/>
      <c r="E262" s="58"/>
      <c r="F262" s="63" t="str">
        <f t="shared" ref="F262:F325" si="29">IF(D262="","",IFERROR(VLOOKUP(D262,$P$5:$Q$1004,2,0),""))</f>
        <v/>
      </c>
      <c r="G262" s="66" t="str">
        <f>IF(D262="","",IFERROR('Prod 3'!H262/'Prod 3'!$H$3,0))</f>
        <v/>
      </c>
      <c r="H262" s="70" t="str">
        <f>IF(D262="","",'Prod 2'!K262)</f>
        <v/>
      </c>
      <c r="I262" s="77" t="str">
        <f t="shared" ref="I262:I325" si="30">IF(D262="","",E262-H262+L262)</f>
        <v/>
      </c>
      <c r="J262" s="57"/>
      <c r="L262" s="19">
        <v>2.5800000000000001E-7</v>
      </c>
      <c r="M262" s="59">
        <f t="shared" ref="M262:M325" si="31">IFERROR(LARGE($I$5:$I$1004,C262),0)</f>
        <v>0</v>
      </c>
      <c r="N262" s="59">
        <f t="shared" ref="N262:N325" si="32">IFERROR(M262,0)</f>
        <v>0</v>
      </c>
      <c r="O262" s="59">
        <f t="shared" ref="O262:O325" si="33">IFERROR(LARGE($N$5:$N$1004,C262),0)</f>
        <v>0</v>
      </c>
      <c r="P262" s="19" t="str">
        <f t="shared" ref="P262:P325" si="34">IFERROR(IF(VLOOKUP(O262,$B$5:$D$1004,3,0)=0,"",(VLOOKUP(O262,$B$5:$D$1004,3,0))),"")</f>
        <v/>
      </c>
      <c r="Q262" s="19" t="s">
        <v>298</v>
      </c>
    </row>
    <row r="263" spans="2:17" ht="30" customHeight="1" x14ac:dyDescent="0.25">
      <c r="B263" s="62" t="str">
        <f t="shared" si="28"/>
        <v/>
      </c>
      <c r="C263" s="42">
        <v>259</v>
      </c>
      <c r="D263" s="20"/>
      <c r="E263" s="58"/>
      <c r="F263" s="63" t="str">
        <f t="shared" si="29"/>
        <v/>
      </c>
      <c r="G263" s="66" t="str">
        <f>IF(D263="","",IFERROR('Prod 3'!H263/'Prod 3'!$H$3,0))</f>
        <v/>
      </c>
      <c r="H263" s="70" t="str">
        <f>IF(D263="","",'Prod 2'!K263)</f>
        <v/>
      </c>
      <c r="I263" s="77" t="str">
        <f t="shared" si="30"/>
        <v/>
      </c>
      <c r="J263" s="57"/>
      <c r="L263" s="19">
        <v>2.5899999999999998E-7</v>
      </c>
      <c r="M263" s="59">
        <f t="shared" si="31"/>
        <v>0</v>
      </c>
      <c r="N263" s="59">
        <f t="shared" si="32"/>
        <v>0</v>
      </c>
      <c r="O263" s="59">
        <f t="shared" si="33"/>
        <v>0</v>
      </c>
      <c r="P263" s="19" t="str">
        <f t="shared" si="34"/>
        <v/>
      </c>
      <c r="Q263" s="19" t="s">
        <v>299</v>
      </c>
    </row>
    <row r="264" spans="2:17" ht="30" customHeight="1" x14ac:dyDescent="0.25">
      <c r="B264" s="62" t="str">
        <f t="shared" si="28"/>
        <v/>
      </c>
      <c r="C264" s="42">
        <v>260</v>
      </c>
      <c r="D264" s="20"/>
      <c r="E264" s="58"/>
      <c r="F264" s="63" t="str">
        <f t="shared" si="29"/>
        <v/>
      </c>
      <c r="G264" s="66" t="str">
        <f>IF(D264="","",IFERROR('Prod 3'!H264/'Prod 3'!$H$3,0))</f>
        <v/>
      </c>
      <c r="H264" s="70" t="str">
        <f>IF(D264="","",'Prod 2'!K264)</f>
        <v/>
      </c>
      <c r="I264" s="77" t="str">
        <f t="shared" si="30"/>
        <v/>
      </c>
      <c r="J264" s="57"/>
      <c r="L264" s="19">
        <v>2.6E-7</v>
      </c>
      <c r="M264" s="59">
        <f t="shared" si="31"/>
        <v>0</v>
      </c>
      <c r="N264" s="59">
        <f t="shared" si="32"/>
        <v>0</v>
      </c>
      <c r="O264" s="59">
        <f t="shared" si="33"/>
        <v>0</v>
      </c>
      <c r="P264" s="19" t="str">
        <f t="shared" si="34"/>
        <v/>
      </c>
      <c r="Q264" s="19" t="s">
        <v>300</v>
      </c>
    </row>
    <row r="265" spans="2:17" ht="30" customHeight="1" x14ac:dyDescent="0.25">
      <c r="B265" s="62" t="str">
        <f t="shared" si="28"/>
        <v/>
      </c>
      <c r="C265" s="42">
        <v>261</v>
      </c>
      <c r="D265" s="20"/>
      <c r="E265" s="58"/>
      <c r="F265" s="63" t="str">
        <f t="shared" si="29"/>
        <v/>
      </c>
      <c r="G265" s="66" t="str">
        <f>IF(D265="","",IFERROR('Prod 3'!H265/'Prod 3'!$H$3,0))</f>
        <v/>
      </c>
      <c r="H265" s="70" t="str">
        <f>IF(D265="","",'Prod 2'!K265)</f>
        <v/>
      </c>
      <c r="I265" s="77" t="str">
        <f t="shared" si="30"/>
        <v/>
      </c>
      <c r="J265" s="57"/>
      <c r="L265" s="19">
        <v>2.6100000000000002E-7</v>
      </c>
      <c r="M265" s="59">
        <f t="shared" si="31"/>
        <v>0</v>
      </c>
      <c r="N265" s="59">
        <f t="shared" si="32"/>
        <v>0</v>
      </c>
      <c r="O265" s="59">
        <f t="shared" si="33"/>
        <v>0</v>
      </c>
      <c r="P265" s="19" t="str">
        <f t="shared" si="34"/>
        <v/>
      </c>
      <c r="Q265" s="19" t="s">
        <v>301</v>
      </c>
    </row>
    <row r="266" spans="2:17" ht="30" customHeight="1" x14ac:dyDescent="0.25">
      <c r="B266" s="62" t="str">
        <f t="shared" si="28"/>
        <v/>
      </c>
      <c r="C266" s="42">
        <v>262</v>
      </c>
      <c r="D266" s="20"/>
      <c r="E266" s="58"/>
      <c r="F266" s="63" t="str">
        <f t="shared" si="29"/>
        <v/>
      </c>
      <c r="G266" s="66" t="str">
        <f>IF(D266="","",IFERROR('Prod 3'!H266/'Prod 3'!$H$3,0))</f>
        <v/>
      </c>
      <c r="H266" s="70" t="str">
        <f>IF(D266="","",'Prod 2'!K266)</f>
        <v/>
      </c>
      <c r="I266" s="77" t="str">
        <f t="shared" si="30"/>
        <v/>
      </c>
      <c r="J266" s="57"/>
      <c r="L266" s="19">
        <v>2.6199999999999999E-7</v>
      </c>
      <c r="M266" s="59">
        <f t="shared" si="31"/>
        <v>0</v>
      </c>
      <c r="N266" s="59">
        <f t="shared" si="32"/>
        <v>0</v>
      </c>
      <c r="O266" s="59">
        <f t="shared" si="33"/>
        <v>0</v>
      </c>
      <c r="P266" s="19" t="str">
        <f t="shared" si="34"/>
        <v/>
      </c>
      <c r="Q266" s="19" t="s">
        <v>302</v>
      </c>
    </row>
    <row r="267" spans="2:17" ht="30" customHeight="1" x14ac:dyDescent="0.25">
      <c r="B267" s="62" t="str">
        <f t="shared" si="28"/>
        <v/>
      </c>
      <c r="C267" s="42">
        <v>263</v>
      </c>
      <c r="D267" s="20"/>
      <c r="E267" s="58"/>
      <c r="F267" s="63" t="str">
        <f t="shared" si="29"/>
        <v/>
      </c>
      <c r="G267" s="66" t="str">
        <f>IF(D267="","",IFERROR('Prod 3'!H267/'Prod 3'!$H$3,0))</f>
        <v/>
      </c>
      <c r="H267" s="70" t="str">
        <f>IF(D267="","",'Prod 2'!K267)</f>
        <v/>
      </c>
      <c r="I267" s="77" t="str">
        <f t="shared" si="30"/>
        <v/>
      </c>
      <c r="J267" s="57"/>
      <c r="L267" s="19">
        <v>2.6300000000000001E-7</v>
      </c>
      <c r="M267" s="59">
        <f t="shared" si="31"/>
        <v>0</v>
      </c>
      <c r="N267" s="59">
        <f t="shared" si="32"/>
        <v>0</v>
      </c>
      <c r="O267" s="59">
        <f t="shared" si="33"/>
        <v>0</v>
      </c>
      <c r="P267" s="19" t="str">
        <f t="shared" si="34"/>
        <v/>
      </c>
      <c r="Q267" s="19" t="s">
        <v>303</v>
      </c>
    </row>
    <row r="268" spans="2:17" ht="30" customHeight="1" x14ac:dyDescent="0.25">
      <c r="B268" s="62" t="str">
        <f t="shared" si="28"/>
        <v/>
      </c>
      <c r="C268" s="42">
        <v>264</v>
      </c>
      <c r="D268" s="20"/>
      <c r="E268" s="58"/>
      <c r="F268" s="63" t="str">
        <f t="shared" si="29"/>
        <v/>
      </c>
      <c r="G268" s="66" t="str">
        <f>IF(D268="","",IFERROR('Prod 3'!H268/'Prod 3'!$H$3,0))</f>
        <v/>
      </c>
      <c r="H268" s="70" t="str">
        <f>IF(D268="","",'Prod 2'!K268)</f>
        <v/>
      </c>
      <c r="I268" s="77" t="str">
        <f t="shared" si="30"/>
        <v/>
      </c>
      <c r="J268" s="57"/>
      <c r="L268" s="19">
        <v>2.6399999999999998E-7</v>
      </c>
      <c r="M268" s="59">
        <f t="shared" si="31"/>
        <v>0</v>
      </c>
      <c r="N268" s="59">
        <f t="shared" si="32"/>
        <v>0</v>
      </c>
      <c r="O268" s="59">
        <f t="shared" si="33"/>
        <v>0</v>
      </c>
      <c r="P268" s="19" t="str">
        <f t="shared" si="34"/>
        <v/>
      </c>
      <c r="Q268" s="19" t="s">
        <v>304</v>
      </c>
    </row>
    <row r="269" spans="2:17" ht="30" customHeight="1" x14ac:dyDescent="0.25">
      <c r="B269" s="62" t="str">
        <f t="shared" si="28"/>
        <v/>
      </c>
      <c r="C269" s="42">
        <v>265</v>
      </c>
      <c r="D269" s="20"/>
      <c r="E269" s="58"/>
      <c r="F269" s="63" t="str">
        <f t="shared" si="29"/>
        <v/>
      </c>
      <c r="G269" s="66" t="str">
        <f>IF(D269="","",IFERROR('Prod 3'!H269/'Prod 3'!$H$3,0))</f>
        <v/>
      </c>
      <c r="H269" s="70" t="str">
        <f>IF(D269="","",'Prod 2'!K269)</f>
        <v/>
      </c>
      <c r="I269" s="77" t="str">
        <f t="shared" si="30"/>
        <v/>
      </c>
      <c r="J269" s="57"/>
      <c r="L269" s="19">
        <v>2.65E-7</v>
      </c>
      <c r="M269" s="59">
        <f t="shared" si="31"/>
        <v>0</v>
      </c>
      <c r="N269" s="59">
        <f t="shared" si="32"/>
        <v>0</v>
      </c>
      <c r="O269" s="59">
        <f t="shared" si="33"/>
        <v>0</v>
      </c>
      <c r="P269" s="19" t="str">
        <f t="shared" si="34"/>
        <v/>
      </c>
      <c r="Q269" s="19" t="s">
        <v>305</v>
      </c>
    </row>
    <row r="270" spans="2:17" ht="30" customHeight="1" x14ac:dyDescent="0.25">
      <c r="B270" s="62" t="str">
        <f t="shared" si="28"/>
        <v/>
      </c>
      <c r="C270" s="42">
        <v>266</v>
      </c>
      <c r="D270" s="20"/>
      <c r="E270" s="58"/>
      <c r="F270" s="63" t="str">
        <f t="shared" si="29"/>
        <v/>
      </c>
      <c r="G270" s="66" t="str">
        <f>IF(D270="","",IFERROR('Prod 3'!H270/'Prod 3'!$H$3,0))</f>
        <v/>
      </c>
      <c r="H270" s="70" t="str">
        <f>IF(D270="","",'Prod 2'!K270)</f>
        <v/>
      </c>
      <c r="I270" s="77" t="str">
        <f t="shared" si="30"/>
        <v/>
      </c>
      <c r="J270" s="57"/>
      <c r="L270" s="19">
        <v>2.6600000000000003E-7</v>
      </c>
      <c r="M270" s="59">
        <f t="shared" si="31"/>
        <v>0</v>
      </c>
      <c r="N270" s="59">
        <f t="shared" si="32"/>
        <v>0</v>
      </c>
      <c r="O270" s="59">
        <f t="shared" si="33"/>
        <v>0</v>
      </c>
      <c r="P270" s="19" t="str">
        <f t="shared" si="34"/>
        <v/>
      </c>
      <c r="Q270" s="19" t="s">
        <v>306</v>
      </c>
    </row>
    <row r="271" spans="2:17" ht="30" customHeight="1" x14ac:dyDescent="0.25">
      <c r="B271" s="62" t="str">
        <f t="shared" si="28"/>
        <v/>
      </c>
      <c r="C271" s="42">
        <v>267</v>
      </c>
      <c r="D271" s="20"/>
      <c r="E271" s="58"/>
      <c r="F271" s="63" t="str">
        <f t="shared" si="29"/>
        <v/>
      </c>
      <c r="G271" s="66" t="str">
        <f>IF(D271="","",IFERROR('Prod 3'!H271/'Prod 3'!$H$3,0))</f>
        <v/>
      </c>
      <c r="H271" s="70" t="str">
        <f>IF(D271="","",'Prod 2'!K271)</f>
        <v/>
      </c>
      <c r="I271" s="77" t="str">
        <f t="shared" si="30"/>
        <v/>
      </c>
      <c r="J271" s="57"/>
      <c r="L271" s="19">
        <v>2.67E-7</v>
      </c>
      <c r="M271" s="59">
        <f t="shared" si="31"/>
        <v>0</v>
      </c>
      <c r="N271" s="59">
        <f t="shared" si="32"/>
        <v>0</v>
      </c>
      <c r="O271" s="59">
        <f t="shared" si="33"/>
        <v>0</v>
      </c>
      <c r="P271" s="19" t="str">
        <f t="shared" si="34"/>
        <v/>
      </c>
      <c r="Q271" s="19" t="s">
        <v>307</v>
      </c>
    </row>
    <row r="272" spans="2:17" ht="30" customHeight="1" x14ac:dyDescent="0.25">
      <c r="B272" s="62" t="str">
        <f t="shared" si="28"/>
        <v/>
      </c>
      <c r="C272" s="42">
        <v>268</v>
      </c>
      <c r="D272" s="20"/>
      <c r="E272" s="58"/>
      <c r="F272" s="63" t="str">
        <f t="shared" si="29"/>
        <v/>
      </c>
      <c r="G272" s="66" t="str">
        <f>IF(D272="","",IFERROR('Prod 3'!H272/'Prod 3'!$H$3,0))</f>
        <v/>
      </c>
      <c r="H272" s="70" t="str">
        <f>IF(D272="","",'Prod 2'!K272)</f>
        <v/>
      </c>
      <c r="I272" s="77" t="str">
        <f t="shared" si="30"/>
        <v/>
      </c>
      <c r="J272" s="57"/>
      <c r="L272" s="19">
        <v>2.6800000000000002E-7</v>
      </c>
      <c r="M272" s="59">
        <f t="shared" si="31"/>
        <v>0</v>
      </c>
      <c r="N272" s="59">
        <f t="shared" si="32"/>
        <v>0</v>
      </c>
      <c r="O272" s="59">
        <f t="shared" si="33"/>
        <v>0</v>
      </c>
      <c r="P272" s="19" t="str">
        <f t="shared" si="34"/>
        <v/>
      </c>
      <c r="Q272" s="19" t="s">
        <v>308</v>
      </c>
    </row>
    <row r="273" spans="2:17" ht="30" customHeight="1" x14ac:dyDescent="0.25">
      <c r="B273" s="62" t="str">
        <f t="shared" si="28"/>
        <v/>
      </c>
      <c r="C273" s="42">
        <v>269</v>
      </c>
      <c r="D273" s="20"/>
      <c r="E273" s="58"/>
      <c r="F273" s="63" t="str">
        <f t="shared" si="29"/>
        <v/>
      </c>
      <c r="G273" s="66" t="str">
        <f>IF(D273="","",IFERROR('Prod 3'!H273/'Prod 3'!$H$3,0))</f>
        <v/>
      </c>
      <c r="H273" s="70" t="str">
        <f>IF(D273="","",'Prod 2'!K273)</f>
        <v/>
      </c>
      <c r="I273" s="77" t="str">
        <f t="shared" si="30"/>
        <v/>
      </c>
      <c r="J273" s="57"/>
      <c r="L273" s="19">
        <v>2.6899999999999999E-7</v>
      </c>
      <c r="M273" s="59">
        <f t="shared" si="31"/>
        <v>0</v>
      </c>
      <c r="N273" s="59">
        <f t="shared" si="32"/>
        <v>0</v>
      </c>
      <c r="O273" s="59">
        <f t="shared" si="33"/>
        <v>0</v>
      </c>
      <c r="P273" s="19" t="str">
        <f t="shared" si="34"/>
        <v/>
      </c>
      <c r="Q273" s="19" t="s">
        <v>309</v>
      </c>
    </row>
    <row r="274" spans="2:17" ht="30" customHeight="1" x14ac:dyDescent="0.25">
      <c r="B274" s="62" t="str">
        <f t="shared" si="28"/>
        <v/>
      </c>
      <c r="C274" s="42">
        <v>270</v>
      </c>
      <c r="D274" s="20"/>
      <c r="E274" s="58"/>
      <c r="F274" s="63" t="str">
        <f t="shared" si="29"/>
        <v/>
      </c>
      <c r="G274" s="66" t="str">
        <f>IF(D274="","",IFERROR('Prod 3'!H274/'Prod 3'!$H$3,0))</f>
        <v/>
      </c>
      <c r="H274" s="70" t="str">
        <f>IF(D274="","",'Prod 2'!K274)</f>
        <v/>
      </c>
      <c r="I274" s="77" t="str">
        <f t="shared" si="30"/>
        <v/>
      </c>
      <c r="J274" s="57"/>
      <c r="L274" s="19">
        <v>2.7000000000000001E-7</v>
      </c>
      <c r="M274" s="59">
        <f t="shared" si="31"/>
        <v>0</v>
      </c>
      <c r="N274" s="59">
        <f t="shared" si="32"/>
        <v>0</v>
      </c>
      <c r="O274" s="59">
        <f t="shared" si="33"/>
        <v>0</v>
      </c>
      <c r="P274" s="19" t="str">
        <f t="shared" si="34"/>
        <v/>
      </c>
      <c r="Q274" s="19" t="s">
        <v>310</v>
      </c>
    </row>
    <row r="275" spans="2:17" ht="30" customHeight="1" x14ac:dyDescent="0.25">
      <c r="B275" s="62" t="str">
        <f t="shared" si="28"/>
        <v/>
      </c>
      <c r="C275" s="42">
        <v>271</v>
      </c>
      <c r="D275" s="20"/>
      <c r="E275" s="58"/>
      <c r="F275" s="63" t="str">
        <f t="shared" si="29"/>
        <v/>
      </c>
      <c r="G275" s="66" t="str">
        <f>IF(D275="","",IFERROR('Prod 3'!H275/'Prod 3'!$H$3,0))</f>
        <v/>
      </c>
      <c r="H275" s="70" t="str">
        <f>IF(D275="","",'Prod 2'!K275)</f>
        <v/>
      </c>
      <c r="I275" s="77" t="str">
        <f t="shared" si="30"/>
        <v/>
      </c>
      <c r="J275" s="57"/>
      <c r="L275" s="19">
        <v>2.7099999999999998E-7</v>
      </c>
      <c r="M275" s="59">
        <f t="shared" si="31"/>
        <v>0</v>
      </c>
      <c r="N275" s="59">
        <f t="shared" si="32"/>
        <v>0</v>
      </c>
      <c r="O275" s="59">
        <f t="shared" si="33"/>
        <v>0</v>
      </c>
      <c r="P275" s="19" t="str">
        <f t="shared" si="34"/>
        <v/>
      </c>
      <c r="Q275" s="19" t="s">
        <v>311</v>
      </c>
    </row>
    <row r="276" spans="2:17" ht="30" customHeight="1" x14ac:dyDescent="0.25">
      <c r="B276" s="62" t="str">
        <f t="shared" si="28"/>
        <v/>
      </c>
      <c r="C276" s="42">
        <v>272</v>
      </c>
      <c r="D276" s="20"/>
      <c r="E276" s="58"/>
      <c r="F276" s="63" t="str">
        <f t="shared" si="29"/>
        <v/>
      </c>
      <c r="G276" s="66" t="str">
        <f>IF(D276="","",IFERROR('Prod 3'!H276/'Prod 3'!$H$3,0))</f>
        <v/>
      </c>
      <c r="H276" s="70" t="str">
        <f>IF(D276="","",'Prod 2'!K276)</f>
        <v/>
      </c>
      <c r="I276" s="77" t="str">
        <f t="shared" si="30"/>
        <v/>
      </c>
      <c r="J276" s="57"/>
      <c r="L276" s="19">
        <v>2.72E-7</v>
      </c>
      <c r="M276" s="59">
        <f t="shared" si="31"/>
        <v>0</v>
      </c>
      <c r="N276" s="59">
        <f t="shared" si="32"/>
        <v>0</v>
      </c>
      <c r="O276" s="59">
        <f t="shared" si="33"/>
        <v>0</v>
      </c>
      <c r="P276" s="19" t="str">
        <f t="shared" si="34"/>
        <v/>
      </c>
      <c r="Q276" s="19" t="s">
        <v>312</v>
      </c>
    </row>
    <row r="277" spans="2:17" ht="30" customHeight="1" x14ac:dyDescent="0.25">
      <c r="B277" s="62" t="str">
        <f t="shared" si="28"/>
        <v/>
      </c>
      <c r="C277" s="42">
        <v>273</v>
      </c>
      <c r="D277" s="20"/>
      <c r="E277" s="58"/>
      <c r="F277" s="63" t="str">
        <f t="shared" si="29"/>
        <v/>
      </c>
      <c r="G277" s="66" t="str">
        <f>IF(D277="","",IFERROR('Prod 3'!H277/'Prod 3'!$H$3,0))</f>
        <v/>
      </c>
      <c r="H277" s="70" t="str">
        <f>IF(D277="","",'Prod 2'!K277)</f>
        <v/>
      </c>
      <c r="I277" s="77" t="str">
        <f t="shared" si="30"/>
        <v/>
      </c>
      <c r="J277" s="57"/>
      <c r="L277" s="19">
        <v>2.7300000000000002E-7</v>
      </c>
      <c r="M277" s="59">
        <f t="shared" si="31"/>
        <v>0</v>
      </c>
      <c r="N277" s="59">
        <f t="shared" si="32"/>
        <v>0</v>
      </c>
      <c r="O277" s="59">
        <f t="shared" si="33"/>
        <v>0</v>
      </c>
      <c r="P277" s="19" t="str">
        <f t="shared" si="34"/>
        <v/>
      </c>
      <c r="Q277" s="19" t="s">
        <v>313</v>
      </c>
    </row>
    <row r="278" spans="2:17" ht="30" customHeight="1" x14ac:dyDescent="0.25">
      <c r="B278" s="62" t="str">
        <f t="shared" si="28"/>
        <v/>
      </c>
      <c r="C278" s="42">
        <v>274</v>
      </c>
      <c r="D278" s="20"/>
      <c r="E278" s="58"/>
      <c r="F278" s="63" t="str">
        <f t="shared" si="29"/>
        <v/>
      </c>
      <c r="G278" s="66" t="str">
        <f>IF(D278="","",IFERROR('Prod 3'!H278/'Prod 3'!$H$3,0))</f>
        <v/>
      </c>
      <c r="H278" s="70" t="str">
        <f>IF(D278="","",'Prod 2'!K278)</f>
        <v/>
      </c>
      <c r="I278" s="77" t="str">
        <f t="shared" si="30"/>
        <v/>
      </c>
      <c r="J278" s="57"/>
      <c r="L278" s="19">
        <v>2.7399999999999999E-7</v>
      </c>
      <c r="M278" s="59">
        <f t="shared" si="31"/>
        <v>0</v>
      </c>
      <c r="N278" s="59">
        <f t="shared" si="32"/>
        <v>0</v>
      </c>
      <c r="O278" s="59">
        <f t="shared" si="33"/>
        <v>0</v>
      </c>
      <c r="P278" s="19" t="str">
        <f t="shared" si="34"/>
        <v/>
      </c>
      <c r="Q278" s="19" t="s">
        <v>314</v>
      </c>
    </row>
    <row r="279" spans="2:17" ht="30" customHeight="1" x14ac:dyDescent="0.25">
      <c r="B279" s="62" t="str">
        <f t="shared" si="28"/>
        <v/>
      </c>
      <c r="C279" s="42">
        <v>275</v>
      </c>
      <c r="D279" s="20"/>
      <c r="E279" s="58"/>
      <c r="F279" s="63" t="str">
        <f t="shared" si="29"/>
        <v/>
      </c>
      <c r="G279" s="66" t="str">
        <f>IF(D279="","",IFERROR('Prod 3'!H279/'Prod 3'!$H$3,0))</f>
        <v/>
      </c>
      <c r="H279" s="70" t="str">
        <f>IF(D279="","",'Prod 2'!K279)</f>
        <v/>
      </c>
      <c r="I279" s="77" t="str">
        <f t="shared" si="30"/>
        <v/>
      </c>
      <c r="J279" s="57"/>
      <c r="L279" s="19">
        <v>2.7500000000000001E-7</v>
      </c>
      <c r="M279" s="59">
        <f t="shared" si="31"/>
        <v>0</v>
      </c>
      <c r="N279" s="59">
        <f t="shared" si="32"/>
        <v>0</v>
      </c>
      <c r="O279" s="59">
        <f t="shared" si="33"/>
        <v>0</v>
      </c>
      <c r="P279" s="19" t="str">
        <f t="shared" si="34"/>
        <v/>
      </c>
      <c r="Q279" s="19" t="s">
        <v>315</v>
      </c>
    </row>
    <row r="280" spans="2:17" ht="30" customHeight="1" x14ac:dyDescent="0.25">
      <c r="B280" s="62" t="str">
        <f t="shared" si="28"/>
        <v/>
      </c>
      <c r="C280" s="42">
        <v>276</v>
      </c>
      <c r="D280" s="20"/>
      <c r="E280" s="58"/>
      <c r="F280" s="63" t="str">
        <f t="shared" si="29"/>
        <v/>
      </c>
      <c r="G280" s="66" t="str">
        <f>IF(D280="","",IFERROR('Prod 3'!H280/'Prod 3'!$H$3,0))</f>
        <v/>
      </c>
      <c r="H280" s="70" t="str">
        <f>IF(D280="","",'Prod 2'!K280)</f>
        <v/>
      </c>
      <c r="I280" s="77" t="str">
        <f t="shared" si="30"/>
        <v/>
      </c>
      <c r="J280" s="57"/>
      <c r="L280" s="19">
        <v>2.7599999999999998E-7</v>
      </c>
      <c r="M280" s="59">
        <f t="shared" si="31"/>
        <v>0</v>
      </c>
      <c r="N280" s="59">
        <f t="shared" si="32"/>
        <v>0</v>
      </c>
      <c r="O280" s="59">
        <f t="shared" si="33"/>
        <v>0</v>
      </c>
      <c r="P280" s="19" t="str">
        <f t="shared" si="34"/>
        <v/>
      </c>
      <c r="Q280" s="19" t="s">
        <v>316</v>
      </c>
    </row>
    <row r="281" spans="2:17" ht="30" customHeight="1" x14ac:dyDescent="0.25">
      <c r="B281" s="62" t="str">
        <f t="shared" si="28"/>
        <v/>
      </c>
      <c r="C281" s="42">
        <v>277</v>
      </c>
      <c r="D281" s="20"/>
      <c r="E281" s="58"/>
      <c r="F281" s="63" t="str">
        <f t="shared" si="29"/>
        <v/>
      </c>
      <c r="G281" s="66" t="str">
        <f>IF(D281="","",IFERROR('Prod 3'!H281/'Prod 3'!$H$3,0))</f>
        <v/>
      </c>
      <c r="H281" s="70" t="str">
        <f>IF(D281="","",'Prod 2'!K281)</f>
        <v/>
      </c>
      <c r="I281" s="77" t="str">
        <f t="shared" si="30"/>
        <v/>
      </c>
      <c r="J281" s="57"/>
      <c r="L281" s="19">
        <v>2.7700000000000001E-7</v>
      </c>
      <c r="M281" s="59">
        <f t="shared" si="31"/>
        <v>0</v>
      </c>
      <c r="N281" s="59">
        <f t="shared" si="32"/>
        <v>0</v>
      </c>
      <c r="O281" s="59">
        <f t="shared" si="33"/>
        <v>0</v>
      </c>
      <c r="P281" s="19" t="str">
        <f t="shared" si="34"/>
        <v/>
      </c>
      <c r="Q281" s="19" t="s">
        <v>317</v>
      </c>
    </row>
    <row r="282" spans="2:17" ht="30" customHeight="1" x14ac:dyDescent="0.25">
      <c r="B282" s="62" t="str">
        <f t="shared" si="28"/>
        <v/>
      </c>
      <c r="C282" s="42">
        <v>278</v>
      </c>
      <c r="D282" s="20"/>
      <c r="E282" s="58"/>
      <c r="F282" s="63" t="str">
        <f t="shared" si="29"/>
        <v/>
      </c>
      <c r="G282" s="66" t="str">
        <f>IF(D282="","",IFERROR('Prod 3'!H282/'Prod 3'!$H$3,0))</f>
        <v/>
      </c>
      <c r="H282" s="70" t="str">
        <f>IF(D282="","",'Prod 2'!K282)</f>
        <v/>
      </c>
      <c r="I282" s="77" t="str">
        <f t="shared" si="30"/>
        <v/>
      </c>
      <c r="J282" s="57"/>
      <c r="L282" s="19">
        <v>2.7799999999999997E-7</v>
      </c>
      <c r="M282" s="59">
        <f t="shared" si="31"/>
        <v>0</v>
      </c>
      <c r="N282" s="59">
        <f t="shared" si="32"/>
        <v>0</v>
      </c>
      <c r="O282" s="59">
        <f t="shared" si="33"/>
        <v>0</v>
      </c>
      <c r="P282" s="19" t="str">
        <f t="shared" si="34"/>
        <v/>
      </c>
      <c r="Q282" s="19" t="s">
        <v>318</v>
      </c>
    </row>
    <row r="283" spans="2:17" ht="30" customHeight="1" x14ac:dyDescent="0.25">
      <c r="B283" s="62" t="str">
        <f t="shared" si="28"/>
        <v/>
      </c>
      <c r="C283" s="42">
        <v>279</v>
      </c>
      <c r="D283" s="20"/>
      <c r="E283" s="58"/>
      <c r="F283" s="63" t="str">
        <f t="shared" si="29"/>
        <v/>
      </c>
      <c r="G283" s="66" t="str">
        <f>IF(D283="","",IFERROR('Prod 3'!H283/'Prod 3'!$H$3,0))</f>
        <v/>
      </c>
      <c r="H283" s="70" t="str">
        <f>IF(D283="","",'Prod 2'!K283)</f>
        <v/>
      </c>
      <c r="I283" s="77" t="str">
        <f t="shared" si="30"/>
        <v/>
      </c>
      <c r="J283" s="57"/>
      <c r="L283" s="19">
        <v>2.79E-7</v>
      </c>
      <c r="M283" s="59">
        <f t="shared" si="31"/>
        <v>0</v>
      </c>
      <c r="N283" s="59">
        <f t="shared" si="32"/>
        <v>0</v>
      </c>
      <c r="O283" s="59">
        <f t="shared" si="33"/>
        <v>0</v>
      </c>
      <c r="P283" s="19" t="str">
        <f t="shared" si="34"/>
        <v/>
      </c>
      <c r="Q283" s="19" t="s">
        <v>319</v>
      </c>
    </row>
    <row r="284" spans="2:17" ht="30" customHeight="1" x14ac:dyDescent="0.25">
      <c r="B284" s="62" t="str">
        <f t="shared" si="28"/>
        <v/>
      </c>
      <c r="C284" s="42">
        <v>280</v>
      </c>
      <c r="D284" s="20"/>
      <c r="E284" s="58"/>
      <c r="F284" s="63" t="str">
        <f t="shared" si="29"/>
        <v/>
      </c>
      <c r="G284" s="66" t="str">
        <f>IF(D284="","",IFERROR('Prod 3'!H284/'Prod 3'!$H$3,0))</f>
        <v/>
      </c>
      <c r="H284" s="70" t="str">
        <f>IF(D284="","",'Prod 2'!K284)</f>
        <v/>
      </c>
      <c r="I284" s="77" t="str">
        <f t="shared" si="30"/>
        <v/>
      </c>
      <c r="J284" s="57"/>
      <c r="L284" s="19">
        <v>2.8000000000000002E-7</v>
      </c>
      <c r="M284" s="59">
        <f t="shared" si="31"/>
        <v>0</v>
      </c>
      <c r="N284" s="59">
        <f t="shared" si="32"/>
        <v>0</v>
      </c>
      <c r="O284" s="59">
        <f t="shared" si="33"/>
        <v>0</v>
      </c>
      <c r="P284" s="19" t="str">
        <f t="shared" si="34"/>
        <v/>
      </c>
      <c r="Q284" s="19" t="s">
        <v>320</v>
      </c>
    </row>
    <row r="285" spans="2:17" ht="30" customHeight="1" x14ac:dyDescent="0.25">
      <c r="B285" s="62" t="str">
        <f t="shared" si="28"/>
        <v/>
      </c>
      <c r="C285" s="42">
        <v>281</v>
      </c>
      <c r="D285" s="20"/>
      <c r="E285" s="58"/>
      <c r="F285" s="63" t="str">
        <f t="shared" si="29"/>
        <v/>
      </c>
      <c r="G285" s="66" t="str">
        <f>IF(D285="","",IFERROR('Prod 3'!H285/'Prod 3'!$H$3,0))</f>
        <v/>
      </c>
      <c r="H285" s="70" t="str">
        <f>IF(D285="","",'Prod 2'!K285)</f>
        <v/>
      </c>
      <c r="I285" s="77" t="str">
        <f t="shared" si="30"/>
        <v/>
      </c>
      <c r="J285" s="57"/>
      <c r="L285" s="19">
        <v>2.8099999999999999E-7</v>
      </c>
      <c r="M285" s="59">
        <f t="shared" si="31"/>
        <v>0</v>
      </c>
      <c r="N285" s="59">
        <f t="shared" si="32"/>
        <v>0</v>
      </c>
      <c r="O285" s="59">
        <f t="shared" si="33"/>
        <v>0</v>
      </c>
      <c r="P285" s="19" t="str">
        <f t="shared" si="34"/>
        <v/>
      </c>
      <c r="Q285" s="19" t="s">
        <v>321</v>
      </c>
    </row>
    <row r="286" spans="2:17" ht="30" customHeight="1" x14ac:dyDescent="0.25">
      <c r="B286" s="62" t="str">
        <f t="shared" si="28"/>
        <v/>
      </c>
      <c r="C286" s="42">
        <v>282</v>
      </c>
      <c r="D286" s="20"/>
      <c r="E286" s="58"/>
      <c r="F286" s="63" t="str">
        <f t="shared" si="29"/>
        <v/>
      </c>
      <c r="G286" s="66" t="str">
        <f>IF(D286="","",IFERROR('Prod 3'!H286/'Prod 3'!$H$3,0))</f>
        <v/>
      </c>
      <c r="H286" s="70" t="str">
        <f>IF(D286="","",'Prod 2'!K286)</f>
        <v/>
      </c>
      <c r="I286" s="77" t="str">
        <f t="shared" si="30"/>
        <v/>
      </c>
      <c r="J286" s="57"/>
      <c r="L286" s="19">
        <v>2.8200000000000001E-7</v>
      </c>
      <c r="M286" s="59">
        <f t="shared" si="31"/>
        <v>0</v>
      </c>
      <c r="N286" s="59">
        <f t="shared" si="32"/>
        <v>0</v>
      </c>
      <c r="O286" s="59">
        <f t="shared" si="33"/>
        <v>0</v>
      </c>
      <c r="P286" s="19" t="str">
        <f t="shared" si="34"/>
        <v/>
      </c>
      <c r="Q286" s="19" t="s">
        <v>322</v>
      </c>
    </row>
    <row r="287" spans="2:17" ht="30" customHeight="1" x14ac:dyDescent="0.25">
      <c r="B287" s="62" t="str">
        <f t="shared" si="28"/>
        <v/>
      </c>
      <c r="C287" s="42">
        <v>283</v>
      </c>
      <c r="D287" s="20"/>
      <c r="E287" s="58"/>
      <c r="F287" s="63" t="str">
        <f t="shared" si="29"/>
        <v/>
      </c>
      <c r="G287" s="66" t="str">
        <f>IF(D287="","",IFERROR('Prod 3'!H287/'Prod 3'!$H$3,0))</f>
        <v/>
      </c>
      <c r="H287" s="70" t="str">
        <f>IF(D287="","",'Prod 2'!K287)</f>
        <v/>
      </c>
      <c r="I287" s="77" t="str">
        <f t="shared" si="30"/>
        <v/>
      </c>
      <c r="J287" s="57"/>
      <c r="L287" s="19">
        <v>2.8299999999999998E-7</v>
      </c>
      <c r="M287" s="59">
        <f t="shared" si="31"/>
        <v>0</v>
      </c>
      <c r="N287" s="59">
        <f t="shared" si="32"/>
        <v>0</v>
      </c>
      <c r="O287" s="59">
        <f t="shared" si="33"/>
        <v>0</v>
      </c>
      <c r="P287" s="19" t="str">
        <f t="shared" si="34"/>
        <v/>
      </c>
      <c r="Q287" s="19" t="s">
        <v>323</v>
      </c>
    </row>
    <row r="288" spans="2:17" ht="30" customHeight="1" x14ac:dyDescent="0.25">
      <c r="B288" s="62" t="str">
        <f t="shared" si="28"/>
        <v/>
      </c>
      <c r="C288" s="42">
        <v>284</v>
      </c>
      <c r="D288" s="20"/>
      <c r="E288" s="58"/>
      <c r="F288" s="63" t="str">
        <f t="shared" si="29"/>
        <v/>
      </c>
      <c r="G288" s="66" t="str">
        <f>IF(D288="","",IFERROR('Prod 3'!H288/'Prod 3'!$H$3,0))</f>
        <v/>
      </c>
      <c r="H288" s="70" t="str">
        <f>IF(D288="","",'Prod 2'!K288)</f>
        <v/>
      </c>
      <c r="I288" s="77" t="str">
        <f t="shared" si="30"/>
        <v/>
      </c>
      <c r="J288" s="57"/>
      <c r="L288" s="19">
        <v>2.84E-7</v>
      </c>
      <c r="M288" s="59">
        <f t="shared" si="31"/>
        <v>0</v>
      </c>
      <c r="N288" s="59">
        <f t="shared" si="32"/>
        <v>0</v>
      </c>
      <c r="O288" s="59">
        <f t="shared" si="33"/>
        <v>0</v>
      </c>
      <c r="P288" s="19" t="str">
        <f t="shared" si="34"/>
        <v/>
      </c>
      <c r="Q288" s="19" t="s">
        <v>324</v>
      </c>
    </row>
    <row r="289" spans="2:17" ht="30" customHeight="1" x14ac:dyDescent="0.25">
      <c r="B289" s="62" t="str">
        <f t="shared" si="28"/>
        <v/>
      </c>
      <c r="C289" s="42">
        <v>285</v>
      </c>
      <c r="D289" s="20"/>
      <c r="E289" s="58"/>
      <c r="F289" s="63" t="str">
        <f t="shared" si="29"/>
        <v/>
      </c>
      <c r="G289" s="66" t="str">
        <f>IF(D289="","",IFERROR('Prod 3'!H289/'Prod 3'!$H$3,0))</f>
        <v/>
      </c>
      <c r="H289" s="70" t="str">
        <f>IF(D289="","",'Prod 2'!K289)</f>
        <v/>
      </c>
      <c r="I289" s="77" t="str">
        <f t="shared" si="30"/>
        <v/>
      </c>
      <c r="J289" s="57"/>
      <c r="L289" s="19">
        <v>2.8500000000000002E-7</v>
      </c>
      <c r="M289" s="59">
        <f t="shared" si="31"/>
        <v>0</v>
      </c>
      <c r="N289" s="59">
        <f t="shared" si="32"/>
        <v>0</v>
      </c>
      <c r="O289" s="59">
        <f t="shared" si="33"/>
        <v>0</v>
      </c>
      <c r="P289" s="19" t="str">
        <f t="shared" si="34"/>
        <v/>
      </c>
      <c r="Q289" s="19" t="s">
        <v>325</v>
      </c>
    </row>
    <row r="290" spans="2:17" ht="30" customHeight="1" x14ac:dyDescent="0.25">
      <c r="B290" s="62" t="str">
        <f t="shared" si="28"/>
        <v/>
      </c>
      <c r="C290" s="42">
        <v>286</v>
      </c>
      <c r="D290" s="20"/>
      <c r="E290" s="58"/>
      <c r="F290" s="63" t="str">
        <f t="shared" si="29"/>
        <v/>
      </c>
      <c r="G290" s="66" t="str">
        <f>IF(D290="","",IFERROR('Prod 3'!H290/'Prod 3'!$H$3,0))</f>
        <v/>
      </c>
      <c r="H290" s="70" t="str">
        <f>IF(D290="","",'Prod 2'!K290)</f>
        <v/>
      </c>
      <c r="I290" s="77" t="str">
        <f t="shared" si="30"/>
        <v/>
      </c>
      <c r="J290" s="57"/>
      <c r="L290" s="19">
        <v>2.8599999999999999E-7</v>
      </c>
      <c r="M290" s="59">
        <f t="shared" si="31"/>
        <v>0</v>
      </c>
      <c r="N290" s="59">
        <f t="shared" si="32"/>
        <v>0</v>
      </c>
      <c r="O290" s="59">
        <f t="shared" si="33"/>
        <v>0</v>
      </c>
      <c r="P290" s="19" t="str">
        <f t="shared" si="34"/>
        <v/>
      </c>
      <c r="Q290" s="19" t="s">
        <v>326</v>
      </c>
    </row>
    <row r="291" spans="2:17" ht="30" customHeight="1" x14ac:dyDescent="0.25">
      <c r="B291" s="62" t="str">
        <f t="shared" si="28"/>
        <v/>
      </c>
      <c r="C291" s="42">
        <v>287</v>
      </c>
      <c r="D291" s="20"/>
      <c r="E291" s="58"/>
      <c r="F291" s="63" t="str">
        <f t="shared" si="29"/>
        <v/>
      </c>
      <c r="G291" s="66" t="str">
        <f>IF(D291="","",IFERROR('Prod 3'!H291/'Prod 3'!$H$3,0))</f>
        <v/>
      </c>
      <c r="H291" s="70" t="str">
        <f>IF(D291="","",'Prod 2'!K291)</f>
        <v/>
      </c>
      <c r="I291" s="77" t="str">
        <f t="shared" si="30"/>
        <v/>
      </c>
      <c r="J291" s="57"/>
      <c r="L291" s="19">
        <v>2.8700000000000002E-7</v>
      </c>
      <c r="M291" s="59">
        <f t="shared" si="31"/>
        <v>0</v>
      </c>
      <c r="N291" s="59">
        <f t="shared" si="32"/>
        <v>0</v>
      </c>
      <c r="O291" s="59">
        <f t="shared" si="33"/>
        <v>0</v>
      </c>
      <c r="P291" s="19" t="str">
        <f t="shared" si="34"/>
        <v/>
      </c>
      <c r="Q291" s="19" t="s">
        <v>327</v>
      </c>
    </row>
    <row r="292" spans="2:17" ht="30" customHeight="1" x14ac:dyDescent="0.25">
      <c r="B292" s="62" t="str">
        <f t="shared" si="28"/>
        <v/>
      </c>
      <c r="C292" s="42">
        <v>288</v>
      </c>
      <c r="D292" s="20"/>
      <c r="E292" s="58"/>
      <c r="F292" s="63" t="str">
        <f t="shared" si="29"/>
        <v/>
      </c>
      <c r="G292" s="66" t="str">
        <f>IF(D292="","",IFERROR('Prod 3'!H292/'Prod 3'!$H$3,0))</f>
        <v/>
      </c>
      <c r="H292" s="70" t="str">
        <f>IF(D292="","",'Prod 2'!K292)</f>
        <v/>
      </c>
      <c r="I292" s="77" t="str">
        <f t="shared" si="30"/>
        <v/>
      </c>
      <c r="J292" s="57"/>
      <c r="L292" s="19">
        <v>2.8799999999999998E-7</v>
      </c>
      <c r="M292" s="59">
        <f t="shared" si="31"/>
        <v>0</v>
      </c>
      <c r="N292" s="59">
        <f t="shared" si="32"/>
        <v>0</v>
      </c>
      <c r="O292" s="59">
        <f t="shared" si="33"/>
        <v>0</v>
      </c>
      <c r="P292" s="19" t="str">
        <f t="shared" si="34"/>
        <v/>
      </c>
      <c r="Q292" s="19" t="s">
        <v>328</v>
      </c>
    </row>
    <row r="293" spans="2:17" ht="30" customHeight="1" x14ac:dyDescent="0.25">
      <c r="B293" s="62" t="str">
        <f t="shared" si="28"/>
        <v/>
      </c>
      <c r="C293" s="42">
        <v>289</v>
      </c>
      <c r="D293" s="20"/>
      <c r="E293" s="58"/>
      <c r="F293" s="63" t="str">
        <f t="shared" si="29"/>
        <v/>
      </c>
      <c r="G293" s="66" t="str">
        <f>IF(D293="","",IFERROR('Prod 3'!H293/'Prod 3'!$H$3,0))</f>
        <v/>
      </c>
      <c r="H293" s="70" t="str">
        <f>IF(D293="","",'Prod 2'!K293)</f>
        <v/>
      </c>
      <c r="I293" s="77" t="str">
        <f t="shared" si="30"/>
        <v/>
      </c>
      <c r="J293" s="57"/>
      <c r="L293" s="19">
        <v>2.8900000000000001E-7</v>
      </c>
      <c r="M293" s="59">
        <f t="shared" si="31"/>
        <v>0</v>
      </c>
      <c r="N293" s="59">
        <f t="shared" si="32"/>
        <v>0</v>
      </c>
      <c r="O293" s="59">
        <f t="shared" si="33"/>
        <v>0</v>
      </c>
      <c r="P293" s="19" t="str">
        <f t="shared" si="34"/>
        <v/>
      </c>
      <c r="Q293" s="19" t="s">
        <v>329</v>
      </c>
    </row>
    <row r="294" spans="2:17" ht="30" customHeight="1" x14ac:dyDescent="0.25">
      <c r="B294" s="62" t="str">
        <f t="shared" si="28"/>
        <v/>
      </c>
      <c r="C294" s="42">
        <v>290</v>
      </c>
      <c r="D294" s="20"/>
      <c r="E294" s="58"/>
      <c r="F294" s="63" t="str">
        <f t="shared" si="29"/>
        <v/>
      </c>
      <c r="G294" s="66" t="str">
        <f>IF(D294="","",IFERROR('Prod 3'!H294/'Prod 3'!$H$3,0))</f>
        <v/>
      </c>
      <c r="H294" s="70" t="str">
        <f>IF(D294="","",'Prod 2'!K294)</f>
        <v/>
      </c>
      <c r="I294" s="77" t="str">
        <f t="shared" si="30"/>
        <v/>
      </c>
      <c r="J294" s="57"/>
      <c r="L294" s="19">
        <v>2.8999999999999998E-7</v>
      </c>
      <c r="M294" s="59">
        <f t="shared" si="31"/>
        <v>0</v>
      </c>
      <c r="N294" s="59">
        <f t="shared" si="32"/>
        <v>0</v>
      </c>
      <c r="O294" s="59">
        <f t="shared" si="33"/>
        <v>0</v>
      </c>
      <c r="P294" s="19" t="str">
        <f t="shared" si="34"/>
        <v/>
      </c>
      <c r="Q294" s="19" t="s">
        <v>330</v>
      </c>
    </row>
    <row r="295" spans="2:17" ht="30" customHeight="1" x14ac:dyDescent="0.25">
      <c r="B295" s="62" t="str">
        <f t="shared" si="28"/>
        <v/>
      </c>
      <c r="C295" s="42">
        <v>291</v>
      </c>
      <c r="D295" s="20"/>
      <c r="E295" s="58"/>
      <c r="F295" s="63" t="str">
        <f t="shared" si="29"/>
        <v/>
      </c>
      <c r="G295" s="66" t="str">
        <f>IF(D295="","",IFERROR('Prod 3'!H295/'Prod 3'!$H$3,0))</f>
        <v/>
      </c>
      <c r="H295" s="70" t="str">
        <f>IF(D295="","",'Prod 2'!K295)</f>
        <v/>
      </c>
      <c r="I295" s="77" t="str">
        <f t="shared" si="30"/>
        <v/>
      </c>
      <c r="J295" s="57"/>
      <c r="L295" s="19">
        <v>2.91E-7</v>
      </c>
      <c r="M295" s="59">
        <f t="shared" si="31"/>
        <v>0</v>
      </c>
      <c r="N295" s="59">
        <f t="shared" si="32"/>
        <v>0</v>
      </c>
      <c r="O295" s="59">
        <f t="shared" si="33"/>
        <v>0</v>
      </c>
      <c r="P295" s="19" t="str">
        <f t="shared" si="34"/>
        <v/>
      </c>
      <c r="Q295" s="19" t="s">
        <v>331</v>
      </c>
    </row>
    <row r="296" spans="2:17" ht="30" customHeight="1" x14ac:dyDescent="0.25">
      <c r="B296" s="62" t="str">
        <f t="shared" si="28"/>
        <v/>
      </c>
      <c r="C296" s="42">
        <v>292</v>
      </c>
      <c r="D296" s="20"/>
      <c r="E296" s="58"/>
      <c r="F296" s="63" t="str">
        <f t="shared" si="29"/>
        <v/>
      </c>
      <c r="G296" s="66" t="str">
        <f>IF(D296="","",IFERROR('Prod 3'!H296/'Prod 3'!$H$3,0))</f>
        <v/>
      </c>
      <c r="H296" s="70" t="str">
        <f>IF(D296="","",'Prod 2'!K296)</f>
        <v/>
      </c>
      <c r="I296" s="77" t="str">
        <f t="shared" si="30"/>
        <v/>
      </c>
      <c r="J296" s="57"/>
      <c r="L296" s="19">
        <v>2.9200000000000002E-7</v>
      </c>
      <c r="M296" s="59">
        <f t="shared" si="31"/>
        <v>0</v>
      </c>
      <c r="N296" s="59">
        <f t="shared" si="32"/>
        <v>0</v>
      </c>
      <c r="O296" s="59">
        <f t="shared" si="33"/>
        <v>0</v>
      </c>
      <c r="P296" s="19" t="str">
        <f t="shared" si="34"/>
        <v/>
      </c>
      <c r="Q296" s="19" t="s">
        <v>332</v>
      </c>
    </row>
    <row r="297" spans="2:17" ht="30" customHeight="1" x14ac:dyDescent="0.25">
      <c r="B297" s="62" t="str">
        <f t="shared" si="28"/>
        <v/>
      </c>
      <c r="C297" s="42">
        <v>293</v>
      </c>
      <c r="D297" s="20"/>
      <c r="E297" s="58"/>
      <c r="F297" s="63" t="str">
        <f t="shared" si="29"/>
        <v/>
      </c>
      <c r="G297" s="66" t="str">
        <f>IF(D297="","",IFERROR('Prod 3'!H297/'Prod 3'!$H$3,0))</f>
        <v/>
      </c>
      <c r="H297" s="70" t="str">
        <f>IF(D297="","",'Prod 2'!K297)</f>
        <v/>
      </c>
      <c r="I297" s="77" t="str">
        <f t="shared" si="30"/>
        <v/>
      </c>
      <c r="J297" s="57"/>
      <c r="L297" s="19">
        <v>2.9299999999999999E-7</v>
      </c>
      <c r="M297" s="59">
        <f t="shared" si="31"/>
        <v>0</v>
      </c>
      <c r="N297" s="59">
        <f t="shared" si="32"/>
        <v>0</v>
      </c>
      <c r="O297" s="59">
        <f t="shared" si="33"/>
        <v>0</v>
      </c>
      <c r="P297" s="19" t="str">
        <f t="shared" si="34"/>
        <v/>
      </c>
      <c r="Q297" s="19" t="s">
        <v>333</v>
      </c>
    </row>
    <row r="298" spans="2:17" ht="30" customHeight="1" x14ac:dyDescent="0.25">
      <c r="B298" s="62" t="str">
        <f t="shared" si="28"/>
        <v/>
      </c>
      <c r="C298" s="42">
        <v>294</v>
      </c>
      <c r="D298" s="20"/>
      <c r="E298" s="58"/>
      <c r="F298" s="63" t="str">
        <f t="shared" si="29"/>
        <v/>
      </c>
      <c r="G298" s="66" t="str">
        <f>IF(D298="","",IFERROR('Prod 3'!H298/'Prod 3'!$H$3,0))</f>
        <v/>
      </c>
      <c r="H298" s="70" t="str">
        <f>IF(D298="","",'Prod 2'!K298)</f>
        <v/>
      </c>
      <c r="I298" s="77" t="str">
        <f t="shared" si="30"/>
        <v/>
      </c>
      <c r="J298" s="57"/>
      <c r="L298" s="19">
        <v>2.9400000000000001E-7</v>
      </c>
      <c r="M298" s="59">
        <f t="shared" si="31"/>
        <v>0</v>
      </c>
      <c r="N298" s="59">
        <f t="shared" si="32"/>
        <v>0</v>
      </c>
      <c r="O298" s="59">
        <f t="shared" si="33"/>
        <v>0</v>
      </c>
      <c r="P298" s="19" t="str">
        <f t="shared" si="34"/>
        <v/>
      </c>
      <c r="Q298" s="19" t="s">
        <v>334</v>
      </c>
    </row>
    <row r="299" spans="2:17" ht="30" customHeight="1" x14ac:dyDescent="0.25">
      <c r="B299" s="62" t="str">
        <f t="shared" si="28"/>
        <v/>
      </c>
      <c r="C299" s="42">
        <v>295</v>
      </c>
      <c r="D299" s="20"/>
      <c r="E299" s="58"/>
      <c r="F299" s="63" t="str">
        <f t="shared" si="29"/>
        <v/>
      </c>
      <c r="G299" s="66" t="str">
        <f>IF(D299="","",IFERROR('Prod 3'!H299/'Prod 3'!$H$3,0))</f>
        <v/>
      </c>
      <c r="H299" s="70" t="str">
        <f>IF(D299="","",'Prod 2'!K299)</f>
        <v/>
      </c>
      <c r="I299" s="77" t="str">
        <f t="shared" si="30"/>
        <v/>
      </c>
      <c r="J299" s="57"/>
      <c r="L299" s="19">
        <v>2.9499999999999998E-7</v>
      </c>
      <c r="M299" s="59">
        <f t="shared" si="31"/>
        <v>0</v>
      </c>
      <c r="N299" s="59">
        <f t="shared" si="32"/>
        <v>0</v>
      </c>
      <c r="O299" s="59">
        <f t="shared" si="33"/>
        <v>0</v>
      </c>
      <c r="P299" s="19" t="str">
        <f t="shared" si="34"/>
        <v/>
      </c>
      <c r="Q299" s="19" t="s">
        <v>335</v>
      </c>
    </row>
    <row r="300" spans="2:17" ht="30" customHeight="1" x14ac:dyDescent="0.25">
      <c r="B300" s="62" t="str">
        <f t="shared" si="28"/>
        <v/>
      </c>
      <c r="C300" s="42">
        <v>296</v>
      </c>
      <c r="D300" s="20"/>
      <c r="E300" s="58"/>
      <c r="F300" s="63" t="str">
        <f t="shared" si="29"/>
        <v/>
      </c>
      <c r="G300" s="66" t="str">
        <f>IF(D300="","",IFERROR('Prod 3'!H300/'Prod 3'!$H$3,0))</f>
        <v/>
      </c>
      <c r="H300" s="70" t="str">
        <f>IF(D300="","",'Prod 2'!K300)</f>
        <v/>
      </c>
      <c r="I300" s="77" t="str">
        <f t="shared" si="30"/>
        <v/>
      </c>
      <c r="J300" s="57"/>
      <c r="L300" s="19">
        <v>2.96E-7</v>
      </c>
      <c r="M300" s="59">
        <f t="shared" si="31"/>
        <v>0</v>
      </c>
      <c r="N300" s="59">
        <f t="shared" si="32"/>
        <v>0</v>
      </c>
      <c r="O300" s="59">
        <f t="shared" si="33"/>
        <v>0</v>
      </c>
      <c r="P300" s="19" t="str">
        <f t="shared" si="34"/>
        <v/>
      </c>
      <c r="Q300" s="19" t="s">
        <v>336</v>
      </c>
    </row>
    <row r="301" spans="2:17" ht="30" customHeight="1" x14ac:dyDescent="0.25">
      <c r="B301" s="62" t="str">
        <f t="shared" si="28"/>
        <v/>
      </c>
      <c r="C301" s="42">
        <v>297</v>
      </c>
      <c r="D301" s="20"/>
      <c r="E301" s="58"/>
      <c r="F301" s="63" t="str">
        <f t="shared" si="29"/>
        <v/>
      </c>
      <c r="G301" s="66" t="str">
        <f>IF(D301="","",IFERROR('Prod 3'!H301/'Prod 3'!$H$3,0))</f>
        <v/>
      </c>
      <c r="H301" s="70" t="str">
        <f>IF(D301="","",'Prod 2'!K301)</f>
        <v/>
      </c>
      <c r="I301" s="77" t="str">
        <f t="shared" si="30"/>
        <v/>
      </c>
      <c r="J301" s="57"/>
      <c r="L301" s="19">
        <v>2.9700000000000003E-7</v>
      </c>
      <c r="M301" s="59">
        <f t="shared" si="31"/>
        <v>0</v>
      </c>
      <c r="N301" s="59">
        <f t="shared" si="32"/>
        <v>0</v>
      </c>
      <c r="O301" s="59">
        <f t="shared" si="33"/>
        <v>0</v>
      </c>
      <c r="P301" s="19" t="str">
        <f t="shared" si="34"/>
        <v/>
      </c>
      <c r="Q301" s="19" t="s">
        <v>337</v>
      </c>
    </row>
    <row r="302" spans="2:17" ht="30" customHeight="1" x14ac:dyDescent="0.25">
      <c r="B302" s="62" t="str">
        <f t="shared" si="28"/>
        <v/>
      </c>
      <c r="C302" s="42">
        <v>298</v>
      </c>
      <c r="D302" s="20"/>
      <c r="E302" s="58"/>
      <c r="F302" s="63" t="str">
        <f t="shared" si="29"/>
        <v/>
      </c>
      <c r="G302" s="66" t="str">
        <f>IF(D302="","",IFERROR('Prod 3'!H302/'Prod 3'!$H$3,0))</f>
        <v/>
      </c>
      <c r="H302" s="70" t="str">
        <f>IF(D302="","",'Prod 2'!K302)</f>
        <v/>
      </c>
      <c r="I302" s="77" t="str">
        <f t="shared" si="30"/>
        <v/>
      </c>
      <c r="J302" s="57"/>
      <c r="L302" s="19">
        <v>2.9799999999999999E-7</v>
      </c>
      <c r="M302" s="59">
        <f t="shared" si="31"/>
        <v>0</v>
      </c>
      <c r="N302" s="59">
        <f t="shared" si="32"/>
        <v>0</v>
      </c>
      <c r="O302" s="59">
        <f t="shared" si="33"/>
        <v>0</v>
      </c>
      <c r="P302" s="19" t="str">
        <f t="shared" si="34"/>
        <v/>
      </c>
      <c r="Q302" s="19" t="s">
        <v>338</v>
      </c>
    </row>
    <row r="303" spans="2:17" ht="30" customHeight="1" x14ac:dyDescent="0.25">
      <c r="B303" s="62" t="str">
        <f t="shared" si="28"/>
        <v/>
      </c>
      <c r="C303" s="42">
        <v>299</v>
      </c>
      <c r="D303" s="20"/>
      <c r="E303" s="58"/>
      <c r="F303" s="63" t="str">
        <f t="shared" si="29"/>
        <v/>
      </c>
      <c r="G303" s="66" t="str">
        <f>IF(D303="","",IFERROR('Prod 3'!H303/'Prod 3'!$H$3,0))</f>
        <v/>
      </c>
      <c r="H303" s="70" t="str">
        <f>IF(D303="","",'Prod 2'!K303)</f>
        <v/>
      </c>
      <c r="I303" s="77" t="str">
        <f t="shared" si="30"/>
        <v/>
      </c>
      <c r="J303" s="57"/>
      <c r="L303" s="19">
        <v>2.9900000000000002E-7</v>
      </c>
      <c r="M303" s="59">
        <f t="shared" si="31"/>
        <v>0</v>
      </c>
      <c r="N303" s="59">
        <f t="shared" si="32"/>
        <v>0</v>
      </c>
      <c r="O303" s="59">
        <f t="shared" si="33"/>
        <v>0</v>
      </c>
      <c r="P303" s="19" t="str">
        <f t="shared" si="34"/>
        <v/>
      </c>
      <c r="Q303" s="19" t="s">
        <v>339</v>
      </c>
    </row>
    <row r="304" spans="2:17" ht="30" customHeight="1" x14ac:dyDescent="0.25">
      <c r="B304" s="62" t="str">
        <f t="shared" si="28"/>
        <v/>
      </c>
      <c r="C304" s="42">
        <v>300</v>
      </c>
      <c r="D304" s="20"/>
      <c r="E304" s="58"/>
      <c r="F304" s="63" t="str">
        <f t="shared" si="29"/>
        <v/>
      </c>
      <c r="G304" s="66" t="str">
        <f>IF(D304="","",IFERROR('Prod 3'!H304/'Prod 3'!$H$3,0))</f>
        <v/>
      </c>
      <c r="H304" s="70" t="str">
        <f>IF(D304="","",'Prod 2'!K304)</f>
        <v/>
      </c>
      <c r="I304" s="77" t="str">
        <f t="shared" si="30"/>
        <v/>
      </c>
      <c r="J304" s="57"/>
      <c r="L304" s="19">
        <v>2.9999999999999999E-7</v>
      </c>
      <c r="M304" s="59">
        <f t="shared" si="31"/>
        <v>0</v>
      </c>
      <c r="N304" s="59">
        <f t="shared" si="32"/>
        <v>0</v>
      </c>
      <c r="O304" s="59">
        <f t="shared" si="33"/>
        <v>0</v>
      </c>
      <c r="P304" s="19" t="str">
        <f t="shared" si="34"/>
        <v/>
      </c>
      <c r="Q304" s="19" t="s">
        <v>340</v>
      </c>
    </row>
    <row r="305" spans="2:17" ht="30" customHeight="1" x14ac:dyDescent="0.25">
      <c r="B305" s="62" t="str">
        <f t="shared" si="28"/>
        <v/>
      </c>
      <c r="C305" s="42">
        <v>301</v>
      </c>
      <c r="D305" s="20"/>
      <c r="E305" s="58"/>
      <c r="F305" s="63" t="str">
        <f t="shared" si="29"/>
        <v/>
      </c>
      <c r="G305" s="66" t="str">
        <f>IF(D305="","",IFERROR('Prod 3'!H305/'Prod 3'!$H$3,0))</f>
        <v/>
      </c>
      <c r="H305" s="70" t="str">
        <f>IF(D305="","",'Prod 2'!K305)</f>
        <v/>
      </c>
      <c r="I305" s="77" t="str">
        <f t="shared" si="30"/>
        <v/>
      </c>
      <c r="J305" s="57"/>
      <c r="L305" s="19">
        <v>3.0100000000000001E-7</v>
      </c>
      <c r="M305" s="59">
        <f t="shared" si="31"/>
        <v>0</v>
      </c>
      <c r="N305" s="59">
        <f t="shared" si="32"/>
        <v>0</v>
      </c>
      <c r="O305" s="59">
        <f t="shared" si="33"/>
        <v>0</v>
      </c>
      <c r="P305" s="19" t="str">
        <f t="shared" si="34"/>
        <v/>
      </c>
      <c r="Q305" s="19" t="s">
        <v>341</v>
      </c>
    </row>
    <row r="306" spans="2:17" ht="30" customHeight="1" x14ac:dyDescent="0.25">
      <c r="B306" s="62" t="str">
        <f t="shared" si="28"/>
        <v/>
      </c>
      <c r="C306" s="42">
        <v>302</v>
      </c>
      <c r="D306" s="20"/>
      <c r="E306" s="58"/>
      <c r="F306" s="63" t="str">
        <f t="shared" si="29"/>
        <v/>
      </c>
      <c r="G306" s="66" t="str">
        <f>IF(D306="","",IFERROR('Prod 3'!H306/'Prod 3'!$H$3,0))</f>
        <v/>
      </c>
      <c r="H306" s="70" t="str">
        <f>IF(D306="","",'Prod 2'!K306)</f>
        <v/>
      </c>
      <c r="I306" s="77" t="str">
        <f t="shared" si="30"/>
        <v/>
      </c>
      <c r="J306" s="57"/>
      <c r="L306" s="19">
        <v>3.0199999999999998E-7</v>
      </c>
      <c r="M306" s="59">
        <f t="shared" si="31"/>
        <v>0</v>
      </c>
      <c r="N306" s="59">
        <f t="shared" si="32"/>
        <v>0</v>
      </c>
      <c r="O306" s="59">
        <f t="shared" si="33"/>
        <v>0</v>
      </c>
      <c r="P306" s="19" t="str">
        <f t="shared" si="34"/>
        <v/>
      </c>
      <c r="Q306" s="19" t="s">
        <v>342</v>
      </c>
    </row>
    <row r="307" spans="2:17" ht="30" customHeight="1" x14ac:dyDescent="0.25">
      <c r="B307" s="62" t="str">
        <f t="shared" si="28"/>
        <v/>
      </c>
      <c r="C307" s="42">
        <v>303</v>
      </c>
      <c r="D307" s="20"/>
      <c r="E307" s="58"/>
      <c r="F307" s="63" t="str">
        <f t="shared" si="29"/>
        <v/>
      </c>
      <c r="G307" s="66" t="str">
        <f>IF(D307="","",IFERROR('Prod 3'!H307/'Prod 3'!$H$3,0))</f>
        <v/>
      </c>
      <c r="H307" s="70" t="str">
        <f>IF(D307="","",'Prod 2'!K307)</f>
        <v/>
      </c>
      <c r="I307" s="77" t="str">
        <f t="shared" si="30"/>
        <v/>
      </c>
      <c r="J307" s="57"/>
      <c r="L307" s="19">
        <v>3.03E-7</v>
      </c>
      <c r="M307" s="59">
        <f t="shared" si="31"/>
        <v>0</v>
      </c>
      <c r="N307" s="59">
        <f t="shared" si="32"/>
        <v>0</v>
      </c>
      <c r="O307" s="59">
        <f t="shared" si="33"/>
        <v>0</v>
      </c>
      <c r="P307" s="19" t="str">
        <f t="shared" si="34"/>
        <v/>
      </c>
      <c r="Q307" s="19" t="s">
        <v>343</v>
      </c>
    </row>
    <row r="308" spans="2:17" ht="30" customHeight="1" x14ac:dyDescent="0.25">
      <c r="B308" s="62" t="str">
        <f t="shared" si="28"/>
        <v/>
      </c>
      <c r="C308" s="42">
        <v>304</v>
      </c>
      <c r="D308" s="20"/>
      <c r="E308" s="58"/>
      <c r="F308" s="63" t="str">
        <f t="shared" si="29"/>
        <v/>
      </c>
      <c r="G308" s="66" t="str">
        <f>IF(D308="","",IFERROR('Prod 3'!H308/'Prod 3'!$H$3,0))</f>
        <v/>
      </c>
      <c r="H308" s="70" t="str">
        <f>IF(D308="","",'Prod 2'!K308)</f>
        <v/>
      </c>
      <c r="I308" s="77" t="str">
        <f t="shared" si="30"/>
        <v/>
      </c>
      <c r="J308" s="57"/>
      <c r="L308" s="19">
        <v>3.0400000000000002E-7</v>
      </c>
      <c r="M308" s="59">
        <f t="shared" si="31"/>
        <v>0</v>
      </c>
      <c r="N308" s="59">
        <f t="shared" si="32"/>
        <v>0</v>
      </c>
      <c r="O308" s="59">
        <f t="shared" si="33"/>
        <v>0</v>
      </c>
      <c r="P308" s="19" t="str">
        <f t="shared" si="34"/>
        <v/>
      </c>
      <c r="Q308" s="19" t="s">
        <v>344</v>
      </c>
    </row>
    <row r="309" spans="2:17" ht="30" customHeight="1" x14ac:dyDescent="0.25">
      <c r="B309" s="62" t="str">
        <f t="shared" si="28"/>
        <v/>
      </c>
      <c r="C309" s="42">
        <v>305</v>
      </c>
      <c r="D309" s="20"/>
      <c r="E309" s="58"/>
      <c r="F309" s="63" t="str">
        <f t="shared" si="29"/>
        <v/>
      </c>
      <c r="G309" s="66" t="str">
        <f>IF(D309="","",IFERROR('Prod 3'!H309/'Prod 3'!$H$3,0))</f>
        <v/>
      </c>
      <c r="H309" s="70" t="str">
        <f>IF(D309="","",'Prod 2'!K309)</f>
        <v/>
      </c>
      <c r="I309" s="77" t="str">
        <f t="shared" si="30"/>
        <v/>
      </c>
      <c r="J309" s="57"/>
      <c r="L309" s="19">
        <v>3.0499999999999999E-7</v>
      </c>
      <c r="M309" s="59">
        <f t="shared" si="31"/>
        <v>0</v>
      </c>
      <c r="N309" s="59">
        <f t="shared" si="32"/>
        <v>0</v>
      </c>
      <c r="O309" s="59">
        <f t="shared" si="33"/>
        <v>0</v>
      </c>
      <c r="P309" s="19" t="str">
        <f t="shared" si="34"/>
        <v/>
      </c>
      <c r="Q309" s="19" t="s">
        <v>345</v>
      </c>
    </row>
    <row r="310" spans="2:17" ht="30" customHeight="1" x14ac:dyDescent="0.25">
      <c r="B310" s="62" t="str">
        <f t="shared" si="28"/>
        <v/>
      </c>
      <c r="C310" s="42">
        <v>306</v>
      </c>
      <c r="D310" s="20"/>
      <c r="E310" s="58"/>
      <c r="F310" s="63" t="str">
        <f t="shared" si="29"/>
        <v/>
      </c>
      <c r="G310" s="66" t="str">
        <f>IF(D310="","",IFERROR('Prod 3'!H310/'Prod 3'!$H$3,0))</f>
        <v/>
      </c>
      <c r="H310" s="70" t="str">
        <f>IF(D310="","",'Prod 2'!K310)</f>
        <v/>
      </c>
      <c r="I310" s="77" t="str">
        <f t="shared" si="30"/>
        <v/>
      </c>
      <c r="J310" s="57"/>
      <c r="L310" s="19">
        <v>3.0600000000000001E-7</v>
      </c>
      <c r="M310" s="59">
        <f t="shared" si="31"/>
        <v>0</v>
      </c>
      <c r="N310" s="59">
        <f t="shared" si="32"/>
        <v>0</v>
      </c>
      <c r="O310" s="59">
        <f t="shared" si="33"/>
        <v>0</v>
      </c>
      <c r="P310" s="19" t="str">
        <f t="shared" si="34"/>
        <v/>
      </c>
      <c r="Q310" s="19" t="s">
        <v>346</v>
      </c>
    </row>
    <row r="311" spans="2:17" ht="30" customHeight="1" x14ac:dyDescent="0.25">
      <c r="B311" s="62" t="str">
        <f t="shared" si="28"/>
        <v/>
      </c>
      <c r="C311" s="42">
        <v>307</v>
      </c>
      <c r="D311" s="20"/>
      <c r="E311" s="58"/>
      <c r="F311" s="63" t="str">
        <f t="shared" si="29"/>
        <v/>
      </c>
      <c r="G311" s="66" t="str">
        <f>IF(D311="","",IFERROR('Prod 3'!H311/'Prod 3'!$H$3,0))</f>
        <v/>
      </c>
      <c r="H311" s="70" t="str">
        <f>IF(D311="","",'Prod 2'!K311)</f>
        <v/>
      </c>
      <c r="I311" s="77" t="str">
        <f t="shared" si="30"/>
        <v/>
      </c>
      <c r="J311" s="57"/>
      <c r="L311" s="19">
        <v>3.0699999999999998E-7</v>
      </c>
      <c r="M311" s="59">
        <f t="shared" si="31"/>
        <v>0</v>
      </c>
      <c r="N311" s="59">
        <f t="shared" si="32"/>
        <v>0</v>
      </c>
      <c r="O311" s="59">
        <f t="shared" si="33"/>
        <v>0</v>
      </c>
      <c r="P311" s="19" t="str">
        <f t="shared" si="34"/>
        <v/>
      </c>
      <c r="Q311" s="19" t="s">
        <v>347</v>
      </c>
    </row>
    <row r="312" spans="2:17" ht="30" customHeight="1" x14ac:dyDescent="0.25">
      <c r="B312" s="62" t="str">
        <f t="shared" si="28"/>
        <v/>
      </c>
      <c r="C312" s="42">
        <v>308</v>
      </c>
      <c r="D312" s="20"/>
      <c r="E312" s="58"/>
      <c r="F312" s="63" t="str">
        <f t="shared" si="29"/>
        <v/>
      </c>
      <c r="G312" s="66" t="str">
        <f>IF(D312="","",IFERROR('Prod 3'!H312/'Prod 3'!$H$3,0))</f>
        <v/>
      </c>
      <c r="H312" s="70" t="str">
        <f>IF(D312="","",'Prod 2'!K312)</f>
        <v/>
      </c>
      <c r="I312" s="77" t="str">
        <f t="shared" si="30"/>
        <v/>
      </c>
      <c r="J312" s="57"/>
      <c r="L312" s="19">
        <v>3.0800000000000001E-7</v>
      </c>
      <c r="M312" s="59">
        <f t="shared" si="31"/>
        <v>0</v>
      </c>
      <c r="N312" s="59">
        <f t="shared" si="32"/>
        <v>0</v>
      </c>
      <c r="O312" s="59">
        <f t="shared" si="33"/>
        <v>0</v>
      </c>
      <c r="P312" s="19" t="str">
        <f t="shared" si="34"/>
        <v/>
      </c>
      <c r="Q312" s="19" t="s">
        <v>348</v>
      </c>
    </row>
    <row r="313" spans="2:17" ht="30" customHeight="1" x14ac:dyDescent="0.25">
      <c r="B313" s="62" t="str">
        <f t="shared" si="28"/>
        <v/>
      </c>
      <c r="C313" s="42">
        <v>309</v>
      </c>
      <c r="D313" s="20"/>
      <c r="E313" s="58"/>
      <c r="F313" s="63" t="str">
        <f t="shared" si="29"/>
        <v/>
      </c>
      <c r="G313" s="66" t="str">
        <f>IF(D313="","",IFERROR('Prod 3'!H313/'Prod 3'!$H$3,0))</f>
        <v/>
      </c>
      <c r="H313" s="70" t="str">
        <f>IF(D313="","",'Prod 2'!K313)</f>
        <v/>
      </c>
      <c r="I313" s="77" t="str">
        <f t="shared" si="30"/>
        <v/>
      </c>
      <c r="J313" s="57"/>
      <c r="L313" s="19">
        <v>3.0899999999999997E-7</v>
      </c>
      <c r="M313" s="59">
        <f t="shared" si="31"/>
        <v>0</v>
      </c>
      <c r="N313" s="59">
        <f t="shared" si="32"/>
        <v>0</v>
      </c>
      <c r="O313" s="59">
        <f t="shared" si="33"/>
        <v>0</v>
      </c>
      <c r="P313" s="19" t="str">
        <f t="shared" si="34"/>
        <v/>
      </c>
      <c r="Q313" s="19" t="s">
        <v>349</v>
      </c>
    </row>
    <row r="314" spans="2:17" ht="30" customHeight="1" x14ac:dyDescent="0.25">
      <c r="B314" s="62" t="str">
        <f t="shared" si="28"/>
        <v/>
      </c>
      <c r="C314" s="42">
        <v>310</v>
      </c>
      <c r="D314" s="20"/>
      <c r="E314" s="58"/>
      <c r="F314" s="63" t="str">
        <f t="shared" si="29"/>
        <v/>
      </c>
      <c r="G314" s="66" t="str">
        <f>IF(D314="","",IFERROR('Prod 3'!H314/'Prod 3'!$H$3,0))</f>
        <v/>
      </c>
      <c r="H314" s="70" t="str">
        <f>IF(D314="","",'Prod 2'!K314)</f>
        <v/>
      </c>
      <c r="I314" s="77" t="str">
        <f t="shared" si="30"/>
        <v/>
      </c>
      <c r="J314" s="57"/>
      <c r="L314" s="19">
        <v>3.1E-7</v>
      </c>
      <c r="M314" s="59">
        <f t="shared" si="31"/>
        <v>0</v>
      </c>
      <c r="N314" s="59">
        <f t="shared" si="32"/>
        <v>0</v>
      </c>
      <c r="O314" s="59">
        <f t="shared" si="33"/>
        <v>0</v>
      </c>
      <c r="P314" s="19" t="str">
        <f t="shared" si="34"/>
        <v/>
      </c>
      <c r="Q314" s="19" t="s">
        <v>350</v>
      </c>
    </row>
    <row r="315" spans="2:17" ht="30" customHeight="1" x14ac:dyDescent="0.25">
      <c r="B315" s="62" t="str">
        <f t="shared" si="28"/>
        <v/>
      </c>
      <c r="C315" s="42">
        <v>311</v>
      </c>
      <c r="D315" s="20"/>
      <c r="E315" s="58"/>
      <c r="F315" s="63" t="str">
        <f t="shared" si="29"/>
        <v/>
      </c>
      <c r="G315" s="66" t="str">
        <f>IF(D315="","",IFERROR('Prod 3'!H315/'Prod 3'!$H$3,0))</f>
        <v/>
      </c>
      <c r="H315" s="70" t="str">
        <f>IF(D315="","",'Prod 2'!K315)</f>
        <v/>
      </c>
      <c r="I315" s="77" t="str">
        <f t="shared" si="30"/>
        <v/>
      </c>
      <c r="J315" s="57"/>
      <c r="L315" s="19">
        <v>3.1100000000000002E-7</v>
      </c>
      <c r="M315" s="59">
        <f t="shared" si="31"/>
        <v>0</v>
      </c>
      <c r="N315" s="59">
        <f t="shared" si="32"/>
        <v>0</v>
      </c>
      <c r="O315" s="59">
        <f t="shared" si="33"/>
        <v>0</v>
      </c>
      <c r="P315" s="19" t="str">
        <f t="shared" si="34"/>
        <v/>
      </c>
      <c r="Q315" s="19" t="s">
        <v>351</v>
      </c>
    </row>
    <row r="316" spans="2:17" ht="30" customHeight="1" x14ac:dyDescent="0.25">
      <c r="B316" s="62" t="str">
        <f t="shared" si="28"/>
        <v/>
      </c>
      <c r="C316" s="42">
        <v>312</v>
      </c>
      <c r="D316" s="20"/>
      <c r="E316" s="58"/>
      <c r="F316" s="63" t="str">
        <f t="shared" si="29"/>
        <v/>
      </c>
      <c r="G316" s="66" t="str">
        <f>IF(D316="","",IFERROR('Prod 3'!H316/'Prod 3'!$H$3,0))</f>
        <v/>
      </c>
      <c r="H316" s="70" t="str">
        <f>IF(D316="","",'Prod 2'!K316)</f>
        <v/>
      </c>
      <c r="I316" s="77" t="str">
        <f t="shared" si="30"/>
        <v/>
      </c>
      <c r="J316" s="57"/>
      <c r="L316" s="19">
        <v>3.1199999999999999E-7</v>
      </c>
      <c r="M316" s="59">
        <f t="shared" si="31"/>
        <v>0</v>
      </c>
      <c r="N316" s="59">
        <f t="shared" si="32"/>
        <v>0</v>
      </c>
      <c r="O316" s="59">
        <f t="shared" si="33"/>
        <v>0</v>
      </c>
      <c r="P316" s="19" t="str">
        <f t="shared" si="34"/>
        <v/>
      </c>
      <c r="Q316" s="19" t="s">
        <v>352</v>
      </c>
    </row>
    <row r="317" spans="2:17" ht="30" customHeight="1" x14ac:dyDescent="0.25">
      <c r="B317" s="62" t="str">
        <f t="shared" si="28"/>
        <v/>
      </c>
      <c r="C317" s="42">
        <v>313</v>
      </c>
      <c r="D317" s="20"/>
      <c r="E317" s="58"/>
      <c r="F317" s="63" t="str">
        <f t="shared" si="29"/>
        <v/>
      </c>
      <c r="G317" s="66" t="str">
        <f>IF(D317="","",IFERROR('Prod 3'!H317/'Prod 3'!$H$3,0))</f>
        <v/>
      </c>
      <c r="H317" s="70" t="str">
        <f>IF(D317="","",'Prod 2'!K317)</f>
        <v/>
      </c>
      <c r="I317" s="77" t="str">
        <f t="shared" si="30"/>
        <v/>
      </c>
      <c r="J317" s="57"/>
      <c r="L317" s="19">
        <v>3.1300000000000001E-7</v>
      </c>
      <c r="M317" s="59">
        <f t="shared" si="31"/>
        <v>0</v>
      </c>
      <c r="N317" s="59">
        <f t="shared" si="32"/>
        <v>0</v>
      </c>
      <c r="O317" s="59">
        <f t="shared" si="33"/>
        <v>0</v>
      </c>
      <c r="P317" s="19" t="str">
        <f t="shared" si="34"/>
        <v/>
      </c>
      <c r="Q317" s="19" t="s">
        <v>353</v>
      </c>
    </row>
    <row r="318" spans="2:17" ht="30" customHeight="1" x14ac:dyDescent="0.25">
      <c r="B318" s="62" t="str">
        <f t="shared" si="28"/>
        <v/>
      </c>
      <c r="C318" s="42">
        <v>314</v>
      </c>
      <c r="D318" s="20"/>
      <c r="E318" s="58"/>
      <c r="F318" s="63" t="str">
        <f t="shared" si="29"/>
        <v/>
      </c>
      <c r="G318" s="66" t="str">
        <f>IF(D318="","",IFERROR('Prod 3'!H318/'Prod 3'!$H$3,0))</f>
        <v/>
      </c>
      <c r="H318" s="70" t="str">
        <f>IF(D318="","",'Prod 2'!K318)</f>
        <v/>
      </c>
      <c r="I318" s="77" t="str">
        <f t="shared" si="30"/>
        <v/>
      </c>
      <c r="J318" s="57"/>
      <c r="L318" s="19">
        <v>3.1399999999999998E-7</v>
      </c>
      <c r="M318" s="59">
        <f t="shared" si="31"/>
        <v>0</v>
      </c>
      <c r="N318" s="59">
        <f t="shared" si="32"/>
        <v>0</v>
      </c>
      <c r="O318" s="59">
        <f t="shared" si="33"/>
        <v>0</v>
      </c>
      <c r="P318" s="19" t="str">
        <f t="shared" si="34"/>
        <v/>
      </c>
      <c r="Q318" s="19" t="s">
        <v>354</v>
      </c>
    </row>
    <row r="319" spans="2:17" ht="30" customHeight="1" x14ac:dyDescent="0.25">
      <c r="B319" s="62" t="str">
        <f t="shared" si="28"/>
        <v/>
      </c>
      <c r="C319" s="42">
        <v>315</v>
      </c>
      <c r="D319" s="20"/>
      <c r="E319" s="58"/>
      <c r="F319" s="63" t="str">
        <f t="shared" si="29"/>
        <v/>
      </c>
      <c r="G319" s="66" t="str">
        <f>IF(D319="","",IFERROR('Prod 3'!H319/'Prod 3'!$H$3,0))</f>
        <v/>
      </c>
      <c r="H319" s="70" t="str">
        <f>IF(D319="","",'Prod 2'!K319)</f>
        <v/>
      </c>
      <c r="I319" s="77" t="str">
        <f t="shared" si="30"/>
        <v/>
      </c>
      <c r="J319" s="57"/>
      <c r="L319" s="19">
        <v>3.15E-7</v>
      </c>
      <c r="M319" s="59">
        <f t="shared" si="31"/>
        <v>0</v>
      </c>
      <c r="N319" s="59">
        <f t="shared" si="32"/>
        <v>0</v>
      </c>
      <c r="O319" s="59">
        <f t="shared" si="33"/>
        <v>0</v>
      </c>
      <c r="P319" s="19" t="str">
        <f t="shared" si="34"/>
        <v/>
      </c>
      <c r="Q319" s="19" t="s">
        <v>355</v>
      </c>
    </row>
    <row r="320" spans="2:17" ht="30" customHeight="1" x14ac:dyDescent="0.25">
      <c r="B320" s="62" t="str">
        <f t="shared" si="28"/>
        <v/>
      </c>
      <c r="C320" s="42">
        <v>316</v>
      </c>
      <c r="D320" s="20"/>
      <c r="E320" s="58"/>
      <c r="F320" s="63" t="str">
        <f t="shared" si="29"/>
        <v/>
      </c>
      <c r="G320" s="66" t="str">
        <f>IF(D320="","",IFERROR('Prod 3'!H320/'Prod 3'!$H$3,0))</f>
        <v/>
      </c>
      <c r="H320" s="70" t="str">
        <f>IF(D320="","",'Prod 2'!K320)</f>
        <v/>
      </c>
      <c r="I320" s="77" t="str">
        <f t="shared" si="30"/>
        <v/>
      </c>
      <c r="J320" s="57"/>
      <c r="L320" s="19">
        <v>3.1600000000000002E-7</v>
      </c>
      <c r="M320" s="59">
        <f t="shared" si="31"/>
        <v>0</v>
      </c>
      <c r="N320" s="59">
        <f t="shared" si="32"/>
        <v>0</v>
      </c>
      <c r="O320" s="59">
        <f t="shared" si="33"/>
        <v>0</v>
      </c>
      <c r="P320" s="19" t="str">
        <f t="shared" si="34"/>
        <v/>
      </c>
      <c r="Q320" s="19" t="s">
        <v>356</v>
      </c>
    </row>
    <row r="321" spans="2:17" ht="30" customHeight="1" x14ac:dyDescent="0.25">
      <c r="B321" s="62" t="str">
        <f t="shared" si="28"/>
        <v/>
      </c>
      <c r="C321" s="42">
        <v>317</v>
      </c>
      <c r="D321" s="20"/>
      <c r="E321" s="58"/>
      <c r="F321" s="63" t="str">
        <f t="shared" si="29"/>
        <v/>
      </c>
      <c r="G321" s="66" t="str">
        <f>IF(D321="","",IFERROR('Prod 3'!H321/'Prod 3'!$H$3,0))</f>
        <v/>
      </c>
      <c r="H321" s="70" t="str">
        <f>IF(D321="","",'Prod 2'!K321)</f>
        <v/>
      </c>
      <c r="I321" s="77" t="str">
        <f t="shared" si="30"/>
        <v/>
      </c>
      <c r="J321" s="57"/>
      <c r="L321" s="19">
        <v>3.1699999999999999E-7</v>
      </c>
      <c r="M321" s="59">
        <f t="shared" si="31"/>
        <v>0</v>
      </c>
      <c r="N321" s="59">
        <f t="shared" si="32"/>
        <v>0</v>
      </c>
      <c r="O321" s="59">
        <f t="shared" si="33"/>
        <v>0</v>
      </c>
      <c r="P321" s="19" t="str">
        <f t="shared" si="34"/>
        <v/>
      </c>
      <c r="Q321" s="19" t="s">
        <v>357</v>
      </c>
    </row>
    <row r="322" spans="2:17" ht="30" customHeight="1" x14ac:dyDescent="0.25">
      <c r="B322" s="62" t="str">
        <f t="shared" si="28"/>
        <v/>
      </c>
      <c r="C322" s="42">
        <v>318</v>
      </c>
      <c r="D322" s="20"/>
      <c r="E322" s="58"/>
      <c r="F322" s="63" t="str">
        <f t="shared" si="29"/>
        <v/>
      </c>
      <c r="G322" s="66" t="str">
        <f>IF(D322="","",IFERROR('Prod 3'!H322/'Prod 3'!$H$3,0))</f>
        <v/>
      </c>
      <c r="H322" s="70" t="str">
        <f>IF(D322="","",'Prod 2'!K322)</f>
        <v/>
      </c>
      <c r="I322" s="77" t="str">
        <f t="shared" si="30"/>
        <v/>
      </c>
      <c r="J322" s="57"/>
      <c r="L322" s="19">
        <v>3.1800000000000002E-7</v>
      </c>
      <c r="M322" s="59">
        <f t="shared" si="31"/>
        <v>0</v>
      </c>
      <c r="N322" s="59">
        <f t="shared" si="32"/>
        <v>0</v>
      </c>
      <c r="O322" s="59">
        <f t="shared" si="33"/>
        <v>0</v>
      </c>
      <c r="P322" s="19" t="str">
        <f t="shared" si="34"/>
        <v/>
      </c>
      <c r="Q322" s="19" t="s">
        <v>358</v>
      </c>
    </row>
    <row r="323" spans="2:17" ht="30" customHeight="1" x14ac:dyDescent="0.25">
      <c r="B323" s="62" t="str">
        <f t="shared" si="28"/>
        <v/>
      </c>
      <c r="C323" s="42">
        <v>319</v>
      </c>
      <c r="D323" s="20"/>
      <c r="E323" s="58"/>
      <c r="F323" s="63" t="str">
        <f t="shared" si="29"/>
        <v/>
      </c>
      <c r="G323" s="66" t="str">
        <f>IF(D323="","",IFERROR('Prod 3'!H323/'Prod 3'!$H$3,0))</f>
        <v/>
      </c>
      <c r="H323" s="70" t="str">
        <f>IF(D323="","",'Prod 2'!K323)</f>
        <v/>
      </c>
      <c r="I323" s="77" t="str">
        <f t="shared" si="30"/>
        <v/>
      </c>
      <c r="J323" s="57"/>
      <c r="L323" s="19">
        <v>3.1899999999999998E-7</v>
      </c>
      <c r="M323" s="59">
        <f t="shared" si="31"/>
        <v>0</v>
      </c>
      <c r="N323" s="59">
        <f t="shared" si="32"/>
        <v>0</v>
      </c>
      <c r="O323" s="59">
        <f t="shared" si="33"/>
        <v>0</v>
      </c>
      <c r="P323" s="19" t="str">
        <f t="shared" si="34"/>
        <v/>
      </c>
      <c r="Q323" s="19" t="s">
        <v>359</v>
      </c>
    </row>
    <row r="324" spans="2:17" ht="30" customHeight="1" x14ac:dyDescent="0.25">
      <c r="B324" s="62" t="str">
        <f t="shared" si="28"/>
        <v/>
      </c>
      <c r="C324" s="42">
        <v>320</v>
      </c>
      <c r="D324" s="20"/>
      <c r="E324" s="58"/>
      <c r="F324" s="63" t="str">
        <f t="shared" si="29"/>
        <v/>
      </c>
      <c r="G324" s="66" t="str">
        <f>IF(D324="","",IFERROR('Prod 3'!H324/'Prod 3'!$H$3,0))</f>
        <v/>
      </c>
      <c r="H324" s="70" t="str">
        <f>IF(D324="","",'Prod 2'!K324)</f>
        <v/>
      </c>
      <c r="I324" s="77" t="str">
        <f t="shared" si="30"/>
        <v/>
      </c>
      <c r="J324" s="57"/>
      <c r="L324" s="19">
        <v>3.2000000000000001E-7</v>
      </c>
      <c r="M324" s="59">
        <f t="shared" si="31"/>
        <v>0</v>
      </c>
      <c r="N324" s="59">
        <f t="shared" si="32"/>
        <v>0</v>
      </c>
      <c r="O324" s="59">
        <f t="shared" si="33"/>
        <v>0</v>
      </c>
      <c r="P324" s="19" t="str">
        <f t="shared" si="34"/>
        <v/>
      </c>
      <c r="Q324" s="19" t="s">
        <v>360</v>
      </c>
    </row>
    <row r="325" spans="2:17" ht="30" customHeight="1" x14ac:dyDescent="0.25">
      <c r="B325" s="62" t="str">
        <f t="shared" si="28"/>
        <v/>
      </c>
      <c r="C325" s="42">
        <v>321</v>
      </c>
      <c r="D325" s="20"/>
      <c r="E325" s="58"/>
      <c r="F325" s="63" t="str">
        <f t="shared" si="29"/>
        <v/>
      </c>
      <c r="G325" s="66" t="str">
        <f>IF(D325="","",IFERROR('Prod 3'!H325/'Prod 3'!$H$3,0))</f>
        <v/>
      </c>
      <c r="H325" s="70" t="str">
        <f>IF(D325="","",'Prod 2'!K325)</f>
        <v/>
      </c>
      <c r="I325" s="77" t="str">
        <f t="shared" si="30"/>
        <v/>
      </c>
      <c r="J325" s="57"/>
      <c r="L325" s="19">
        <v>3.2099999999999998E-7</v>
      </c>
      <c r="M325" s="59">
        <f t="shared" si="31"/>
        <v>0</v>
      </c>
      <c r="N325" s="59">
        <f t="shared" si="32"/>
        <v>0</v>
      </c>
      <c r="O325" s="59">
        <f t="shared" si="33"/>
        <v>0</v>
      </c>
      <c r="P325" s="19" t="str">
        <f t="shared" si="34"/>
        <v/>
      </c>
      <c r="Q325" s="19" t="s">
        <v>361</v>
      </c>
    </row>
    <row r="326" spans="2:17" ht="30" customHeight="1" x14ac:dyDescent="0.25">
      <c r="B326" s="62" t="str">
        <f t="shared" ref="B326:B389" si="35">IF(I326="","",I326)</f>
        <v/>
      </c>
      <c r="C326" s="42">
        <v>322</v>
      </c>
      <c r="D326" s="20"/>
      <c r="E326" s="58"/>
      <c r="F326" s="63" t="str">
        <f t="shared" ref="F326:F389" si="36">IF(D326="","",IFERROR(VLOOKUP(D326,$P$5:$Q$1004,2,0),""))</f>
        <v/>
      </c>
      <c r="G326" s="66" t="str">
        <f>IF(D326="","",IFERROR('Prod 3'!H326/'Prod 3'!$H$3,0))</f>
        <v/>
      </c>
      <c r="H326" s="70" t="str">
        <f>IF(D326="","",'Prod 2'!K326)</f>
        <v/>
      </c>
      <c r="I326" s="77" t="str">
        <f t="shared" ref="I326:I389" si="37">IF(D326="","",E326-H326+L326)</f>
        <v/>
      </c>
      <c r="J326" s="57"/>
      <c r="L326" s="19">
        <v>3.22E-7</v>
      </c>
      <c r="M326" s="59">
        <f t="shared" ref="M326:M389" si="38">IFERROR(LARGE($I$5:$I$1004,C326),0)</f>
        <v>0</v>
      </c>
      <c r="N326" s="59">
        <f t="shared" ref="N326:N389" si="39">IFERROR(M326,0)</f>
        <v>0</v>
      </c>
      <c r="O326" s="59">
        <f t="shared" ref="O326:O389" si="40">IFERROR(LARGE($N$5:$N$1004,C326),0)</f>
        <v>0</v>
      </c>
      <c r="P326" s="19" t="str">
        <f t="shared" ref="P326:P389" si="41">IFERROR(IF(VLOOKUP(O326,$B$5:$D$1004,3,0)=0,"",(VLOOKUP(O326,$B$5:$D$1004,3,0))),"")</f>
        <v/>
      </c>
      <c r="Q326" s="19" t="s">
        <v>362</v>
      </c>
    </row>
    <row r="327" spans="2:17" ht="30" customHeight="1" x14ac:dyDescent="0.25">
      <c r="B327" s="62" t="str">
        <f t="shared" si="35"/>
        <v/>
      </c>
      <c r="C327" s="42">
        <v>323</v>
      </c>
      <c r="D327" s="20"/>
      <c r="E327" s="58"/>
      <c r="F327" s="63" t="str">
        <f t="shared" si="36"/>
        <v/>
      </c>
      <c r="G327" s="66" t="str">
        <f>IF(D327="","",IFERROR('Prod 3'!H327/'Prod 3'!$H$3,0))</f>
        <v/>
      </c>
      <c r="H327" s="70" t="str">
        <f>IF(D327="","",'Prod 2'!K327)</f>
        <v/>
      </c>
      <c r="I327" s="77" t="str">
        <f t="shared" si="37"/>
        <v/>
      </c>
      <c r="J327" s="57"/>
      <c r="L327" s="19">
        <v>3.2300000000000002E-7</v>
      </c>
      <c r="M327" s="59">
        <f t="shared" si="38"/>
        <v>0</v>
      </c>
      <c r="N327" s="59">
        <f t="shared" si="39"/>
        <v>0</v>
      </c>
      <c r="O327" s="59">
        <f t="shared" si="40"/>
        <v>0</v>
      </c>
      <c r="P327" s="19" t="str">
        <f t="shared" si="41"/>
        <v/>
      </c>
      <c r="Q327" s="19" t="s">
        <v>363</v>
      </c>
    </row>
    <row r="328" spans="2:17" ht="30" customHeight="1" x14ac:dyDescent="0.25">
      <c r="B328" s="62" t="str">
        <f t="shared" si="35"/>
        <v/>
      </c>
      <c r="C328" s="42">
        <v>324</v>
      </c>
      <c r="D328" s="20"/>
      <c r="E328" s="58"/>
      <c r="F328" s="63" t="str">
        <f t="shared" si="36"/>
        <v/>
      </c>
      <c r="G328" s="66" t="str">
        <f>IF(D328="","",IFERROR('Prod 3'!H328/'Prod 3'!$H$3,0))</f>
        <v/>
      </c>
      <c r="H328" s="70" t="str">
        <f>IF(D328="","",'Prod 2'!K328)</f>
        <v/>
      </c>
      <c r="I328" s="77" t="str">
        <f t="shared" si="37"/>
        <v/>
      </c>
      <c r="J328" s="57"/>
      <c r="L328" s="19">
        <v>3.2399999999999999E-7</v>
      </c>
      <c r="M328" s="59">
        <f t="shared" si="38"/>
        <v>0</v>
      </c>
      <c r="N328" s="59">
        <f t="shared" si="39"/>
        <v>0</v>
      </c>
      <c r="O328" s="59">
        <f t="shared" si="40"/>
        <v>0</v>
      </c>
      <c r="P328" s="19" t="str">
        <f t="shared" si="41"/>
        <v/>
      </c>
      <c r="Q328" s="19" t="s">
        <v>364</v>
      </c>
    </row>
    <row r="329" spans="2:17" ht="30" customHeight="1" x14ac:dyDescent="0.25">
      <c r="B329" s="62" t="str">
        <f t="shared" si="35"/>
        <v/>
      </c>
      <c r="C329" s="42">
        <v>325</v>
      </c>
      <c r="D329" s="20"/>
      <c r="E329" s="58"/>
      <c r="F329" s="63" t="str">
        <f t="shared" si="36"/>
        <v/>
      </c>
      <c r="G329" s="66" t="str">
        <f>IF(D329="","",IFERROR('Prod 3'!H329/'Prod 3'!$H$3,0))</f>
        <v/>
      </c>
      <c r="H329" s="70" t="str">
        <f>IF(D329="","",'Prod 2'!K329)</f>
        <v/>
      </c>
      <c r="I329" s="77" t="str">
        <f t="shared" si="37"/>
        <v/>
      </c>
      <c r="J329" s="57"/>
      <c r="L329" s="19">
        <v>3.2500000000000001E-7</v>
      </c>
      <c r="M329" s="59">
        <f t="shared" si="38"/>
        <v>0</v>
      </c>
      <c r="N329" s="59">
        <f t="shared" si="39"/>
        <v>0</v>
      </c>
      <c r="O329" s="59">
        <f t="shared" si="40"/>
        <v>0</v>
      </c>
      <c r="P329" s="19" t="str">
        <f t="shared" si="41"/>
        <v/>
      </c>
      <c r="Q329" s="19" t="s">
        <v>365</v>
      </c>
    </row>
    <row r="330" spans="2:17" ht="30" customHeight="1" x14ac:dyDescent="0.25">
      <c r="B330" s="62" t="str">
        <f t="shared" si="35"/>
        <v/>
      </c>
      <c r="C330" s="42">
        <v>326</v>
      </c>
      <c r="D330" s="20"/>
      <c r="E330" s="58"/>
      <c r="F330" s="63" t="str">
        <f t="shared" si="36"/>
        <v/>
      </c>
      <c r="G330" s="66" t="str">
        <f>IF(D330="","",IFERROR('Prod 3'!H330/'Prod 3'!$H$3,0))</f>
        <v/>
      </c>
      <c r="H330" s="70" t="str">
        <f>IF(D330="","",'Prod 2'!K330)</f>
        <v/>
      </c>
      <c r="I330" s="77" t="str">
        <f t="shared" si="37"/>
        <v/>
      </c>
      <c r="J330" s="57"/>
      <c r="L330" s="19">
        <v>3.2599999999999998E-7</v>
      </c>
      <c r="M330" s="59">
        <f t="shared" si="38"/>
        <v>0</v>
      </c>
      <c r="N330" s="59">
        <f t="shared" si="39"/>
        <v>0</v>
      </c>
      <c r="O330" s="59">
        <f t="shared" si="40"/>
        <v>0</v>
      </c>
      <c r="P330" s="19" t="str">
        <f t="shared" si="41"/>
        <v/>
      </c>
      <c r="Q330" s="19" t="s">
        <v>366</v>
      </c>
    </row>
    <row r="331" spans="2:17" ht="30" customHeight="1" x14ac:dyDescent="0.25">
      <c r="B331" s="62" t="str">
        <f t="shared" si="35"/>
        <v/>
      </c>
      <c r="C331" s="42">
        <v>327</v>
      </c>
      <c r="D331" s="20"/>
      <c r="E331" s="58"/>
      <c r="F331" s="63" t="str">
        <f t="shared" si="36"/>
        <v/>
      </c>
      <c r="G331" s="66" t="str">
        <f>IF(D331="","",IFERROR('Prod 3'!H331/'Prod 3'!$H$3,0))</f>
        <v/>
      </c>
      <c r="H331" s="70" t="str">
        <f>IF(D331="","",'Prod 2'!K331)</f>
        <v/>
      </c>
      <c r="I331" s="77" t="str">
        <f t="shared" si="37"/>
        <v/>
      </c>
      <c r="J331" s="57"/>
      <c r="L331" s="19">
        <v>3.27E-7</v>
      </c>
      <c r="M331" s="59">
        <f t="shared" si="38"/>
        <v>0</v>
      </c>
      <c r="N331" s="59">
        <f t="shared" si="39"/>
        <v>0</v>
      </c>
      <c r="O331" s="59">
        <f t="shared" si="40"/>
        <v>0</v>
      </c>
      <c r="P331" s="19" t="str">
        <f t="shared" si="41"/>
        <v/>
      </c>
      <c r="Q331" s="19" t="s">
        <v>367</v>
      </c>
    </row>
    <row r="332" spans="2:17" ht="30" customHeight="1" x14ac:dyDescent="0.25">
      <c r="B332" s="62" t="str">
        <f t="shared" si="35"/>
        <v/>
      </c>
      <c r="C332" s="42">
        <v>328</v>
      </c>
      <c r="D332" s="20"/>
      <c r="E332" s="58"/>
      <c r="F332" s="63" t="str">
        <f t="shared" si="36"/>
        <v/>
      </c>
      <c r="G332" s="66" t="str">
        <f>IF(D332="","",IFERROR('Prod 3'!H332/'Prod 3'!$H$3,0))</f>
        <v/>
      </c>
      <c r="H332" s="70" t="str">
        <f>IF(D332="","",'Prod 2'!K332)</f>
        <v/>
      </c>
      <c r="I332" s="77" t="str">
        <f t="shared" si="37"/>
        <v/>
      </c>
      <c r="J332" s="57"/>
      <c r="L332" s="19">
        <v>3.2800000000000003E-7</v>
      </c>
      <c r="M332" s="59">
        <f t="shared" si="38"/>
        <v>0</v>
      </c>
      <c r="N332" s="59">
        <f t="shared" si="39"/>
        <v>0</v>
      </c>
      <c r="O332" s="59">
        <f t="shared" si="40"/>
        <v>0</v>
      </c>
      <c r="P332" s="19" t="str">
        <f t="shared" si="41"/>
        <v/>
      </c>
      <c r="Q332" s="19" t="s">
        <v>368</v>
      </c>
    </row>
    <row r="333" spans="2:17" ht="30" customHeight="1" x14ac:dyDescent="0.25">
      <c r="B333" s="62" t="str">
        <f t="shared" si="35"/>
        <v/>
      </c>
      <c r="C333" s="42">
        <v>329</v>
      </c>
      <c r="D333" s="20"/>
      <c r="E333" s="58"/>
      <c r="F333" s="63" t="str">
        <f t="shared" si="36"/>
        <v/>
      </c>
      <c r="G333" s="66" t="str">
        <f>IF(D333="","",IFERROR('Prod 3'!H333/'Prod 3'!$H$3,0))</f>
        <v/>
      </c>
      <c r="H333" s="70" t="str">
        <f>IF(D333="","",'Prod 2'!K333)</f>
        <v/>
      </c>
      <c r="I333" s="77" t="str">
        <f t="shared" si="37"/>
        <v/>
      </c>
      <c r="J333" s="57"/>
      <c r="L333" s="19">
        <v>3.2899999999999999E-7</v>
      </c>
      <c r="M333" s="59">
        <f t="shared" si="38"/>
        <v>0</v>
      </c>
      <c r="N333" s="59">
        <f t="shared" si="39"/>
        <v>0</v>
      </c>
      <c r="O333" s="59">
        <f t="shared" si="40"/>
        <v>0</v>
      </c>
      <c r="P333" s="19" t="str">
        <f t="shared" si="41"/>
        <v/>
      </c>
      <c r="Q333" s="19" t="s">
        <v>369</v>
      </c>
    </row>
    <row r="334" spans="2:17" ht="30" customHeight="1" x14ac:dyDescent="0.25">
      <c r="B334" s="62" t="str">
        <f t="shared" si="35"/>
        <v/>
      </c>
      <c r="C334" s="42">
        <v>330</v>
      </c>
      <c r="D334" s="20"/>
      <c r="E334" s="58"/>
      <c r="F334" s="63" t="str">
        <f t="shared" si="36"/>
        <v/>
      </c>
      <c r="G334" s="66" t="str">
        <f>IF(D334="","",IFERROR('Prod 3'!H334/'Prod 3'!$H$3,0))</f>
        <v/>
      </c>
      <c r="H334" s="70" t="str">
        <f>IF(D334="","",'Prod 2'!K334)</f>
        <v/>
      </c>
      <c r="I334" s="77" t="str">
        <f t="shared" si="37"/>
        <v/>
      </c>
      <c r="J334" s="57"/>
      <c r="L334" s="19">
        <v>3.3000000000000002E-7</v>
      </c>
      <c r="M334" s="59">
        <f t="shared" si="38"/>
        <v>0</v>
      </c>
      <c r="N334" s="59">
        <f t="shared" si="39"/>
        <v>0</v>
      </c>
      <c r="O334" s="59">
        <f t="shared" si="40"/>
        <v>0</v>
      </c>
      <c r="P334" s="19" t="str">
        <f t="shared" si="41"/>
        <v/>
      </c>
      <c r="Q334" s="19" t="s">
        <v>370</v>
      </c>
    </row>
    <row r="335" spans="2:17" ht="30" customHeight="1" x14ac:dyDescent="0.25">
      <c r="B335" s="62" t="str">
        <f t="shared" si="35"/>
        <v/>
      </c>
      <c r="C335" s="42">
        <v>331</v>
      </c>
      <c r="D335" s="20"/>
      <c r="E335" s="58"/>
      <c r="F335" s="63" t="str">
        <f t="shared" si="36"/>
        <v/>
      </c>
      <c r="G335" s="66" t="str">
        <f>IF(D335="","",IFERROR('Prod 3'!H335/'Prod 3'!$H$3,0))</f>
        <v/>
      </c>
      <c r="H335" s="70" t="str">
        <f>IF(D335="","",'Prod 2'!K335)</f>
        <v/>
      </c>
      <c r="I335" s="77" t="str">
        <f t="shared" si="37"/>
        <v/>
      </c>
      <c r="J335" s="57"/>
      <c r="L335" s="19">
        <v>3.3099999999999999E-7</v>
      </c>
      <c r="M335" s="59">
        <f t="shared" si="38"/>
        <v>0</v>
      </c>
      <c r="N335" s="59">
        <f t="shared" si="39"/>
        <v>0</v>
      </c>
      <c r="O335" s="59">
        <f t="shared" si="40"/>
        <v>0</v>
      </c>
      <c r="P335" s="19" t="str">
        <f t="shared" si="41"/>
        <v/>
      </c>
      <c r="Q335" s="19" t="s">
        <v>371</v>
      </c>
    </row>
    <row r="336" spans="2:17" ht="30" customHeight="1" x14ac:dyDescent="0.25">
      <c r="B336" s="62" t="str">
        <f t="shared" si="35"/>
        <v/>
      </c>
      <c r="C336" s="42">
        <v>332</v>
      </c>
      <c r="D336" s="20"/>
      <c r="E336" s="58"/>
      <c r="F336" s="63" t="str">
        <f t="shared" si="36"/>
        <v/>
      </c>
      <c r="G336" s="66" t="str">
        <f>IF(D336="","",IFERROR('Prod 3'!H336/'Prod 3'!$H$3,0))</f>
        <v/>
      </c>
      <c r="H336" s="70" t="str">
        <f>IF(D336="","",'Prod 2'!K336)</f>
        <v/>
      </c>
      <c r="I336" s="77" t="str">
        <f t="shared" si="37"/>
        <v/>
      </c>
      <c r="J336" s="57"/>
      <c r="L336" s="19">
        <v>3.3200000000000001E-7</v>
      </c>
      <c r="M336" s="59">
        <f t="shared" si="38"/>
        <v>0</v>
      </c>
      <c r="N336" s="59">
        <f t="shared" si="39"/>
        <v>0</v>
      </c>
      <c r="O336" s="59">
        <f t="shared" si="40"/>
        <v>0</v>
      </c>
      <c r="P336" s="19" t="str">
        <f t="shared" si="41"/>
        <v/>
      </c>
      <c r="Q336" s="19" t="s">
        <v>372</v>
      </c>
    </row>
    <row r="337" spans="2:17" ht="30" customHeight="1" x14ac:dyDescent="0.25">
      <c r="B337" s="62" t="str">
        <f t="shared" si="35"/>
        <v/>
      </c>
      <c r="C337" s="42">
        <v>333</v>
      </c>
      <c r="D337" s="20"/>
      <c r="E337" s="58"/>
      <c r="F337" s="63" t="str">
        <f t="shared" si="36"/>
        <v/>
      </c>
      <c r="G337" s="66" t="str">
        <f>IF(D337="","",IFERROR('Prod 3'!H337/'Prod 3'!$H$3,0))</f>
        <v/>
      </c>
      <c r="H337" s="70" t="str">
        <f>IF(D337="","",'Prod 2'!K337)</f>
        <v/>
      </c>
      <c r="I337" s="77" t="str">
        <f t="shared" si="37"/>
        <v/>
      </c>
      <c r="J337" s="57"/>
      <c r="L337" s="19">
        <v>3.3299999999999998E-7</v>
      </c>
      <c r="M337" s="59">
        <f t="shared" si="38"/>
        <v>0</v>
      </c>
      <c r="N337" s="59">
        <f t="shared" si="39"/>
        <v>0</v>
      </c>
      <c r="O337" s="59">
        <f t="shared" si="40"/>
        <v>0</v>
      </c>
      <c r="P337" s="19" t="str">
        <f t="shared" si="41"/>
        <v/>
      </c>
      <c r="Q337" s="19" t="s">
        <v>373</v>
      </c>
    </row>
    <row r="338" spans="2:17" ht="30" customHeight="1" x14ac:dyDescent="0.25">
      <c r="B338" s="62" t="str">
        <f t="shared" si="35"/>
        <v/>
      </c>
      <c r="C338" s="42">
        <v>334</v>
      </c>
      <c r="D338" s="20"/>
      <c r="E338" s="58"/>
      <c r="F338" s="63" t="str">
        <f t="shared" si="36"/>
        <v/>
      </c>
      <c r="G338" s="66" t="str">
        <f>IF(D338="","",IFERROR('Prod 3'!H338/'Prod 3'!$H$3,0))</f>
        <v/>
      </c>
      <c r="H338" s="70" t="str">
        <f>IF(D338="","",'Prod 2'!K338)</f>
        <v/>
      </c>
      <c r="I338" s="77" t="str">
        <f t="shared" si="37"/>
        <v/>
      </c>
      <c r="J338" s="57"/>
      <c r="L338" s="19">
        <v>3.34E-7</v>
      </c>
      <c r="M338" s="59">
        <f t="shared" si="38"/>
        <v>0</v>
      </c>
      <c r="N338" s="59">
        <f t="shared" si="39"/>
        <v>0</v>
      </c>
      <c r="O338" s="59">
        <f t="shared" si="40"/>
        <v>0</v>
      </c>
      <c r="P338" s="19" t="str">
        <f t="shared" si="41"/>
        <v/>
      </c>
      <c r="Q338" s="19" t="s">
        <v>374</v>
      </c>
    </row>
    <row r="339" spans="2:17" ht="30" customHeight="1" x14ac:dyDescent="0.25">
      <c r="B339" s="62" t="str">
        <f t="shared" si="35"/>
        <v/>
      </c>
      <c r="C339" s="42">
        <v>335</v>
      </c>
      <c r="D339" s="20"/>
      <c r="E339" s="58"/>
      <c r="F339" s="63" t="str">
        <f t="shared" si="36"/>
        <v/>
      </c>
      <c r="G339" s="66" t="str">
        <f>IF(D339="","",IFERROR('Prod 3'!H339/'Prod 3'!$H$3,0))</f>
        <v/>
      </c>
      <c r="H339" s="70" t="str">
        <f>IF(D339="","",'Prod 2'!K339)</f>
        <v/>
      </c>
      <c r="I339" s="77" t="str">
        <f t="shared" si="37"/>
        <v/>
      </c>
      <c r="J339" s="57"/>
      <c r="L339" s="19">
        <v>3.3500000000000002E-7</v>
      </c>
      <c r="M339" s="59">
        <f t="shared" si="38"/>
        <v>0</v>
      </c>
      <c r="N339" s="59">
        <f t="shared" si="39"/>
        <v>0</v>
      </c>
      <c r="O339" s="59">
        <f t="shared" si="40"/>
        <v>0</v>
      </c>
      <c r="P339" s="19" t="str">
        <f t="shared" si="41"/>
        <v/>
      </c>
      <c r="Q339" s="19" t="s">
        <v>375</v>
      </c>
    </row>
    <row r="340" spans="2:17" ht="30" customHeight="1" x14ac:dyDescent="0.25">
      <c r="B340" s="62" t="str">
        <f t="shared" si="35"/>
        <v/>
      </c>
      <c r="C340" s="42">
        <v>336</v>
      </c>
      <c r="D340" s="20"/>
      <c r="E340" s="58"/>
      <c r="F340" s="63" t="str">
        <f t="shared" si="36"/>
        <v/>
      </c>
      <c r="G340" s="66" t="str">
        <f>IF(D340="","",IFERROR('Prod 3'!H340/'Prod 3'!$H$3,0))</f>
        <v/>
      </c>
      <c r="H340" s="70" t="str">
        <f>IF(D340="","",'Prod 2'!K340)</f>
        <v/>
      </c>
      <c r="I340" s="77" t="str">
        <f t="shared" si="37"/>
        <v/>
      </c>
      <c r="J340" s="57"/>
      <c r="L340" s="19">
        <v>3.3599999999999999E-7</v>
      </c>
      <c r="M340" s="59">
        <f t="shared" si="38"/>
        <v>0</v>
      </c>
      <c r="N340" s="59">
        <f t="shared" si="39"/>
        <v>0</v>
      </c>
      <c r="O340" s="59">
        <f t="shared" si="40"/>
        <v>0</v>
      </c>
      <c r="P340" s="19" t="str">
        <f t="shared" si="41"/>
        <v/>
      </c>
      <c r="Q340" s="19" t="s">
        <v>376</v>
      </c>
    </row>
    <row r="341" spans="2:17" ht="30" customHeight="1" x14ac:dyDescent="0.25">
      <c r="B341" s="62" t="str">
        <f t="shared" si="35"/>
        <v/>
      </c>
      <c r="C341" s="42">
        <v>337</v>
      </c>
      <c r="D341" s="20"/>
      <c r="E341" s="58"/>
      <c r="F341" s="63" t="str">
        <f t="shared" si="36"/>
        <v/>
      </c>
      <c r="G341" s="66" t="str">
        <f>IF(D341="","",IFERROR('Prod 3'!H341/'Prod 3'!$H$3,0))</f>
        <v/>
      </c>
      <c r="H341" s="70" t="str">
        <f>IF(D341="","",'Prod 2'!K341)</f>
        <v/>
      </c>
      <c r="I341" s="77" t="str">
        <f t="shared" si="37"/>
        <v/>
      </c>
      <c r="J341" s="57"/>
      <c r="L341" s="19">
        <v>3.3700000000000001E-7</v>
      </c>
      <c r="M341" s="59">
        <f t="shared" si="38"/>
        <v>0</v>
      </c>
      <c r="N341" s="59">
        <f t="shared" si="39"/>
        <v>0</v>
      </c>
      <c r="O341" s="59">
        <f t="shared" si="40"/>
        <v>0</v>
      </c>
      <c r="P341" s="19" t="str">
        <f t="shared" si="41"/>
        <v/>
      </c>
      <c r="Q341" s="19" t="s">
        <v>377</v>
      </c>
    </row>
    <row r="342" spans="2:17" ht="30" customHeight="1" x14ac:dyDescent="0.25">
      <c r="B342" s="62" t="str">
        <f t="shared" si="35"/>
        <v/>
      </c>
      <c r="C342" s="42">
        <v>338</v>
      </c>
      <c r="D342" s="20"/>
      <c r="E342" s="58"/>
      <c r="F342" s="63" t="str">
        <f t="shared" si="36"/>
        <v/>
      </c>
      <c r="G342" s="66" t="str">
        <f>IF(D342="","",IFERROR('Prod 3'!H342/'Prod 3'!$H$3,0))</f>
        <v/>
      </c>
      <c r="H342" s="70" t="str">
        <f>IF(D342="","",'Prod 2'!K342)</f>
        <v/>
      </c>
      <c r="I342" s="77" t="str">
        <f t="shared" si="37"/>
        <v/>
      </c>
      <c r="J342" s="57"/>
      <c r="L342" s="19">
        <v>3.3799999999999998E-7</v>
      </c>
      <c r="M342" s="59">
        <f t="shared" si="38"/>
        <v>0</v>
      </c>
      <c r="N342" s="59">
        <f t="shared" si="39"/>
        <v>0</v>
      </c>
      <c r="O342" s="59">
        <f t="shared" si="40"/>
        <v>0</v>
      </c>
      <c r="P342" s="19" t="str">
        <f t="shared" si="41"/>
        <v/>
      </c>
      <c r="Q342" s="19" t="s">
        <v>378</v>
      </c>
    </row>
    <row r="343" spans="2:17" ht="30" customHeight="1" x14ac:dyDescent="0.25">
      <c r="B343" s="62" t="str">
        <f t="shared" si="35"/>
        <v/>
      </c>
      <c r="C343" s="42">
        <v>339</v>
      </c>
      <c r="D343" s="20"/>
      <c r="E343" s="58"/>
      <c r="F343" s="63" t="str">
        <f t="shared" si="36"/>
        <v/>
      </c>
      <c r="G343" s="66" t="str">
        <f>IF(D343="","",IFERROR('Prod 3'!H343/'Prod 3'!$H$3,0))</f>
        <v/>
      </c>
      <c r="H343" s="70" t="str">
        <f>IF(D343="","",'Prod 2'!K343)</f>
        <v/>
      </c>
      <c r="I343" s="77" t="str">
        <f t="shared" si="37"/>
        <v/>
      </c>
      <c r="J343" s="57"/>
      <c r="L343" s="19">
        <v>3.39E-7</v>
      </c>
      <c r="M343" s="59">
        <f t="shared" si="38"/>
        <v>0</v>
      </c>
      <c r="N343" s="59">
        <f t="shared" si="39"/>
        <v>0</v>
      </c>
      <c r="O343" s="59">
        <f t="shared" si="40"/>
        <v>0</v>
      </c>
      <c r="P343" s="19" t="str">
        <f t="shared" si="41"/>
        <v/>
      </c>
      <c r="Q343" s="19" t="s">
        <v>379</v>
      </c>
    </row>
    <row r="344" spans="2:17" ht="30" customHeight="1" x14ac:dyDescent="0.25">
      <c r="B344" s="62" t="str">
        <f t="shared" si="35"/>
        <v/>
      </c>
      <c r="C344" s="42">
        <v>340</v>
      </c>
      <c r="D344" s="20"/>
      <c r="E344" s="58"/>
      <c r="F344" s="63" t="str">
        <f t="shared" si="36"/>
        <v/>
      </c>
      <c r="G344" s="66" t="str">
        <f>IF(D344="","",IFERROR('Prod 3'!H344/'Prod 3'!$H$3,0))</f>
        <v/>
      </c>
      <c r="H344" s="70" t="str">
        <f>IF(D344="","",'Prod 2'!K344)</f>
        <v/>
      </c>
      <c r="I344" s="77" t="str">
        <f t="shared" si="37"/>
        <v/>
      </c>
      <c r="J344" s="57"/>
      <c r="L344" s="19">
        <v>3.3999999999999997E-7</v>
      </c>
      <c r="M344" s="59">
        <f t="shared" si="38"/>
        <v>0</v>
      </c>
      <c r="N344" s="59">
        <f t="shared" si="39"/>
        <v>0</v>
      </c>
      <c r="O344" s="59">
        <f t="shared" si="40"/>
        <v>0</v>
      </c>
      <c r="P344" s="19" t="str">
        <f t="shared" si="41"/>
        <v/>
      </c>
      <c r="Q344" s="19" t="s">
        <v>380</v>
      </c>
    </row>
    <row r="345" spans="2:17" ht="30" customHeight="1" x14ac:dyDescent="0.25">
      <c r="B345" s="62" t="str">
        <f t="shared" si="35"/>
        <v/>
      </c>
      <c r="C345" s="42">
        <v>341</v>
      </c>
      <c r="D345" s="20"/>
      <c r="E345" s="58"/>
      <c r="F345" s="63" t="str">
        <f t="shared" si="36"/>
        <v/>
      </c>
      <c r="G345" s="66" t="str">
        <f>IF(D345="","",IFERROR('Prod 3'!H345/'Prod 3'!$H$3,0))</f>
        <v/>
      </c>
      <c r="H345" s="70" t="str">
        <f>IF(D345="","",'Prod 2'!K345)</f>
        <v/>
      </c>
      <c r="I345" s="77" t="str">
        <f t="shared" si="37"/>
        <v/>
      </c>
      <c r="J345" s="57"/>
      <c r="L345" s="19">
        <v>3.41E-7</v>
      </c>
      <c r="M345" s="59">
        <f t="shared" si="38"/>
        <v>0</v>
      </c>
      <c r="N345" s="59">
        <f t="shared" si="39"/>
        <v>0</v>
      </c>
      <c r="O345" s="59">
        <f t="shared" si="40"/>
        <v>0</v>
      </c>
      <c r="P345" s="19" t="str">
        <f t="shared" si="41"/>
        <v/>
      </c>
      <c r="Q345" s="19" t="s">
        <v>381</v>
      </c>
    </row>
    <row r="346" spans="2:17" ht="30" customHeight="1" x14ac:dyDescent="0.25">
      <c r="B346" s="62" t="str">
        <f t="shared" si="35"/>
        <v/>
      </c>
      <c r="C346" s="42">
        <v>342</v>
      </c>
      <c r="D346" s="20"/>
      <c r="E346" s="58"/>
      <c r="F346" s="63" t="str">
        <f t="shared" si="36"/>
        <v/>
      </c>
      <c r="G346" s="66" t="str">
        <f>IF(D346="","",IFERROR('Prod 3'!H346/'Prod 3'!$H$3,0))</f>
        <v/>
      </c>
      <c r="H346" s="70" t="str">
        <f>IF(D346="","",'Prod 2'!K346)</f>
        <v/>
      </c>
      <c r="I346" s="77" t="str">
        <f t="shared" si="37"/>
        <v/>
      </c>
      <c r="J346" s="57"/>
      <c r="L346" s="19">
        <v>3.4200000000000002E-7</v>
      </c>
      <c r="M346" s="59">
        <f t="shared" si="38"/>
        <v>0</v>
      </c>
      <c r="N346" s="59">
        <f t="shared" si="39"/>
        <v>0</v>
      </c>
      <c r="O346" s="59">
        <f t="shared" si="40"/>
        <v>0</v>
      </c>
      <c r="P346" s="19" t="str">
        <f t="shared" si="41"/>
        <v/>
      </c>
      <c r="Q346" s="19" t="s">
        <v>382</v>
      </c>
    </row>
    <row r="347" spans="2:17" ht="30" customHeight="1" x14ac:dyDescent="0.25">
      <c r="B347" s="62" t="str">
        <f t="shared" si="35"/>
        <v/>
      </c>
      <c r="C347" s="42">
        <v>343</v>
      </c>
      <c r="D347" s="20"/>
      <c r="E347" s="58"/>
      <c r="F347" s="63" t="str">
        <f t="shared" si="36"/>
        <v/>
      </c>
      <c r="G347" s="66" t="str">
        <f>IF(D347="","",IFERROR('Prod 3'!H347/'Prod 3'!$H$3,0))</f>
        <v/>
      </c>
      <c r="H347" s="70" t="str">
        <f>IF(D347="","",'Prod 2'!K347)</f>
        <v/>
      </c>
      <c r="I347" s="77" t="str">
        <f t="shared" si="37"/>
        <v/>
      </c>
      <c r="J347" s="57"/>
      <c r="L347" s="19">
        <v>3.4299999999999999E-7</v>
      </c>
      <c r="M347" s="59">
        <f t="shared" si="38"/>
        <v>0</v>
      </c>
      <c r="N347" s="59">
        <f t="shared" si="39"/>
        <v>0</v>
      </c>
      <c r="O347" s="59">
        <f t="shared" si="40"/>
        <v>0</v>
      </c>
      <c r="P347" s="19" t="str">
        <f t="shared" si="41"/>
        <v/>
      </c>
      <c r="Q347" s="19" t="s">
        <v>383</v>
      </c>
    </row>
    <row r="348" spans="2:17" ht="30" customHeight="1" x14ac:dyDescent="0.25">
      <c r="B348" s="62" t="str">
        <f t="shared" si="35"/>
        <v/>
      </c>
      <c r="C348" s="42">
        <v>344</v>
      </c>
      <c r="D348" s="20"/>
      <c r="E348" s="58"/>
      <c r="F348" s="63" t="str">
        <f t="shared" si="36"/>
        <v/>
      </c>
      <c r="G348" s="66" t="str">
        <f>IF(D348="","",IFERROR('Prod 3'!H348/'Prod 3'!$H$3,0))</f>
        <v/>
      </c>
      <c r="H348" s="70" t="str">
        <f>IF(D348="","",'Prod 2'!K348)</f>
        <v/>
      </c>
      <c r="I348" s="77" t="str">
        <f t="shared" si="37"/>
        <v/>
      </c>
      <c r="J348" s="57"/>
      <c r="L348" s="19">
        <v>3.4400000000000001E-7</v>
      </c>
      <c r="M348" s="59">
        <f t="shared" si="38"/>
        <v>0</v>
      </c>
      <c r="N348" s="59">
        <f t="shared" si="39"/>
        <v>0</v>
      </c>
      <c r="O348" s="59">
        <f t="shared" si="40"/>
        <v>0</v>
      </c>
      <c r="P348" s="19" t="str">
        <f t="shared" si="41"/>
        <v/>
      </c>
      <c r="Q348" s="19" t="s">
        <v>384</v>
      </c>
    </row>
    <row r="349" spans="2:17" ht="30" customHeight="1" x14ac:dyDescent="0.25">
      <c r="B349" s="62" t="str">
        <f t="shared" si="35"/>
        <v/>
      </c>
      <c r="C349" s="42">
        <v>345</v>
      </c>
      <c r="D349" s="20"/>
      <c r="E349" s="58"/>
      <c r="F349" s="63" t="str">
        <f t="shared" si="36"/>
        <v/>
      </c>
      <c r="G349" s="66" t="str">
        <f>IF(D349="","",IFERROR('Prod 3'!H349/'Prod 3'!$H$3,0))</f>
        <v/>
      </c>
      <c r="H349" s="70" t="str">
        <f>IF(D349="","",'Prod 2'!K349)</f>
        <v/>
      </c>
      <c r="I349" s="77" t="str">
        <f t="shared" si="37"/>
        <v/>
      </c>
      <c r="J349" s="57"/>
      <c r="L349" s="19">
        <v>3.4499999999999998E-7</v>
      </c>
      <c r="M349" s="59">
        <f t="shared" si="38"/>
        <v>0</v>
      </c>
      <c r="N349" s="59">
        <f t="shared" si="39"/>
        <v>0</v>
      </c>
      <c r="O349" s="59">
        <f t="shared" si="40"/>
        <v>0</v>
      </c>
      <c r="P349" s="19" t="str">
        <f t="shared" si="41"/>
        <v/>
      </c>
      <c r="Q349" s="19" t="s">
        <v>385</v>
      </c>
    </row>
    <row r="350" spans="2:17" ht="30" customHeight="1" x14ac:dyDescent="0.25">
      <c r="B350" s="62" t="str">
        <f t="shared" si="35"/>
        <v/>
      </c>
      <c r="C350" s="42">
        <v>346</v>
      </c>
      <c r="D350" s="20"/>
      <c r="E350" s="58"/>
      <c r="F350" s="63" t="str">
        <f t="shared" si="36"/>
        <v/>
      </c>
      <c r="G350" s="66" t="str">
        <f>IF(D350="","",IFERROR('Prod 3'!H350/'Prod 3'!$H$3,0))</f>
        <v/>
      </c>
      <c r="H350" s="70" t="str">
        <f>IF(D350="","",'Prod 2'!K350)</f>
        <v/>
      </c>
      <c r="I350" s="77" t="str">
        <f t="shared" si="37"/>
        <v/>
      </c>
      <c r="J350" s="57"/>
      <c r="L350" s="19">
        <v>3.46E-7</v>
      </c>
      <c r="M350" s="59">
        <f t="shared" si="38"/>
        <v>0</v>
      </c>
      <c r="N350" s="59">
        <f t="shared" si="39"/>
        <v>0</v>
      </c>
      <c r="O350" s="59">
        <f t="shared" si="40"/>
        <v>0</v>
      </c>
      <c r="P350" s="19" t="str">
        <f t="shared" si="41"/>
        <v/>
      </c>
      <c r="Q350" s="19" t="s">
        <v>386</v>
      </c>
    </row>
    <row r="351" spans="2:17" ht="30" customHeight="1" x14ac:dyDescent="0.25">
      <c r="B351" s="62" t="str">
        <f t="shared" si="35"/>
        <v/>
      </c>
      <c r="C351" s="42">
        <v>347</v>
      </c>
      <c r="D351" s="20"/>
      <c r="E351" s="58"/>
      <c r="F351" s="63" t="str">
        <f t="shared" si="36"/>
        <v/>
      </c>
      <c r="G351" s="66" t="str">
        <f>IF(D351="","",IFERROR('Prod 3'!H351/'Prod 3'!$H$3,0))</f>
        <v/>
      </c>
      <c r="H351" s="70" t="str">
        <f>IF(D351="","",'Prod 2'!K351)</f>
        <v/>
      </c>
      <c r="I351" s="77" t="str">
        <f t="shared" si="37"/>
        <v/>
      </c>
      <c r="J351" s="57"/>
      <c r="L351" s="19">
        <v>3.4700000000000002E-7</v>
      </c>
      <c r="M351" s="59">
        <f t="shared" si="38"/>
        <v>0</v>
      </c>
      <c r="N351" s="59">
        <f t="shared" si="39"/>
        <v>0</v>
      </c>
      <c r="O351" s="59">
        <f t="shared" si="40"/>
        <v>0</v>
      </c>
      <c r="P351" s="19" t="str">
        <f t="shared" si="41"/>
        <v/>
      </c>
      <c r="Q351" s="19" t="s">
        <v>387</v>
      </c>
    </row>
    <row r="352" spans="2:17" ht="30" customHeight="1" x14ac:dyDescent="0.25">
      <c r="B352" s="62" t="str">
        <f t="shared" si="35"/>
        <v/>
      </c>
      <c r="C352" s="42">
        <v>348</v>
      </c>
      <c r="D352" s="20"/>
      <c r="E352" s="58"/>
      <c r="F352" s="63" t="str">
        <f t="shared" si="36"/>
        <v/>
      </c>
      <c r="G352" s="66" t="str">
        <f>IF(D352="","",IFERROR('Prod 3'!H352/'Prod 3'!$H$3,0))</f>
        <v/>
      </c>
      <c r="H352" s="70" t="str">
        <f>IF(D352="","",'Prod 2'!K352)</f>
        <v/>
      </c>
      <c r="I352" s="77" t="str">
        <f t="shared" si="37"/>
        <v/>
      </c>
      <c r="J352" s="57"/>
      <c r="L352" s="19">
        <v>3.4799999999999999E-7</v>
      </c>
      <c r="M352" s="59">
        <f t="shared" si="38"/>
        <v>0</v>
      </c>
      <c r="N352" s="59">
        <f t="shared" si="39"/>
        <v>0</v>
      </c>
      <c r="O352" s="59">
        <f t="shared" si="40"/>
        <v>0</v>
      </c>
      <c r="P352" s="19" t="str">
        <f t="shared" si="41"/>
        <v/>
      </c>
      <c r="Q352" s="19" t="s">
        <v>388</v>
      </c>
    </row>
    <row r="353" spans="2:17" ht="30" customHeight="1" x14ac:dyDescent="0.25">
      <c r="B353" s="62" t="str">
        <f t="shared" si="35"/>
        <v/>
      </c>
      <c r="C353" s="42">
        <v>349</v>
      </c>
      <c r="D353" s="20"/>
      <c r="E353" s="58"/>
      <c r="F353" s="63" t="str">
        <f t="shared" si="36"/>
        <v/>
      </c>
      <c r="G353" s="66" t="str">
        <f>IF(D353="","",IFERROR('Prod 3'!H353/'Prod 3'!$H$3,0))</f>
        <v/>
      </c>
      <c r="H353" s="70" t="str">
        <f>IF(D353="","",'Prod 2'!K353)</f>
        <v/>
      </c>
      <c r="I353" s="77" t="str">
        <f t="shared" si="37"/>
        <v/>
      </c>
      <c r="J353" s="57"/>
      <c r="L353" s="19">
        <v>3.4900000000000001E-7</v>
      </c>
      <c r="M353" s="59">
        <f t="shared" si="38"/>
        <v>0</v>
      </c>
      <c r="N353" s="59">
        <f t="shared" si="39"/>
        <v>0</v>
      </c>
      <c r="O353" s="59">
        <f t="shared" si="40"/>
        <v>0</v>
      </c>
      <c r="P353" s="19" t="str">
        <f t="shared" si="41"/>
        <v/>
      </c>
      <c r="Q353" s="19" t="s">
        <v>389</v>
      </c>
    </row>
    <row r="354" spans="2:17" ht="30" customHeight="1" x14ac:dyDescent="0.25">
      <c r="B354" s="62" t="str">
        <f t="shared" si="35"/>
        <v/>
      </c>
      <c r="C354" s="42">
        <v>350</v>
      </c>
      <c r="D354" s="20"/>
      <c r="E354" s="58"/>
      <c r="F354" s="63" t="str">
        <f t="shared" si="36"/>
        <v/>
      </c>
      <c r="G354" s="66" t="str">
        <f>IF(D354="","",IFERROR('Prod 3'!H354/'Prod 3'!$H$3,0))</f>
        <v/>
      </c>
      <c r="H354" s="70" t="str">
        <f>IF(D354="","",'Prod 2'!K354)</f>
        <v/>
      </c>
      <c r="I354" s="77" t="str">
        <f t="shared" si="37"/>
        <v/>
      </c>
      <c r="J354" s="57"/>
      <c r="L354" s="19">
        <v>3.4999999999999998E-7</v>
      </c>
      <c r="M354" s="59">
        <f t="shared" si="38"/>
        <v>0</v>
      </c>
      <c r="N354" s="59">
        <f t="shared" si="39"/>
        <v>0</v>
      </c>
      <c r="O354" s="59">
        <f t="shared" si="40"/>
        <v>0</v>
      </c>
      <c r="P354" s="19" t="str">
        <f t="shared" si="41"/>
        <v/>
      </c>
      <c r="Q354" s="19" t="s">
        <v>390</v>
      </c>
    </row>
    <row r="355" spans="2:17" ht="30" customHeight="1" x14ac:dyDescent="0.25">
      <c r="B355" s="62" t="str">
        <f t="shared" si="35"/>
        <v/>
      </c>
      <c r="C355" s="42">
        <v>351</v>
      </c>
      <c r="D355" s="20"/>
      <c r="E355" s="58"/>
      <c r="F355" s="63" t="str">
        <f t="shared" si="36"/>
        <v/>
      </c>
      <c r="G355" s="66" t="str">
        <f>IF(D355="","",IFERROR('Prod 3'!H355/'Prod 3'!$H$3,0))</f>
        <v/>
      </c>
      <c r="H355" s="70" t="str">
        <f>IF(D355="","",'Prod 2'!K355)</f>
        <v/>
      </c>
      <c r="I355" s="77" t="str">
        <f t="shared" si="37"/>
        <v/>
      </c>
      <c r="J355" s="57"/>
      <c r="L355" s="19">
        <v>3.5100000000000001E-7</v>
      </c>
      <c r="M355" s="59">
        <f t="shared" si="38"/>
        <v>0</v>
      </c>
      <c r="N355" s="59">
        <f t="shared" si="39"/>
        <v>0</v>
      </c>
      <c r="O355" s="59">
        <f t="shared" si="40"/>
        <v>0</v>
      </c>
      <c r="P355" s="19" t="str">
        <f t="shared" si="41"/>
        <v/>
      </c>
      <c r="Q355" s="19" t="s">
        <v>391</v>
      </c>
    </row>
    <row r="356" spans="2:17" ht="30" customHeight="1" x14ac:dyDescent="0.25">
      <c r="B356" s="62" t="str">
        <f t="shared" si="35"/>
        <v/>
      </c>
      <c r="C356" s="42">
        <v>352</v>
      </c>
      <c r="D356" s="20"/>
      <c r="E356" s="58"/>
      <c r="F356" s="63" t="str">
        <f t="shared" si="36"/>
        <v/>
      </c>
      <c r="G356" s="66" t="str">
        <f>IF(D356="","",IFERROR('Prod 3'!H356/'Prod 3'!$H$3,0))</f>
        <v/>
      </c>
      <c r="H356" s="70" t="str">
        <f>IF(D356="","",'Prod 2'!K356)</f>
        <v/>
      </c>
      <c r="I356" s="77" t="str">
        <f t="shared" si="37"/>
        <v/>
      </c>
      <c r="J356" s="57"/>
      <c r="L356" s="19">
        <v>3.5199999999999998E-7</v>
      </c>
      <c r="M356" s="59">
        <f t="shared" si="38"/>
        <v>0</v>
      </c>
      <c r="N356" s="59">
        <f t="shared" si="39"/>
        <v>0</v>
      </c>
      <c r="O356" s="59">
        <f t="shared" si="40"/>
        <v>0</v>
      </c>
      <c r="P356" s="19" t="str">
        <f t="shared" si="41"/>
        <v/>
      </c>
      <c r="Q356" s="19" t="s">
        <v>392</v>
      </c>
    </row>
    <row r="357" spans="2:17" ht="30" customHeight="1" x14ac:dyDescent="0.25">
      <c r="B357" s="62" t="str">
        <f t="shared" si="35"/>
        <v/>
      </c>
      <c r="C357" s="42">
        <v>353</v>
      </c>
      <c r="D357" s="20"/>
      <c r="E357" s="58"/>
      <c r="F357" s="63" t="str">
        <f t="shared" si="36"/>
        <v/>
      </c>
      <c r="G357" s="66" t="str">
        <f>IF(D357="","",IFERROR('Prod 3'!H357/'Prod 3'!$H$3,0))</f>
        <v/>
      </c>
      <c r="H357" s="70" t="str">
        <f>IF(D357="","",'Prod 2'!K357)</f>
        <v/>
      </c>
      <c r="I357" s="77" t="str">
        <f t="shared" si="37"/>
        <v/>
      </c>
      <c r="J357" s="57"/>
      <c r="L357" s="19">
        <v>3.53E-7</v>
      </c>
      <c r="M357" s="59">
        <f t="shared" si="38"/>
        <v>0</v>
      </c>
      <c r="N357" s="59">
        <f t="shared" si="39"/>
        <v>0</v>
      </c>
      <c r="O357" s="59">
        <f t="shared" si="40"/>
        <v>0</v>
      </c>
      <c r="P357" s="19" t="str">
        <f t="shared" si="41"/>
        <v/>
      </c>
      <c r="Q357" s="19" t="s">
        <v>393</v>
      </c>
    </row>
    <row r="358" spans="2:17" ht="30" customHeight="1" x14ac:dyDescent="0.25">
      <c r="B358" s="62" t="str">
        <f t="shared" si="35"/>
        <v/>
      </c>
      <c r="C358" s="42">
        <v>354</v>
      </c>
      <c r="D358" s="20"/>
      <c r="E358" s="58"/>
      <c r="F358" s="63" t="str">
        <f t="shared" si="36"/>
        <v/>
      </c>
      <c r="G358" s="66" t="str">
        <f>IF(D358="","",IFERROR('Prod 3'!H358/'Prod 3'!$H$3,0))</f>
        <v/>
      </c>
      <c r="H358" s="70" t="str">
        <f>IF(D358="","",'Prod 2'!K358)</f>
        <v/>
      </c>
      <c r="I358" s="77" t="str">
        <f t="shared" si="37"/>
        <v/>
      </c>
      <c r="J358" s="57"/>
      <c r="L358" s="19">
        <v>3.5400000000000002E-7</v>
      </c>
      <c r="M358" s="59">
        <f t="shared" si="38"/>
        <v>0</v>
      </c>
      <c r="N358" s="59">
        <f t="shared" si="39"/>
        <v>0</v>
      </c>
      <c r="O358" s="59">
        <f t="shared" si="40"/>
        <v>0</v>
      </c>
      <c r="P358" s="19" t="str">
        <f t="shared" si="41"/>
        <v/>
      </c>
      <c r="Q358" s="19" t="s">
        <v>394</v>
      </c>
    </row>
    <row r="359" spans="2:17" ht="30" customHeight="1" x14ac:dyDescent="0.25">
      <c r="B359" s="62" t="str">
        <f t="shared" si="35"/>
        <v/>
      </c>
      <c r="C359" s="42">
        <v>355</v>
      </c>
      <c r="D359" s="20"/>
      <c r="E359" s="58"/>
      <c r="F359" s="63" t="str">
        <f t="shared" si="36"/>
        <v/>
      </c>
      <c r="G359" s="66" t="str">
        <f>IF(D359="","",IFERROR('Prod 3'!H359/'Prod 3'!$H$3,0))</f>
        <v/>
      </c>
      <c r="H359" s="70" t="str">
        <f>IF(D359="","",'Prod 2'!K359)</f>
        <v/>
      </c>
      <c r="I359" s="77" t="str">
        <f t="shared" si="37"/>
        <v/>
      </c>
      <c r="J359" s="57"/>
      <c r="L359" s="19">
        <v>3.5499999999999999E-7</v>
      </c>
      <c r="M359" s="59">
        <f t="shared" si="38"/>
        <v>0</v>
      </c>
      <c r="N359" s="59">
        <f t="shared" si="39"/>
        <v>0</v>
      </c>
      <c r="O359" s="59">
        <f t="shared" si="40"/>
        <v>0</v>
      </c>
      <c r="P359" s="19" t="str">
        <f t="shared" si="41"/>
        <v/>
      </c>
      <c r="Q359" s="19" t="s">
        <v>395</v>
      </c>
    </row>
    <row r="360" spans="2:17" ht="30" customHeight="1" x14ac:dyDescent="0.25">
      <c r="B360" s="62" t="str">
        <f t="shared" si="35"/>
        <v/>
      </c>
      <c r="C360" s="42">
        <v>356</v>
      </c>
      <c r="D360" s="20"/>
      <c r="E360" s="58"/>
      <c r="F360" s="63" t="str">
        <f t="shared" si="36"/>
        <v/>
      </c>
      <c r="G360" s="66" t="str">
        <f>IF(D360="","",IFERROR('Prod 3'!H360/'Prod 3'!$H$3,0))</f>
        <v/>
      </c>
      <c r="H360" s="70" t="str">
        <f>IF(D360="","",'Prod 2'!K360)</f>
        <v/>
      </c>
      <c r="I360" s="77" t="str">
        <f t="shared" si="37"/>
        <v/>
      </c>
      <c r="J360" s="57"/>
      <c r="L360" s="19">
        <v>3.5600000000000001E-7</v>
      </c>
      <c r="M360" s="59">
        <f t="shared" si="38"/>
        <v>0</v>
      </c>
      <c r="N360" s="59">
        <f t="shared" si="39"/>
        <v>0</v>
      </c>
      <c r="O360" s="59">
        <f t="shared" si="40"/>
        <v>0</v>
      </c>
      <c r="P360" s="19" t="str">
        <f t="shared" si="41"/>
        <v/>
      </c>
      <c r="Q360" s="19" t="s">
        <v>396</v>
      </c>
    </row>
    <row r="361" spans="2:17" ht="30" customHeight="1" x14ac:dyDescent="0.25">
      <c r="B361" s="62" t="str">
        <f t="shared" si="35"/>
        <v/>
      </c>
      <c r="C361" s="42">
        <v>357</v>
      </c>
      <c r="D361" s="20"/>
      <c r="E361" s="58"/>
      <c r="F361" s="63" t="str">
        <f t="shared" si="36"/>
        <v/>
      </c>
      <c r="G361" s="66" t="str">
        <f>IF(D361="","",IFERROR('Prod 3'!H361/'Prod 3'!$H$3,0))</f>
        <v/>
      </c>
      <c r="H361" s="70" t="str">
        <f>IF(D361="","",'Prod 2'!K361)</f>
        <v/>
      </c>
      <c r="I361" s="77" t="str">
        <f t="shared" si="37"/>
        <v/>
      </c>
      <c r="J361" s="57"/>
      <c r="L361" s="19">
        <v>3.5699999999999998E-7</v>
      </c>
      <c r="M361" s="59">
        <f t="shared" si="38"/>
        <v>0</v>
      </c>
      <c r="N361" s="59">
        <f t="shared" si="39"/>
        <v>0</v>
      </c>
      <c r="O361" s="59">
        <f t="shared" si="40"/>
        <v>0</v>
      </c>
      <c r="P361" s="19" t="str">
        <f t="shared" si="41"/>
        <v/>
      </c>
      <c r="Q361" s="19" t="s">
        <v>397</v>
      </c>
    </row>
    <row r="362" spans="2:17" ht="30" customHeight="1" x14ac:dyDescent="0.25">
      <c r="B362" s="62" t="str">
        <f t="shared" si="35"/>
        <v/>
      </c>
      <c r="C362" s="42">
        <v>358</v>
      </c>
      <c r="D362" s="20"/>
      <c r="E362" s="58"/>
      <c r="F362" s="63" t="str">
        <f t="shared" si="36"/>
        <v/>
      </c>
      <c r="G362" s="66" t="str">
        <f>IF(D362="","",IFERROR('Prod 3'!H362/'Prod 3'!$H$3,0))</f>
        <v/>
      </c>
      <c r="H362" s="70" t="str">
        <f>IF(D362="","",'Prod 2'!K362)</f>
        <v/>
      </c>
      <c r="I362" s="77" t="str">
        <f t="shared" si="37"/>
        <v/>
      </c>
      <c r="J362" s="57"/>
      <c r="L362" s="19">
        <v>3.58E-7</v>
      </c>
      <c r="M362" s="59">
        <f t="shared" si="38"/>
        <v>0</v>
      </c>
      <c r="N362" s="59">
        <f t="shared" si="39"/>
        <v>0</v>
      </c>
      <c r="O362" s="59">
        <f t="shared" si="40"/>
        <v>0</v>
      </c>
      <c r="P362" s="19" t="str">
        <f t="shared" si="41"/>
        <v/>
      </c>
      <c r="Q362" s="19" t="s">
        <v>398</v>
      </c>
    </row>
    <row r="363" spans="2:17" ht="30" customHeight="1" x14ac:dyDescent="0.25">
      <c r="B363" s="62" t="str">
        <f t="shared" si="35"/>
        <v/>
      </c>
      <c r="C363" s="42">
        <v>359</v>
      </c>
      <c r="D363" s="20"/>
      <c r="E363" s="58"/>
      <c r="F363" s="63" t="str">
        <f t="shared" si="36"/>
        <v/>
      </c>
      <c r="G363" s="66" t="str">
        <f>IF(D363="","",IFERROR('Prod 3'!H363/'Prod 3'!$H$3,0))</f>
        <v/>
      </c>
      <c r="H363" s="70" t="str">
        <f>IF(D363="","",'Prod 2'!K363)</f>
        <v/>
      </c>
      <c r="I363" s="77" t="str">
        <f t="shared" si="37"/>
        <v/>
      </c>
      <c r="J363" s="57"/>
      <c r="L363" s="19">
        <v>3.5900000000000003E-7</v>
      </c>
      <c r="M363" s="59">
        <f t="shared" si="38"/>
        <v>0</v>
      </c>
      <c r="N363" s="59">
        <f t="shared" si="39"/>
        <v>0</v>
      </c>
      <c r="O363" s="59">
        <f t="shared" si="40"/>
        <v>0</v>
      </c>
      <c r="P363" s="19" t="str">
        <f t="shared" si="41"/>
        <v/>
      </c>
      <c r="Q363" s="19" t="s">
        <v>399</v>
      </c>
    </row>
    <row r="364" spans="2:17" ht="30" customHeight="1" x14ac:dyDescent="0.25">
      <c r="B364" s="62" t="str">
        <f t="shared" si="35"/>
        <v/>
      </c>
      <c r="C364" s="42">
        <v>360</v>
      </c>
      <c r="D364" s="20"/>
      <c r="E364" s="58"/>
      <c r="F364" s="63" t="str">
        <f t="shared" si="36"/>
        <v/>
      </c>
      <c r="G364" s="66" t="str">
        <f>IF(D364="","",IFERROR('Prod 3'!H364/'Prod 3'!$H$3,0))</f>
        <v/>
      </c>
      <c r="H364" s="70" t="str">
        <f>IF(D364="","",'Prod 2'!K364)</f>
        <v/>
      </c>
      <c r="I364" s="77" t="str">
        <f t="shared" si="37"/>
        <v/>
      </c>
      <c r="J364" s="57"/>
      <c r="L364" s="19">
        <v>3.5999999999999999E-7</v>
      </c>
      <c r="M364" s="59">
        <f t="shared" si="38"/>
        <v>0</v>
      </c>
      <c r="N364" s="59">
        <f t="shared" si="39"/>
        <v>0</v>
      </c>
      <c r="O364" s="59">
        <f t="shared" si="40"/>
        <v>0</v>
      </c>
      <c r="P364" s="19" t="str">
        <f t="shared" si="41"/>
        <v/>
      </c>
      <c r="Q364" s="19" t="s">
        <v>400</v>
      </c>
    </row>
    <row r="365" spans="2:17" ht="30" customHeight="1" x14ac:dyDescent="0.25">
      <c r="B365" s="62" t="str">
        <f t="shared" si="35"/>
        <v/>
      </c>
      <c r="C365" s="42">
        <v>361</v>
      </c>
      <c r="D365" s="20"/>
      <c r="E365" s="58"/>
      <c r="F365" s="63" t="str">
        <f t="shared" si="36"/>
        <v/>
      </c>
      <c r="G365" s="66" t="str">
        <f>IF(D365="","",IFERROR('Prod 3'!H365/'Prod 3'!$H$3,0))</f>
        <v/>
      </c>
      <c r="H365" s="70" t="str">
        <f>IF(D365="","",'Prod 2'!K365)</f>
        <v/>
      </c>
      <c r="I365" s="77" t="str">
        <f t="shared" si="37"/>
        <v/>
      </c>
      <c r="J365" s="57"/>
      <c r="L365" s="19">
        <v>3.6100000000000002E-7</v>
      </c>
      <c r="M365" s="59">
        <f t="shared" si="38"/>
        <v>0</v>
      </c>
      <c r="N365" s="59">
        <f t="shared" si="39"/>
        <v>0</v>
      </c>
      <c r="O365" s="59">
        <f t="shared" si="40"/>
        <v>0</v>
      </c>
      <c r="P365" s="19" t="str">
        <f t="shared" si="41"/>
        <v/>
      </c>
      <c r="Q365" s="19" t="s">
        <v>401</v>
      </c>
    </row>
    <row r="366" spans="2:17" ht="30" customHeight="1" x14ac:dyDescent="0.25">
      <c r="B366" s="62" t="str">
        <f t="shared" si="35"/>
        <v/>
      </c>
      <c r="C366" s="42">
        <v>362</v>
      </c>
      <c r="D366" s="20"/>
      <c r="E366" s="58"/>
      <c r="F366" s="63" t="str">
        <f t="shared" si="36"/>
        <v/>
      </c>
      <c r="G366" s="66" t="str">
        <f>IF(D366="","",IFERROR('Prod 3'!H366/'Prod 3'!$H$3,0))</f>
        <v/>
      </c>
      <c r="H366" s="70" t="str">
        <f>IF(D366="","",'Prod 2'!K366)</f>
        <v/>
      </c>
      <c r="I366" s="77" t="str">
        <f t="shared" si="37"/>
        <v/>
      </c>
      <c r="J366" s="57"/>
      <c r="L366" s="19">
        <v>3.6199999999999999E-7</v>
      </c>
      <c r="M366" s="59">
        <f t="shared" si="38"/>
        <v>0</v>
      </c>
      <c r="N366" s="59">
        <f t="shared" si="39"/>
        <v>0</v>
      </c>
      <c r="O366" s="59">
        <f t="shared" si="40"/>
        <v>0</v>
      </c>
      <c r="P366" s="19" t="str">
        <f t="shared" si="41"/>
        <v/>
      </c>
      <c r="Q366" s="19" t="s">
        <v>402</v>
      </c>
    </row>
    <row r="367" spans="2:17" ht="30" customHeight="1" x14ac:dyDescent="0.25">
      <c r="B367" s="62" t="str">
        <f t="shared" si="35"/>
        <v/>
      </c>
      <c r="C367" s="42">
        <v>363</v>
      </c>
      <c r="D367" s="20"/>
      <c r="E367" s="58"/>
      <c r="F367" s="63" t="str">
        <f t="shared" si="36"/>
        <v/>
      </c>
      <c r="G367" s="66" t="str">
        <f>IF(D367="","",IFERROR('Prod 3'!H367/'Prod 3'!$H$3,0))</f>
        <v/>
      </c>
      <c r="H367" s="70" t="str">
        <f>IF(D367="","",'Prod 2'!K367)</f>
        <v/>
      </c>
      <c r="I367" s="77" t="str">
        <f t="shared" si="37"/>
        <v/>
      </c>
      <c r="J367" s="57"/>
      <c r="L367" s="19">
        <v>3.6300000000000001E-7</v>
      </c>
      <c r="M367" s="59">
        <f t="shared" si="38"/>
        <v>0</v>
      </c>
      <c r="N367" s="59">
        <f t="shared" si="39"/>
        <v>0</v>
      </c>
      <c r="O367" s="59">
        <f t="shared" si="40"/>
        <v>0</v>
      </c>
      <c r="P367" s="19" t="str">
        <f t="shared" si="41"/>
        <v/>
      </c>
      <c r="Q367" s="19" t="s">
        <v>403</v>
      </c>
    </row>
    <row r="368" spans="2:17" ht="30" customHeight="1" x14ac:dyDescent="0.25">
      <c r="B368" s="62" t="str">
        <f t="shared" si="35"/>
        <v/>
      </c>
      <c r="C368" s="42">
        <v>364</v>
      </c>
      <c r="D368" s="20"/>
      <c r="E368" s="58"/>
      <c r="F368" s="63" t="str">
        <f t="shared" si="36"/>
        <v/>
      </c>
      <c r="G368" s="66" t="str">
        <f>IF(D368="","",IFERROR('Prod 3'!H368/'Prod 3'!$H$3,0))</f>
        <v/>
      </c>
      <c r="H368" s="70" t="str">
        <f>IF(D368="","",'Prod 2'!K368)</f>
        <v/>
      </c>
      <c r="I368" s="77" t="str">
        <f t="shared" si="37"/>
        <v/>
      </c>
      <c r="J368" s="57"/>
      <c r="L368" s="19">
        <v>3.6399999999999998E-7</v>
      </c>
      <c r="M368" s="59">
        <f t="shared" si="38"/>
        <v>0</v>
      </c>
      <c r="N368" s="59">
        <f t="shared" si="39"/>
        <v>0</v>
      </c>
      <c r="O368" s="59">
        <f t="shared" si="40"/>
        <v>0</v>
      </c>
      <c r="P368" s="19" t="str">
        <f t="shared" si="41"/>
        <v/>
      </c>
      <c r="Q368" s="19" t="s">
        <v>404</v>
      </c>
    </row>
    <row r="369" spans="2:17" ht="30" customHeight="1" x14ac:dyDescent="0.25">
      <c r="B369" s="62" t="str">
        <f t="shared" si="35"/>
        <v/>
      </c>
      <c r="C369" s="42">
        <v>365</v>
      </c>
      <c r="D369" s="20"/>
      <c r="E369" s="58"/>
      <c r="F369" s="63" t="str">
        <f t="shared" si="36"/>
        <v/>
      </c>
      <c r="G369" s="66" t="str">
        <f>IF(D369="","",IFERROR('Prod 3'!H369/'Prod 3'!$H$3,0))</f>
        <v/>
      </c>
      <c r="H369" s="70" t="str">
        <f>IF(D369="","",'Prod 2'!K369)</f>
        <v/>
      </c>
      <c r="I369" s="77" t="str">
        <f t="shared" si="37"/>
        <v/>
      </c>
      <c r="J369" s="57"/>
      <c r="L369" s="19">
        <v>3.65E-7</v>
      </c>
      <c r="M369" s="59">
        <f t="shared" si="38"/>
        <v>0</v>
      </c>
      <c r="N369" s="59">
        <f t="shared" si="39"/>
        <v>0</v>
      </c>
      <c r="O369" s="59">
        <f t="shared" si="40"/>
        <v>0</v>
      </c>
      <c r="P369" s="19" t="str">
        <f t="shared" si="41"/>
        <v/>
      </c>
      <c r="Q369" s="19" t="s">
        <v>405</v>
      </c>
    </row>
    <row r="370" spans="2:17" ht="30" customHeight="1" x14ac:dyDescent="0.25">
      <c r="B370" s="62" t="str">
        <f t="shared" si="35"/>
        <v/>
      </c>
      <c r="C370" s="42">
        <v>366</v>
      </c>
      <c r="D370" s="20"/>
      <c r="E370" s="58"/>
      <c r="F370" s="63" t="str">
        <f t="shared" si="36"/>
        <v/>
      </c>
      <c r="G370" s="66" t="str">
        <f>IF(D370="","",IFERROR('Prod 3'!H370/'Prod 3'!$H$3,0))</f>
        <v/>
      </c>
      <c r="H370" s="70" t="str">
        <f>IF(D370="","",'Prod 2'!K370)</f>
        <v/>
      </c>
      <c r="I370" s="77" t="str">
        <f t="shared" si="37"/>
        <v/>
      </c>
      <c r="J370" s="57"/>
      <c r="L370" s="19">
        <v>3.6600000000000002E-7</v>
      </c>
      <c r="M370" s="59">
        <f t="shared" si="38"/>
        <v>0</v>
      </c>
      <c r="N370" s="59">
        <f t="shared" si="39"/>
        <v>0</v>
      </c>
      <c r="O370" s="59">
        <f t="shared" si="40"/>
        <v>0</v>
      </c>
      <c r="P370" s="19" t="str">
        <f t="shared" si="41"/>
        <v/>
      </c>
      <c r="Q370" s="19" t="s">
        <v>406</v>
      </c>
    </row>
    <row r="371" spans="2:17" ht="30" customHeight="1" x14ac:dyDescent="0.25">
      <c r="B371" s="62" t="str">
        <f t="shared" si="35"/>
        <v/>
      </c>
      <c r="C371" s="42">
        <v>367</v>
      </c>
      <c r="D371" s="20"/>
      <c r="E371" s="58"/>
      <c r="F371" s="63" t="str">
        <f t="shared" si="36"/>
        <v/>
      </c>
      <c r="G371" s="66" t="str">
        <f>IF(D371="","",IFERROR('Prod 3'!H371/'Prod 3'!$H$3,0))</f>
        <v/>
      </c>
      <c r="H371" s="70" t="str">
        <f>IF(D371="","",'Prod 2'!K371)</f>
        <v/>
      </c>
      <c r="I371" s="77" t="str">
        <f t="shared" si="37"/>
        <v/>
      </c>
      <c r="J371" s="57"/>
      <c r="L371" s="19">
        <v>3.6699999999999999E-7</v>
      </c>
      <c r="M371" s="59">
        <f t="shared" si="38"/>
        <v>0</v>
      </c>
      <c r="N371" s="59">
        <f t="shared" si="39"/>
        <v>0</v>
      </c>
      <c r="O371" s="59">
        <f t="shared" si="40"/>
        <v>0</v>
      </c>
      <c r="P371" s="19" t="str">
        <f t="shared" si="41"/>
        <v/>
      </c>
      <c r="Q371" s="19" t="s">
        <v>407</v>
      </c>
    </row>
    <row r="372" spans="2:17" ht="30" customHeight="1" x14ac:dyDescent="0.25">
      <c r="B372" s="62" t="str">
        <f t="shared" si="35"/>
        <v/>
      </c>
      <c r="C372" s="42">
        <v>368</v>
      </c>
      <c r="D372" s="20"/>
      <c r="E372" s="58"/>
      <c r="F372" s="63" t="str">
        <f t="shared" si="36"/>
        <v/>
      </c>
      <c r="G372" s="66" t="str">
        <f>IF(D372="","",IFERROR('Prod 3'!H372/'Prod 3'!$H$3,0))</f>
        <v/>
      </c>
      <c r="H372" s="70" t="str">
        <f>IF(D372="","",'Prod 2'!K372)</f>
        <v/>
      </c>
      <c r="I372" s="77" t="str">
        <f t="shared" si="37"/>
        <v/>
      </c>
      <c r="J372" s="57"/>
      <c r="L372" s="19">
        <v>3.6800000000000001E-7</v>
      </c>
      <c r="M372" s="59">
        <f t="shared" si="38"/>
        <v>0</v>
      </c>
      <c r="N372" s="59">
        <f t="shared" si="39"/>
        <v>0</v>
      </c>
      <c r="O372" s="59">
        <f t="shared" si="40"/>
        <v>0</v>
      </c>
      <c r="P372" s="19" t="str">
        <f t="shared" si="41"/>
        <v/>
      </c>
      <c r="Q372" s="19" t="s">
        <v>408</v>
      </c>
    </row>
    <row r="373" spans="2:17" ht="30" customHeight="1" x14ac:dyDescent="0.25">
      <c r="B373" s="62" t="str">
        <f t="shared" si="35"/>
        <v/>
      </c>
      <c r="C373" s="42">
        <v>369</v>
      </c>
      <c r="D373" s="20"/>
      <c r="E373" s="58"/>
      <c r="F373" s="63" t="str">
        <f t="shared" si="36"/>
        <v/>
      </c>
      <c r="G373" s="66" t="str">
        <f>IF(D373="","",IFERROR('Prod 3'!H373/'Prod 3'!$H$3,0))</f>
        <v/>
      </c>
      <c r="H373" s="70" t="str">
        <f>IF(D373="","",'Prod 2'!K373)</f>
        <v/>
      </c>
      <c r="I373" s="77" t="str">
        <f t="shared" si="37"/>
        <v/>
      </c>
      <c r="J373" s="57"/>
      <c r="L373" s="19">
        <v>3.6899999999999998E-7</v>
      </c>
      <c r="M373" s="59">
        <f t="shared" si="38"/>
        <v>0</v>
      </c>
      <c r="N373" s="59">
        <f t="shared" si="39"/>
        <v>0</v>
      </c>
      <c r="O373" s="59">
        <f t="shared" si="40"/>
        <v>0</v>
      </c>
      <c r="P373" s="19" t="str">
        <f t="shared" si="41"/>
        <v/>
      </c>
      <c r="Q373" s="19" t="s">
        <v>409</v>
      </c>
    </row>
    <row r="374" spans="2:17" ht="30" customHeight="1" x14ac:dyDescent="0.25">
      <c r="B374" s="62" t="str">
        <f t="shared" si="35"/>
        <v/>
      </c>
      <c r="C374" s="42">
        <v>370</v>
      </c>
      <c r="D374" s="20"/>
      <c r="E374" s="58"/>
      <c r="F374" s="63" t="str">
        <f t="shared" si="36"/>
        <v/>
      </c>
      <c r="G374" s="66" t="str">
        <f>IF(D374="","",IFERROR('Prod 3'!H374/'Prod 3'!$H$3,0))</f>
        <v/>
      </c>
      <c r="H374" s="70" t="str">
        <f>IF(D374="","",'Prod 2'!K374)</f>
        <v/>
      </c>
      <c r="I374" s="77" t="str">
        <f t="shared" si="37"/>
        <v/>
      </c>
      <c r="J374" s="57"/>
      <c r="L374" s="19">
        <v>3.7E-7</v>
      </c>
      <c r="M374" s="59">
        <f t="shared" si="38"/>
        <v>0</v>
      </c>
      <c r="N374" s="59">
        <f t="shared" si="39"/>
        <v>0</v>
      </c>
      <c r="O374" s="59">
        <f t="shared" si="40"/>
        <v>0</v>
      </c>
      <c r="P374" s="19" t="str">
        <f t="shared" si="41"/>
        <v/>
      </c>
      <c r="Q374" s="19" t="s">
        <v>410</v>
      </c>
    </row>
    <row r="375" spans="2:17" ht="30" customHeight="1" x14ac:dyDescent="0.25">
      <c r="B375" s="62" t="str">
        <f t="shared" si="35"/>
        <v/>
      </c>
      <c r="C375" s="42">
        <v>371</v>
      </c>
      <c r="D375" s="20"/>
      <c r="E375" s="58"/>
      <c r="F375" s="63" t="str">
        <f t="shared" si="36"/>
        <v/>
      </c>
      <c r="G375" s="66" t="str">
        <f>IF(D375="","",IFERROR('Prod 3'!H375/'Prod 3'!$H$3,0))</f>
        <v/>
      </c>
      <c r="H375" s="70" t="str">
        <f>IF(D375="","",'Prod 2'!K375)</f>
        <v/>
      </c>
      <c r="I375" s="77" t="str">
        <f t="shared" si="37"/>
        <v/>
      </c>
      <c r="J375" s="57"/>
      <c r="L375" s="19">
        <v>3.7099999999999997E-7</v>
      </c>
      <c r="M375" s="59">
        <f t="shared" si="38"/>
        <v>0</v>
      </c>
      <c r="N375" s="59">
        <f t="shared" si="39"/>
        <v>0</v>
      </c>
      <c r="O375" s="59">
        <f t="shared" si="40"/>
        <v>0</v>
      </c>
      <c r="P375" s="19" t="str">
        <f t="shared" si="41"/>
        <v/>
      </c>
      <c r="Q375" s="19" t="s">
        <v>411</v>
      </c>
    </row>
    <row r="376" spans="2:17" ht="30" customHeight="1" x14ac:dyDescent="0.25">
      <c r="B376" s="62" t="str">
        <f t="shared" si="35"/>
        <v/>
      </c>
      <c r="C376" s="42">
        <v>372</v>
      </c>
      <c r="D376" s="20"/>
      <c r="E376" s="58"/>
      <c r="F376" s="63" t="str">
        <f t="shared" si="36"/>
        <v/>
      </c>
      <c r="G376" s="66" t="str">
        <f>IF(D376="","",IFERROR('Prod 3'!H376/'Prod 3'!$H$3,0))</f>
        <v/>
      </c>
      <c r="H376" s="70" t="str">
        <f>IF(D376="","",'Prod 2'!K376)</f>
        <v/>
      </c>
      <c r="I376" s="77" t="str">
        <f t="shared" si="37"/>
        <v/>
      </c>
      <c r="J376" s="57"/>
      <c r="L376" s="19">
        <v>3.72E-7</v>
      </c>
      <c r="M376" s="59">
        <f t="shared" si="38"/>
        <v>0</v>
      </c>
      <c r="N376" s="59">
        <f t="shared" si="39"/>
        <v>0</v>
      </c>
      <c r="O376" s="59">
        <f t="shared" si="40"/>
        <v>0</v>
      </c>
      <c r="P376" s="19" t="str">
        <f t="shared" si="41"/>
        <v/>
      </c>
      <c r="Q376" s="19" t="s">
        <v>412</v>
      </c>
    </row>
    <row r="377" spans="2:17" ht="30" customHeight="1" x14ac:dyDescent="0.25">
      <c r="B377" s="62" t="str">
        <f t="shared" si="35"/>
        <v/>
      </c>
      <c r="C377" s="42">
        <v>373</v>
      </c>
      <c r="D377" s="20"/>
      <c r="E377" s="58"/>
      <c r="F377" s="63" t="str">
        <f t="shared" si="36"/>
        <v/>
      </c>
      <c r="G377" s="66" t="str">
        <f>IF(D377="","",IFERROR('Prod 3'!H377/'Prod 3'!$H$3,0))</f>
        <v/>
      </c>
      <c r="H377" s="70" t="str">
        <f>IF(D377="","",'Prod 2'!K377)</f>
        <v/>
      </c>
      <c r="I377" s="77" t="str">
        <f t="shared" si="37"/>
        <v/>
      </c>
      <c r="J377" s="57"/>
      <c r="L377" s="19">
        <v>3.7300000000000002E-7</v>
      </c>
      <c r="M377" s="59">
        <f t="shared" si="38"/>
        <v>0</v>
      </c>
      <c r="N377" s="59">
        <f t="shared" si="39"/>
        <v>0</v>
      </c>
      <c r="O377" s="59">
        <f t="shared" si="40"/>
        <v>0</v>
      </c>
      <c r="P377" s="19" t="str">
        <f t="shared" si="41"/>
        <v/>
      </c>
      <c r="Q377" s="19" t="s">
        <v>413</v>
      </c>
    </row>
    <row r="378" spans="2:17" ht="30" customHeight="1" x14ac:dyDescent="0.25">
      <c r="B378" s="62" t="str">
        <f t="shared" si="35"/>
        <v/>
      </c>
      <c r="C378" s="42">
        <v>374</v>
      </c>
      <c r="D378" s="20"/>
      <c r="E378" s="58"/>
      <c r="F378" s="63" t="str">
        <f t="shared" si="36"/>
        <v/>
      </c>
      <c r="G378" s="66" t="str">
        <f>IF(D378="","",IFERROR('Prod 3'!H378/'Prod 3'!$H$3,0))</f>
        <v/>
      </c>
      <c r="H378" s="70" t="str">
        <f>IF(D378="","",'Prod 2'!K378)</f>
        <v/>
      </c>
      <c r="I378" s="77" t="str">
        <f t="shared" si="37"/>
        <v/>
      </c>
      <c r="J378" s="57"/>
      <c r="L378" s="19">
        <v>3.7399999999999999E-7</v>
      </c>
      <c r="M378" s="59">
        <f t="shared" si="38"/>
        <v>0</v>
      </c>
      <c r="N378" s="59">
        <f t="shared" si="39"/>
        <v>0</v>
      </c>
      <c r="O378" s="59">
        <f t="shared" si="40"/>
        <v>0</v>
      </c>
      <c r="P378" s="19" t="str">
        <f t="shared" si="41"/>
        <v/>
      </c>
      <c r="Q378" s="19" t="s">
        <v>414</v>
      </c>
    </row>
    <row r="379" spans="2:17" ht="30" customHeight="1" x14ac:dyDescent="0.25">
      <c r="B379" s="62" t="str">
        <f t="shared" si="35"/>
        <v/>
      </c>
      <c r="C379" s="42">
        <v>375</v>
      </c>
      <c r="D379" s="20"/>
      <c r="E379" s="58"/>
      <c r="F379" s="63" t="str">
        <f t="shared" si="36"/>
        <v/>
      </c>
      <c r="G379" s="66" t="str">
        <f>IF(D379="","",IFERROR('Prod 3'!H379/'Prod 3'!$H$3,0))</f>
        <v/>
      </c>
      <c r="H379" s="70" t="str">
        <f>IF(D379="","",'Prod 2'!K379)</f>
        <v/>
      </c>
      <c r="I379" s="77" t="str">
        <f t="shared" si="37"/>
        <v/>
      </c>
      <c r="J379" s="57"/>
      <c r="L379" s="19">
        <v>3.7500000000000001E-7</v>
      </c>
      <c r="M379" s="59">
        <f t="shared" si="38"/>
        <v>0</v>
      </c>
      <c r="N379" s="59">
        <f t="shared" si="39"/>
        <v>0</v>
      </c>
      <c r="O379" s="59">
        <f t="shared" si="40"/>
        <v>0</v>
      </c>
      <c r="P379" s="19" t="str">
        <f t="shared" si="41"/>
        <v/>
      </c>
      <c r="Q379" s="19" t="s">
        <v>415</v>
      </c>
    </row>
    <row r="380" spans="2:17" ht="30" customHeight="1" x14ac:dyDescent="0.25">
      <c r="B380" s="62" t="str">
        <f t="shared" si="35"/>
        <v/>
      </c>
      <c r="C380" s="42">
        <v>376</v>
      </c>
      <c r="D380" s="20"/>
      <c r="E380" s="58"/>
      <c r="F380" s="63" t="str">
        <f t="shared" si="36"/>
        <v/>
      </c>
      <c r="G380" s="66" t="str">
        <f>IF(D380="","",IFERROR('Prod 3'!H380/'Prod 3'!$H$3,0))</f>
        <v/>
      </c>
      <c r="H380" s="70" t="str">
        <f>IF(D380="","",'Prod 2'!K380)</f>
        <v/>
      </c>
      <c r="I380" s="77" t="str">
        <f t="shared" si="37"/>
        <v/>
      </c>
      <c r="J380" s="57"/>
      <c r="L380" s="19">
        <v>3.7599999999999998E-7</v>
      </c>
      <c r="M380" s="59">
        <f t="shared" si="38"/>
        <v>0</v>
      </c>
      <c r="N380" s="59">
        <f t="shared" si="39"/>
        <v>0</v>
      </c>
      <c r="O380" s="59">
        <f t="shared" si="40"/>
        <v>0</v>
      </c>
      <c r="P380" s="19" t="str">
        <f t="shared" si="41"/>
        <v/>
      </c>
      <c r="Q380" s="19" t="s">
        <v>416</v>
      </c>
    </row>
    <row r="381" spans="2:17" ht="30" customHeight="1" x14ac:dyDescent="0.25">
      <c r="B381" s="62" t="str">
        <f t="shared" si="35"/>
        <v/>
      </c>
      <c r="C381" s="42">
        <v>377</v>
      </c>
      <c r="D381" s="20"/>
      <c r="E381" s="58"/>
      <c r="F381" s="63" t="str">
        <f t="shared" si="36"/>
        <v/>
      </c>
      <c r="G381" s="66" t="str">
        <f>IF(D381="","",IFERROR('Prod 3'!H381/'Prod 3'!$H$3,0))</f>
        <v/>
      </c>
      <c r="H381" s="70" t="str">
        <f>IF(D381="","",'Prod 2'!K381)</f>
        <v/>
      </c>
      <c r="I381" s="77" t="str">
        <f t="shared" si="37"/>
        <v/>
      </c>
      <c r="J381" s="57"/>
      <c r="L381" s="19">
        <v>3.77E-7</v>
      </c>
      <c r="M381" s="59">
        <f t="shared" si="38"/>
        <v>0</v>
      </c>
      <c r="N381" s="59">
        <f t="shared" si="39"/>
        <v>0</v>
      </c>
      <c r="O381" s="59">
        <f t="shared" si="40"/>
        <v>0</v>
      </c>
      <c r="P381" s="19" t="str">
        <f t="shared" si="41"/>
        <v/>
      </c>
      <c r="Q381" s="19" t="s">
        <v>417</v>
      </c>
    </row>
    <row r="382" spans="2:17" ht="30" customHeight="1" x14ac:dyDescent="0.25">
      <c r="B382" s="62" t="str">
        <f t="shared" si="35"/>
        <v/>
      </c>
      <c r="C382" s="42">
        <v>378</v>
      </c>
      <c r="D382" s="20"/>
      <c r="E382" s="58"/>
      <c r="F382" s="63" t="str">
        <f t="shared" si="36"/>
        <v/>
      </c>
      <c r="G382" s="66" t="str">
        <f>IF(D382="","",IFERROR('Prod 3'!H382/'Prod 3'!$H$3,0))</f>
        <v/>
      </c>
      <c r="H382" s="70" t="str">
        <f>IF(D382="","",'Prod 2'!K382)</f>
        <v/>
      </c>
      <c r="I382" s="77" t="str">
        <f t="shared" si="37"/>
        <v/>
      </c>
      <c r="J382" s="57"/>
      <c r="L382" s="19">
        <v>3.7800000000000002E-7</v>
      </c>
      <c r="M382" s="59">
        <f t="shared" si="38"/>
        <v>0</v>
      </c>
      <c r="N382" s="59">
        <f t="shared" si="39"/>
        <v>0</v>
      </c>
      <c r="O382" s="59">
        <f t="shared" si="40"/>
        <v>0</v>
      </c>
      <c r="P382" s="19" t="str">
        <f t="shared" si="41"/>
        <v/>
      </c>
      <c r="Q382" s="19" t="s">
        <v>418</v>
      </c>
    </row>
    <row r="383" spans="2:17" ht="30" customHeight="1" x14ac:dyDescent="0.25">
      <c r="B383" s="62" t="str">
        <f t="shared" si="35"/>
        <v/>
      </c>
      <c r="C383" s="42">
        <v>379</v>
      </c>
      <c r="D383" s="20"/>
      <c r="E383" s="58"/>
      <c r="F383" s="63" t="str">
        <f t="shared" si="36"/>
        <v/>
      </c>
      <c r="G383" s="66" t="str">
        <f>IF(D383="","",IFERROR('Prod 3'!H383/'Prod 3'!$H$3,0))</f>
        <v/>
      </c>
      <c r="H383" s="70" t="str">
        <f>IF(D383="","",'Prod 2'!K383)</f>
        <v/>
      </c>
      <c r="I383" s="77" t="str">
        <f t="shared" si="37"/>
        <v/>
      </c>
      <c r="J383" s="57"/>
      <c r="L383" s="19">
        <v>3.7899999999999999E-7</v>
      </c>
      <c r="M383" s="59">
        <f t="shared" si="38"/>
        <v>0</v>
      </c>
      <c r="N383" s="59">
        <f t="shared" si="39"/>
        <v>0</v>
      </c>
      <c r="O383" s="59">
        <f t="shared" si="40"/>
        <v>0</v>
      </c>
      <c r="P383" s="19" t="str">
        <f t="shared" si="41"/>
        <v/>
      </c>
      <c r="Q383" s="19" t="s">
        <v>419</v>
      </c>
    </row>
    <row r="384" spans="2:17" ht="30" customHeight="1" x14ac:dyDescent="0.25">
      <c r="B384" s="62" t="str">
        <f t="shared" si="35"/>
        <v/>
      </c>
      <c r="C384" s="42">
        <v>380</v>
      </c>
      <c r="D384" s="20"/>
      <c r="E384" s="58"/>
      <c r="F384" s="63" t="str">
        <f t="shared" si="36"/>
        <v/>
      </c>
      <c r="G384" s="66" t="str">
        <f>IF(D384="","",IFERROR('Prod 3'!H384/'Prod 3'!$H$3,0))</f>
        <v/>
      </c>
      <c r="H384" s="70" t="str">
        <f>IF(D384="","",'Prod 2'!K384)</f>
        <v/>
      </c>
      <c r="I384" s="77" t="str">
        <f t="shared" si="37"/>
        <v/>
      </c>
      <c r="J384" s="57"/>
      <c r="L384" s="19">
        <v>3.8000000000000001E-7</v>
      </c>
      <c r="M384" s="59">
        <f t="shared" si="38"/>
        <v>0</v>
      </c>
      <c r="N384" s="59">
        <f t="shared" si="39"/>
        <v>0</v>
      </c>
      <c r="O384" s="59">
        <f t="shared" si="40"/>
        <v>0</v>
      </c>
      <c r="P384" s="19" t="str">
        <f t="shared" si="41"/>
        <v/>
      </c>
      <c r="Q384" s="19" t="s">
        <v>420</v>
      </c>
    </row>
    <row r="385" spans="2:17" ht="30" customHeight="1" x14ac:dyDescent="0.25">
      <c r="B385" s="62" t="str">
        <f t="shared" si="35"/>
        <v/>
      </c>
      <c r="C385" s="42">
        <v>381</v>
      </c>
      <c r="D385" s="20"/>
      <c r="E385" s="58"/>
      <c r="F385" s="63" t="str">
        <f t="shared" si="36"/>
        <v/>
      </c>
      <c r="G385" s="66" t="str">
        <f>IF(D385="","",IFERROR('Prod 3'!H385/'Prod 3'!$H$3,0))</f>
        <v/>
      </c>
      <c r="H385" s="70" t="str">
        <f>IF(D385="","",'Prod 2'!K385)</f>
        <v/>
      </c>
      <c r="I385" s="77" t="str">
        <f t="shared" si="37"/>
        <v/>
      </c>
      <c r="J385" s="57"/>
      <c r="L385" s="19">
        <v>3.8099999999999998E-7</v>
      </c>
      <c r="M385" s="59">
        <f t="shared" si="38"/>
        <v>0</v>
      </c>
      <c r="N385" s="59">
        <f t="shared" si="39"/>
        <v>0</v>
      </c>
      <c r="O385" s="59">
        <f t="shared" si="40"/>
        <v>0</v>
      </c>
      <c r="P385" s="19" t="str">
        <f t="shared" si="41"/>
        <v/>
      </c>
      <c r="Q385" s="19" t="s">
        <v>421</v>
      </c>
    </row>
    <row r="386" spans="2:17" ht="30" customHeight="1" x14ac:dyDescent="0.25">
      <c r="B386" s="62" t="str">
        <f t="shared" si="35"/>
        <v/>
      </c>
      <c r="C386" s="42">
        <v>382</v>
      </c>
      <c r="D386" s="20"/>
      <c r="E386" s="58"/>
      <c r="F386" s="63" t="str">
        <f t="shared" si="36"/>
        <v/>
      </c>
      <c r="G386" s="66" t="str">
        <f>IF(D386="","",IFERROR('Prod 3'!H386/'Prod 3'!$H$3,0))</f>
        <v/>
      </c>
      <c r="H386" s="70" t="str">
        <f>IF(D386="","",'Prod 2'!K386)</f>
        <v/>
      </c>
      <c r="I386" s="77" t="str">
        <f t="shared" si="37"/>
        <v/>
      </c>
      <c r="J386" s="57"/>
      <c r="L386" s="19">
        <v>3.8200000000000001E-7</v>
      </c>
      <c r="M386" s="59">
        <f t="shared" si="38"/>
        <v>0</v>
      </c>
      <c r="N386" s="59">
        <f t="shared" si="39"/>
        <v>0</v>
      </c>
      <c r="O386" s="59">
        <f t="shared" si="40"/>
        <v>0</v>
      </c>
      <c r="P386" s="19" t="str">
        <f t="shared" si="41"/>
        <v/>
      </c>
      <c r="Q386" s="19" t="s">
        <v>422</v>
      </c>
    </row>
    <row r="387" spans="2:17" ht="30" customHeight="1" x14ac:dyDescent="0.25">
      <c r="B387" s="62" t="str">
        <f t="shared" si="35"/>
        <v/>
      </c>
      <c r="C387" s="42">
        <v>383</v>
      </c>
      <c r="D387" s="20"/>
      <c r="E387" s="58"/>
      <c r="F387" s="63" t="str">
        <f t="shared" si="36"/>
        <v/>
      </c>
      <c r="G387" s="66" t="str">
        <f>IF(D387="","",IFERROR('Prod 3'!H387/'Prod 3'!$H$3,0))</f>
        <v/>
      </c>
      <c r="H387" s="70" t="str">
        <f>IF(D387="","",'Prod 2'!K387)</f>
        <v/>
      </c>
      <c r="I387" s="77" t="str">
        <f t="shared" si="37"/>
        <v/>
      </c>
      <c r="J387" s="57"/>
      <c r="L387" s="19">
        <v>3.8299999999999998E-7</v>
      </c>
      <c r="M387" s="59">
        <f t="shared" si="38"/>
        <v>0</v>
      </c>
      <c r="N387" s="59">
        <f t="shared" si="39"/>
        <v>0</v>
      </c>
      <c r="O387" s="59">
        <f t="shared" si="40"/>
        <v>0</v>
      </c>
      <c r="P387" s="19" t="str">
        <f t="shared" si="41"/>
        <v/>
      </c>
      <c r="Q387" s="19" t="s">
        <v>423</v>
      </c>
    </row>
    <row r="388" spans="2:17" ht="30" customHeight="1" x14ac:dyDescent="0.25">
      <c r="B388" s="62" t="str">
        <f t="shared" si="35"/>
        <v/>
      </c>
      <c r="C388" s="42">
        <v>384</v>
      </c>
      <c r="D388" s="20"/>
      <c r="E388" s="58"/>
      <c r="F388" s="63" t="str">
        <f t="shared" si="36"/>
        <v/>
      </c>
      <c r="G388" s="66" t="str">
        <f>IF(D388="","",IFERROR('Prod 3'!H388/'Prod 3'!$H$3,0))</f>
        <v/>
      </c>
      <c r="H388" s="70" t="str">
        <f>IF(D388="","",'Prod 2'!K388)</f>
        <v/>
      </c>
      <c r="I388" s="77" t="str">
        <f t="shared" si="37"/>
        <v/>
      </c>
      <c r="J388" s="57"/>
      <c r="L388" s="19">
        <v>3.84E-7</v>
      </c>
      <c r="M388" s="59">
        <f t="shared" si="38"/>
        <v>0</v>
      </c>
      <c r="N388" s="59">
        <f t="shared" si="39"/>
        <v>0</v>
      </c>
      <c r="O388" s="59">
        <f t="shared" si="40"/>
        <v>0</v>
      </c>
      <c r="P388" s="19" t="str">
        <f t="shared" si="41"/>
        <v/>
      </c>
      <c r="Q388" s="19" t="s">
        <v>424</v>
      </c>
    </row>
    <row r="389" spans="2:17" ht="30" customHeight="1" x14ac:dyDescent="0.25">
      <c r="B389" s="62" t="str">
        <f t="shared" si="35"/>
        <v/>
      </c>
      <c r="C389" s="42">
        <v>385</v>
      </c>
      <c r="D389" s="20"/>
      <c r="E389" s="58"/>
      <c r="F389" s="63" t="str">
        <f t="shared" si="36"/>
        <v/>
      </c>
      <c r="G389" s="66" t="str">
        <f>IF(D389="","",IFERROR('Prod 3'!H389/'Prod 3'!$H$3,0))</f>
        <v/>
      </c>
      <c r="H389" s="70" t="str">
        <f>IF(D389="","",'Prod 2'!K389)</f>
        <v/>
      </c>
      <c r="I389" s="77" t="str">
        <f t="shared" si="37"/>
        <v/>
      </c>
      <c r="J389" s="57"/>
      <c r="L389" s="19">
        <v>3.8500000000000002E-7</v>
      </c>
      <c r="M389" s="59">
        <f t="shared" si="38"/>
        <v>0</v>
      </c>
      <c r="N389" s="59">
        <f t="shared" si="39"/>
        <v>0</v>
      </c>
      <c r="O389" s="59">
        <f t="shared" si="40"/>
        <v>0</v>
      </c>
      <c r="P389" s="19" t="str">
        <f t="shared" si="41"/>
        <v/>
      </c>
      <c r="Q389" s="19" t="s">
        <v>425</v>
      </c>
    </row>
    <row r="390" spans="2:17" ht="30" customHeight="1" x14ac:dyDescent="0.25">
      <c r="B390" s="62" t="str">
        <f t="shared" ref="B390:B453" si="42">IF(I390="","",I390)</f>
        <v/>
      </c>
      <c r="C390" s="42">
        <v>386</v>
      </c>
      <c r="D390" s="20"/>
      <c r="E390" s="58"/>
      <c r="F390" s="63" t="str">
        <f t="shared" ref="F390:F453" si="43">IF(D390="","",IFERROR(VLOOKUP(D390,$P$5:$Q$1004,2,0),""))</f>
        <v/>
      </c>
      <c r="G390" s="66" t="str">
        <f>IF(D390="","",IFERROR('Prod 3'!H390/'Prod 3'!$H$3,0))</f>
        <v/>
      </c>
      <c r="H390" s="70" t="str">
        <f>IF(D390="","",'Prod 2'!K390)</f>
        <v/>
      </c>
      <c r="I390" s="77" t="str">
        <f t="shared" ref="I390:I453" si="44">IF(D390="","",E390-H390+L390)</f>
        <v/>
      </c>
      <c r="J390" s="57"/>
      <c r="L390" s="19">
        <v>3.8599999999999999E-7</v>
      </c>
      <c r="M390" s="59">
        <f t="shared" ref="M390:M453" si="45">IFERROR(LARGE($I$5:$I$1004,C390),0)</f>
        <v>0</v>
      </c>
      <c r="N390" s="59">
        <f t="shared" ref="N390:N453" si="46">IFERROR(M390,0)</f>
        <v>0</v>
      </c>
      <c r="O390" s="59">
        <f t="shared" ref="O390:O453" si="47">IFERROR(LARGE($N$5:$N$1004,C390),0)</f>
        <v>0</v>
      </c>
      <c r="P390" s="19" t="str">
        <f t="shared" ref="P390:P453" si="48">IFERROR(IF(VLOOKUP(O390,$B$5:$D$1004,3,0)=0,"",(VLOOKUP(O390,$B$5:$D$1004,3,0))),"")</f>
        <v/>
      </c>
      <c r="Q390" s="19" t="s">
        <v>426</v>
      </c>
    </row>
    <row r="391" spans="2:17" ht="30" customHeight="1" x14ac:dyDescent="0.25">
      <c r="B391" s="62" t="str">
        <f t="shared" si="42"/>
        <v/>
      </c>
      <c r="C391" s="42">
        <v>387</v>
      </c>
      <c r="D391" s="20"/>
      <c r="E391" s="58"/>
      <c r="F391" s="63" t="str">
        <f t="shared" si="43"/>
        <v/>
      </c>
      <c r="G391" s="66" t="str">
        <f>IF(D391="","",IFERROR('Prod 3'!H391/'Prod 3'!$H$3,0))</f>
        <v/>
      </c>
      <c r="H391" s="70" t="str">
        <f>IF(D391="","",'Prod 2'!K391)</f>
        <v/>
      </c>
      <c r="I391" s="77" t="str">
        <f t="shared" si="44"/>
        <v/>
      </c>
      <c r="J391" s="57"/>
      <c r="L391" s="19">
        <v>3.8700000000000001E-7</v>
      </c>
      <c r="M391" s="59">
        <f t="shared" si="45"/>
        <v>0</v>
      </c>
      <c r="N391" s="59">
        <f t="shared" si="46"/>
        <v>0</v>
      </c>
      <c r="O391" s="59">
        <f t="shared" si="47"/>
        <v>0</v>
      </c>
      <c r="P391" s="19" t="str">
        <f t="shared" si="48"/>
        <v/>
      </c>
      <c r="Q391" s="19" t="s">
        <v>427</v>
      </c>
    </row>
    <row r="392" spans="2:17" ht="30" customHeight="1" x14ac:dyDescent="0.25">
      <c r="B392" s="62" t="str">
        <f t="shared" si="42"/>
        <v/>
      </c>
      <c r="C392" s="42">
        <v>388</v>
      </c>
      <c r="D392" s="20"/>
      <c r="E392" s="58"/>
      <c r="F392" s="63" t="str">
        <f t="shared" si="43"/>
        <v/>
      </c>
      <c r="G392" s="66" t="str">
        <f>IF(D392="","",IFERROR('Prod 3'!H392/'Prod 3'!$H$3,0))</f>
        <v/>
      </c>
      <c r="H392" s="70" t="str">
        <f>IF(D392="","",'Prod 2'!K392)</f>
        <v/>
      </c>
      <c r="I392" s="77" t="str">
        <f t="shared" si="44"/>
        <v/>
      </c>
      <c r="J392" s="57"/>
      <c r="L392" s="19">
        <v>3.8799999999999998E-7</v>
      </c>
      <c r="M392" s="59">
        <f t="shared" si="45"/>
        <v>0</v>
      </c>
      <c r="N392" s="59">
        <f t="shared" si="46"/>
        <v>0</v>
      </c>
      <c r="O392" s="59">
        <f t="shared" si="47"/>
        <v>0</v>
      </c>
      <c r="P392" s="19" t="str">
        <f t="shared" si="48"/>
        <v/>
      </c>
      <c r="Q392" s="19" t="s">
        <v>428</v>
      </c>
    </row>
    <row r="393" spans="2:17" ht="30" customHeight="1" x14ac:dyDescent="0.25">
      <c r="B393" s="62" t="str">
        <f t="shared" si="42"/>
        <v/>
      </c>
      <c r="C393" s="42">
        <v>389</v>
      </c>
      <c r="D393" s="20"/>
      <c r="E393" s="58"/>
      <c r="F393" s="63" t="str">
        <f t="shared" si="43"/>
        <v/>
      </c>
      <c r="G393" s="66" t="str">
        <f>IF(D393="","",IFERROR('Prod 3'!H393/'Prod 3'!$H$3,0))</f>
        <v/>
      </c>
      <c r="H393" s="70" t="str">
        <f>IF(D393="","",'Prod 2'!K393)</f>
        <v/>
      </c>
      <c r="I393" s="77" t="str">
        <f t="shared" si="44"/>
        <v/>
      </c>
      <c r="J393" s="57"/>
      <c r="L393" s="19">
        <v>3.89E-7</v>
      </c>
      <c r="M393" s="59">
        <f t="shared" si="45"/>
        <v>0</v>
      </c>
      <c r="N393" s="59">
        <f t="shared" si="46"/>
        <v>0</v>
      </c>
      <c r="O393" s="59">
        <f t="shared" si="47"/>
        <v>0</v>
      </c>
      <c r="P393" s="19" t="str">
        <f t="shared" si="48"/>
        <v/>
      </c>
      <c r="Q393" s="19" t="s">
        <v>429</v>
      </c>
    </row>
    <row r="394" spans="2:17" ht="30" customHeight="1" x14ac:dyDescent="0.25">
      <c r="B394" s="62" t="str">
        <f t="shared" si="42"/>
        <v/>
      </c>
      <c r="C394" s="42">
        <v>390</v>
      </c>
      <c r="D394" s="20"/>
      <c r="E394" s="58"/>
      <c r="F394" s="63" t="str">
        <f t="shared" si="43"/>
        <v/>
      </c>
      <c r="G394" s="66" t="str">
        <f>IF(D394="","",IFERROR('Prod 3'!H394/'Prod 3'!$H$3,0))</f>
        <v/>
      </c>
      <c r="H394" s="70" t="str">
        <f>IF(D394="","",'Prod 2'!K394)</f>
        <v/>
      </c>
      <c r="I394" s="77" t="str">
        <f t="shared" si="44"/>
        <v/>
      </c>
      <c r="J394" s="57"/>
      <c r="L394" s="19">
        <v>3.9000000000000002E-7</v>
      </c>
      <c r="M394" s="59">
        <f t="shared" si="45"/>
        <v>0</v>
      </c>
      <c r="N394" s="59">
        <f t="shared" si="46"/>
        <v>0</v>
      </c>
      <c r="O394" s="59">
        <f t="shared" si="47"/>
        <v>0</v>
      </c>
      <c r="P394" s="19" t="str">
        <f t="shared" si="48"/>
        <v/>
      </c>
      <c r="Q394" s="19" t="s">
        <v>430</v>
      </c>
    </row>
    <row r="395" spans="2:17" ht="30" customHeight="1" x14ac:dyDescent="0.25">
      <c r="B395" s="62" t="str">
        <f t="shared" si="42"/>
        <v/>
      </c>
      <c r="C395" s="42">
        <v>391</v>
      </c>
      <c r="D395" s="20"/>
      <c r="E395" s="58"/>
      <c r="F395" s="63" t="str">
        <f t="shared" si="43"/>
        <v/>
      </c>
      <c r="G395" s="66" t="str">
        <f>IF(D395="","",IFERROR('Prod 3'!H395/'Prod 3'!$H$3,0))</f>
        <v/>
      </c>
      <c r="H395" s="70" t="str">
        <f>IF(D395="","",'Prod 2'!K395)</f>
        <v/>
      </c>
      <c r="I395" s="77" t="str">
        <f t="shared" si="44"/>
        <v/>
      </c>
      <c r="J395" s="57"/>
      <c r="L395" s="19">
        <v>3.9099999999999999E-7</v>
      </c>
      <c r="M395" s="59">
        <f t="shared" si="45"/>
        <v>0</v>
      </c>
      <c r="N395" s="59">
        <f t="shared" si="46"/>
        <v>0</v>
      </c>
      <c r="O395" s="59">
        <f t="shared" si="47"/>
        <v>0</v>
      </c>
      <c r="P395" s="19" t="str">
        <f t="shared" si="48"/>
        <v/>
      </c>
      <c r="Q395" s="19" t="s">
        <v>431</v>
      </c>
    </row>
    <row r="396" spans="2:17" ht="30" customHeight="1" x14ac:dyDescent="0.25">
      <c r="B396" s="62" t="str">
        <f t="shared" si="42"/>
        <v/>
      </c>
      <c r="C396" s="42">
        <v>392</v>
      </c>
      <c r="D396" s="20"/>
      <c r="E396" s="58"/>
      <c r="F396" s="63" t="str">
        <f t="shared" si="43"/>
        <v/>
      </c>
      <c r="G396" s="66" t="str">
        <f>IF(D396="","",IFERROR('Prod 3'!H396/'Prod 3'!$H$3,0))</f>
        <v/>
      </c>
      <c r="H396" s="70" t="str">
        <f>IF(D396="","",'Prod 2'!K396)</f>
        <v/>
      </c>
      <c r="I396" s="77" t="str">
        <f t="shared" si="44"/>
        <v/>
      </c>
      <c r="J396" s="57"/>
      <c r="L396" s="19">
        <v>3.9200000000000002E-7</v>
      </c>
      <c r="M396" s="59">
        <f t="shared" si="45"/>
        <v>0</v>
      </c>
      <c r="N396" s="59">
        <f t="shared" si="46"/>
        <v>0</v>
      </c>
      <c r="O396" s="59">
        <f t="shared" si="47"/>
        <v>0</v>
      </c>
      <c r="P396" s="19" t="str">
        <f t="shared" si="48"/>
        <v/>
      </c>
      <c r="Q396" s="19" t="s">
        <v>432</v>
      </c>
    </row>
    <row r="397" spans="2:17" ht="30" customHeight="1" x14ac:dyDescent="0.25">
      <c r="B397" s="62" t="str">
        <f t="shared" si="42"/>
        <v/>
      </c>
      <c r="C397" s="42">
        <v>393</v>
      </c>
      <c r="D397" s="20"/>
      <c r="E397" s="58"/>
      <c r="F397" s="63" t="str">
        <f t="shared" si="43"/>
        <v/>
      </c>
      <c r="G397" s="66" t="str">
        <f>IF(D397="","",IFERROR('Prod 3'!H397/'Prod 3'!$H$3,0))</f>
        <v/>
      </c>
      <c r="H397" s="70" t="str">
        <f>IF(D397="","",'Prod 2'!K397)</f>
        <v/>
      </c>
      <c r="I397" s="77" t="str">
        <f t="shared" si="44"/>
        <v/>
      </c>
      <c r="J397" s="57"/>
      <c r="L397" s="19">
        <v>3.9299999999999999E-7</v>
      </c>
      <c r="M397" s="59">
        <f t="shared" si="45"/>
        <v>0</v>
      </c>
      <c r="N397" s="59">
        <f t="shared" si="46"/>
        <v>0</v>
      </c>
      <c r="O397" s="59">
        <f t="shared" si="47"/>
        <v>0</v>
      </c>
      <c r="P397" s="19" t="str">
        <f t="shared" si="48"/>
        <v/>
      </c>
      <c r="Q397" s="19" t="s">
        <v>433</v>
      </c>
    </row>
    <row r="398" spans="2:17" ht="30" customHeight="1" x14ac:dyDescent="0.25">
      <c r="B398" s="62" t="str">
        <f t="shared" si="42"/>
        <v/>
      </c>
      <c r="C398" s="42">
        <v>394</v>
      </c>
      <c r="D398" s="20"/>
      <c r="E398" s="58"/>
      <c r="F398" s="63" t="str">
        <f t="shared" si="43"/>
        <v/>
      </c>
      <c r="G398" s="66" t="str">
        <f>IF(D398="","",IFERROR('Prod 3'!H398/'Prod 3'!$H$3,0))</f>
        <v/>
      </c>
      <c r="H398" s="70" t="str">
        <f>IF(D398="","",'Prod 2'!K398)</f>
        <v/>
      </c>
      <c r="I398" s="77" t="str">
        <f t="shared" si="44"/>
        <v/>
      </c>
      <c r="J398" s="57"/>
      <c r="L398" s="19">
        <v>3.9400000000000001E-7</v>
      </c>
      <c r="M398" s="59">
        <f t="shared" si="45"/>
        <v>0</v>
      </c>
      <c r="N398" s="59">
        <f t="shared" si="46"/>
        <v>0</v>
      </c>
      <c r="O398" s="59">
        <f t="shared" si="47"/>
        <v>0</v>
      </c>
      <c r="P398" s="19" t="str">
        <f t="shared" si="48"/>
        <v/>
      </c>
      <c r="Q398" s="19" t="s">
        <v>434</v>
      </c>
    </row>
    <row r="399" spans="2:17" ht="30" customHeight="1" x14ac:dyDescent="0.25">
      <c r="B399" s="62" t="str">
        <f t="shared" si="42"/>
        <v/>
      </c>
      <c r="C399" s="42">
        <v>395</v>
      </c>
      <c r="D399" s="20"/>
      <c r="E399" s="58"/>
      <c r="F399" s="63" t="str">
        <f t="shared" si="43"/>
        <v/>
      </c>
      <c r="G399" s="66" t="str">
        <f>IF(D399="","",IFERROR('Prod 3'!H399/'Prod 3'!$H$3,0))</f>
        <v/>
      </c>
      <c r="H399" s="70" t="str">
        <f>IF(D399="","",'Prod 2'!K399)</f>
        <v/>
      </c>
      <c r="I399" s="77" t="str">
        <f t="shared" si="44"/>
        <v/>
      </c>
      <c r="J399" s="57"/>
      <c r="L399" s="19">
        <v>3.9499999999999998E-7</v>
      </c>
      <c r="M399" s="59">
        <f t="shared" si="45"/>
        <v>0</v>
      </c>
      <c r="N399" s="59">
        <f t="shared" si="46"/>
        <v>0</v>
      </c>
      <c r="O399" s="59">
        <f t="shared" si="47"/>
        <v>0</v>
      </c>
      <c r="P399" s="19" t="str">
        <f t="shared" si="48"/>
        <v/>
      </c>
      <c r="Q399" s="19" t="s">
        <v>435</v>
      </c>
    </row>
    <row r="400" spans="2:17" ht="30" customHeight="1" x14ac:dyDescent="0.25">
      <c r="B400" s="62" t="str">
        <f t="shared" si="42"/>
        <v/>
      </c>
      <c r="C400" s="42">
        <v>396</v>
      </c>
      <c r="D400" s="20"/>
      <c r="E400" s="58"/>
      <c r="F400" s="63" t="str">
        <f t="shared" si="43"/>
        <v/>
      </c>
      <c r="G400" s="66" t="str">
        <f>IF(D400="","",IFERROR('Prod 3'!H400/'Prod 3'!$H$3,0))</f>
        <v/>
      </c>
      <c r="H400" s="70" t="str">
        <f>IF(D400="","",'Prod 2'!K400)</f>
        <v/>
      </c>
      <c r="I400" s="77" t="str">
        <f t="shared" si="44"/>
        <v/>
      </c>
      <c r="J400" s="57"/>
      <c r="L400" s="19">
        <v>3.96E-7</v>
      </c>
      <c r="M400" s="59">
        <f t="shared" si="45"/>
        <v>0</v>
      </c>
      <c r="N400" s="59">
        <f t="shared" si="46"/>
        <v>0</v>
      </c>
      <c r="O400" s="59">
        <f t="shared" si="47"/>
        <v>0</v>
      </c>
      <c r="P400" s="19" t="str">
        <f t="shared" si="48"/>
        <v/>
      </c>
      <c r="Q400" s="19" t="s">
        <v>436</v>
      </c>
    </row>
    <row r="401" spans="2:17" ht="30" customHeight="1" x14ac:dyDescent="0.25">
      <c r="B401" s="62" t="str">
        <f t="shared" si="42"/>
        <v/>
      </c>
      <c r="C401" s="42">
        <v>397</v>
      </c>
      <c r="D401" s="20"/>
      <c r="E401" s="58"/>
      <c r="F401" s="63" t="str">
        <f t="shared" si="43"/>
        <v/>
      </c>
      <c r="G401" s="66" t="str">
        <f>IF(D401="","",IFERROR('Prod 3'!H401/'Prod 3'!$H$3,0))</f>
        <v/>
      </c>
      <c r="H401" s="70" t="str">
        <f>IF(D401="","",'Prod 2'!K401)</f>
        <v/>
      </c>
      <c r="I401" s="77" t="str">
        <f t="shared" si="44"/>
        <v/>
      </c>
      <c r="J401" s="57"/>
      <c r="L401" s="19">
        <v>3.9700000000000002E-7</v>
      </c>
      <c r="M401" s="59">
        <f t="shared" si="45"/>
        <v>0</v>
      </c>
      <c r="N401" s="59">
        <f t="shared" si="46"/>
        <v>0</v>
      </c>
      <c r="O401" s="59">
        <f t="shared" si="47"/>
        <v>0</v>
      </c>
      <c r="P401" s="19" t="str">
        <f t="shared" si="48"/>
        <v/>
      </c>
      <c r="Q401" s="19" t="s">
        <v>437</v>
      </c>
    </row>
    <row r="402" spans="2:17" ht="30" customHeight="1" x14ac:dyDescent="0.25">
      <c r="B402" s="62" t="str">
        <f t="shared" si="42"/>
        <v/>
      </c>
      <c r="C402" s="42">
        <v>398</v>
      </c>
      <c r="D402" s="20"/>
      <c r="E402" s="58"/>
      <c r="F402" s="63" t="str">
        <f t="shared" si="43"/>
        <v/>
      </c>
      <c r="G402" s="66" t="str">
        <f>IF(D402="","",IFERROR('Prod 3'!H402/'Prod 3'!$H$3,0))</f>
        <v/>
      </c>
      <c r="H402" s="70" t="str">
        <f>IF(D402="","",'Prod 2'!K402)</f>
        <v/>
      </c>
      <c r="I402" s="77" t="str">
        <f t="shared" si="44"/>
        <v/>
      </c>
      <c r="J402" s="57"/>
      <c r="L402" s="19">
        <v>3.9799999999999999E-7</v>
      </c>
      <c r="M402" s="59">
        <f t="shared" si="45"/>
        <v>0</v>
      </c>
      <c r="N402" s="59">
        <f t="shared" si="46"/>
        <v>0</v>
      </c>
      <c r="O402" s="59">
        <f t="shared" si="47"/>
        <v>0</v>
      </c>
      <c r="P402" s="19" t="str">
        <f t="shared" si="48"/>
        <v/>
      </c>
      <c r="Q402" s="19" t="s">
        <v>438</v>
      </c>
    </row>
    <row r="403" spans="2:17" ht="30" customHeight="1" x14ac:dyDescent="0.25">
      <c r="B403" s="62" t="str">
        <f t="shared" si="42"/>
        <v/>
      </c>
      <c r="C403" s="42">
        <v>399</v>
      </c>
      <c r="D403" s="20"/>
      <c r="E403" s="58"/>
      <c r="F403" s="63" t="str">
        <f t="shared" si="43"/>
        <v/>
      </c>
      <c r="G403" s="66" t="str">
        <f>IF(D403="","",IFERROR('Prod 3'!H403/'Prod 3'!$H$3,0))</f>
        <v/>
      </c>
      <c r="H403" s="70" t="str">
        <f>IF(D403="","",'Prod 2'!K403)</f>
        <v/>
      </c>
      <c r="I403" s="77" t="str">
        <f t="shared" si="44"/>
        <v/>
      </c>
      <c r="J403" s="57"/>
      <c r="L403" s="19">
        <v>3.9900000000000001E-7</v>
      </c>
      <c r="M403" s="59">
        <f t="shared" si="45"/>
        <v>0</v>
      </c>
      <c r="N403" s="59">
        <f t="shared" si="46"/>
        <v>0</v>
      </c>
      <c r="O403" s="59">
        <f t="shared" si="47"/>
        <v>0</v>
      </c>
      <c r="P403" s="19" t="str">
        <f t="shared" si="48"/>
        <v/>
      </c>
      <c r="Q403" s="19" t="s">
        <v>439</v>
      </c>
    </row>
    <row r="404" spans="2:17" ht="30" customHeight="1" x14ac:dyDescent="0.25">
      <c r="B404" s="62" t="str">
        <f t="shared" si="42"/>
        <v/>
      </c>
      <c r="C404" s="42">
        <v>400</v>
      </c>
      <c r="D404" s="20"/>
      <c r="E404" s="58"/>
      <c r="F404" s="63" t="str">
        <f t="shared" si="43"/>
        <v/>
      </c>
      <c r="G404" s="66" t="str">
        <f>IF(D404="","",IFERROR('Prod 3'!H404/'Prod 3'!$H$3,0))</f>
        <v/>
      </c>
      <c r="H404" s="70" t="str">
        <f>IF(D404="","",'Prod 2'!K404)</f>
        <v/>
      </c>
      <c r="I404" s="77" t="str">
        <f t="shared" si="44"/>
        <v/>
      </c>
      <c r="J404" s="57"/>
      <c r="L404" s="19">
        <v>3.9999999999999998E-7</v>
      </c>
      <c r="M404" s="59">
        <f t="shared" si="45"/>
        <v>0</v>
      </c>
      <c r="N404" s="59">
        <f t="shared" si="46"/>
        <v>0</v>
      </c>
      <c r="O404" s="59">
        <f t="shared" si="47"/>
        <v>0</v>
      </c>
      <c r="P404" s="19" t="str">
        <f t="shared" si="48"/>
        <v/>
      </c>
      <c r="Q404" s="19" t="s">
        <v>440</v>
      </c>
    </row>
    <row r="405" spans="2:17" ht="30" customHeight="1" x14ac:dyDescent="0.25">
      <c r="B405" s="62" t="str">
        <f t="shared" si="42"/>
        <v/>
      </c>
      <c r="C405" s="42">
        <v>401</v>
      </c>
      <c r="D405" s="20"/>
      <c r="E405" s="58"/>
      <c r="F405" s="63" t="str">
        <f t="shared" si="43"/>
        <v/>
      </c>
      <c r="G405" s="66" t="str">
        <f>IF(D405="","",IFERROR('Prod 3'!H405/'Prod 3'!$H$3,0))</f>
        <v/>
      </c>
      <c r="H405" s="70" t="str">
        <f>IF(D405="","",'Prod 2'!K405)</f>
        <v/>
      </c>
      <c r="I405" s="77" t="str">
        <f t="shared" si="44"/>
        <v/>
      </c>
      <c r="J405" s="57"/>
      <c r="L405" s="19">
        <v>4.01E-7</v>
      </c>
      <c r="M405" s="59">
        <f t="shared" si="45"/>
        <v>0</v>
      </c>
      <c r="N405" s="59">
        <f t="shared" si="46"/>
        <v>0</v>
      </c>
      <c r="O405" s="59">
        <f t="shared" si="47"/>
        <v>0</v>
      </c>
      <c r="P405" s="19" t="str">
        <f t="shared" si="48"/>
        <v/>
      </c>
      <c r="Q405" s="19" t="s">
        <v>441</v>
      </c>
    </row>
    <row r="406" spans="2:17" ht="30" customHeight="1" x14ac:dyDescent="0.25">
      <c r="B406" s="62" t="str">
        <f t="shared" si="42"/>
        <v/>
      </c>
      <c r="C406" s="42">
        <v>402</v>
      </c>
      <c r="D406" s="20"/>
      <c r="E406" s="58"/>
      <c r="F406" s="63" t="str">
        <f t="shared" si="43"/>
        <v/>
      </c>
      <c r="G406" s="66" t="str">
        <f>IF(D406="","",IFERROR('Prod 3'!H406/'Prod 3'!$H$3,0))</f>
        <v/>
      </c>
      <c r="H406" s="70" t="str">
        <f>IF(D406="","",'Prod 2'!K406)</f>
        <v/>
      </c>
      <c r="I406" s="77" t="str">
        <f t="shared" si="44"/>
        <v/>
      </c>
      <c r="J406" s="57"/>
      <c r="L406" s="19">
        <v>4.0200000000000003E-7</v>
      </c>
      <c r="M406" s="59">
        <f t="shared" si="45"/>
        <v>0</v>
      </c>
      <c r="N406" s="59">
        <f t="shared" si="46"/>
        <v>0</v>
      </c>
      <c r="O406" s="59">
        <f t="shared" si="47"/>
        <v>0</v>
      </c>
      <c r="P406" s="19" t="str">
        <f t="shared" si="48"/>
        <v/>
      </c>
      <c r="Q406" s="19" t="s">
        <v>442</v>
      </c>
    </row>
    <row r="407" spans="2:17" ht="30" customHeight="1" x14ac:dyDescent="0.25">
      <c r="B407" s="62" t="str">
        <f t="shared" si="42"/>
        <v/>
      </c>
      <c r="C407" s="42">
        <v>403</v>
      </c>
      <c r="D407" s="20"/>
      <c r="E407" s="58"/>
      <c r="F407" s="63" t="str">
        <f t="shared" si="43"/>
        <v/>
      </c>
      <c r="G407" s="66" t="str">
        <f>IF(D407="","",IFERROR('Prod 3'!H407/'Prod 3'!$H$3,0))</f>
        <v/>
      </c>
      <c r="H407" s="70" t="str">
        <f>IF(D407="","",'Prod 2'!K407)</f>
        <v/>
      </c>
      <c r="I407" s="77" t="str">
        <f t="shared" si="44"/>
        <v/>
      </c>
      <c r="J407" s="57"/>
      <c r="L407" s="19">
        <v>4.03E-7</v>
      </c>
      <c r="M407" s="59">
        <f t="shared" si="45"/>
        <v>0</v>
      </c>
      <c r="N407" s="59">
        <f t="shared" si="46"/>
        <v>0</v>
      </c>
      <c r="O407" s="59">
        <f t="shared" si="47"/>
        <v>0</v>
      </c>
      <c r="P407" s="19" t="str">
        <f t="shared" si="48"/>
        <v/>
      </c>
      <c r="Q407" s="19" t="s">
        <v>443</v>
      </c>
    </row>
    <row r="408" spans="2:17" ht="30" customHeight="1" x14ac:dyDescent="0.25">
      <c r="B408" s="62" t="str">
        <f t="shared" si="42"/>
        <v/>
      </c>
      <c r="C408" s="42">
        <v>404</v>
      </c>
      <c r="D408" s="20"/>
      <c r="E408" s="58"/>
      <c r="F408" s="63" t="str">
        <f t="shared" si="43"/>
        <v/>
      </c>
      <c r="G408" s="66" t="str">
        <f>IF(D408="","",IFERROR('Prod 3'!H408/'Prod 3'!$H$3,0))</f>
        <v/>
      </c>
      <c r="H408" s="70" t="str">
        <f>IF(D408="","",'Prod 2'!K408)</f>
        <v/>
      </c>
      <c r="I408" s="77" t="str">
        <f t="shared" si="44"/>
        <v/>
      </c>
      <c r="J408" s="57"/>
      <c r="L408" s="19">
        <v>4.0400000000000002E-7</v>
      </c>
      <c r="M408" s="59">
        <f t="shared" si="45"/>
        <v>0</v>
      </c>
      <c r="N408" s="59">
        <f t="shared" si="46"/>
        <v>0</v>
      </c>
      <c r="O408" s="59">
        <f t="shared" si="47"/>
        <v>0</v>
      </c>
      <c r="P408" s="19" t="str">
        <f t="shared" si="48"/>
        <v/>
      </c>
      <c r="Q408" s="19" t="s">
        <v>444</v>
      </c>
    </row>
    <row r="409" spans="2:17" ht="30" customHeight="1" x14ac:dyDescent="0.25">
      <c r="B409" s="62" t="str">
        <f t="shared" si="42"/>
        <v/>
      </c>
      <c r="C409" s="42">
        <v>405</v>
      </c>
      <c r="D409" s="20"/>
      <c r="E409" s="58"/>
      <c r="F409" s="63" t="str">
        <f t="shared" si="43"/>
        <v/>
      </c>
      <c r="G409" s="66" t="str">
        <f>IF(D409="","",IFERROR('Prod 3'!H409/'Prod 3'!$H$3,0))</f>
        <v/>
      </c>
      <c r="H409" s="70" t="str">
        <f>IF(D409="","",'Prod 2'!K409)</f>
        <v/>
      </c>
      <c r="I409" s="77" t="str">
        <f t="shared" si="44"/>
        <v/>
      </c>
      <c r="J409" s="57"/>
      <c r="L409" s="19">
        <v>4.0499999999999999E-7</v>
      </c>
      <c r="M409" s="59">
        <f t="shared" si="45"/>
        <v>0</v>
      </c>
      <c r="N409" s="59">
        <f t="shared" si="46"/>
        <v>0</v>
      </c>
      <c r="O409" s="59">
        <f t="shared" si="47"/>
        <v>0</v>
      </c>
      <c r="P409" s="19" t="str">
        <f t="shared" si="48"/>
        <v/>
      </c>
      <c r="Q409" s="19" t="s">
        <v>445</v>
      </c>
    </row>
    <row r="410" spans="2:17" ht="30" customHeight="1" x14ac:dyDescent="0.25">
      <c r="B410" s="62" t="str">
        <f t="shared" si="42"/>
        <v/>
      </c>
      <c r="C410" s="42">
        <v>406</v>
      </c>
      <c r="D410" s="20"/>
      <c r="E410" s="58"/>
      <c r="F410" s="63" t="str">
        <f t="shared" si="43"/>
        <v/>
      </c>
      <c r="G410" s="66" t="str">
        <f>IF(D410="","",IFERROR('Prod 3'!H410/'Prod 3'!$H$3,0))</f>
        <v/>
      </c>
      <c r="H410" s="70" t="str">
        <f>IF(D410="","",'Prod 2'!K410)</f>
        <v/>
      </c>
      <c r="I410" s="77" t="str">
        <f t="shared" si="44"/>
        <v/>
      </c>
      <c r="J410" s="57"/>
      <c r="L410" s="19">
        <v>4.0600000000000001E-7</v>
      </c>
      <c r="M410" s="59">
        <f t="shared" si="45"/>
        <v>0</v>
      </c>
      <c r="N410" s="59">
        <f t="shared" si="46"/>
        <v>0</v>
      </c>
      <c r="O410" s="59">
        <f t="shared" si="47"/>
        <v>0</v>
      </c>
      <c r="P410" s="19" t="str">
        <f t="shared" si="48"/>
        <v/>
      </c>
      <c r="Q410" s="19" t="s">
        <v>446</v>
      </c>
    </row>
    <row r="411" spans="2:17" ht="30" customHeight="1" x14ac:dyDescent="0.25">
      <c r="B411" s="62" t="str">
        <f t="shared" si="42"/>
        <v/>
      </c>
      <c r="C411" s="42">
        <v>407</v>
      </c>
      <c r="D411" s="20"/>
      <c r="E411" s="58"/>
      <c r="F411" s="63" t="str">
        <f t="shared" si="43"/>
        <v/>
      </c>
      <c r="G411" s="66" t="str">
        <f>IF(D411="","",IFERROR('Prod 3'!H411/'Prod 3'!$H$3,0))</f>
        <v/>
      </c>
      <c r="H411" s="70" t="str">
        <f>IF(D411="","",'Prod 2'!K411)</f>
        <v/>
      </c>
      <c r="I411" s="77" t="str">
        <f t="shared" si="44"/>
        <v/>
      </c>
      <c r="J411" s="57"/>
      <c r="L411" s="19">
        <v>4.0699999999999998E-7</v>
      </c>
      <c r="M411" s="59">
        <f t="shared" si="45"/>
        <v>0</v>
      </c>
      <c r="N411" s="59">
        <f t="shared" si="46"/>
        <v>0</v>
      </c>
      <c r="O411" s="59">
        <f t="shared" si="47"/>
        <v>0</v>
      </c>
      <c r="P411" s="19" t="str">
        <f t="shared" si="48"/>
        <v/>
      </c>
      <c r="Q411" s="19" t="s">
        <v>447</v>
      </c>
    </row>
    <row r="412" spans="2:17" ht="30" customHeight="1" x14ac:dyDescent="0.25">
      <c r="B412" s="62" t="str">
        <f t="shared" si="42"/>
        <v/>
      </c>
      <c r="C412" s="42">
        <v>408</v>
      </c>
      <c r="D412" s="20"/>
      <c r="E412" s="58"/>
      <c r="F412" s="63" t="str">
        <f t="shared" si="43"/>
        <v/>
      </c>
      <c r="G412" s="66" t="str">
        <f>IF(D412="","",IFERROR('Prod 3'!H412/'Prod 3'!$H$3,0))</f>
        <v/>
      </c>
      <c r="H412" s="70" t="str">
        <f>IF(D412="","",'Prod 2'!K412)</f>
        <v/>
      </c>
      <c r="I412" s="77" t="str">
        <f t="shared" si="44"/>
        <v/>
      </c>
      <c r="J412" s="57"/>
      <c r="L412" s="19">
        <v>4.08E-7</v>
      </c>
      <c r="M412" s="59">
        <f t="shared" si="45"/>
        <v>0</v>
      </c>
      <c r="N412" s="59">
        <f t="shared" si="46"/>
        <v>0</v>
      </c>
      <c r="O412" s="59">
        <f t="shared" si="47"/>
        <v>0</v>
      </c>
      <c r="P412" s="19" t="str">
        <f t="shared" si="48"/>
        <v/>
      </c>
      <c r="Q412" s="19" t="s">
        <v>448</v>
      </c>
    </row>
    <row r="413" spans="2:17" ht="30" customHeight="1" x14ac:dyDescent="0.25">
      <c r="B413" s="62" t="str">
        <f t="shared" si="42"/>
        <v/>
      </c>
      <c r="C413" s="42">
        <v>409</v>
      </c>
      <c r="D413" s="20"/>
      <c r="E413" s="58"/>
      <c r="F413" s="63" t="str">
        <f t="shared" si="43"/>
        <v/>
      </c>
      <c r="G413" s="66" t="str">
        <f>IF(D413="","",IFERROR('Prod 3'!H413/'Prod 3'!$H$3,0))</f>
        <v/>
      </c>
      <c r="H413" s="70" t="str">
        <f>IF(D413="","",'Prod 2'!K413)</f>
        <v/>
      </c>
      <c r="I413" s="77" t="str">
        <f t="shared" si="44"/>
        <v/>
      </c>
      <c r="J413" s="57"/>
      <c r="L413" s="19">
        <v>4.0900000000000002E-7</v>
      </c>
      <c r="M413" s="59">
        <f t="shared" si="45"/>
        <v>0</v>
      </c>
      <c r="N413" s="59">
        <f t="shared" si="46"/>
        <v>0</v>
      </c>
      <c r="O413" s="59">
        <f t="shared" si="47"/>
        <v>0</v>
      </c>
      <c r="P413" s="19" t="str">
        <f t="shared" si="48"/>
        <v/>
      </c>
      <c r="Q413" s="19" t="s">
        <v>449</v>
      </c>
    </row>
    <row r="414" spans="2:17" ht="30" customHeight="1" x14ac:dyDescent="0.25">
      <c r="B414" s="62" t="str">
        <f t="shared" si="42"/>
        <v/>
      </c>
      <c r="C414" s="42">
        <v>410</v>
      </c>
      <c r="D414" s="20"/>
      <c r="E414" s="58"/>
      <c r="F414" s="63" t="str">
        <f t="shared" si="43"/>
        <v/>
      </c>
      <c r="G414" s="66" t="str">
        <f>IF(D414="","",IFERROR('Prod 3'!H414/'Prod 3'!$H$3,0))</f>
        <v/>
      </c>
      <c r="H414" s="70" t="str">
        <f>IF(D414="","",'Prod 2'!K414)</f>
        <v/>
      </c>
      <c r="I414" s="77" t="str">
        <f t="shared" si="44"/>
        <v/>
      </c>
      <c r="J414" s="57"/>
      <c r="L414" s="19">
        <v>4.0999999999999999E-7</v>
      </c>
      <c r="M414" s="59">
        <f t="shared" si="45"/>
        <v>0</v>
      </c>
      <c r="N414" s="59">
        <f t="shared" si="46"/>
        <v>0</v>
      </c>
      <c r="O414" s="59">
        <f t="shared" si="47"/>
        <v>0</v>
      </c>
      <c r="P414" s="19" t="str">
        <f t="shared" si="48"/>
        <v/>
      </c>
      <c r="Q414" s="19" t="s">
        <v>450</v>
      </c>
    </row>
    <row r="415" spans="2:17" ht="30" customHeight="1" x14ac:dyDescent="0.25">
      <c r="B415" s="62" t="str">
        <f t="shared" si="42"/>
        <v/>
      </c>
      <c r="C415" s="42">
        <v>411</v>
      </c>
      <c r="D415" s="20"/>
      <c r="E415" s="58"/>
      <c r="F415" s="63" t="str">
        <f t="shared" si="43"/>
        <v/>
      </c>
      <c r="G415" s="66" t="str">
        <f>IF(D415="","",IFERROR('Prod 3'!H415/'Prod 3'!$H$3,0))</f>
        <v/>
      </c>
      <c r="H415" s="70" t="str">
        <f>IF(D415="","",'Prod 2'!K415)</f>
        <v/>
      </c>
      <c r="I415" s="77" t="str">
        <f t="shared" si="44"/>
        <v/>
      </c>
      <c r="J415" s="57"/>
      <c r="L415" s="19">
        <v>4.1100000000000001E-7</v>
      </c>
      <c r="M415" s="59">
        <f t="shared" si="45"/>
        <v>0</v>
      </c>
      <c r="N415" s="59">
        <f t="shared" si="46"/>
        <v>0</v>
      </c>
      <c r="O415" s="59">
        <f t="shared" si="47"/>
        <v>0</v>
      </c>
      <c r="P415" s="19" t="str">
        <f t="shared" si="48"/>
        <v/>
      </c>
      <c r="Q415" s="19" t="s">
        <v>451</v>
      </c>
    </row>
    <row r="416" spans="2:17" ht="30" customHeight="1" x14ac:dyDescent="0.25">
      <c r="B416" s="62" t="str">
        <f t="shared" si="42"/>
        <v/>
      </c>
      <c r="C416" s="42">
        <v>412</v>
      </c>
      <c r="D416" s="20"/>
      <c r="E416" s="58"/>
      <c r="F416" s="63" t="str">
        <f t="shared" si="43"/>
        <v/>
      </c>
      <c r="G416" s="66" t="str">
        <f>IF(D416="","",IFERROR('Prod 3'!H416/'Prod 3'!$H$3,0))</f>
        <v/>
      </c>
      <c r="H416" s="70" t="str">
        <f>IF(D416="","",'Prod 2'!K416)</f>
        <v/>
      </c>
      <c r="I416" s="77" t="str">
        <f t="shared" si="44"/>
        <v/>
      </c>
      <c r="J416" s="57"/>
      <c r="L416" s="19">
        <v>4.1199999999999998E-7</v>
      </c>
      <c r="M416" s="59">
        <f t="shared" si="45"/>
        <v>0</v>
      </c>
      <c r="N416" s="59">
        <f t="shared" si="46"/>
        <v>0</v>
      </c>
      <c r="O416" s="59">
        <f t="shared" si="47"/>
        <v>0</v>
      </c>
      <c r="P416" s="19" t="str">
        <f t="shared" si="48"/>
        <v/>
      </c>
      <c r="Q416" s="19" t="s">
        <v>452</v>
      </c>
    </row>
    <row r="417" spans="2:17" ht="30" customHeight="1" x14ac:dyDescent="0.25">
      <c r="B417" s="62" t="str">
        <f t="shared" si="42"/>
        <v/>
      </c>
      <c r="C417" s="42">
        <v>413</v>
      </c>
      <c r="D417" s="20"/>
      <c r="E417" s="58"/>
      <c r="F417" s="63" t="str">
        <f t="shared" si="43"/>
        <v/>
      </c>
      <c r="G417" s="66" t="str">
        <f>IF(D417="","",IFERROR('Prod 3'!H417/'Prod 3'!$H$3,0))</f>
        <v/>
      </c>
      <c r="H417" s="70" t="str">
        <f>IF(D417="","",'Prod 2'!K417)</f>
        <v/>
      </c>
      <c r="I417" s="77" t="str">
        <f t="shared" si="44"/>
        <v/>
      </c>
      <c r="J417" s="57"/>
      <c r="L417" s="19">
        <v>4.1300000000000001E-7</v>
      </c>
      <c r="M417" s="59">
        <f t="shared" si="45"/>
        <v>0</v>
      </c>
      <c r="N417" s="59">
        <f t="shared" si="46"/>
        <v>0</v>
      </c>
      <c r="O417" s="59">
        <f t="shared" si="47"/>
        <v>0</v>
      </c>
      <c r="P417" s="19" t="str">
        <f t="shared" si="48"/>
        <v/>
      </c>
      <c r="Q417" s="19" t="s">
        <v>453</v>
      </c>
    </row>
    <row r="418" spans="2:17" ht="30" customHeight="1" x14ac:dyDescent="0.25">
      <c r="B418" s="62" t="str">
        <f t="shared" si="42"/>
        <v/>
      </c>
      <c r="C418" s="42">
        <v>414</v>
      </c>
      <c r="D418" s="20"/>
      <c r="E418" s="58"/>
      <c r="F418" s="63" t="str">
        <f t="shared" si="43"/>
        <v/>
      </c>
      <c r="G418" s="66" t="str">
        <f>IF(D418="","",IFERROR('Prod 3'!H418/'Prod 3'!$H$3,0))</f>
        <v/>
      </c>
      <c r="H418" s="70" t="str">
        <f>IF(D418="","",'Prod 2'!K418)</f>
        <v/>
      </c>
      <c r="I418" s="77" t="str">
        <f t="shared" si="44"/>
        <v/>
      </c>
      <c r="J418" s="57"/>
      <c r="L418" s="19">
        <v>4.1399999999999997E-7</v>
      </c>
      <c r="M418" s="59">
        <f t="shared" si="45"/>
        <v>0</v>
      </c>
      <c r="N418" s="59">
        <f t="shared" si="46"/>
        <v>0</v>
      </c>
      <c r="O418" s="59">
        <f t="shared" si="47"/>
        <v>0</v>
      </c>
      <c r="P418" s="19" t="str">
        <f t="shared" si="48"/>
        <v/>
      </c>
      <c r="Q418" s="19" t="s">
        <v>454</v>
      </c>
    </row>
    <row r="419" spans="2:17" ht="30" customHeight="1" x14ac:dyDescent="0.25">
      <c r="B419" s="62" t="str">
        <f t="shared" si="42"/>
        <v/>
      </c>
      <c r="C419" s="42">
        <v>415</v>
      </c>
      <c r="D419" s="20"/>
      <c r="E419" s="58"/>
      <c r="F419" s="63" t="str">
        <f t="shared" si="43"/>
        <v/>
      </c>
      <c r="G419" s="66" t="str">
        <f>IF(D419="","",IFERROR('Prod 3'!H419/'Prod 3'!$H$3,0))</f>
        <v/>
      </c>
      <c r="H419" s="70" t="str">
        <f>IF(D419="","",'Prod 2'!K419)</f>
        <v/>
      </c>
      <c r="I419" s="77" t="str">
        <f t="shared" si="44"/>
        <v/>
      </c>
      <c r="J419" s="57"/>
      <c r="L419" s="19">
        <v>4.15E-7</v>
      </c>
      <c r="M419" s="59">
        <f t="shared" si="45"/>
        <v>0</v>
      </c>
      <c r="N419" s="59">
        <f t="shared" si="46"/>
        <v>0</v>
      </c>
      <c r="O419" s="59">
        <f t="shared" si="47"/>
        <v>0</v>
      </c>
      <c r="P419" s="19" t="str">
        <f t="shared" si="48"/>
        <v/>
      </c>
      <c r="Q419" s="19" t="s">
        <v>455</v>
      </c>
    </row>
    <row r="420" spans="2:17" ht="30" customHeight="1" x14ac:dyDescent="0.25">
      <c r="B420" s="62" t="str">
        <f t="shared" si="42"/>
        <v/>
      </c>
      <c r="C420" s="42">
        <v>416</v>
      </c>
      <c r="D420" s="20"/>
      <c r="E420" s="58"/>
      <c r="F420" s="63" t="str">
        <f t="shared" si="43"/>
        <v/>
      </c>
      <c r="G420" s="66" t="str">
        <f>IF(D420="","",IFERROR('Prod 3'!H420/'Prod 3'!$H$3,0))</f>
        <v/>
      </c>
      <c r="H420" s="70" t="str">
        <f>IF(D420="","",'Prod 2'!K420)</f>
        <v/>
      </c>
      <c r="I420" s="77" t="str">
        <f t="shared" si="44"/>
        <v/>
      </c>
      <c r="J420" s="57"/>
      <c r="L420" s="19">
        <v>4.1600000000000002E-7</v>
      </c>
      <c r="M420" s="59">
        <f t="shared" si="45"/>
        <v>0</v>
      </c>
      <c r="N420" s="59">
        <f t="shared" si="46"/>
        <v>0</v>
      </c>
      <c r="O420" s="59">
        <f t="shared" si="47"/>
        <v>0</v>
      </c>
      <c r="P420" s="19" t="str">
        <f t="shared" si="48"/>
        <v/>
      </c>
      <c r="Q420" s="19" t="s">
        <v>456</v>
      </c>
    </row>
    <row r="421" spans="2:17" ht="30" customHeight="1" x14ac:dyDescent="0.25">
      <c r="B421" s="62" t="str">
        <f t="shared" si="42"/>
        <v/>
      </c>
      <c r="C421" s="42">
        <v>417</v>
      </c>
      <c r="D421" s="20"/>
      <c r="E421" s="58"/>
      <c r="F421" s="63" t="str">
        <f t="shared" si="43"/>
        <v/>
      </c>
      <c r="G421" s="66" t="str">
        <f>IF(D421="","",IFERROR('Prod 3'!H421/'Prod 3'!$H$3,0))</f>
        <v/>
      </c>
      <c r="H421" s="70" t="str">
        <f>IF(D421="","",'Prod 2'!K421)</f>
        <v/>
      </c>
      <c r="I421" s="77" t="str">
        <f t="shared" si="44"/>
        <v/>
      </c>
      <c r="J421" s="57"/>
      <c r="L421" s="19">
        <v>4.1699999999999999E-7</v>
      </c>
      <c r="M421" s="59">
        <f t="shared" si="45"/>
        <v>0</v>
      </c>
      <c r="N421" s="59">
        <f t="shared" si="46"/>
        <v>0</v>
      </c>
      <c r="O421" s="59">
        <f t="shared" si="47"/>
        <v>0</v>
      </c>
      <c r="P421" s="19" t="str">
        <f t="shared" si="48"/>
        <v/>
      </c>
      <c r="Q421" s="19" t="s">
        <v>457</v>
      </c>
    </row>
    <row r="422" spans="2:17" ht="30" customHeight="1" x14ac:dyDescent="0.25">
      <c r="B422" s="62" t="str">
        <f t="shared" si="42"/>
        <v/>
      </c>
      <c r="C422" s="42">
        <v>418</v>
      </c>
      <c r="D422" s="20"/>
      <c r="E422" s="58"/>
      <c r="F422" s="63" t="str">
        <f t="shared" si="43"/>
        <v/>
      </c>
      <c r="G422" s="66" t="str">
        <f>IF(D422="","",IFERROR('Prod 3'!H422/'Prod 3'!$H$3,0))</f>
        <v/>
      </c>
      <c r="H422" s="70" t="str">
        <f>IF(D422="","",'Prod 2'!K422)</f>
        <v/>
      </c>
      <c r="I422" s="77" t="str">
        <f t="shared" si="44"/>
        <v/>
      </c>
      <c r="J422" s="57"/>
      <c r="L422" s="19">
        <v>4.1800000000000001E-7</v>
      </c>
      <c r="M422" s="59">
        <f t="shared" si="45"/>
        <v>0</v>
      </c>
      <c r="N422" s="59">
        <f t="shared" si="46"/>
        <v>0</v>
      </c>
      <c r="O422" s="59">
        <f t="shared" si="47"/>
        <v>0</v>
      </c>
      <c r="P422" s="19" t="str">
        <f t="shared" si="48"/>
        <v/>
      </c>
      <c r="Q422" s="19" t="s">
        <v>458</v>
      </c>
    </row>
    <row r="423" spans="2:17" ht="30" customHeight="1" x14ac:dyDescent="0.25">
      <c r="B423" s="62" t="str">
        <f t="shared" si="42"/>
        <v/>
      </c>
      <c r="C423" s="42">
        <v>419</v>
      </c>
      <c r="D423" s="20"/>
      <c r="E423" s="58"/>
      <c r="F423" s="63" t="str">
        <f t="shared" si="43"/>
        <v/>
      </c>
      <c r="G423" s="66" t="str">
        <f>IF(D423="","",IFERROR('Prod 3'!H423/'Prod 3'!$H$3,0))</f>
        <v/>
      </c>
      <c r="H423" s="70" t="str">
        <f>IF(D423="","",'Prod 2'!K423)</f>
        <v/>
      </c>
      <c r="I423" s="77" t="str">
        <f t="shared" si="44"/>
        <v/>
      </c>
      <c r="J423" s="57"/>
      <c r="L423" s="19">
        <v>4.1899999999999998E-7</v>
      </c>
      <c r="M423" s="59">
        <f t="shared" si="45"/>
        <v>0</v>
      </c>
      <c r="N423" s="59">
        <f t="shared" si="46"/>
        <v>0</v>
      </c>
      <c r="O423" s="59">
        <f t="shared" si="47"/>
        <v>0</v>
      </c>
      <c r="P423" s="19" t="str">
        <f t="shared" si="48"/>
        <v/>
      </c>
      <c r="Q423" s="19" t="s">
        <v>459</v>
      </c>
    </row>
    <row r="424" spans="2:17" ht="30" customHeight="1" x14ac:dyDescent="0.25">
      <c r="B424" s="62" t="str">
        <f t="shared" si="42"/>
        <v/>
      </c>
      <c r="C424" s="42">
        <v>420</v>
      </c>
      <c r="D424" s="20"/>
      <c r="E424" s="58"/>
      <c r="F424" s="63" t="str">
        <f t="shared" si="43"/>
        <v/>
      </c>
      <c r="G424" s="66" t="str">
        <f>IF(D424="","",IFERROR('Prod 3'!H424/'Prod 3'!$H$3,0))</f>
        <v/>
      </c>
      <c r="H424" s="70" t="str">
        <f>IF(D424="","",'Prod 2'!K424)</f>
        <v/>
      </c>
      <c r="I424" s="77" t="str">
        <f t="shared" si="44"/>
        <v/>
      </c>
      <c r="J424" s="57"/>
      <c r="L424" s="19">
        <v>4.2E-7</v>
      </c>
      <c r="M424" s="59">
        <f t="shared" si="45"/>
        <v>0</v>
      </c>
      <c r="N424" s="59">
        <f t="shared" si="46"/>
        <v>0</v>
      </c>
      <c r="O424" s="59">
        <f t="shared" si="47"/>
        <v>0</v>
      </c>
      <c r="P424" s="19" t="str">
        <f t="shared" si="48"/>
        <v/>
      </c>
      <c r="Q424" s="19" t="s">
        <v>460</v>
      </c>
    </row>
    <row r="425" spans="2:17" ht="30" customHeight="1" x14ac:dyDescent="0.25">
      <c r="B425" s="62" t="str">
        <f t="shared" si="42"/>
        <v/>
      </c>
      <c r="C425" s="42">
        <v>421</v>
      </c>
      <c r="D425" s="20"/>
      <c r="E425" s="58"/>
      <c r="F425" s="63" t="str">
        <f t="shared" si="43"/>
        <v/>
      </c>
      <c r="G425" s="66" t="str">
        <f>IF(D425="","",IFERROR('Prod 3'!H425/'Prod 3'!$H$3,0))</f>
        <v/>
      </c>
      <c r="H425" s="70" t="str">
        <f>IF(D425="","",'Prod 2'!K425)</f>
        <v/>
      </c>
      <c r="I425" s="77" t="str">
        <f t="shared" si="44"/>
        <v/>
      </c>
      <c r="J425" s="57"/>
      <c r="L425" s="19">
        <v>4.2100000000000002E-7</v>
      </c>
      <c r="M425" s="59">
        <f t="shared" si="45"/>
        <v>0</v>
      </c>
      <c r="N425" s="59">
        <f t="shared" si="46"/>
        <v>0</v>
      </c>
      <c r="O425" s="59">
        <f t="shared" si="47"/>
        <v>0</v>
      </c>
      <c r="P425" s="19" t="str">
        <f t="shared" si="48"/>
        <v/>
      </c>
      <c r="Q425" s="19" t="s">
        <v>461</v>
      </c>
    </row>
    <row r="426" spans="2:17" ht="30" customHeight="1" x14ac:dyDescent="0.25">
      <c r="B426" s="62" t="str">
        <f t="shared" si="42"/>
        <v/>
      </c>
      <c r="C426" s="42">
        <v>422</v>
      </c>
      <c r="D426" s="20"/>
      <c r="E426" s="58"/>
      <c r="F426" s="63" t="str">
        <f t="shared" si="43"/>
        <v/>
      </c>
      <c r="G426" s="66" t="str">
        <f>IF(D426="","",IFERROR('Prod 3'!H426/'Prod 3'!$H$3,0))</f>
        <v/>
      </c>
      <c r="H426" s="70" t="str">
        <f>IF(D426="","",'Prod 2'!K426)</f>
        <v/>
      </c>
      <c r="I426" s="77" t="str">
        <f t="shared" si="44"/>
        <v/>
      </c>
      <c r="J426" s="57"/>
      <c r="L426" s="19">
        <v>4.2199999999999999E-7</v>
      </c>
      <c r="M426" s="59">
        <f t="shared" si="45"/>
        <v>0</v>
      </c>
      <c r="N426" s="59">
        <f t="shared" si="46"/>
        <v>0</v>
      </c>
      <c r="O426" s="59">
        <f t="shared" si="47"/>
        <v>0</v>
      </c>
      <c r="P426" s="19" t="str">
        <f t="shared" si="48"/>
        <v/>
      </c>
      <c r="Q426" s="19" t="s">
        <v>462</v>
      </c>
    </row>
    <row r="427" spans="2:17" ht="30" customHeight="1" x14ac:dyDescent="0.25">
      <c r="B427" s="62" t="str">
        <f t="shared" si="42"/>
        <v/>
      </c>
      <c r="C427" s="42">
        <v>423</v>
      </c>
      <c r="D427" s="20"/>
      <c r="E427" s="58"/>
      <c r="F427" s="63" t="str">
        <f t="shared" si="43"/>
        <v/>
      </c>
      <c r="G427" s="66" t="str">
        <f>IF(D427="","",IFERROR('Prod 3'!H427/'Prod 3'!$H$3,0))</f>
        <v/>
      </c>
      <c r="H427" s="70" t="str">
        <f>IF(D427="","",'Prod 2'!K427)</f>
        <v/>
      </c>
      <c r="I427" s="77" t="str">
        <f t="shared" si="44"/>
        <v/>
      </c>
      <c r="J427" s="57"/>
      <c r="L427" s="19">
        <v>4.2300000000000002E-7</v>
      </c>
      <c r="M427" s="59">
        <f t="shared" si="45"/>
        <v>0</v>
      </c>
      <c r="N427" s="59">
        <f t="shared" si="46"/>
        <v>0</v>
      </c>
      <c r="O427" s="59">
        <f t="shared" si="47"/>
        <v>0</v>
      </c>
      <c r="P427" s="19" t="str">
        <f t="shared" si="48"/>
        <v/>
      </c>
      <c r="Q427" s="19" t="s">
        <v>463</v>
      </c>
    </row>
    <row r="428" spans="2:17" ht="30" customHeight="1" x14ac:dyDescent="0.25">
      <c r="B428" s="62" t="str">
        <f t="shared" si="42"/>
        <v/>
      </c>
      <c r="C428" s="42">
        <v>424</v>
      </c>
      <c r="D428" s="20"/>
      <c r="E428" s="58"/>
      <c r="F428" s="63" t="str">
        <f t="shared" si="43"/>
        <v/>
      </c>
      <c r="G428" s="66" t="str">
        <f>IF(D428="","",IFERROR('Prod 3'!H428/'Prod 3'!$H$3,0))</f>
        <v/>
      </c>
      <c r="H428" s="70" t="str">
        <f>IF(D428="","",'Prod 2'!K428)</f>
        <v/>
      </c>
      <c r="I428" s="77" t="str">
        <f t="shared" si="44"/>
        <v/>
      </c>
      <c r="J428" s="57"/>
      <c r="L428" s="19">
        <v>4.2399999999999999E-7</v>
      </c>
      <c r="M428" s="59">
        <f t="shared" si="45"/>
        <v>0</v>
      </c>
      <c r="N428" s="59">
        <f t="shared" si="46"/>
        <v>0</v>
      </c>
      <c r="O428" s="59">
        <f t="shared" si="47"/>
        <v>0</v>
      </c>
      <c r="P428" s="19" t="str">
        <f t="shared" si="48"/>
        <v/>
      </c>
      <c r="Q428" s="19" t="s">
        <v>464</v>
      </c>
    </row>
    <row r="429" spans="2:17" ht="30" customHeight="1" x14ac:dyDescent="0.25">
      <c r="B429" s="62" t="str">
        <f t="shared" si="42"/>
        <v/>
      </c>
      <c r="C429" s="42">
        <v>425</v>
      </c>
      <c r="D429" s="20"/>
      <c r="E429" s="58"/>
      <c r="F429" s="63" t="str">
        <f t="shared" si="43"/>
        <v/>
      </c>
      <c r="G429" s="66" t="str">
        <f>IF(D429="","",IFERROR('Prod 3'!H429/'Prod 3'!$H$3,0))</f>
        <v/>
      </c>
      <c r="H429" s="70" t="str">
        <f>IF(D429="","",'Prod 2'!K429)</f>
        <v/>
      </c>
      <c r="I429" s="77" t="str">
        <f t="shared" si="44"/>
        <v/>
      </c>
      <c r="J429" s="57"/>
      <c r="L429" s="19">
        <v>4.2500000000000001E-7</v>
      </c>
      <c r="M429" s="59">
        <f t="shared" si="45"/>
        <v>0</v>
      </c>
      <c r="N429" s="59">
        <f t="shared" si="46"/>
        <v>0</v>
      </c>
      <c r="O429" s="59">
        <f t="shared" si="47"/>
        <v>0</v>
      </c>
      <c r="P429" s="19" t="str">
        <f t="shared" si="48"/>
        <v/>
      </c>
      <c r="Q429" s="19" t="s">
        <v>465</v>
      </c>
    </row>
    <row r="430" spans="2:17" ht="30" customHeight="1" x14ac:dyDescent="0.25">
      <c r="B430" s="62" t="str">
        <f t="shared" si="42"/>
        <v/>
      </c>
      <c r="C430" s="42">
        <v>426</v>
      </c>
      <c r="D430" s="20"/>
      <c r="E430" s="58"/>
      <c r="F430" s="63" t="str">
        <f t="shared" si="43"/>
        <v/>
      </c>
      <c r="G430" s="66" t="str">
        <f>IF(D430="","",IFERROR('Prod 3'!H430/'Prod 3'!$H$3,0))</f>
        <v/>
      </c>
      <c r="H430" s="70" t="str">
        <f>IF(D430="","",'Prod 2'!K430)</f>
        <v/>
      </c>
      <c r="I430" s="77" t="str">
        <f t="shared" si="44"/>
        <v/>
      </c>
      <c r="J430" s="57"/>
      <c r="L430" s="19">
        <v>4.2599999999999998E-7</v>
      </c>
      <c r="M430" s="59">
        <f t="shared" si="45"/>
        <v>0</v>
      </c>
      <c r="N430" s="59">
        <f t="shared" si="46"/>
        <v>0</v>
      </c>
      <c r="O430" s="59">
        <f t="shared" si="47"/>
        <v>0</v>
      </c>
      <c r="P430" s="19" t="str">
        <f t="shared" si="48"/>
        <v/>
      </c>
      <c r="Q430" s="19" t="s">
        <v>466</v>
      </c>
    </row>
    <row r="431" spans="2:17" ht="30" customHeight="1" x14ac:dyDescent="0.25">
      <c r="B431" s="62" t="str">
        <f t="shared" si="42"/>
        <v/>
      </c>
      <c r="C431" s="42">
        <v>427</v>
      </c>
      <c r="D431" s="20"/>
      <c r="E431" s="58"/>
      <c r="F431" s="63" t="str">
        <f t="shared" si="43"/>
        <v/>
      </c>
      <c r="G431" s="66" t="str">
        <f>IF(D431="","",IFERROR('Prod 3'!H431/'Prod 3'!$H$3,0))</f>
        <v/>
      </c>
      <c r="H431" s="70" t="str">
        <f>IF(D431="","",'Prod 2'!K431)</f>
        <v/>
      </c>
      <c r="I431" s="77" t="str">
        <f t="shared" si="44"/>
        <v/>
      </c>
      <c r="J431" s="57"/>
      <c r="L431" s="19">
        <v>4.27E-7</v>
      </c>
      <c r="M431" s="59">
        <f t="shared" si="45"/>
        <v>0</v>
      </c>
      <c r="N431" s="59">
        <f t="shared" si="46"/>
        <v>0</v>
      </c>
      <c r="O431" s="59">
        <f t="shared" si="47"/>
        <v>0</v>
      </c>
      <c r="P431" s="19" t="str">
        <f t="shared" si="48"/>
        <v/>
      </c>
      <c r="Q431" s="19" t="s">
        <v>467</v>
      </c>
    </row>
    <row r="432" spans="2:17" ht="30" customHeight="1" x14ac:dyDescent="0.25">
      <c r="B432" s="62" t="str">
        <f t="shared" si="42"/>
        <v/>
      </c>
      <c r="C432" s="42">
        <v>428</v>
      </c>
      <c r="D432" s="20"/>
      <c r="E432" s="58"/>
      <c r="F432" s="63" t="str">
        <f t="shared" si="43"/>
        <v/>
      </c>
      <c r="G432" s="66" t="str">
        <f>IF(D432="","",IFERROR('Prod 3'!H432/'Prod 3'!$H$3,0))</f>
        <v/>
      </c>
      <c r="H432" s="70" t="str">
        <f>IF(D432="","",'Prod 2'!K432)</f>
        <v/>
      </c>
      <c r="I432" s="77" t="str">
        <f t="shared" si="44"/>
        <v/>
      </c>
      <c r="J432" s="57"/>
      <c r="L432" s="19">
        <v>4.2800000000000002E-7</v>
      </c>
      <c r="M432" s="59">
        <f t="shared" si="45"/>
        <v>0</v>
      </c>
      <c r="N432" s="59">
        <f t="shared" si="46"/>
        <v>0</v>
      </c>
      <c r="O432" s="59">
        <f t="shared" si="47"/>
        <v>0</v>
      </c>
      <c r="P432" s="19" t="str">
        <f t="shared" si="48"/>
        <v/>
      </c>
      <c r="Q432" s="19" t="s">
        <v>468</v>
      </c>
    </row>
    <row r="433" spans="2:17" ht="30" customHeight="1" x14ac:dyDescent="0.25">
      <c r="B433" s="62" t="str">
        <f t="shared" si="42"/>
        <v/>
      </c>
      <c r="C433" s="42">
        <v>429</v>
      </c>
      <c r="D433" s="20"/>
      <c r="E433" s="58"/>
      <c r="F433" s="63" t="str">
        <f t="shared" si="43"/>
        <v/>
      </c>
      <c r="G433" s="66" t="str">
        <f>IF(D433="","",IFERROR('Prod 3'!H433/'Prod 3'!$H$3,0))</f>
        <v/>
      </c>
      <c r="H433" s="70" t="str">
        <f>IF(D433="","",'Prod 2'!K433)</f>
        <v/>
      </c>
      <c r="I433" s="77" t="str">
        <f t="shared" si="44"/>
        <v/>
      </c>
      <c r="J433" s="57"/>
      <c r="L433" s="19">
        <v>4.2899999999999999E-7</v>
      </c>
      <c r="M433" s="59">
        <f t="shared" si="45"/>
        <v>0</v>
      </c>
      <c r="N433" s="59">
        <f t="shared" si="46"/>
        <v>0</v>
      </c>
      <c r="O433" s="59">
        <f t="shared" si="47"/>
        <v>0</v>
      </c>
      <c r="P433" s="19" t="str">
        <f t="shared" si="48"/>
        <v/>
      </c>
      <c r="Q433" s="19" t="s">
        <v>469</v>
      </c>
    </row>
    <row r="434" spans="2:17" ht="30" customHeight="1" x14ac:dyDescent="0.25">
      <c r="B434" s="62" t="str">
        <f t="shared" si="42"/>
        <v/>
      </c>
      <c r="C434" s="42">
        <v>430</v>
      </c>
      <c r="D434" s="20"/>
      <c r="E434" s="58"/>
      <c r="F434" s="63" t="str">
        <f t="shared" si="43"/>
        <v/>
      </c>
      <c r="G434" s="66" t="str">
        <f>IF(D434="","",IFERROR('Prod 3'!H434/'Prod 3'!$H$3,0))</f>
        <v/>
      </c>
      <c r="H434" s="70" t="str">
        <f>IF(D434="","",'Prod 2'!K434)</f>
        <v/>
      </c>
      <c r="I434" s="77" t="str">
        <f t="shared" si="44"/>
        <v/>
      </c>
      <c r="J434" s="57"/>
      <c r="L434" s="19">
        <v>4.3000000000000001E-7</v>
      </c>
      <c r="M434" s="59">
        <f t="shared" si="45"/>
        <v>0</v>
      </c>
      <c r="N434" s="59">
        <f t="shared" si="46"/>
        <v>0</v>
      </c>
      <c r="O434" s="59">
        <f t="shared" si="47"/>
        <v>0</v>
      </c>
      <c r="P434" s="19" t="str">
        <f t="shared" si="48"/>
        <v/>
      </c>
      <c r="Q434" s="19" t="s">
        <v>470</v>
      </c>
    </row>
    <row r="435" spans="2:17" ht="30" customHeight="1" x14ac:dyDescent="0.25">
      <c r="B435" s="62" t="str">
        <f t="shared" si="42"/>
        <v/>
      </c>
      <c r="C435" s="42">
        <v>431</v>
      </c>
      <c r="D435" s="20"/>
      <c r="E435" s="58"/>
      <c r="F435" s="63" t="str">
        <f t="shared" si="43"/>
        <v/>
      </c>
      <c r="G435" s="66" t="str">
        <f>IF(D435="","",IFERROR('Prod 3'!H435/'Prod 3'!$H$3,0))</f>
        <v/>
      </c>
      <c r="H435" s="70" t="str">
        <f>IF(D435="","",'Prod 2'!K435)</f>
        <v/>
      </c>
      <c r="I435" s="77" t="str">
        <f t="shared" si="44"/>
        <v/>
      </c>
      <c r="J435" s="57"/>
      <c r="L435" s="19">
        <v>4.3099999999999998E-7</v>
      </c>
      <c r="M435" s="59">
        <f t="shared" si="45"/>
        <v>0</v>
      </c>
      <c r="N435" s="59">
        <f t="shared" si="46"/>
        <v>0</v>
      </c>
      <c r="O435" s="59">
        <f t="shared" si="47"/>
        <v>0</v>
      </c>
      <c r="P435" s="19" t="str">
        <f t="shared" si="48"/>
        <v/>
      </c>
      <c r="Q435" s="19" t="s">
        <v>471</v>
      </c>
    </row>
    <row r="436" spans="2:17" ht="30" customHeight="1" x14ac:dyDescent="0.25">
      <c r="B436" s="62" t="str">
        <f t="shared" si="42"/>
        <v/>
      </c>
      <c r="C436" s="42">
        <v>432</v>
      </c>
      <c r="D436" s="20"/>
      <c r="E436" s="58"/>
      <c r="F436" s="63" t="str">
        <f t="shared" si="43"/>
        <v/>
      </c>
      <c r="G436" s="66" t="str">
        <f>IF(D436="","",IFERROR('Prod 3'!H436/'Prod 3'!$H$3,0))</f>
        <v/>
      </c>
      <c r="H436" s="70" t="str">
        <f>IF(D436="","",'Prod 2'!K436)</f>
        <v/>
      </c>
      <c r="I436" s="77" t="str">
        <f t="shared" si="44"/>
        <v/>
      </c>
      <c r="J436" s="57"/>
      <c r="L436" s="19">
        <v>4.32E-7</v>
      </c>
      <c r="M436" s="59">
        <f t="shared" si="45"/>
        <v>0</v>
      </c>
      <c r="N436" s="59">
        <f t="shared" si="46"/>
        <v>0</v>
      </c>
      <c r="O436" s="59">
        <f t="shared" si="47"/>
        <v>0</v>
      </c>
      <c r="P436" s="19" t="str">
        <f t="shared" si="48"/>
        <v/>
      </c>
      <c r="Q436" s="19" t="s">
        <v>472</v>
      </c>
    </row>
    <row r="437" spans="2:17" ht="30" customHeight="1" x14ac:dyDescent="0.25">
      <c r="B437" s="62" t="str">
        <f t="shared" si="42"/>
        <v/>
      </c>
      <c r="C437" s="42">
        <v>433</v>
      </c>
      <c r="D437" s="20"/>
      <c r="E437" s="58"/>
      <c r="F437" s="63" t="str">
        <f t="shared" si="43"/>
        <v/>
      </c>
      <c r="G437" s="66" t="str">
        <f>IF(D437="","",IFERROR('Prod 3'!H437/'Prod 3'!$H$3,0))</f>
        <v/>
      </c>
      <c r="H437" s="70" t="str">
        <f>IF(D437="","",'Prod 2'!K437)</f>
        <v/>
      </c>
      <c r="I437" s="77" t="str">
        <f t="shared" si="44"/>
        <v/>
      </c>
      <c r="J437" s="57"/>
      <c r="L437" s="19">
        <v>4.3300000000000003E-7</v>
      </c>
      <c r="M437" s="59">
        <f t="shared" si="45"/>
        <v>0</v>
      </c>
      <c r="N437" s="59">
        <f t="shared" si="46"/>
        <v>0</v>
      </c>
      <c r="O437" s="59">
        <f t="shared" si="47"/>
        <v>0</v>
      </c>
      <c r="P437" s="19" t="str">
        <f t="shared" si="48"/>
        <v/>
      </c>
      <c r="Q437" s="19" t="s">
        <v>473</v>
      </c>
    </row>
    <row r="438" spans="2:17" ht="30" customHeight="1" x14ac:dyDescent="0.25">
      <c r="B438" s="62" t="str">
        <f t="shared" si="42"/>
        <v/>
      </c>
      <c r="C438" s="42">
        <v>434</v>
      </c>
      <c r="D438" s="20"/>
      <c r="E438" s="58"/>
      <c r="F438" s="63" t="str">
        <f t="shared" si="43"/>
        <v/>
      </c>
      <c r="G438" s="66" t="str">
        <f>IF(D438="","",IFERROR('Prod 3'!H438/'Prod 3'!$H$3,0))</f>
        <v/>
      </c>
      <c r="H438" s="70" t="str">
        <f>IF(D438="","",'Prod 2'!K438)</f>
        <v/>
      </c>
      <c r="I438" s="77" t="str">
        <f t="shared" si="44"/>
        <v/>
      </c>
      <c r="J438" s="57"/>
      <c r="L438" s="19">
        <v>4.34E-7</v>
      </c>
      <c r="M438" s="59">
        <f t="shared" si="45"/>
        <v>0</v>
      </c>
      <c r="N438" s="59">
        <f t="shared" si="46"/>
        <v>0</v>
      </c>
      <c r="O438" s="59">
        <f t="shared" si="47"/>
        <v>0</v>
      </c>
      <c r="P438" s="19" t="str">
        <f t="shared" si="48"/>
        <v/>
      </c>
      <c r="Q438" s="19" t="s">
        <v>474</v>
      </c>
    </row>
    <row r="439" spans="2:17" ht="30" customHeight="1" x14ac:dyDescent="0.25">
      <c r="B439" s="62" t="str">
        <f t="shared" si="42"/>
        <v/>
      </c>
      <c r="C439" s="42">
        <v>435</v>
      </c>
      <c r="D439" s="20"/>
      <c r="E439" s="58"/>
      <c r="F439" s="63" t="str">
        <f t="shared" si="43"/>
        <v/>
      </c>
      <c r="G439" s="66" t="str">
        <f>IF(D439="","",IFERROR('Prod 3'!H439/'Prod 3'!$H$3,0))</f>
        <v/>
      </c>
      <c r="H439" s="70" t="str">
        <f>IF(D439="","",'Prod 2'!K439)</f>
        <v/>
      </c>
      <c r="I439" s="77" t="str">
        <f t="shared" si="44"/>
        <v/>
      </c>
      <c r="J439" s="57"/>
      <c r="L439" s="19">
        <v>4.3500000000000002E-7</v>
      </c>
      <c r="M439" s="59">
        <f t="shared" si="45"/>
        <v>0</v>
      </c>
      <c r="N439" s="59">
        <f t="shared" si="46"/>
        <v>0</v>
      </c>
      <c r="O439" s="59">
        <f t="shared" si="47"/>
        <v>0</v>
      </c>
      <c r="P439" s="19" t="str">
        <f t="shared" si="48"/>
        <v/>
      </c>
      <c r="Q439" s="19" t="s">
        <v>475</v>
      </c>
    </row>
    <row r="440" spans="2:17" ht="30" customHeight="1" x14ac:dyDescent="0.25">
      <c r="B440" s="62" t="str">
        <f t="shared" si="42"/>
        <v/>
      </c>
      <c r="C440" s="42">
        <v>436</v>
      </c>
      <c r="D440" s="20"/>
      <c r="E440" s="58"/>
      <c r="F440" s="63" t="str">
        <f t="shared" si="43"/>
        <v/>
      </c>
      <c r="G440" s="66" t="str">
        <f>IF(D440="","",IFERROR('Prod 3'!H440/'Prod 3'!$H$3,0))</f>
        <v/>
      </c>
      <c r="H440" s="70" t="str">
        <f>IF(D440="","",'Prod 2'!K440)</f>
        <v/>
      </c>
      <c r="I440" s="77" t="str">
        <f t="shared" si="44"/>
        <v/>
      </c>
      <c r="J440" s="57"/>
      <c r="L440" s="19">
        <v>4.3599999999999999E-7</v>
      </c>
      <c r="M440" s="59">
        <f t="shared" si="45"/>
        <v>0</v>
      </c>
      <c r="N440" s="59">
        <f t="shared" si="46"/>
        <v>0</v>
      </c>
      <c r="O440" s="59">
        <f t="shared" si="47"/>
        <v>0</v>
      </c>
      <c r="P440" s="19" t="str">
        <f t="shared" si="48"/>
        <v/>
      </c>
      <c r="Q440" s="19" t="s">
        <v>476</v>
      </c>
    </row>
    <row r="441" spans="2:17" ht="30" customHeight="1" x14ac:dyDescent="0.25">
      <c r="B441" s="62" t="str">
        <f t="shared" si="42"/>
        <v/>
      </c>
      <c r="C441" s="42">
        <v>437</v>
      </c>
      <c r="D441" s="20"/>
      <c r="E441" s="58"/>
      <c r="F441" s="63" t="str">
        <f t="shared" si="43"/>
        <v/>
      </c>
      <c r="G441" s="66" t="str">
        <f>IF(D441="","",IFERROR('Prod 3'!H441/'Prod 3'!$H$3,0))</f>
        <v/>
      </c>
      <c r="H441" s="70" t="str">
        <f>IF(D441="","",'Prod 2'!K441)</f>
        <v/>
      </c>
      <c r="I441" s="77" t="str">
        <f t="shared" si="44"/>
        <v/>
      </c>
      <c r="J441" s="57"/>
      <c r="L441" s="19">
        <v>4.3700000000000001E-7</v>
      </c>
      <c r="M441" s="59">
        <f t="shared" si="45"/>
        <v>0</v>
      </c>
      <c r="N441" s="59">
        <f t="shared" si="46"/>
        <v>0</v>
      </c>
      <c r="O441" s="59">
        <f t="shared" si="47"/>
        <v>0</v>
      </c>
      <c r="P441" s="19" t="str">
        <f t="shared" si="48"/>
        <v/>
      </c>
      <c r="Q441" s="19" t="s">
        <v>477</v>
      </c>
    </row>
    <row r="442" spans="2:17" ht="30" customHeight="1" x14ac:dyDescent="0.25">
      <c r="B442" s="62" t="str">
        <f t="shared" si="42"/>
        <v/>
      </c>
      <c r="C442" s="42">
        <v>438</v>
      </c>
      <c r="D442" s="20"/>
      <c r="E442" s="58"/>
      <c r="F442" s="63" t="str">
        <f t="shared" si="43"/>
        <v/>
      </c>
      <c r="G442" s="66" t="str">
        <f>IF(D442="","",IFERROR('Prod 3'!H442/'Prod 3'!$H$3,0))</f>
        <v/>
      </c>
      <c r="H442" s="70" t="str">
        <f>IF(D442="","",'Prod 2'!K442)</f>
        <v/>
      </c>
      <c r="I442" s="77" t="str">
        <f t="shared" si="44"/>
        <v/>
      </c>
      <c r="J442" s="57"/>
      <c r="L442" s="19">
        <v>4.3799999999999998E-7</v>
      </c>
      <c r="M442" s="59">
        <f t="shared" si="45"/>
        <v>0</v>
      </c>
      <c r="N442" s="59">
        <f t="shared" si="46"/>
        <v>0</v>
      </c>
      <c r="O442" s="59">
        <f t="shared" si="47"/>
        <v>0</v>
      </c>
      <c r="P442" s="19" t="str">
        <f t="shared" si="48"/>
        <v/>
      </c>
      <c r="Q442" s="19" t="s">
        <v>478</v>
      </c>
    </row>
    <row r="443" spans="2:17" ht="30" customHeight="1" x14ac:dyDescent="0.25">
      <c r="B443" s="62" t="str">
        <f t="shared" si="42"/>
        <v/>
      </c>
      <c r="C443" s="42">
        <v>439</v>
      </c>
      <c r="D443" s="20"/>
      <c r="E443" s="58"/>
      <c r="F443" s="63" t="str">
        <f t="shared" si="43"/>
        <v/>
      </c>
      <c r="G443" s="66" t="str">
        <f>IF(D443="","",IFERROR('Prod 3'!H443/'Prod 3'!$H$3,0))</f>
        <v/>
      </c>
      <c r="H443" s="70" t="str">
        <f>IF(D443="","",'Prod 2'!K443)</f>
        <v/>
      </c>
      <c r="I443" s="77" t="str">
        <f t="shared" si="44"/>
        <v/>
      </c>
      <c r="J443" s="57"/>
      <c r="L443" s="19">
        <v>4.39E-7</v>
      </c>
      <c r="M443" s="59">
        <f t="shared" si="45"/>
        <v>0</v>
      </c>
      <c r="N443" s="59">
        <f t="shared" si="46"/>
        <v>0</v>
      </c>
      <c r="O443" s="59">
        <f t="shared" si="47"/>
        <v>0</v>
      </c>
      <c r="P443" s="19" t="str">
        <f t="shared" si="48"/>
        <v/>
      </c>
      <c r="Q443" s="19" t="s">
        <v>479</v>
      </c>
    </row>
    <row r="444" spans="2:17" ht="30" customHeight="1" x14ac:dyDescent="0.25">
      <c r="B444" s="62" t="str">
        <f t="shared" si="42"/>
        <v/>
      </c>
      <c r="C444" s="42">
        <v>440</v>
      </c>
      <c r="D444" s="20"/>
      <c r="E444" s="58"/>
      <c r="F444" s="63" t="str">
        <f t="shared" si="43"/>
        <v/>
      </c>
      <c r="G444" s="66" t="str">
        <f>IF(D444="","",IFERROR('Prod 3'!H444/'Prod 3'!$H$3,0))</f>
        <v/>
      </c>
      <c r="H444" s="70" t="str">
        <f>IF(D444="","",'Prod 2'!K444)</f>
        <v/>
      </c>
      <c r="I444" s="77" t="str">
        <f t="shared" si="44"/>
        <v/>
      </c>
      <c r="J444" s="57"/>
      <c r="L444" s="19">
        <v>4.4000000000000002E-7</v>
      </c>
      <c r="M444" s="59">
        <f t="shared" si="45"/>
        <v>0</v>
      </c>
      <c r="N444" s="59">
        <f t="shared" si="46"/>
        <v>0</v>
      </c>
      <c r="O444" s="59">
        <f t="shared" si="47"/>
        <v>0</v>
      </c>
      <c r="P444" s="19" t="str">
        <f t="shared" si="48"/>
        <v/>
      </c>
      <c r="Q444" s="19" t="s">
        <v>480</v>
      </c>
    </row>
    <row r="445" spans="2:17" ht="30" customHeight="1" x14ac:dyDescent="0.25">
      <c r="B445" s="62" t="str">
        <f t="shared" si="42"/>
        <v/>
      </c>
      <c r="C445" s="42">
        <v>441</v>
      </c>
      <c r="D445" s="20"/>
      <c r="E445" s="58"/>
      <c r="F445" s="63" t="str">
        <f t="shared" si="43"/>
        <v/>
      </c>
      <c r="G445" s="66" t="str">
        <f>IF(D445="","",IFERROR('Prod 3'!H445/'Prod 3'!$H$3,0))</f>
        <v/>
      </c>
      <c r="H445" s="70" t="str">
        <f>IF(D445="","",'Prod 2'!K445)</f>
        <v/>
      </c>
      <c r="I445" s="77" t="str">
        <f t="shared" si="44"/>
        <v/>
      </c>
      <c r="J445" s="57"/>
      <c r="L445" s="19">
        <v>4.4099999999999999E-7</v>
      </c>
      <c r="M445" s="59">
        <f t="shared" si="45"/>
        <v>0</v>
      </c>
      <c r="N445" s="59">
        <f t="shared" si="46"/>
        <v>0</v>
      </c>
      <c r="O445" s="59">
        <f t="shared" si="47"/>
        <v>0</v>
      </c>
      <c r="P445" s="19" t="str">
        <f t="shared" si="48"/>
        <v/>
      </c>
      <c r="Q445" s="19" t="s">
        <v>481</v>
      </c>
    </row>
    <row r="446" spans="2:17" ht="30" customHeight="1" x14ac:dyDescent="0.25">
      <c r="B446" s="62" t="str">
        <f t="shared" si="42"/>
        <v/>
      </c>
      <c r="C446" s="42">
        <v>442</v>
      </c>
      <c r="D446" s="20"/>
      <c r="E446" s="58"/>
      <c r="F446" s="63" t="str">
        <f t="shared" si="43"/>
        <v/>
      </c>
      <c r="G446" s="66" t="str">
        <f>IF(D446="","",IFERROR('Prod 3'!H446/'Prod 3'!$H$3,0))</f>
        <v/>
      </c>
      <c r="H446" s="70" t="str">
        <f>IF(D446="","",'Prod 2'!K446)</f>
        <v/>
      </c>
      <c r="I446" s="77" t="str">
        <f t="shared" si="44"/>
        <v/>
      </c>
      <c r="J446" s="57"/>
      <c r="L446" s="19">
        <v>4.4200000000000001E-7</v>
      </c>
      <c r="M446" s="59">
        <f t="shared" si="45"/>
        <v>0</v>
      </c>
      <c r="N446" s="59">
        <f t="shared" si="46"/>
        <v>0</v>
      </c>
      <c r="O446" s="59">
        <f t="shared" si="47"/>
        <v>0</v>
      </c>
      <c r="P446" s="19" t="str">
        <f t="shared" si="48"/>
        <v/>
      </c>
      <c r="Q446" s="19" t="s">
        <v>482</v>
      </c>
    </row>
    <row r="447" spans="2:17" ht="30" customHeight="1" x14ac:dyDescent="0.25">
      <c r="B447" s="62" t="str">
        <f t="shared" si="42"/>
        <v/>
      </c>
      <c r="C447" s="42">
        <v>443</v>
      </c>
      <c r="D447" s="20"/>
      <c r="E447" s="58"/>
      <c r="F447" s="63" t="str">
        <f t="shared" si="43"/>
        <v/>
      </c>
      <c r="G447" s="66" t="str">
        <f>IF(D447="","",IFERROR('Prod 3'!H447/'Prod 3'!$H$3,0))</f>
        <v/>
      </c>
      <c r="H447" s="70" t="str">
        <f>IF(D447="","",'Prod 2'!K447)</f>
        <v/>
      </c>
      <c r="I447" s="77" t="str">
        <f t="shared" si="44"/>
        <v/>
      </c>
      <c r="J447" s="57"/>
      <c r="L447" s="19">
        <v>4.4299999999999998E-7</v>
      </c>
      <c r="M447" s="59">
        <f t="shared" si="45"/>
        <v>0</v>
      </c>
      <c r="N447" s="59">
        <f t="shared" si="46"/>
        <v>0</v>
      </c>
      <c r="O447" s="59">
        <f t="shared" si="47"/>
        <v>0</v>
      </c>
      <c r="P447" s="19" t="str">
        <f t="shared" si="48"/>
        <v/>
      </c>
      <c r="Q447" s="19" t="s">
        <v>483</v>
      </c>
    </row>
    <row r="448" spans="2:17" ht="30" customHeight="1" x14ac:dyDescent="0.25">
      <c r="B448" s="62" t="str">
        <f t="shared" si="42"/>
        <v/>
      </c>
      <c r="C448" s="42">
        <v>444</v>
      </c>
      <c r="D448" s="20"/>
      <c r="E448" s="58"/>
      <c r="F448" s="63" t="str">
        <f t="shared" si="43"/>
        <v/>
      </c>
      <c r="G448" s="66" t="str">
        <f>IF(D448="","",IFERROR('Prod 3'!H448/'Prod 3'!$H$3,0))</f>
        <v/>
      </c>
      <c r="H448" s="70" t="str">
        <f>IF(D448="","",'Prod 2'!K448)</f>
        <v/>
      </c>
      <c r="I448" s="77" t="str">
        <f t="shared" si="44"/>
        <v/>
      </c>
      <c r="J448" s="57"/>
      <c r="L448" s="19">
        <v>4.4400000000000001E-7</v>
      </c>
      <c r="M448" s="59">
        <f t="shared" si="45"/>
        <v>0</v>
      </c>
      <c r="N448" s="59">
        <f t="shared" si="46"/>
        <v>0</v>
      </c>
      <c r="O448" s="59">
        <f t="shared" si="47"/>
        <v>0</v>
      </c>
      <c r="P448" s="19" t="str">
        <f t="shared" si="48"/>
        <v/>
      </c>
      <c r="Q448" s="19" t="s">
        <v>484</v>
      </c>
    </row>
    <row r="449" spans="2:17" ht="30" customHeight="1" x14ac:dyDescent="0.25">
      <c r="B449" s="62" t="str">
        <f t="shared" si="42"/>
        <v/>
      </c>
      <c r="C449" s="42">
        <v>445</v>
      </c>
      <c r="D449" s="20"/>
      <c r="E449" s="58"/>
      <c r="F449" s="63" t="str">
        <f t="shared" si="43"/>
        <v/>
      </c>
      <c r="G449" s="66" t="str">
        <f>IF(D449="","",IFERROR('Prod 3'!H449/'Prod 3'!$H$3,0))</f>
        <v/>
      </c>
      <c r="H449" s="70" t="str">
        <f>IF(D449="","",'Prod 2'!K449)</f>
        <v/>
      </c>
      <c r="I449" s="77" t="str">
        <f t="shared" si="44"/>
        <v/>
      </c>
      <c r="J449" s="57"/>
      <c r="L449" s="19">
        <v>4.4499999999999997E-7</v>
      </c>
      <c r="M449" s="59">
        <f t="shared" si="45"/>
        <v>0</v>
      </c>
      <c r="N449" s="59">
        <f t="shared" si="46"/>
        <v>0</v>
      </c>
      <c r="O449" s="59">
        <f t="shared" si="47"/>
        <v>0</v>
      </c>
      <c r="P449" s="19" t="str">
        <f t="shared" si="48"/>
        <v/>
      </c>
      <c r="Q449" s="19" t="s">
        <v>485</v>
      </c>
    </row>
    <row r="450" spans="2:17" ht="30" customHeight="1" x14ac:dyDescent="0.25">
      <c r="B450" s="62" t="str">
        <f t="shared" si="42"/>
        <v/>
      </c>
      <c r="C450" s="42">
        <v>446</v>
      </c>
      <c r="D450" s="20"/>
      <c r="E450" s="58"/>
      <c r="F450" s="63" t="str">
        <f t="shared" si="43"/>
        <v/>
      </c>
      <c r="G450" s="66" t="str">
        <f>IF(D450="","",IFERROR('Prod 3'!H450/'Prod 3'!$H$3,0))</f>
        <v/>
      </c>
      <c r="H450" s="70" t="str">
        <f>IF(D450="","",'Prod 2'!K450)</f>
        <v/>
      </c>
      <c r="I450" s="77" t="str">
        <f t="shared" si="44"/>
        <v/>
      </c>
      <c r="J450" s="57"/>
      <c r="L450" s="19">
        <v>4.46E-7</v>
      </c>
      <c r="M450" s="59">
        <f t="shared" si="45"/>
        <v>0</v>
      </c>
      <c r="N450" s="59">
        <f t="shared" si="46"/>
        <v>0</v>
      </c>
      <c r="O450" s="59">
        <f t="shared" si="47"/>
        <v>0</v>
      </c>
      <c r="P450" s="19" t="str">
        <f t="shared" si="48"/>
        <v/>
      </c>
      <c r="Q450" s="19" t="s">
        <v>486</v>
      </c>
    </row>
    <row r="451" spans="2:17" ht="30" customHeight="1" x14ac:dyDescent="0.25">
      <c r="B451" s="62" t="str">
        <f t="shared" si="42"/>
        <v/>
      </c>
      <c r="C451" s="42">
        <v>447</v>
      </c>
      <c r="D451" s="20"/>
      <c r="E451" s="58"/>
      <c r="F451" s="63" t="str">
        <f t="shared" si="43"/>
        <v/>
      </c>
      <c r="G451" s="66" t="str">
        <f>IF(D451="","",IFERROR('Prod 3'!H451/'Prod 3'!$H$3,0))</f>
        <v/>
      </c>
      <c r="H451" s="70" t="str">
        <f>IF(D451="","",'Prod 2'!K451)</f>
        <v/>
      </c>
      <c r="I451" s="77" t="str">
        <f t="shared" si="44"/>
        <v/>
      </c>
      <c r="J451" s="57"/>
      <c r="L451" s="19">
        <v>4.4700000000000002E-7</v>
      </c>
      <c r="M451" s="59">
        <f t="shared" si="45"/>
        <v>0</v>
      </c>
      <c r="N451" s="59">
        <f t="shared" si="46"/>
        <v>0</v>
      </c>
      <c r="O451" s="59">
        <f t="shared" si="47"/>
        <v>0</v>
      </c>
      <c r="P451" s="19" t="str">
        <f t="shared" si="48"/>
        <v/>
      </c>
      <c r="Q451" s="19" t="s">
        <v>487</v>
      </c>
    </row>
    <row r="452" spans="2:17" ht="30" customHeight="1" x14ac:dyDescent="0.25">
      <c r="B452" s="62" t="str">
        <f t="shared" si="42"/>
        <v/>
      </c>
      <c r="C452" s="42">
        <v>448</v>
      </c>
      <c r="D452" s="20"/>
      <c r="E452" s="58"/>
      <c r="F452" s="63" t="str">
        <f t="shared" si="43"/>
        <v/>
      </c>
      <c r="G452" s="66" t="str">
        <f>IF(D452="","",IFERROR('Prod 3'!H452/'Prod 3'!$H$3,0))</f>
        <v/>
      </c>
      <c r="H452" s="70" t="str">
        <f>IF(D452="","",'Prod 2'!K452)</f>
        <v/>
      </c>
      <c r="I452" s="77" t="str">
        <f t="shared" si="44"/>
        <v/>
      </c>
      <c r="J452" s="57"/>
      <c r="L452" s="19">
        <v>4.4799999999999999E-7</v>
      </c>
      <c r="M452" s="59">
        <f t="shared" si="45"/>
        <v>0</v>
      </c>
      <c r="N452" s="59">
        <f t="shared" si="46"/>
        <v>0</v>
      </c>
      <c r="O452" s="59">
        <f t="shared" si="47"/>
        <v>0</v>
      </c>
      <c r="P452" s="19" t="str">
        <f t="shared" si="48"/>
        <v/>
      </c>
      <c r="Q452" s="19" t="s">
        <v>488</v>
      </c>
    </row>
    <row r="453" spans="2:17" ht="30" customHeight="1" x14ac:dyDescent="0.25">
      <c r="B453" s="62" t="str">
        <f t="shared" si="42"/>
        <v/>
      </c>
      <c r="C453" s="42">
        <v>449</v>
      </c>
      <c r="D453" s="20"/>
      <c r="E453" s="58"/>
      <c r="F453" s="63" t="str">
        <f t="shared" si="43"/>
        <v/>
      </c>
      <c r="G453" s="66" t="str">
        <f>IF(D453="","",IFERROR('Prod 3'!H453/'Prod 3'!$H$3,0))</f>
        <v/>
      </c>
      <c r="H453" s="70" t="str">
        <f>IF(D453="","",'Prod 2'!K453)</f>
        <v/>
      </c>
      <c r="I453" s="77" t="str">
        <f t="shared" si="44"/>
        <v/>
      </c>
      <c r="J453" s="57"/>
      <c r="L453" s="19">
        <v>4.4900000000000001E-7</v>
      </c>
      <c r="M453" s="59">
        <f t="shared" si="45"/>
        <v>0</v>
      </c>
      <c r="N453" s="59">
        <f t="shared" si="46"/>
        <v>0</v>
      </c>
      <c r="O453" s="59">
        <f t="shared" si="47"/>
        <v>0</v>
      </c>
      <c r="P453" s="19" t="str">
        <f t="shared" si="48"/>
        <v/>
      </c>
      <c r="Q453" s="19" t="s">
        <v>489</v>
      </c>
    </row>
    <row r="454" spans="2:17" ht="30" customHeight="1" x14ac:dyDescent="0.25">
      <c r="B454" s="62" t="str">
        <f t="shared" ref="B454:B517" si="49">IF(I454="","",I454)</f>
        <v/>
      </c>
      <c r="C454" s="42">
        <v>450</v>
      </c>
      <c r="D454" s="20"/>
      <c r="E454" s="58"/>
      <c r="F454" s="63" t="str">
        <f t="shared" ref="F454:F517" si="50">IF(D454="","",IFERROR(VLOOKUP(D454,$P$5:$Q$1004,2,0),""))</f>
        <v/>
      </c>
      <c r="G454" s="66" t="str">
        <f>IF(D454="","",IFERROR('Prod 3'!H454/'Prod 3'!$H$3,0))</f>
        <v/>
      </c>
      <c r="H454" s="70" t="str">
        <f>IF(D454="","",'Prod 2'!K454)</f>
        <v/>
      </c>
      <c r="I454" s="77" t="str">
        <f t="shared" ref="I454:I517" si="51">IF(D454="","",E454-H454+L454)</f>
        <v/>
      </c>
      <c r="J454" s="57"/>
      <c r="L454" s="19">
        <v>4.4999999999999998E-7</v>
      </c>
      <c r="M454" s="59">
        <f t="shared" ref="M454:M517" si="52">IFERROR(LARGE($I$5:$I$1004,C454),0)</f>
        <v>0</v>
      </c>
      <c r="N454" s="59">
        <f t="shared" ref="N454:N517" si="53">IFERROR(M454,0)</f>
        <v>0</v>
      </c>
      <c r="O454" s="59">
        <f t="shared" ref="O454:O517" si="54">IFERROR(LARGE($N$5:$N$1004,C454),0)</f>
        <v>0</v>
      </c>
      <c r="P454" s="19" t="str">
        <f t="shared" ref="P454:P517" si="55">IFERROR(IF(VLOOKUP(O454,$B$5:$D$1004,3,0)=0,"",(VLOOKUP(O454,$B$5:$D$1004,3,0))),"")</f>
        <v/>
      </c>
      <c r="Q454" s="19" t="s">
        <v>490</v>
      </c>
    </row>
    <row r="455" spans="2:17" ht="30" customHeight="1" x14ac:dyDescent="0.25">
      <c r="B455" s="62" t="str">
        <f t="shared" si="49"/>
        <v/>
      </c>
      <c r="C455" s="42">
        <v>451</v>
      </c>
      <c r="D455" s="20"/>
      <c r="E455" s="58"/>
      <c r="F455" s="63" t="str">
        <f t="shared" si="50"/>
        <v/>
      </c>
      <c r="G455" s="66" t="str">
        <f>IF(D455="","",IFERROR('Prod 3'!H455/'Prod 3'!$H$3,0))</f>
        <v/>
      </c>
      <c r="H455" s="70" t="str">
        <f>IF(D455="","",'Prod 2'!K455)</f>
        <v/>
      </c>
      <c r="I455" s="77" t="str">
        <f t="shared" si="51"/>
        <v/>
      </c>
      <c r="J455" s="57"/>
      <c r="L455" s="19">
        <v>4.51E-7</v>
      </c>
      <c r="M455" s="59">
        <f t="shared" si="52"/>
        <v>0</v>
      </c>
      <c r="N455" s="59">
        <f t="shared" si="53"/>
        <v>0</v>
      </c>
      <c r="O455" s="59">
        <f t="shared" si="54"/>
        <v>0</v>
      </c>
      <c r="P455" s="19" t="str">
        <f t="shared" si="55"/>
        <v/>
      </c>
      <c r="Q455" s="19" t="s">
        <v>491</v>
      </c>
    </row>
    <row r="456" spans="2:17" ht="30" customHeight="1" x14ac:dyDescent="0.25">
      <c r="B456" s="62" t="str">
        <f t="shared" si="49"/>
        <v/>
      </c>
      <c r="C456" s="42">
        <v>452</v>
      </c>
      <c r="D456" s="20"/>
      <c r="E456" s="58"/>
      <c r="F456" s="63" t="str">
        <f t="shared" si="50"/>
        <v/>
      </c>
      <c r="G456" s="66" t="str">
        <f>IF(D456="","",IFERROR('Prod 3'!H456/'Prod 3'!$H$3,0))</f>
        <v/>
      </c>
      <c r="H456" s="70" t="str">
        <f>IF(D456="","",'Prod 2'!K456)</f>
        <v/>
      </c>
      <c r="I456" s="77" t="str">
        <f t="shared" si="51"/>
        <v/>
      </c>
      <c r="J456" s="57"/>
      <c r="L456" s="19">
        <v>4.5200000000000002E-7</v>
      </c>
      <c r="M456" s="59">
        <f t="shared" si="52"/>
        <v>0</v>
      </c>
      <c r="N456" s="59">
        <f t="shared" si="53"/>
        <v>0</v>
      </c>
      <c r="O456" s="59">
        <f t="shared" si="54"/>
        <v>0</v>
      </c>
      <c r="P456" s="19" t="str">
        <f t="shared" si="55"/>
        <v/>
      </c>
      <c r="Q456" s="19" t="s">
        <v>492</v>
      </c>
    </row>
    <row r="457" spans="2:17" ht="30" customHeight="1" x14ac:dyDescent="0.25">
      <c r="B457" s="62" t="str">
        <f t="shared" si="49"/>
        <v/>
      </c>
      <c r="C457" s="42">
        <v>453</v>
      </c>
      <c r="D457" s="20"/>
      <c r="E457" s="58"/>
      <c r="F457" s="63" t="str">
        <f t="shared" si="50"/>
        <v/>
      </c>
      <c r="G457" s="66" t="str">
        <f>IF(D457="","",IFERROR('Prod 3'!H457/'Prod 3'!$H$3,0))</f>
        <v/>
      </c>
      <c r="H457" s="70" t="str">
        <f>IF(D457="","",'Prod 2'!K457)</f>
        <v/>
      </c>
      <c r="I457" s="77" t="str">
        <f t="shared" si="51"/>
        <v/>
      </c>
      <c r="J457" s="57"/>
      <c r="L457" s="19">
        <v>4.5299999999999999E-7</v>
      </c>
      <c r="M457" s="59">
        <f t="shared" si="52"/>
        <v>0</v>
      </c>
      <c r="N457" s="59">
        <f t="shared" si="53"/>
        <v>0</v>
      </c>
      <c r="O457" s="59">
        <f t="shared" si="54"/>
        <v>0</v>
      </c>
      <c r="P457" s="19" t="str">
        <f t="shared" si="55"/>
        <v/>
      </c>
      <c r="Q457" s="19" t="s">
        <v>493</v>
      </c>
    </row>
    <row r="458" spans="2:17" ht="30" customHeight="1" x14ac:dyDescent="0.25">
      <c r="B458" s="62" t="str">
        <f t="shared" si="49"/>
        <v/>
      </c>
      <c r="C458" s="42">
        <v>454</v>
      </c>
      <c r="D458" s="20"/>
      <c r="E458" s="58"/>
      <c r="F458" s="63" t="str">
        <f t="shared" si="50"/>
        <v/>
      </c>
      <c r="G458" s="66" t="str">
        <f>IF(D458="","",IFERROR('Prod 3'!H458/'Prod 3'!$H$3,0))</f>
        <v/>
      </c>
      <c r="H458" s="70" t="str">
        <f>IF(D458="","",'Prod 2'!K458)</f>
        <v/>
      </c>
      <c r="I458" s="77" t="str">
        <f t="shared" si="51"/>
        <v/>
      </c>
      <c r="J458" s="57"/>
      <c r="L458" s="19">
        <v>4.5400000000000002E-7</v>
      </c>
      <c r="M458" s="59">
        <f t="shared" si="52"/>
        <v>0</v>
      </c>
      <c r="N458" s="59">
        <f t="shared" si="53"/>
        <v>0</v>
      </c>
      <c r="O458" s="59">
        <f t="shared" si="54"/>
        <v>0</v>
      </c>
      <c r="P458" s="19" t="str">
        <f t="shared" si="55"/>
        <v/>
      </c>
      <c r="Q458" s="19" t="s">
        <v>494</v>
      </c>
    </row>
    <row r="459" spans="2:17" ht="30" customHeight="1" x14ac:dyDescent="0.25">
      <c r="B459" s="62" t="str">
        <f t="shared" si="49"/>
        <v/>
      </c>
      <c r="C459" s="42">
        <v>455</v>
      </c>
      <c r="D459" s="20"/>
      <c r="E459" s="58"/>
      <c r="F459" s="63" t="str">
        <f t="shared" si="50"/>
        <v/>
      </c>
      <c r="G459" s="66" t="str">
        <f>IF(D459="","",IFERROR('Prod 3'!H459/'Prod 3'!$H$3,0))</f>
        <v/>
      </c>
      <c r="H459" s="70" t="str">
        <f>IF(D459="","",'Prod 2'!K459)</f>
        <v/>
      </c>
      <c r="I459" s="77" t="str">
        <f t="shared" si="51"/>
        <v/>
      </c>
      <c r="J459" s="57"/>
      <c r="L459" s="19">
        <v>4.5499999999999998E-7</v>
      </c>
      <c r="M459" s="59">
        <f t="shared" si="52"/>
        <v>0</v>
      </c>
      <c r="N459" s="59">
        <f t="shared" si="53"/>
        <v>0</v>
      </c>
      <c r="O459" s="59">
        <f t="shared" si="54"/>
        <v>0</v>
      </c>
      <c r="P459" s="19" t="str">
        <f t="shared" si="55"/>
        <v/>
      </c>
      <c r="Q459" s="19" t="s">
        <v>495</v>
      </c>
    </row>
    <row r="460" spans="2:17" ht="30" customHeight="1" x14ac:dyDescent="0.25">
      <c r="B460" s="62" t="str">
        <f t="shared" si="49"/>
        <v/>
      </c>
      <c r="C460" s="42">
        <v>456</v>
      </c>
      <c r="D460" s="20"/>
      <c r="E460" s="58"/>
      <c r="F460" s="63" t="str">
        <f t="shared" si="50"/>
        <v/>
      </c>
      <c r="G460" s="66" t="str">
        <f>IF(D460="","",IFERROR('Prod 3'!H460/'Prod 3'!$H$3,0))</f>
        <v/>
      </c>
      <c r="H460" s="70" t="str">
        <f>IF(D460="","",'Prod 2'!K460)</f>
        <v/>
      </c>
      <c r="I460" s="77" t="str">
        <f t="shared" si="51"/>
        <v/>
      </c>
      <c r="J460" s="57"/>
      <c r="L460" s="19">
        <v>4.5600000000000001E-7</v>
      </c>
      <c r="M460" s="59">
        <f t="shared" si="52"/>
        <v>0</v>
      </c>
      <c r="N460" s="59">
        <f t="shared" si="53"/>
        <v>0</v>
      </c>
      <c r="O460" s="59">
        <f t="shared" si="54"/>
        <v>0</v>
      </c>
      <c r="P460" s="19" t="str">
        <f t="shared" si="55"/>
        <v/>
      </c>
      <c r="Q460" s="19" t="s">
        <v>496</v>
      </c>
    </row>
    <row r="461" spans="2:17" ht="30" customHeight="1" x14ac:dyDescent="0.25">
      <c r="B461" s="62" t="str">
        <f t="shared" si="49"/>
        <v/>
      </c>
      <c r="C461" s="42">
        <v>457</v>
      </c>
      <c r="D461" s="20"/>
      <c r="E461" s="58"/>
      <c r="F461" s="63" t="str">
        <f t="shared" si="50"/>
        <v/>
      </c>
      <c r="G461" s="66" t="str">
        <f>IF(D461="","",IFERROR('Prod 3'!H461/'Prod 3'!$H$3,0))</f>
        <v/>
      </c>
      <c r="H461" s="70" t="str">
        <f>IF(D461="","",'Prod 2'!K461)</f>
        <v/>
      </c>
      <c r="I461" s="77" t="str">
        <f t="shared" si="51"/>
        <v/>
      </c>
      <c r="J461" s="57"/>
      <c r="L461" s="19">
        <v>4.5699999999999998E-7</v>
      </c>
      <c r="M461" s="59">
        <f t="shared" si="52"/>
        <v>0</v>
      </c>
      <c r="N461" s="59">
        <f t="shared" si="53"/>
        <v>0</v>
      </c>
      <c r="O461" s="59">
        <f t="shared" si="54"/>
        <v>0</v>
      </c>
      <c r="P461" s="19" t="str">
        <f t="shared" si="55"/>
        <v/>
      </c>
      <c r="Q461" s="19" t="s">
        <v>497</v>
      </c>
    </row>
    <row r="462" spans="2:17" ht="30" customHeight="1" x14ac:dyDescent="0.25">
      <c r="B462" s="62" t="str">
        <f t="shared" si="49"/>
        <v/>
      </c>
      <c r="C462" s="42">
        <v>458</v>
      </c>
      <c r="D462" s="20"/>
      <c r="E462" s="58"/>
      <c r="F462" s="63" t="str">
        <f t="shared" si="50"/>
        <v/>
      </c>
      <c r="G462" s="66" t="str">
        <f>IF(D462="","",IFERROR('Prod 3'!H462/'Prod 3'!$H$3,0))</f>
        <v/>
      </c>
      <c r="H462" s="70" t="str">
        <f>IF(D462="","",'Prod 2'!K462)</f>
        <v/>
      </c>
      <c r="I462" s="77" t="str">
        <f t="shared" si="51"/>
        <v/>
      </c>
      <c r="J462" s="57"/>
      <c r="L462" s="19">
        <v>4.58E-7</v>
      </c>
      <c r="M462" s="59">
        <f t="shared" si="52"/>
        <v>0</v>
      </c>
      <c r="N462" s="59">
        <f t="shared" si="53"/>
        <v>0</v>
      </c>
      <c r="O462" s="59">
        <f t="shared" si="54"/>
        <v>0</v>
      </c>
      <c r="P462" s="19" t="str">
        <f t="shared" si="55"/>
        <v/>
      </c>
      <c r="Q462" s="19" t="s">
        <v>498</v>
      </c>
    </row>
    <row r="463" spans="2:17" ht="30" customHeight="1" x14ac:dyDescent="0.25">
      <c r="B463" s="62" t="str">
        <f t="shared" si="49"/>
        <v/>
      </c>
      <c r="C463" s="42">
        <v>459</v>
      </c>
      <c r="D463" s="20"/>
      <c r="E463" s="58"/>
      <c r="F463" s="63" t="str">
        <f t="shared" si="50"/>
        <v/>
      </c>
      <c r="G463" s="66" t="str">
        <f>IF(D463="","",IFERROR('Prod 3'!H463/'Prod 3'!$H$3,0))</f>
        <v/>
      </c>
      <c r="H463" s="70" t="str">
        <f>IF(D463="","",'Prod 2'!K463)</f>
        <v/>
      </c>
      <c r="I463" s="77" t="str">
        <f t="shared" si="51"/>
        <v/>
      </c>
      <c r="J463" s="57"/>
      <c r="L463" s="19">
        <v>4.5900000000000002E-7</v>
      </c>
      <c r="M463" s="59">
        <f t="shared" si="52"/>
        <v>0</v>
      </c>
      <c r="N463" s="59">
        <f t="shared" si="53"/>
        <v>0</v>
      </c>
      <c r="O463" s="59">
        <f t="shared" si="54"/>
        <v>0</v>
      </c>
      <c r="P463" s="19" t="str">
        <f t="shared" si="55"/>
        <v/>
      </c>
      <c r="Q463" s="19" t="s">
        <v>499</v>
      </c>
    </row>
    <row r="464" spans="2:17" ht="30" customHeight="1" x14ac:dyDescent="0.25">
      <c r="B464" s="62" t="str">
        <f t="shared" si="49"/>
        <v/>
      </c>
      <c r="C464" s="42">
        <v>460</v>
      </c>
      <c r="D464" s="20"/>
      <c r="E464" s="58"/>
      <c r="F464" s="63" t="str">
        <f t="shared" si="50"/>
        <v/>
      </c>
      <c r="G464" s="66" t="str">
        <f>IF(D464="","",IFERROR('Prod 3'!H464/'Prod 3'!$H$3,0))</f>
        <v/>
      </c>
      <c r="H464" s="70" t="str">
        <f>IF(D464="","",'Prod 2'!K464)</f>
        <v/>
      </c>
      <c r="I464" s="77" t="str">
        <f t="shared" si="51"/>
        <v/>
      </c>
      <c r="J464" s="57"/>
      <c r="L464" s="19">
        <v>4.5999999999999999E-7</v>
      </c>
      <c r="M464" s="59">
        <f t="shared" si="52"/>
        <v>0</v>
      </c>
      <c r="N464" s="59">
        <f t="shared" si="53"/>
        <v>0</v>
      </c>
      <c r="O464" s="59">
        <f t="shared" si="54"/>
        <v>0</v>
      </c>
      <c r="P464" s="19" t="str">
        <f t="shared" si="55"/>
        <v/>
      </c>
      <c r="Q464" s="19" t="s">
        <v>500</v>
      </c>
    </row>
    <row r="465" spans="2:17" ht="30" customHeight="1" x14ac:dyDescent="0.25">
      <c r="B465" s="62" t="str">
        <f t="shared" si="49"/>
        <v/>
      </c>
      <c r="C465" s="42">
        <v>461</v>
      </c>
      <c r="D465" s="20"/>
      <c r="E465" s="58"/>
      <c r="F465" s="63" t="str">
        <f t="shared" si="50"/>
        <v/>
      </c>
      <c r="G465" s="66" t="str">
        <f>IF(D465="","",IFERROR('Prod 3'!H465/'Prod 3'!$H$3,0))</f>
        <v/>
      </c>
      <c r="H465" s="70" t="str">
        <f>IF(D465="","",'Prod 2'!K465)</f>
        <v/>
      </c>
      <c r="I465" s="77" t="str">
        <f t="shared" si="51"/>
        <v/>
      </c>
      <c r="J465" s="57"/>
      <c r="L465" s="19">
        <v>4.6100000000000001E-7</v>
      </c>
      <c r="M465" s="59">
        <f t="shared" si="52"/>
        <v>0</v>
      </c>
      <c r="N465" s="59">
        <f t="shared" si="53"/>
        <v>0</v>
      </c>
      <c r="O465" s="59">
        <f t="shared" si="54"/>
        <v>0</v>
      </c>
      <c r="P465" s="19" t="str">
        <f t="shared" si="55"/>
        <v/>
      </c>
      <c r="Q465" s="19" t="s">
        <v>501</v>
      </c>
    </row>
    <row r="466" spans="2:17" ht="30" customHeight="1" x14ac:dyDescent="0.25">
      <c r="B466" s="62" t="str">
        <f t="shared" si="49"/>
        <v/>
      </c>
      <c r="C466" s="42">
        <v>462</v>
      </c>
      <c r="D466" s="20"/>
      <c r="E466" s="58"/>
      <c r="F466" s="63" t="str">
        <f t="shared" si="50"/>
        <v/>
      </c>
      <c r="G466" s="66" t="str">
        <f>IF(D466="","",IFERROR('Prod 3'!H466/'Prod 3'!$H$3,0))</f>
        <v/>
      </c>
      <c r="H466" s="70" t="str">
        <f>IF(D466="","",'Prod 2'!K466)</f>
        <v/>
      </c>
      <c r="I466" s="77" t="str">
        <f t="shared" si="51"/>
        <v/>
      </c>
      <c r="J466" s="57"/>
      <c r="L466" s="19">
        <v>4.6199999999999998E-7</v>
      </c>
      <c r="M466" s="59">
        <f t="shared" si="52"/>
        <v>0</v>
      </c>
      <c r="N466" s="59">
        <f t="shared" si="53"/>
        <v>0</v>
      </c>
      <c r="O466" s="59">
        <f t="shared" si="54"/>
        <v>0</v>
      </c>
      <c r="P466" s="19" t="str">
        <f t="shared" si="55"/>
        <v/>
      </c>
      <c r="Q466" s="19" t="s">
        <v>502</v>
      </c>
    </row>
    <row r="467" spans="2:17" ht="30" customHeight="1" x14ac:dyDescent="0.25">
      <c r="B467" s="62" t="str">
        <f t="shared" si="49"/>
        <v/>
      </c>
      <c r="C467" s="42">
        <v>463</v>
      </c>
      <c r="D467" s="20"/>
      <c r="E467" s="58"/>
      <c r="F467" s="63" t="str">
        <f t="shared" si="50"/>
        <v/>
      </c>
      <c r="G467" s="66" t="str">
        <f>IF(D467="","",IFERROR('Prod 3'!H467/'Prod 3'!$H$3,0))</f>
        <v/>
      </c>
      <c r="H467" s="70" t="str">
        <f>IF(D467="","",'Prod 2'!K467)</f>
        <v/>
      </c>
      <c r="I467" s="77" t="str">
        <f t="shared" si="51"/>
        <v/>
      </c>
      <c r="J467" s="57"/>
      <c r="L467" s="19">
        <v>4.63E-7</v>
      </c>
      <c r="M467" s="59">
        <f t="shared" si="52"/>
        <v>0</v>
      </c>
      <c r="N467" s="59">
        <f t="shared" si="53"/>
        <v>0</v>
      </c>
      <c r="O467" s="59">
        <f t="shared" si="54"/>
        <v>0</v>
      </c>
      <c r="P467" s="19" t="str">
        <f t="shared" si="55"/>
        <v/>
      </c>
      <c r="Q467" s="19" t="s">
        <v>503</v>
      </c>
    </row>
    <row r="468" spans="2:17" ht="30" customHeight="1" x14ac:dyDescent="0.25">
      <c r="B468" s="62" t="str">
        <f t="shared" si="49"/>
        <v/>
      </c>
      <c r="C468" s="42">
        <v>464</v>
      </c>
      <c r="D468" s="20"/>
      <c r="E468" s="58"/>
      <c r="F468" s="63" t="str">
        <f t="shared" si="50"/>
        <v/>
      </c>
      <c r="G468" s="66" t="str">
        <f>IF(D468="","",IFERROR('Prod 3'!H468/'Prod 3'!$H$3,0))</f>
        <v/>
      </c>
      <c r="H468" s="70" t="str">
        <f>IF(D468="","",'Prod 2'!K468)</f>
        <v/>
      </c>
      <c r="I468" s="77" t="str">
        <f t="shared" si="51"/>
        <v/>
      </c>
      <c r="J468" s="57"/>
      <c r="L468" s="19">
        <v>4.6400000000000003E-7</v>
      </c>
      <c r="M468" s="59">
        <f t="shared" si="52"/>
        <v>0</v>
      </c>
      <c r="N468" s="59">
        <f t="shared" si="53"/>
        <v>0</v>
      </c>
      <c r="O468" s="59">
        <f t="shared" si="54"/>
        <v>0</v>
      </c>
      <c r="P468" s="19" t="str">
        <f t="shared" si="55"/>
        <v/>
      </c>
      <c r="Q468" s="19" t="s">
        <v>504</v>
      </c>
    </row>
    <row r="469" spans="2:17" ht="30" customHeight="1" x14ac:dyDescent="0.25">
      <c r="B469" s="62" t="str">
        <f t="shared" si="49"/>
        <v/>
      </c>
      <c r="C469" s="42">
        <v>465</v>
      </c>
      <c r="D469" s="20"/>
      <c r="E469" s="58"/>
      <c r="F469" s="63" t="str">
        <f t="shared" si="50"/>
        <v/>
      </c>
      <c r="G469" s="66" t="str">
        <f>IF(D469="","",IFERROR('Prod 3'!H469/'Prod 3'!$H$3,0))</f>
        <v/>
      </c>
      <c r="H469" s="70" t="str">
        <f>IF(D469="","",'Prod 2'!K469)</f>
        <v/>
      </c>
      <c r="I469" s="77" t="str">
        <f t="shared" si="51"/>
        <v/>
      </c>
      <c r="J469" s="57"/>
      <c r="L469" s="19">
        <v>4.6499999999999999E-7</v>
      </c>
      <c r="M469" s="59">
        <f t="shared" si="52"/>
        <v>0</v>
      </c>
      <c r="N469" s="59">
        <f t="shared" si="53"/>
        <v>0</v>
      </c>
      <c r="O469" s="59">
        <f t="shared" si="54"/>
        <v>0</v>
      </c>
      <c r="P469" s="19" t="str">
        <f t="shared" si="55"/>
        <v/>
      </c>
      <c r="Q469" s="19" t="s">
        <v>505</v>
      </c>
    </row>
    <row r="470" spans="2:17" ht="30" customHeight="1" x14ac:dyDescent="0.25">
      <c r="B470" s="62" t="str">
        <f t="shared" si="49"/>
        <v/>
      </c>
      <c r="C470" s="42">
        <v>466</v>
      </c>
      <c r="D470" s="20"/>
      <c r="E470" s="58"/>
      <c r="F470" s="63" t="str">
        <f t="shared" si="50"/>
        <v/>
      </c>
      <c r="G470" s="66" t="str">
        <f>IF(D470="","",IFERROR('Prod 3'!H470/'Prod 3'!$H$3,0))</f>
        <v/>
      </c>
      <c r="H470" s="70" t="str">
        <f>IF(D470="","",'Prod 2'!K470)</f>
        <v/>
      </c>
      <c r="I470" s="77" t="str">
        <f t="shared" si="51"/>
        <v/>
      </c>
      <c r="J470" s="57"/>
      <c r="L470" s="19">
        <v>4.6600000000000002E-7</v>
      </c>
      <c r="M470" s="59">
        <f t="shared" si="52"/>
        <v>0</v>
      </c>
      <c r="N470" s="59">
        <f t="shared" si="53"/>
        <v>0</v>
      </c>
      <c r="O470" s="59">
        <f t="shared" si="54"/>
        <v>0</v>
      </c>
      <c r="P470" s="19" t="str">
        <f t="shared" si="55"/>
        <v/>
      </c>
      <c r="Q470" s="19" t="s">
        <v>506</v>
      </c>
    </row>
    <row r="471" spans="2:17" ht="30" customHeight="1" x14ac:dyDescent="0.25">
      <c r="B471" s="62" t="str">
        <f t="shared" si="49"/>
        <v/>
      </c>
      <c r="C471" s="42">
        <v>467</v>
      </c>
      <c r="D471" s="20"/>
      <c r="E471" s="58"/>
      <c r="F471" s="63" t="str">
        <f t="shared" si="50"/>
        <v/>
      </c>
      <c r="G471" s="66" t="str">
        <f>IF(D471="","",IFERROR('Prod 3'!H471/'Prod 3'!$H$3,0))</f>
        <v/>
      </c>
      <c r="H471" s="70" t="str">
        <f>IF(D471="","",'Prod 2'!K471)</f>
        <v/>
      </c>
      <c r="I471" s="77" t="str">
        <f t="shared" si="51"/>
        <v/>
      </c>
      <c r="J471" s="57"/>
      <c r="L471" s="19">
        <v>4.6699999999999999E-7</v>
      </c>
      <c r="M471" s="59">
        <f t="shared" si="52"/>
        <v>0</v>
      </c>
      <c r="N471" s="59">
        <f t="shared" si="53"/>
        <v>0</v>
      </c>
      <c r="O471" s="59">
        <f t="shared" si="54"/>
        <v>0</v>
      </c>
      <c r="P471" s="19" t="str">
        <f t="shared" si="55"/>
        <v/>
      </c>
      <c r="Q471" s="19" t="s">
        <v>507</v>
      </c>
    </row>
    <row r="472" spans="2:17" ht="30" customHeight="1" x14ac:dyDescent="0.25">
      <c r="B472" s="62" t="str">
        <f t="shared" si="49"/>
        <v/>
      </c>
      <c r="C472" s="42">
        <v>468</v>
      </c>
      <c r="D472" s="20"/>
      <c r="E472" s="58"/>
      <c r="F472" s="63" t="str">
        <f t="shared" si="50"/>
        <v/>
      </c>
      <c r="G472" s="66" t="str">
        <f>IF(D472="","",IFERROR('Prod 3'!H472/'Prod 3'!$H$3,0))</f>
        <v/>
      </c>
      <c r="H472" s="70" t="str">
        <f>IF(D472="","",'Prod 2'!K472)</f>
        <v/>
      </c>
      <c r="I472" s="77" t="str">
        <f t="shared" si="51"/>
        <v/>
      </c>
      <c r="J472" s="57"/>
      <c r="L472" s="19">
        <v>4.6800000000000001E-7</v>
      </c>
      <c r="M472" s="59">
        <f t="shared" si="52"/>
        <v>0</v>
      </c>
      <c r="N472" s="59">
        <f t="shared" si="53"/>
        <v>0</v>
      </c>
      <c r="O472" s="59">
        <f t="shared" si="54"/>
        <v>0</v>
      </c>
      <c r="P472" s="19" t="str">
        <f t="shared" si="55"/>
        <v/>
      </c>
      <c r="Q472" s="19" t="s">
        <v>508</v>
      </c>
    </row>
    <row r="473" spans="2:17" ht="30" customHeight="1" x14ac:dyDescent="0.25">
      <c r="B473" s="62" t="str">
        <f t="shared" si="49"/>
        <v/>
      </c>
      <c r="C473" s="42">
        <v>469</v>
      </c>
      <c r="D473" s="20"/>
      <c r="E473" s="58"/>
      <c r="F473" s="63" t="str">
        <f t="shared" si="50"/>
        <v/>
      </c>
      <c r="G473" s="66" t="str">
        <f>IF(D473="","",IFERROR('Prod 3'!H473/'Prod 3'!$H$3,0))</f>
        <v/>
      </c>
      <c r="H473" s="70" t="str">
        <f>IF(D473="","",'Prod 2'!K473)</f>
        <v/>
      </c>
      <c r="I473" s="77" t="str">
        <f t="shared" si="51"/>
        <v/>
      </c>
      <c r="J473" s="57"/>
      <c r="L473" s="19">
        <v>4.6899999999999998E-7</v>
      </c>
      <c r="M473" s="59">
        <f t="shared" si="52"/>
        <v>0</v>
      </c>
      <c r="N473" s="59">
        <f t="shared" si="53"/>
        <v>0</v>
      </c>
      <c r="O473" s="59">
        <f t="shared" si="54"/>
        <v>0</v>
      </c>
      <c r="P473" s="19" t="str">
        <f t="shared" si="55"/>
        <v/>
      </c>
      <c r="Q473" s="19" t="s">
        <v>509</v>
      </c>
    </row>
    <row r="474" spans="2:17" ht="30" customHeight="1" x14ac:dyDescent="0.25">
      <c r="B474" s="62" t="str">
        <f t="shared" si="49"/>
        <v/>
      </c>
      <c r="C474" s="42">
        <v>470</v>
      </c>
      <c r="D474" s="20"/>
      <c r="E474" s="58"/>
      <c r="F474" s="63" t="str">
        <f t="shared" si="50"/>
        <v/>
      </c>
      <c r="G474" s="66" t="str">
        <f>IF(D474="","",IFERROR('Prod 3'!H474/'Prod 3'!$H$3,0))</f>
        <v/>
      </c>
      <c r="H474" s="70" t="str">
        <f>IF(D474="","",'Prod 2'!K474)</f>
        <v/>
      </c>
      <c r="I474" s="77" t="str">
        <f t="shared" si="51"/>
        <v/>
      </c>
      <c r="J474" s="57"/>
      <c r="L474" s="19">
        <v>4.7E-7</v>
      </c>
      <c r="M474" s="59">
        <f t="shared" si="52"/>
        <v>0</v>
      </c>
      <c r="N474" s="59">
        <f t="shared" si="53"/>
        <v>0</v>
      </c>
      <c r="O474" s="59">
        <f t="shared" si="54"/>
        <v>0</v>
      </c>
      <c r="P474" s="19" t="str">
        <f t="shared" si="55"/>
        <v/>
      </c>
      <c r="Q474" s="19" t="s">
        <v>510</v>
      </c>
    </row>
    <row r="475" spans="2:17" ht="30" customHeight="1" x14ac:dyDescent="0.25">
      <c r="B475" s="62" t="str">
        <f t="shared" si="49"/>
        <v/>
      </c>
      <c r="C475" s="42">
        <v>471</v>
      </c>
      <c r="D475" s="20"/>
      <c r="E475" s="58"/>
      <c r="F475" s="63" t="str">
        <f t="shared" si="50"/>
        <v/>
      </c>
      <c r="G475" s="66" t="str">
        <f>IF(D475="","",IFERROR('Prod 3'!H475/'Prod 3'!$H$3,0))</f>
        <v/>
      </c>
      <c r="H475" s="70" t="str">
        <f>IF(D475="","",'Prod 2'!K475)</f>
        <v/>
      </c>
      <c r="I475" s="77" t="str">
        <f t="shared" si="51"/>
        <v/>
      </c>
      <c r="J475" s="57"/>
      <c r="L475" s="19">
        <v>4.7100000000000002E-7</v>
      </c>
      <c r="M475" s="59">
        <f t="shared" si="52"/>
        <v>0</v>
      </c>
      <c r="N475" s="59">
        <f t="shared" si="53"/>
        <v>0</v>
      </c>
      <c r="O475" s="59">
        <f t="shared" si="54"/>
        <v>0</v>
      </c>
      <c r="P475" s="19" t="str">
        <f t="shared" si="55"/>
        <v/>
      </c>
      <c r="Q475" s="19" t="s">
        <v>511</v>
      </c>
    </row>
    <row r="476" spans="2:17" ht="30" customHeight="1" x14ac:dyDescent="0.25">
      <c r="B476" s="62" t="str">
        <f t="shared" si="49"/>
        <v/>
      </c>
      <c r="C476" s="42">
        <v>472</v>
      </c>
      <c r="D476" s="20"/>
      <c r="E476" s="58"/>
      <c r="F476" s="63" t="str">
        <f t="shared" si="50"/>
        <v/>
      </c>
      <c r="G476" s="66" t="str">
        <f>IF(D476="","",IFERROR('Prod 3'!H476/'Prod 3'!$H$3,0))</f>
        <v/>
      </c>
      <c r="H476" s="70" t="str">
        <f>IF(D476="","",'Prod 2'!K476)</f>
        <v/>
      </c>
      <c r="I476" s="77" t="str">
        <f t="shared" si="51"/>
        <v/>
      </c>
      <c r="J476" s="57"/>
      <c r="L476" s="19">
        <v>4.7199999999999999E-7</v>
      </c>
      <c r="M476" s="59">
        <f t="shared" si="52"/>
        <v>0</v>
      </c>
      <c r="N476" s="59">
        <f t="shared" si="53"/>
        <v>0</v>
      </c>
      <c r="O476" s="59">
        <f t="shared" si="54"/>
        <v>0</v>
      </c>
      <c r="P476" s="19" t="str">
        <f t="shared" si="55"/>
        <v/>
      </c>
      <c r="Q476" s="19" t="s">
        <v>512</v>
      </c>
    </row>
    <row r="477" spans="2:17" ht="30" customHeight="1" x14ac:dyDescent="0.25">
      <c r="B477" s="62" t="str">
        <f t="shared" si="49"/>
        <v/>
      </c>
      <c r="C477" s="42">
        <v>473</v>
      </c>
      <c r="D477" s="20"/>
      <c r="E477" s="58"/>
      <c r="F477" s="63" t="str">
        <f t="shared" si="50"/>
        <v/>
      </c>
      <c r="G477" s="66" t="str">
        <f>IF(D477="","",IFERROR('Prod 3'!H477/'Prod 3'!$H$3,0))</f>
        <v/>
      </c>
      <c r="H477" s="70" t="str">
        <f>IF(D477="","",'Prod 2'!K477)</f>
        <v/>
      </c>
      <c r="I477" s="77" t="str">
        <f t="shared" si="51"/>
        <v/>
      </c>
      <c r="J477" s="57"/>
      <c r="L477" s="19">
        <v>4.7300000000000001E-7</v>
      </c>
      <c r="M477" s="59">
        <f t="shared" si="52"/>
        <v>0</v>
      </c>
      <c r="N477" s="59">
        <f t="shared" si="53"/>
        <v>0</v>
      </c>
      <c r="O477" s="59">
        <f t="shared" si="54"/>
        <v>0</v>
      </c>
      <c r="P477" s="19" t="str">
        <f t="shared" si="55"/>
        <v/>
      </c>
      <c r="Q477" s="19" t="s">
        <v>513</v>
      </c>
    </row>
    <row r="478" spans="2:17" ht="30" customHeight="1" x14ac:dyDescent="0.25">
      <c r="B478" s="62" t="str">
        <f t="shared" si="49"/>
        <v/>
      </c>
      <c r="C478" s="42">
        <v>474</v>
      </c>
      <c r="D478" s="20"/>
      <c r="E478" s="58"/>
      <c r="F478" s="63" t="str">
        <f t="shared" si="50"/>
        <v/>
      </c>
      <c r="G478" s="66" t="str">
        <f>IF(D478="","",IFERROR('Prod 3'!H478/'Prod 3'!$H$3,0))</f>
        <v/>
      </c>
      <c r="H478" s="70" t="str">
        <f>IF(D478="","",'Prod 2'!K478)</f>
        <v/>
      </c>
      <c r="I478" s="77" t="str">
        <f t="shared" si="51"/>
        <v/>
      </c>
      <c r="J478" s="57"/>
      <c r="L478" s="19">
        <v>4.7399999999999998E-7</v>
      </c>
      <c r="M478" s="59">
        <f t="shared" si="52"/>
        <v>0</v>
      </c>
      <c r="N478" s="59">
        <f t="shared" si="53"/>
        <v>0</v>
      </c>
      <c r="O478" s="59">
        <f t="shared" si="54"/>
        <v>0</v>
      </c>
      <c r="P478" s="19" t="str">
        <f t="shared" si="55"/>
        <v/>
      </c>
      <c r="Q478" s="19" t="s">
        <v>514</v>
      </c>
    </row>
    <row r="479" spans="2:17" ht="30" customHeight="1" x14ac:dyDescent="0.25">
      <c r="B479" s="62" t="str">
        <f t="shared" si="49"/>
        <v/>
      </c>
      <c r="C479" s="42">
        <v>475</v>
      </c>
      <c r="D479" s="20"/>
      <c r="E479" s="58"/>
      <c r="F479" s="63" t="str">
        <f t="shared" si="50"/>
        <v/>
      </c>
      <c r="G479" s="66" t="str">
        <f>IF(D479="","",IFERROR('Prod 3'!H479/'Prod 3'!$H$3,0))</f>
        <v/>
      </c>
      <c r="H479" s="70" t="str">
        <f>IF(D479="","",'Prod 2'!K479)</f>
        <v/>
      </c>
      <c r="I479" s="77" t="str">
        <f t="shared" si="51"/>
        <v/>
      </c>
      <c r="J479" s="57"/>
      <c r="L479" s="19">
        <v>4.75E-7</v>
      </c>
      <c r="M479" s="59">
        <f t="shared" si="52"/>
        <v>0</v>
      </c>
      <c r="N479" s="59">
        <f t="shared" si="53"/>
        <v>0</v>
      </c>
      <c r="O479" s="59">
        <f t="shared" si="54"/>
        <v>0</v>
      </c>
      <c r="P479" s="19" t="str">
        <f t="shared" si="55"/>
        <v/>
      </c>
      <c r="Q479" s="19" t="s">
        <v>515</v>
      </c>
    </row>
    <row r="480" spans="2:17" ht="30" customHeight="1" x14ac:dyDescent="0.25">
      <c r="B480" s="62" t="str">
        <f t="shared" si="49"/>
        <v/>
      </c>
      <c r="C480" s="42">
        <v>476</v>
      </c>
      <c r="D480" s="20"/>
      <c r="E480" s="58"/>
      <c r="F480" s="63" t="str">
        <f t="shared" si="50"/>
        <v/>
      </c>
      <c r="G480" s="66" t="str">
        <f>IF(D480="","",IFERROR('Prod 3'!H480/'Prod 3'!$H$3,0))</f>
        <v/>
      </c>
      <c r="H480" s="70" t="str">
        <f>IF(D480="","",'Prod 2'!K480)</f>
        <v/>
      </c>
      <c r="I480" s="77" t="str">
        <f t="shared" si="51"/>
        <v/>
      </c>
      <c r="J480" s="57"/>
      <c r="L480" s="19">
        <v>4.7599999999999997E-7</v>
      </c>
      <c r="M480" s="59">
        <f t="shared" si="52"/>
        <v>0</v>
      </c>
      <c r="N480" s="59">
        <f t="shared" si="53"/>
        <v>0</v>
      </c>
      <c r="O480" s="59">
        <f t="shared" si="54"/>
        <v>0</v>
      </c>
      <c r="P480" s="19" t="str">
        <f t="shared" si="55"/>
        <v/>
      </c>
      <c r="Q480" s="19" t="s">
        <v>516</v>
      </c>
    </row>
    <row r="481" spans="2:17" ht="30" customHeight="1" x14ac:dyDescent="0.25">
      <c r="B481" s="62" t="str">
        <f t="shared" si="49"/>
        <v/>
      </c>
      <c r="C481" s="42">
        <v>477</v>
      </c>
      <c r="D481" s="20"/>
      <c r="E481" s="58"/>
      <c r="F481" s="63" t="str">
        <f t="shared" si="50"/>
        <v/>
      </c>
      <c r="G481" s="66" t="str">
        <f>IF(D481="","",IFERROR('Prod 3'!H481/'Prod 3'!$H$3,0))</f>
        <v/>
      </c>
      <c r="H481" s="70" t="str">
        <f>IF(D481="","",'Prod 2'!K481)</f>
        <v/>
      </c>
      <c r="I481" s="77" t="str">
        <f t="shared" si="51"/>
        <v/>
      </c>
      <c r="J481" s="57"/>
      <c r="L481" s="19">
        <v>4.7700000000000005E-7</v>
      </c>
      <c r="M481" s="59">
        <f t="shared" si="52"/>
        <v>0</v>
      </c>
      <c r="N481" s="59">
        <f t="shared" si="53"/>
        <v>0</v>
      </c>
      <c r="O481" s="59">
        <f t="shared" si="54"/>
        <v>0</v>
      </c>
      <c r="P481" s="19" t="str">
        <f t="shared" si="55"/>
        <v/>
      </c>
      <c r="Q481" s="19" t="s">
        <v>517</v>
      </c>
    </row>
    <row r="482" spans="2:17" ht="30" customHeight="1" x14ac:dyDescent="0.25">
      <c r="B482" s="62" t="str">
        <f t="shared" si="49"/>
        <v/>
      </c>
      <c r="C482" s="42">
        <v>478</v>
      </c>
      <c r="D482" s="20"/>
      <c r="E482" s="58"/>
      <c r="F482" s="63" t="str">
        <f t="shared" si="50"/>
        <v/>
      </c>
      <c r="G482" s="66" t="str">
        <f>IF(D482="","",IFERROR('Prod 3'!H482/'Prod 3'!$H$3,0))</f>
        <v/>
      </c>
      <c r="H482" s="70" t="str">
        <f>IF(D482="","",'Prod 2'!K482)</f>
        <v/>
      </c>
      <c r="I482" s="77" t="str">
        <f t="shared" si="51"/>
        <v/>
      </c>
      <c r="J482" s="57"/>
      <c r="L482" s="19">
        <v>4.7800000000000002E-7</v>
      </c>
      <c r="M482" s="59">
        <f t="shared" si="52"/>
        <v>0</v>
      </c>
      <c r="N482" s="59">
        <f t="shared" si="53"/>
        <v>0</v>
      </c>
      <c r="O482" s="59">
        <f t="shared" si="54"/>
        <v>0</v>
      </c>
      <c r="P482" s="19" t="str">
        <f t="shared" si="55"/>
        <v/>
      </c>
      <c r="Q482" s="19" t="s">
        <v>518</v>
      </c>
    </row>
    <row r="483" spans="2:17" ht="30" customHeight="1" x14ac:dyDescent="0.25">
      <c r="B483" s="62" t="str">
        <f t="shared" si="49"/>
        <v/>
      </c>
      <c r="C483" s="42">
        <v>479</v>
      </c>
      <c r="D483" s="20"/>
      <c r="E483" s="58"/>
      <c r="F483" s="63" t="str">
        <f t="shared" si="50"/>
        <v/>
      </c>
      <c r="G483" s="66" t="str">
        <f>IF(D483="","",IFERROR('Prod 3'!H483/'Prod 3'!$H$3,0))</f>
        <v/>
      </c>
      <c r="H483" s="70" t="str">
        <f>IF(D483="","",'Prod 2'!K483)</f>
        <v/>
      </c>
      <c r="I483" s="77" t="str">
        <f t="shared" si="51"/>
        <v/>
      </c>
      <c r="J483" s="57"/>
      <c r="L483" s="19">
        <v>4.7899999999999999E-7</v>
      </c>
      <c r="M483" s="59">
        <f t="shared" si="52"/>
        <v>0</v>
      </c>
      <c r="N483" s="59">
        <f t="shared" si="53"/>
        <v>0</v>
      </c>
      <c r="O483" s="59">
        <f t="shared" si="54"/>
        <v>0</v>
      </c>
      <c r="P483" s="19" t="str">
        <f t="shared" si="55"/>
        <v/>
      </c>
      <c r="Q483" s="19" t="s">
        <v>519</v>
      </c>
    </row>
    <row r="484" spans="2:17" ht="30" customHeight="1" x14ac:dyDescent="0.25">
      <c r="B484" s="62" t="str">
        <f t="shared" si="49"/>
        <v/>
      </c>
      <c r="C484" s="42">
        <v>480</v>
      </c>
      <c r="D484" s="20"/>
      <c r="E484" s="58"/>
      <c r="F484" s="63" t="str">
        <f t="shared" si="50"/>
        <v/>
      </c>
      <c r="G484" s="66" t="str">
        <f>IF(D484="","",IFERROR('Prod 3'!H484/'Prod 3'!$H$3,0))</f>
        <v/>
      </c>
      <c r="H484" s="70" t="str">
        <f>IF(D484="","",'Prod 2'!K484)</f>
        <v/>
      </c>
      <c r="I484" s="77" t="str">
        <f t="shared" si="51"/>
        <v/>
      </c>
      <c r="J484" s="57"/>
      <c r="L484" s="19">
        <v>4.7999999999999996E-7</v>
      </c>
      <c r="M484" s="59">
        <f t="shared" si="52"/>
        <v>0</v>
      </c>
      <c r="N484" s="59">
        <f t="shared" si="53"/>
        <v>0</v>
      </c>
      <c r="O484" s="59">
        <f t="shared" si="54"/>
        <v>0</v>
      </c>
      <c r="P484" s="19" t="str">
        <f t="shared" si="55"/>
        <v/>
      </c>
      <c r="Q484" s="19" t="s">
        <v>520</v>
      </c>
    </row>
    <row r="485" spans="2:17" ht="30" customHeight="1" x14ac:dyDescent="0.25">
      <c r="B485" s="62" t="str">
        <f t="shared" si="49"/>
        <v/>
      </c>
      <c r="C485" s="42">
        <v>481</v>
      </c>
      <c r="D485" s="20"/>
      <c r="E485" s="58"/>
      <c r="F485" s="63" t="str">
        <f t="shared" si="50"/>
        <v/>
      </c>
      <c r="G485" s="66" t="str">
        <f>IF(D485="","",IFERROR('Prod 3'!H485/'Prod 3'!$H$3,0))</f>
        <v/>
      </c>
      <c r="H485" s="70" t="str">
        <f>IF(D485="","",'Prod 2'!K485)</f>
        <v/>
      </c>
      <c r="I485" s="77" t="str">
        <f t="shared" si="51"/>
        <v/>
      </c>
      <c r="J485" s="57"/>
      <c r="L485" s="19">
        <v>4.8100000000000003E-7</v>
      </c>
      <c r="M485" s="59">
        <f t="shared" si="52"/>
        <v>0</v>
      </c>
      <c r="N485" s="59">
        <f t="shared" si="53"/>
        <v>0</v>
      </c>
      <c r="O485" s="59">
        <f t="shared" si="54"/>
        <v>0</v>
      </c>
      <c r="P485" s="19" t="str">
        <f t="shared" si="55"/>
        <v/>
      </c>
      <c r="Q485" s="19" t="s">
        <v>521</v>
      </c>
    </row>
    <row r="486" spans="2:17" ht="30" customHeight="1" x14ac:dyDescent="0.25">
      <c r="B486" s="62" t="str">
        <f t="shared" si="49"/>
        <v/>
      </c>
      <c r="C486" s="42">
        <v>482</v>
      </c>
      <c r="D486" s="20"/>
      <c r="E486" s="58"/>
      <c r="F486" s="63" t="str">
        <f t="shared" si="50"/>
        <v/>
      </c>
      <c r="G486" s="66" t="str">
        <f>IF(D486="","",IFERROR('Prod 3'!H486/'Prod 3'!$H$3,0))</f>
        <v/>
      </c>
      <c r="H486" s="70" t="str">
        <f>IF(D486="","",'Prod 2'!K486)</f>
        <v/>
      </c>
      <c r="I486" s="77" t="str">
        <f t="shared" si="51"/>
        <v/>
      </c>
      <c r="J486" s="57"/>
      <c r="L486" s="19">
        <v>4.82E-7</v>
      </c>
      <c r="M486" s="59">
        <f t="shared" si="52"/>
        <v>0</v>
      </c>
      <c r="N486" s="59">
        <f t="shared" si="53"/>
        <v>0</v>
      </c>
      <c r="O486" s="59">
        <f t="shared" si="54"/>
        <v>0</v>
      </c>
      <c r="P486" s="19" t="str">
        <f t="shared" si="55"/>
        <v/>
      </c>
      <c r="Q486" s="19" t="s">
        <v>522</v>
      </c>
    </row>
    <row r="487" spans="2:17" ht="30" customHeight="1" x14ac:dyDescent="0.25">
      <c r="B487" s="62" t="str">
        <f t="shared" si="49"/>
        <v/>
      </c>
      <c r="C487" s="42">
        <v>483</v>
      </c>
      <c r="D487" s="20"/>
      <c r="E487" s="58"/>
      <c r="F487" s="63" t="str">
        <f t="shared" si="50"/>
        <v/>
      </c>
      <c r="G487" s="66" t="str">
        <f>IF(D487="","",IFERROR('Prod 3'!H487/'Prod 3'!$H$3,0))</f>
        <v/>
      </c>
      <c r="H487" s="70" t="str">
        <f>IF(D487="","",'Prod 2'!K487)</f>
        <v/>
      </c>
      <c r="I487" s="77" t="str">
        <f t="shared" si="51"/>
        <v/>
      </c>
      <c r="J487" s="57"/>
      <c r="L487" s="19">
        <v>4.8299999999999997E-7</v>
      </c>
      <c r="M487" s="59">
        <f t="shared" si="52"/>
        <v>0</v>
      </c>
      <c r="N487" s="59">
        <f t="shared" si="53"/>
        <v>0</v>
      </c>
      <c r="O487" s="59">
        <f t="shared" si="54"/>
        <v>0</v>
      </c>
      <c r="P487" s="19" t="str">
        <f t="shared" si="55"/>
        <v/>
      </c>
      <c r="Q487" s="19" t="s">
        <v>523</v>
      </c>
    </row>
    <row r="488" spans="2:17" ht="30" customHeight="1" x14ac:dyDescent="0.25">
      <c r="B488" s="62" t="str">
        <f t="shared" si="49"/>
        <v/>
      </c>
      <c r="C488" s="42">
        <v>484</v>
      </c>
      <c r="D488" s="20"/>
      <c r="E488" s="58"/>
      <c r="F488" s="63" t="str">
        <f t="shared" si="50"/>
        <v/>
      </c>
      <c r="G488" s="66" t="str">
        <f>IF(D488="","",IFERROR('Prod 3'!H488/'Prod 3'!$H$3,0))</f>
        <v/>
      </c>
      <c r="H488" s="70" t="str">
        <f>IF(D488="","",'Prod 2'!K488)</f>
        <v/>
      </c>
      <c r="I488" s="77" t="str">
        <f t="shared" si="51"/>
        <v/>
      </c>
      <c r="J488" s="57"/>
      <c r="L488" s="19">
        <v>4.8400000000000005E-7</v>
      </c>
      <c r="M488" s="59">
        <f t="shared" si="52"/>
        <v>0</v>
      </c>
      <c r="N488" s="59">
        <f t="shared" si="53"/>
        <v>0</v>
      </c>
      <c r="O488" s="59">
        <f t="shared" si="54"/>
        <v>0</v>
      </c>
      <c r="P488" s="19" t="str">
        <f t="shared" si="55"/>
        <v/>
      </c>
      <c r="Q488" s="19" t="s">
        <v>524</v>
      </c>
    </row>
    <row r="489" spans="2:17" ht="30" customHeight="1" x14ac:dyDescent="0.25">
      <c r="B489" s="62" t="str">
        <f t="shared" si="49"/>
        <v/>
      </c>
      <c r="C489" s="42">
        <v>485</v>
      </c>
      <c r="D489" s="20"/>
      <c r="E489" s="58"/>
      <c r="F489" s="63" t="str">
        <f t="shared" si="50"/>
        <v/>
      </c>
      <c r="G489" s="66" t="str">
        <f>IF(D489="","",IFERROR('Prod 3'!H489/'Prod 3'!$H$3,0))</f>
        <v/>
      </c>
      <c r="H489" s="70" t="str">
        <f>IF(D489="","",'Prod 2'!K489)</f>
        <v/>
      </c>
      <c r="I489" s="77" t="str">
        <f t="shared" si="51"/>
        <v/>
      </c>
      <c r="J489" s="57"/>
      <c r="L489" s="19">
        <v>4.8500000000000002E-7</v>
      </c>
      <c r="M489" s="59">
        <f t="shared" si="52"/>
        <v>0</v>
      </c>
      <c r="N489" s="59">
        <f t="shared" si="53"/>
        <v>0</v>
      </c>
      <c r="O489" s="59">
        <f t="shared" si="54"/>
        <v>0</v>
      </c>
      <c r="P489" s="19" t="str">
        <f t="shared" si="55"/>
        <v/>
      </c>
      <c r="Q489" s="19" t="s">
        <v>525</v>
      </c>
    </row>
    <row r="490" spans="2:17" ht="30" customHeight="1" x14ac:dyDescent="0.25">
      <c r="B490" s="62" t="str">
        <f t="shared" si="49"/>
        <v/>
      </c>
      <c r="C490" s="42">
        <v>486</v>
      </c>
      <c r="D490" s="20"/>
      <c r="E490" s="58"/>
      <c r="F490" s="63" t="str">
        <f t="shared" si="50"/>
        <v/>
      </c>
      <c r="G490" s="66" t="str">
        <f>IF(D490="","",IFERROR('Prod 3'!H490/'Prod 3'!$H$3,0))</f>
        <v/>
      </c>
      <c r="H490" s="70" t="str">
        <f>IF(D490="","",'Prod 2'!K490)</f>
        <v/>
      </c>
      <c r="I490" s="77" t="str">
        <f t="shared" si="51"/>
        <v/>
      </c>
      <c r="J490" s="57"/>
      <c r="L490" s="19">
        <v>4.8599999999999998E-7</v>
      </c>
      <c r="M490" s="59">
        <f t="shared" si="52"/>
        <v>0</v>
      </c>
      <c r="N490" s="59">
        <f t="shared" si="53"/>
        <v>0</v>
      </c>
      <c r="O490" s="59">
        <f t="shared" si="54"/>
        <v>0</v>
      </c>
      <c r="P490" s="19" t="str">
        <f t="shared" si="55"/>
        <v/>
      </c>
      <c r="Q490" s="19" t="s">
        <v>526</v>
      </c>
    </row>
    <row r="491" spans="2:17" ht="30" customHeight="1" x14ac:dyDescent="0.25">
      <c r="B491" s="62" t="str">
        <f t="shared" si="49"/>
        <v/>
      </c>
      <c r="C491" s="42">
        <v>487</v>
      </c>
      <c r="D491" s="20"/>
      <c r="E491" s="58"/>
      <c r="F491" s="63" t="str">
        <f t="shared" si="50"/>
        <v/>
      </c>
      <c r="G491" s="66" t="str">
        <f>IF(D491="","",IFERROR('Prod 3'!H491/'Prod 3'!$H$3,0))</f>
        <v/>
      </c>
      <c r="H491" s="70" t="str">
        <f>IF(D491="","",'Prod 2'!K491)</f>
        <v/>
      </c>
      <c r="I491" s="77" t="str">
        <f t="shared" si="51"/>
        <v/>
      </c>
      <c r="J491" s="57"/>
      <c r="L491" s="19">
        <v>4.8699999999999995E-7</v>
      </c>
      <c r="M491" s="59">
        <f t="shared" si="52"/>
        <v>0</v>
      </c>
      <c r="N491" s="59">
        <f t="shared" si="53"/>
        <v>0</v>
      </c>
      <c r="O491" s="59">
        <f t="shared" si="54"/>
        <v>0</v>
      </c>
      <c r="P491" s="19" t="str">
        <f t="shared" si="55"/>
        <v/>
      </c>
      <c r="Q491" s="19" t="s">
        <v>527</v>
      </c>
    </row>
    <row r="492" spans="2:17" ht="30" customHeight="1" x14ac:dyDescent="0.25">
      <c r="B492" s="62" t="str">
        <f t="shared" si="49"/>
        <v/>
      </c>
      <c r="C492" s="42">
        <v>488</v>
      </c>
      <c r="D492" s="20"/>
      <c r="E492" s="58"/>
      <c r="F492" s="63" t="str">
        <f t="shared" si="50"/>
        <v/>
      </c>
      <c r="G492" s="66" t="str">
        <f>IF(D492="","",IFERROR('Prod 3'!H492/'Prod 3'!$H$3,0))</f>
        <v/>
      </c>
      <c r="H492" s="70" t="str">
        <f>IF(D492="","",'Prod 2'!K492)</f>
        <v/>
      </c>
      <c r="I492" s="77" t="str">
        <f t="shared" si="51"/>
        <v/>
      </c>
      <c r="J492" s="57"/>
      <c r="L492" s="19">
        <v>4.8800000000000003E-7</v>
      </c>
      <c r="M492" s="59">
        <f t="shared" si="52"/>
        <v>0</v>
      </c>
      <c r="N492" s="59">
        <f t="shared" si="53"/>
        <v>0</v>
      </c>
      <c r="O492" s="59">
        <f t="shared" si="54"/>
        <v>0</v>
      </c>
      <c r="P492" s="19" t="str">
        <f t="shared" si="55"/>
        <v/>
      </c>
      <c r="Q492" s="19" t="s">
        <v>528</v>
      </c>
    </row>
    <row r="493" spans="2:17" ht="30" customHeight="1" x14ac:dyDescent="0.25">
      <c r="B493" s="62" t="str">
        <f t="shared" si="49"/>
        <v/>
      </c>
      <c r="C493" s="42">
        <v>489</v>
      </c>
      <c r="D493" s="20"/>
      <c r="E493" s="58"/>
      <c r="F493" s="63" t="str">
        <f t="shared" si="50"/>
        <v/>
      </c>
      <c r="G493" s="66" t="str">
        <f>IF(D493="","",IFERROR('Prod 3'!H493/'Prod 3'!$H$3,0))</f>
        <v/>
      </c>
      <c r="H493" s="70" t="str">
        <f>IF(D493="","",'Prod 2'!K493)</f>
        <v/>
      </c>
      <c r="I493" s="77" t="str">
        <f t="shared" si="51"/>
        <v/>
      </c>
      <c r="J493" s="57"/>
      <c r="L493" s="19">
        <v>4.89E-7</v>
      </c>
      <c r="M493" s="59">
        <f t="shared" si="52"/>
        <v>0</v>
      </c>
      <c r="N493" s="59">
        <f t="shared" si="53"/>
        <v>0</v>
      </c>
      <c r="O493" s="59">
        <f t="shared" si="54"/>
        <v>0</v>
      </c>
      <c r="P493" s="19" t="str">
        <f t="shared" si="55"/>
        <v/>
      </c>
      <c r="Q493" s="19" t="s">
        <v>529</v>
      </c>
    </row>
    <row r="494" spans="2:17" ht="30" customHeight="1" x14ac:dyDescent="0.25">
      <c r="B494" s="62" t="str">
        <f t="shared" si="49"/>
        <v/>
      </c>
      <c r="C494" s="42">
        <v>490</v>
      </c>
      <c r="D494" s="20"/>
      <c r="E494" s="58"/>
      <c r="F494" s="63" t="str">
        <f t="shared" si="50"/>
        <v/>
      </c>
      <c r="G494" s="66" t="str">
        <f>IF(D494="","",IFERROR('Prod 3'!H494/'Prod 3'!$H$3,0))</f>
        <v/>
      </c>
      <c r="H494" s="70" t="str">
        <f>IF(D494="","",'Prod 2'!K494)</f>
        <v/>
      </c>
      <c r="I494" s="77" t="str">
        <f t="shared" si="51"/>
        <v/>
      </c>
      <c r="J494" s="57"/>
      <c r="L494" s="19">
        <v>4.8999999999999997E-7</v>
      </c>
      <c r="M494" s="59">
        <f t="shared" si="52"/>
        <v>0</v>
      </c>
      <c r="N494" s="59">
        <f t="shared" si="53"/>
        <v>0</v>
      </c>
      <c r="O494" s="59">
        <f t="shared" si="54"/>
        <v>0</v>
      </c>
      <c r="P494" s="19" t="str">
        <f t="shared" si="55"/>
        <v/>
      </c>
      <c r="Q494" s="19" t="s">
        <v>530</v>
      </c>
    </row>
    <row r="495" spans="2:17" ht="30" customHeight="1" x14ac:dyDescent="0.25">
      <c r="B495" s="62" t="str">
        <f t="shared" si="49"/>
        <v/>
      </c>
      <c r="C495" s="42">
        <v>491</v>
      </c>
      <c r="D495" s="20"/>
      <c r="E495" s="58"/>
      <c r="F495" s="63" t="str">
        <f t="shared" si="50"/>
        <v/>
      </c>
      <c r="G495" s="66" t="str">
        <f>IF(D495="","",IFERROR('Prod 3'!H495/'Prod 3'!$H$3,0))</f>
        <v/>
      </c>
      <c r="H495" s="70" t="str">
        <f>IF(D495="","",'Prod 2'!K495)</f>
        <v/>
      </c>
      <c r="I495" s="77" t="str">
        <f t="shared" si="51"/>
        <v/>
      </c>
      <c r="J495" s="57"/>
      <c r="L495" s="19">
        <v>4.9100000000000004E-7</v>
      </c>
      <c r="M495" s="59">
        <f t="shared" si="52"/>
        <v>0</v>
      </c>
      <c r="N495" s="59">
        <f t="shared" si="53"/>
        <v>0</v>
      </c>
      <c r="O495" s="59">
        <f t="shared" si="54"/>
        <v>0</v>
      </c>
      <c r="P495" s="19" t="str">
        <f t="shared" si="55"/>
        <v/>
      </c>
      <c r="Q495" s="19" t="s">
        <v>531</v>
      </c>
    </row>
    <row r="496" spans="2:17" ht="30" customHeight="1" x14ac:dyDescent="0.25">
      <c r="B496" s="62" t="str">
        <f t="shared" si="49"/>
        <v/>
      </c>
      <c r="C496" s="42">
        <v>492</v>
      </c>
      <c r="D496" s="20"/>
      <c r="E496" s="58"/>
      <c r="F496" s="63" t="str">
        <f t="shared" si="50"/>
        <v/>
      </c>
      <c r="G496" s="66" t="str">
        <f>IF(D496="","",IFERROR('Prod 3'!H496/'Prod 3'!$H$3,0))</f>
        <v/>
      </c>
      <c r="H496" s="70" t="str">
        <f>IF(D496="","",'Prod 2'!K496)</f>
        <v/>
      </c>
      <c r="I496" s="77" t="str">
        <f t="shared" si="51"/>
        <v/>
      </c>
      <c r="J496" s="57"/>
      <c r="L496" s="19">
        <v>4.9200000000000001E-7</v>
      </c>
      <c r="M496" s="59">
        <f t="shared" si="52"/>
        <v>0</v>
      </c>
      <c r="N496" s="59">
        <f t="shared" si="53"/>
        <v>0</v>
      </c>
      <c r="O496" s="59">
        <f t="shared" si="54"/>
        <v>0</v>
      </c>
      <c r="P496" s="19" t="str">
        <f t="shared" si="55"/>
        <v/>
      </c>
      <c r="Q496" s="19" t="s">
        <v>532</v>
      </c>
    </row>
    <row r="497" spans="2:17" ht="30" customHeight="1" x14ac:dyDescent="0.25">
      <c r="B497" s="62" t="str">
        <f t="shared" si="49"/>
        <v/>
      </c>
      <c r="C497" s="42">
        <v>493</v>
      </c>
      <c r="D497" s="20"/>
      <c r="E497" s="58"/>
      <c r="F497" s="63" t="str">
        <f t="shared" si="50"/>
        <v/>
      </c>
      <c r="G497" s="66" t="str">
        <f>IF(D497="","",IFERROR('Prod 3'!H497/'Prod 3'!$H$3,0))</f>
        <v/>
      </c>
      <c r="H497" s="70" t="str">
        <f>IF(D497="","",'Prod 2'!K497)</f>
        <v/>
      </c>
      <c r="I497" s="77" t="str">
        <f t="shared" si="51"/>
        <v/>
      </c>
      <c r="J497" s="57"/>
      <c r="L497" s="19">
        <v>4.9299999999999998E-7</v>
      </c>
      <c r="M497" s="59">
        <f t="shared" si="52"/>
        <v>0</v>
      </c>
      <c r="N497" s="59">
        <f t="shared" si="53"/>
        <v>0</v>
      </c>
      <c r="O497" s="59">
        <f t="shared" si="54"/>
        <v>0</v>
      </c>
      <c r="P497" s="19" t="str">
        <f t="shared" si="55"/>
        <v/>
      </c>
      <c r="Q497" s="19" t="s">
        <v>533</v>
      </c>
    </row>
    <row r="498" spans="2:17" ht="30" customHeight="1" x14ac:dyDescent="0.25">
      <c r="B498" s="62" t="str">
        <f t="shared" si="49"/>
        <v/>
      </c>
      <c r="C498" s="42">
        <v>494</v>
      </c>
      <c r="D498" s="20"/>
      <c r="E498" s="58"/>
      <c r="F498" s="63" t="str">
        <f t="shared" si="50"/>
        <v/>
      </c>
      <c r="G498" s="66" t="str">
        <f>IF(D498="","",IFERROR('Prod 3'!H498/'Prod 3'!$H$3,0))</f>
        <v/>
      </c>
      <c r="H498" s="70" t="str">
        <f>IF(D498="","",'Prod 2'!K498)</f>
        <v/>
      </c>
      <c r="I498" s="77" t="str">
        <f t="shared" si="51"/>
        <v/>
      </c>
      <c r="J498" s="57"/>
      <c r="L498" s="19">
        <v>4.9399999999999995E-7</v>
      </c>
      <c r="M498" s="59">
        <f t="shared" si="52"/>
        <v>0</v>
      </c>
      <c r="N498" s="59">
        <f t="shared" si="53"/>
        <v>0</v>
      </c>
      <c r="O498" s="59">
        <f t="shared" si="54"/>
        <v>0</v>
      </c>
      <c r="P498" s="19" t="str">
        <f t="shared" si="55"/>
        <v/>
      </c>
      <c r="Q498" s="19" t="s">
        <v>534</v>
      </c>
    </row>
    <row r="499" spans="2:17" ht="30" customHeight="1" x14ac:dyDescent="0.25">
      <c r="B499" s="62" t="str">
        <f t="shared" si="49"/>
        <v/>
      </c>
      <c r="C499" s="42">
        <v>495</v>
      </c>
      <c r="D499" s="20"/>
      <c r="E499" s="58"/>
      <c r="F499" s="63" t="str">
        <f t="shared" si="50"/>
        <v/>
      </c>
      <c r="G499" s="66" t="str">
        <f>IF(D499="","",IFERROR('Prod 3'!H499/'Prod 3'!$H$3,0))</f>
        <v/>
      </c>
      <c r="H499" s="70" t="str">
        <f>IF(D499="","",'Prod 2'!K499)</f>
        <v/>
      </c>
      <c r="I499" s="77" t="str">
        <f t="shared" si="51"/>
        <v/>
      </c>
      <c r="J499" s="57"/>
      <c r="L499" s="19">
        <v>4.9500000000000003E-7</v>
      </c>
      <c r="M499" s="59">
        <f t="shared" si="52"/>
        <v>0</v>
      </c>
      <c r="N499" s="59">
        <f t="shared" si="53"/>
        <v>0</v>
      </c>
      <c r="O499" s="59">
        <f t="shared" si="54"/>
        <v>0</v>
      </c>
      <c r="P499" s="19" t="str">
        <f t="shared" si="55"/>
        <v/>
      </c>
      <c r="Q499" s="19" t="s">
        <v>535</v>
      </c>
    </row>
    <row r="500" spans="2:17" ht="30" customHeight="1" x14ac:dyDescent="0.25">
      <c r="B500" s="62" t="str">
        <f t="shared" si="49"/>
        <v/>
      </c>
      <c r="C500" s="42">
        <v>496</v>
      </c>
      <c r="D500" s="20"/>
      <c r="E500" s="58"/>
      <c r="F500" s="63" t="str">
        <f t="shared" si="50"/>
        <v/>
      </c>
      <c r="G500" s="66" t="str">
        <f>IF(D500="","",IFERROR('Prod 3'!H500/'Prod 3'!$H$3,0))</f>
        <v/>
      </c>
      <c r="H500" s="70" t="str">
        <f>IF(D500="","",'Prod 2'!K500)</f>
        <v/>
      </c>
      <c r="I500" s="77" t="str">
        <f t="shared" si="51"/>
        <v/>
      </c>
      <c r="J500" s="57"/>
      <c r="L500" s="19">
        <v>4.9599999999999999E-7</v>
      </c>
      <c r="M500" s="59">
        <f t="shared" si="52"/>
        <v>0</v>
      </c>
      <c r="N500" s="59">
        <f t="shared" si="53"/>
        <v>0</v>
      </c>
      <c r="O500" s="59">
        <f t="shared" si="54"/>
        <v>0</v>
      </c>
      <c r="P500" s="19" t="str">
        <f t="shared" si="55"/>
        <v/>
      </c>
      <c r="Q500" s="19" t="s">
        <v>536</v>
      </c>
    </row>
    <row r="501" spans="2:17" ht="30" customHeight="1" x14ac:dyDescent="0.25">
      <c r="B501" s="62" t="str">
        <f t="shared" si="49"/>
        <v/>
      </c>
      <c r="C501" s="42">
        <v>497</v>
      </c>
      <c r="D501" s="20"/>
      <c r="E501" s="58"/>
      <c r="F501" s="63" t="str">
        <f t="shared" si="50"/>
        <v/>
      </c>
      <c r="G501" s="66" t="str">
        <f>IF(D501="","",IFERROR('Prod 3'!H501/'Prod 3'!$H$3,0))</f>
        <v/>
      </c>
      <c r="H501" s="70" t="str">
        <f>IF(D501="","",'Prod 2'!K501)</f>
        <v/>
      </c>
      <c r="I501" s="77" t="str">
        <f t="shared" si="51"/>
        <v/>
      </c>
      <c r="J501" s="57"/>
      <c r="L501" s="19">
        <v>4.9699999999999996E-7</v>
      </c>
      <c r="M501" s="59">
        <f t="shared" si="52"/>
        <v>0</v>
      </c>
      <c r="N501" s="59">
        <f t="shared" si="53"/>
        <v>0</v>
      </c>
      <c r="O501" s="59">
        <f t="shared" si="54"/>
        <v>0</v>
      </c>
      <c r="P501" s="19" t="str">
        <f t="shared" si="55"/>
        <v/>
      </c>
      <c r="Q501" s="19" t="s">
        <v>537</v>
      </c>
    </row>
    <row r="502" spans="2:17" ht="30" customHeight="1" x14ac:dyDescent="0.25">
      <c r="B502" s="62" t="str">
        <f t="shared" si="49"/>
        <v/>
      </c>
      <c r="C502" s="42">
        <v>498</v>
      </c>
      <c r="D502" s="20"/>
      <c r="E502" s="58"/>
      <c r="F502" s="63" t="str">
        <f t="shared" si="50"/>
        <v/>
      </c>
      <c r="G502" s="66" t="str">
        <f>IF(D502="","",IFERROR('Prod 3'!H502/'Prod 3'!$H$3,0))</f>
        <v/>
      </c>
      <c r="H502" s="70" t="str">
        <f>IF(D502="","",'Prod 2'!K502)</f>
        <v/>
      </c>
      <c r="I502" s="77" t="str">
        <f t="shared" si="51"/>
        <v/>
      </c>
      <c r="J502" s="57"/>
      <c r="L502" s="19">
        <v>4.9800000000000004E-7</v>
      </c>
      <c r="M502" s="59">
        <f t="shared" si="52"/>
        <v>0</v>
      </c>
      <c r="N502" s="59">
        <f t="shared" si="53"/>
        <v>0</v>
      </c>
      <c r="O502" s="59">
        <f t="shared" si="54"/>
        <v>0</v>
      </c>
      <c r="P502" s="19" t="str">
        <f t="shared" si="55"/>
        <v/>
      </c>
      <c r="Q502" s="19" t="s">
        <v>538</v>
      </c>
    </row>
    <row r="503" spans="2:17" ht="30" customHeight="1" x14ac:dyDescent="0.25">
      <c r="B503" s="62" t="str">
        <f t="shared" si="49"/>
        <v/>
      </c>
      <c r="C503" s="42">
        <v>499</v>
      </c>
      <c r="D503" s="20"/>
      <c r="E503" s="58"/>
      <c r="F503" s="63" t="str">
        <f t="shared" si="50"/>
        <v/>
      </c>
      <c r="G503" s="66" t="str">
        <f>IF(D503="","",IFERROR('Prod 3'!H503/'Prod 3'!$H$3,0))</f>
        <v/>
      </c>
      <c r="H503" s="70" t="str">
        <f>IF(D503="","",'Prod 2'!K503)</f>
        <v/>
      </c>
      <c r="I503" s="77" t="str">
        <f t="shared" si="51"/>
        <v/>
      </c>
      <c r="J503" s="57"/>
      <c r="L503" s="19">
        <v>4.9900000000000001E-7</v>
      </c>
      <c r="M503" s="59">
        <f t="shared" si="52"/>
        <v>0</v>
      </c>
      <c r="N503" s="59">
        <f t="shared" si="53"/>
        <v>0</v>
      </c>
      <c r="O503" s="59">
        <f t="shared" si="54"/>
        <v>0</v>
      </c>
      <c r="P503" s="19" t="str">
        <f t="shared" si="55"/>
        <v/>
      </c>
      <c r="Q503" s="19" t="s">
        <v>539</v>
      </c>
    </row>
    <row r="504" spans="2:17" ht="30" customHeight="1" x14ac:dyDescent="0.25">
      <c r="B504" s="62" t="str">
        <f t="shared" si="49"/>
        <v/>
      </c>
      <c r="C504" s="42">
        <v>500</v>
      </c>
      <c r="D504" s="20"/>
      <c r="E504" s="58"/>
      <c r="F504" s="63" t="str">
        <f t="shared" si="50"/>
        <v/>
      </c>
      <c r="G504" s="66" t="str">
        <f>IF(D504="","",IFERROR('Prod 3'!H504/'Prod 3'!$H$3,0))</f>
        <v/>
      </c>
      <c r="H504" s="70" t="str">
        <f>IF(D504="","",'Prod 2'!K504)</f>
        <v/>
      </c>
      <c r="I504" s="77" t="str">
        <f t="shared" si="51"/>
        <v/>
      </c>
      <c r="J504" s="57"/>
      <c r="L504" s="19">
        <v>4.9999999999999998E-7</v>
      </c>
      <c r="M504" s="59">
        <f t="shared" si="52"/>
        <v>0</v>
      </c>
      <c r="N504" s="59">
        <f t="shared" si="53"/>
        <v>0</v>
      </c>
      <c r="O504" s="59">
        <f t="shared" si="54"/>
        <v>0</v>
      </c>
      <c r="P504" s="19" t="str">
        <f t="shared" si="55"/>
        <v/>
      </c>
      <c r="Q504" s="19" t="s">
        <v>540</v>
      </c>
    </row>
    <row r="505" spans="2:17" ht="30" customHeight="1" x14ac:dyDescent="0.25">
      <c r="B505" s="62" t="str">
        <f t="shared" si="49"/>
        <v/>
      </c>
      <c r="C505" s="42">
        <v>501</v>
      </c>
      <c r="D505" s="20"/>
      <c r="E505" s="58"/>
      <c r="F505" s="63" t="str">
        <f t="shared" si="50"/>
        <v/>
      </c>
      <c r="G505" s="66" t="str">
        <f>IF(D505="","",IFERROR('Prod 3'!H505/'Prod 3'!$H$3,0))</f>
        <v/>
      </c>
      <c r="H505" s="70" t="str">
        <f>IF(D505="","",'Prod 2'!K505)</f>
        <v/>
      </c>
      <c r="I505" s="77" t="str">
        <f t="shared" si="51"/>
        <v/>
      </c>
      <c r="J505" s="57"/>
      <c r="L505" s="19">
        <v>5.0100000000000005E-7</v>
      </c>
      <c r="M505" s="59">
        <f t="shared" si="52"/>
        <v>0</v>
      </c>
      <c r="N505" s="59">
        <f t="shared" si="53"/>
        <v>0</v>
      </c>
      <c r="O505" s="59">
        <f t="shared" si="54"/>
        <v>0</v>
      </c>
      <c r="P505" s="19" t="str">
        <f t="shared" si="55"/>
        <v/>
      </c>
      <c r="Q505" s="19" t="s">
        <v>541</v>
      </c>
    </row>
    <row r="506" spans="2:17" ht="30" customHeight="1" x14ac:dyDescent="0.25">
      <c r="B506" s="62" t="str">
        <f t="shared" si="49"/>
        <v/>
      </c>
      <c r="C506" s="42">
        <v>502</v>
      </c>
      <c r="D506" s="20"/>
      <c r="E506" s="58"/>
      <c r="F506" s="63" t="str">
        <f t="shared" si="50"/>
        <v/>
      </c>
      <c r="G506" s="66" t="str">
        <f>IF(D506="","",IFERROR('Prod 3'!H506/'Prod 3'!$H$3,0))</f>
        <v/>
      </c>
      <c r="H506" s="70" t="str">
        <f>IF(D506="","",'Prod 2'!K506)</f>
        <v/>
      </c>
      <c r="I506" s="77" t="str">
        <f t="shared" si="51"/>
        <v/>
      </c>
      <c r="J506" s="57"/>
      <c r="L506" s="19">
        <v>5.0200000000000002E-7</v>
      </c>
      <c r="M506" s="59">
        <f t="shared" si="52"/>
        <v>0</v>
      </c>
      <c r="N506" s="59">
        <f t="shared" si="53"/>
        <v>0</v>
      </c>
      <c r="O506" s="59">
        <f t="shared" si="54"/>
        <v>0</v>
      </c>
      <c r="P506" s="19" t="str">
        <f t="shared" si="55"/>
        <v/>
      </c>
      <c r="Q506" s="19" t="s">
        <v>542</v>
      </c>
    </row>
    <row r="507" spans="2:17" ht="30" customHeight="1" x14ac:dyDescent="0.25">
      <c r="B507" s="62" t="str">
        <f t="shared" si="49"/>
        <v/>
      </c>
      <c r="C507" s="42">
        <v>503</v>
      </c>
      <c r="D507" s="20"/>
      <c r="E507" s="58"/>
      <c r="F507" s="63" t="str">
        <f t="shared" si="50"/>
        <v/>
      </c>
      <c r="G507" s="66" t="str">
        <f>IF(D507="","",IFERROR('Prod 3'!H507/'Prod 3'!$H$3,0))</f>
        <v/>
      </c>
      <c r="H507" s="70" t="str">
        <f>IF(D507="","",'Prod 2'!K507)</f>
        <v/>
      </c>
      <c r="I507" s="77" t="str">
        <f t="shared" si="51"/>
        <v/>
      </c>
      <c r="J507" s="57"/>
      <c r="L507" s="19">
        <v>5.0299999999999999E-7</v>
      </c>
      <c r="M507" s="59">
        <f t="shared" si="52"/>
        <v>0</v>
      </c>
      <c r="N507" s="59">
        <f t="shared" si="53"/>
        <v>0</v>
      </c>
      <c r="O507" s="59">
        <f t="shared" si="54"/>
        <v>0</v>
      </c>
      <c r="P507" s="19" t="str">
        <f t="shared" si="55"/>
        <v/>
      </c>
      <c r="Q507" s="19" t="s">
        <v>543</v>
      </c>
    </row>
    <row r="508" spans="2:17" ht="30" customHeight="1" x14ac:dyDescent="0.25">
      <c r="B508" s="62" t="str">
        <f t="shared" si="49"/>
        <v/>
      </c>
      <c r="C508" s="42">
        <v>504</v>
      </c>
      <c r="D508" s="20"/>
      <c r="E508" s="58"/>
      <c r="F508" s="63" t="str">
        <f t="shared" si="50"/>
        <v/>
      </c>
      <c r="G508" s="66" t="str">
        <f>IF(D508="","",IFERROR('Prod 3'!H508/'Prod 3'!$H$3,0))</f>
        <v/>
      </c>
      <c r="H508" s="70" t="str">
        <f>IF(D508="","",'Prod 2'!K508)</f>
        <v/>
      </c>
      <c r="I508" s="77" t="str">
        <f t="shared" si="51"/>
        <v/>
      </c>
      <c r="J508" s="57"/>
      <c r="L508" s="19">
        <v>5.0399999999999996E-7</v>
      </c>
      <c r="M508" s="59">
        <f t="shared" si="52"/>
        <v>0</v>
      </c>
      <c r="N508" s="59">
        <f t="shared" si="53"/>
        <v>0</v>
      </c>
      <c r="O508" s="59">
        <f t="shared" si="54"/>
        <v>0</v>
      </c>
      <c r="P508" s="19" t="str">
        <f t="shared" si="55"/>
        <v/>
      </c>
      <c r="Q508" s="19" t="s">
        <v>544</v>
      </c>
    </row>
    <row r="509" spans="2:17" ht="30" customHeight="1" x14ac:dyDescent="0.25">
      <c r="B509" s="62" t="str">
        <f t="shared" si="49"/>
        <v/>
      </c>
      <c r="C509" s="42">
        <v>505</v>
      </c>
      <c r="D509" s="20"/>
      <c r="E509" s="58"/>
      <c r="F509" s="63" t="str">
        <f t="shared" si="50"/>
        <v/>
      </c>
      <c r="G509" s="66" t="str">
        <f>IF(D509="","",IFERROR('Prod 3'!H509/'Prod 3'!$H$3,0))</f>
        <v/>
      </c>
      <c r="H509" s="70" t="str">
        <f>IF(D509="","",'Prod 2'!K509)</f>
        <v/>
      </c>
      <c r="I509" s="77" t="str">
        <f t="shared" si="51"/>
        <v/>
      </c>
      <c r="J509" s="57"/>
      <c r="L509" s="19">
        <v>5.0500000000000004E-7</v>
      </c>
      <c r="M509" s="59">
        <f t="shared" si="52"/>
        <v>0</v>
      </c>
      <c r="N509" s="59">
        <f t="shared" si="53"/>
        <v>0</v>
      </c>
      <c r="O509" s="59">
        <f t="shared" si="54"/>
        <v>0</v>
      </c>
      <c r="P509" s="19" t="str">
        <f t="shared" si="55"/>
        <v/>
      </c>
      <c r="Q509" s="19" t="s">
        <v>545</v>
      </c>
    </row>
    <row r="510" spans="2:17" ht="30" customHeight="1" x14ac:dyDescent="0.25">
      <c r="B510" s="62" t="str">
        <f t="shared" si="49"/>
        <v/>
      </c>
      <c r="C510" s="42">
        <v>506</v>
      </c>
      <c r="D510" s="20"/>
      <c r="E510" s="58"/>
      <c r="F510" s="63" t="str">
        <f t="shared" si="50"/>
        <v/>
      </c>
      <c r="G510" s="66" t="str">
        <f>IF(D510="","",IFERROR('Prod 3'!H510/'Prod 3'!$H$3,0))</f>
        <v/>
      </c>
      <c r="H510" s="70" t="str">
        <f>IF(D510="","",'Prod 2'!K510)</f>
        <v/>
      </c>
      <c r="I510" s="77" t="str">
        <f t="shared" si="51"/>
        <v/>
      </c>
      <c r="J510" s="57"/>
      <c r="L510" s="19">
        <v>5.06E-7</v>
      </c>
      <c r="M510" s="59">
        <f t="shared" si="52"/>
        <v>0</v>
      </c>
      <c r="N510" s="59">
        <f t="shared" si="53"/>
        <v>0</v>
      </c>
      <c r="O510" s="59">
        <f t="shared" si="54"/>
        <v>0</v>
      </c>
      <c r="P510" s="19" t="str">
        <f t="shared" si="55"/>
        <v/>
      </c>
      <c r="Q510" s="19" t="s">
        <v>546</v>
      </c>
    </row>
    <row r="511" spans="2:17" ht="30" customHeight="1" x14ac:dyDescent="0.25">
      <c r="B511" s="62" t="str">
        <f t="shared" si="49"/>
        <v/>
      </c>
      <c r="C511" s="42">
        <v>507</v>
      </c>
      <c r="D511" s="20"/>
      <c r="E511" s="58"/>
      <c r="F511" s="63" t="str">
        <f t="shared" si="50"/>
        <v/>
      </c>
      <c r="G511" s="66" t="str">
        <f>IF(D511="","",IFERROR('Prod 3'!H511/'Prod 3'!$H$3,0))</f>
        <v/>
      </c>
      <c r="H511" s="70" t="str">
        <f>IF(D511="","",'Prod 2'!K511)</f>
        <v/>
      </c>
      <c r="I511" s="77" t="str">
        <f t="shared" si="51"/>
        <v/>
      </c>
      <c r="J511" s="57"/>
      <c r="L511" s="19">
        <v>5.0699999999999997E-7</v>
      </c>
      <c r="M511" s="59">
        <f t="shared" si="52"/>
        <v>0</v>
      </c>
      <c r="N511" s="59">
        <f t="shared" si="53"/>
        <v>0</v>
      </c>
      <c r="O511" s="59">
        <f t="shared" si="54"/>
        <v>0</v>
      </c>
      <c r="P511" s="19" t="str">
        <f t="shared" si="55"/>
        <v/>
      </c>
      <c r="Q511" s="19" t="s">
        <v>547</v>
      </c>
    </row>
    <row r="512" spans="2:17" ht="30" customHeight="1" x14ac:dyDescent="0.25">
      <c r="B512" s="62" t="str">
        <f t="shared" si="49"/>
        <v/>
      </c>
      <c r="C512" s="42">
        <v>508</v>
      </c>
      <c r="D512" s="20"/>
      <c r="E512" s="58"/>
      <c r="F512" s="63" t="str">
        <f t="shared" si="50"/>
        <v/>
      </c>
      <c r="G512" s="66" t="str">
        <f>IF(D512="","",IFERROR('Prod 3'!H512/'Prod 3'!$H$3,0))</f>
        <v/>
      </c>
      <c r="H512" s="70" t="str">
        <f>IF(D512="","",'Prod 2'!K512)</f>
        <v/>
      </c>
      <c r="I512" s="77" t="str">
        <f t="shared" si="51"/>
        <v/>
      </c>
      <c r="J512" s="57"/>
      <c r="L512" s="19">
        <v>5.0800000000000005E-7</v>
      </c>
      <c r="M512" s="59">
        <f t="shared" si="52"/>
        <v>0</v>
      </c>
      <c r="N512" s="59">
        <f t="shared" si="53"/>
        <v>0</v>
      </c>
      <c r="O512" s="59">
        <f t="shared" si="54"/>
        <v>0</v>
      </c>
      <c r="P512" s="19" t="str">
        <f t="shared" si="55"/>
        <v/>
      </c>
      <c r="Q512" s="19" t="s">
        <v>548</v>
      </c>
    </row>
    <row r="513" spans="2:17" ht="30" customHeight="1" x14ac:dyDescent="0.25">
      <c r="B513" s="62" t="str">
        <f t="shared" si="49"/>
        <v/>
      </c>
      <c r="C513" s="42">
        <v>509</v>
      </c>
      <c r="D513" s="20"/>
      <c r="E513" s="58"/>
      <c r="F513" s="63" t="str">
        <f t="shared" si="50"/>
        <v/>
      </c>
      <c r="G513" s="66" t="str">
        <f>IF(D513="","",IFERROR('Prod 3'!H513/'Prod 3'!$H$3,0))</f>
        <v/>
      </c>
      <c r="H513" s="70" t="str">
        <f>IF(D513="","",'Prod 2'!K513)</f>
        <v/>
      </c>
      <c r="I513" s="77" t="str">
        <f t="shared" si="51"/>
        <v/>
      </c>
      <c r="J513" s="57"/>
      <c r="L513" s="19">
        <v>5.0900000000000002E-7</v>
      </c>
      <c r="M513" s="59">
        <f t="shared" si="52"/>
        <v>0</v>
      </c>
      <c r="N513" s="59">
        <f t="shared" si="53"/>
        <v>0</v>
      </c>
      <c r="O513" s="59">
        <f t="shared" si="54"/>
        <v>0</v>
      </c>
      <c r="P513" s="19" t="str">
        <f t="shared" si="55"/>
        <v/>
      </c>
      <c r="Q513" s="19" t="s">
        <v>549</v>
      </c>
    </row>
    <row r="514" spans="2:17" ht="30" customHeight="1" x14ac:dyDescent="0.25">
      <c r="B514" s="62" t="str">
        <f t="shared" si="49"/>
        <v/>
      </c>
      <c r="C514" s="42">
        <v>510</v>
      </c>
      <c r="D514" s="20"/>
      <c r="E514" s="58"/>
      <c r="F514" s="63" t="str">
        <f t="shared" si="50"/>
        <v/>
      </c>
      <c r="G514" s="66" t="str">
        <f>IF(D514="","",IFERROR('Prod 3'!H514/'Prod 3'!$H$3,0))</f>
        <v/>
      </c>
      <c r="H514" s="70" t="str">
        <f>IF(D514="","",'Prod 2'!K514)</f>
        <v/>
      </c>
      <c r="I514" s="77" t="str">
        <f t="shared" si="51"/>
        <v/>
      </c>
      <c r="J514" s="57"/>
      <c r="L514" s="19">
        <v>5.0999999999999999E-7</v>
      </c>
      <c r="M514" s="59">
        <f t="shared" si="52"/>
        <v>0</v>
      </c>
      <c r="N514" s="59">
        <f t="shared" si="53"/>
        <v>0</v>
      </c>
      <c r="O514" s="59">
        <f t="shared" si="54"/>
        <v>0</v>
      </c>
      <c r="P514" s="19" t="str">
        <f t="shared" si="55"/>
        <v/>
      </c>
      <c r="Q514" s="19" t="s">
        <v>550</v>
      </c>
    </row>
    <row r="515" spans="2:17" ht="30" customHeight="1" x14ac:dyDescent="0.25">
      <c r="B515" s="62" t="str">
        <f t="shared" si="49"/>
        <v/>
      </c>
      <c r="C515" s="42">
        <v>511</v>
      </c>
      <c r="D515" s="20"/>
      <c r="E515" s="58"/>
      <c r="F515" s="63" t="str">
        <f t="shared" si="50"/>
        <v/>
      </c>
      <c r="G515" s="66" t="str">
        <f>IF(D515="","",IFERROR('Prod 3'!H515/'Prod 3'!$H$3,0))</f>
        <v/>
      </c>
      <c r="H515" s="70" t="str">
        <f>IF(D515="","",'Prod 2'!K515)</f>
        <v/>
      </c>
      <c r="I515" s="77" t="str">
        <f t="shared" si="51"/>
        <v/>
      </c>
      <c r="J515" s="57"/>
      <c r="L515" s="19">
        <v>5.1099999999999996E-7</v>
      </c>
      <c r="M515" s="59">
        <f t="shared" si="52"/>
        <v>0</v>
      </c>
      <c r="N515" s="59">
        <f t="shared" si="53"/>
        <v>0</v>
      </c>
      <c r="O515" s="59">
        <f t="shared" si="54"/>
        <v>0</v>
      </c>
      <c r="P515" s="19" t="str">
        <f t="shared" si="55"/>
        <v/>
      </c>
      <c r="Q515" s="19" t="s">
        <v>551</v>
      </c>
    </row>
    <row r="516" spans="2:17" ht="30" customHeight="1" x14ac:dyDescent="0.25">
      <c r="B516" s="62" t="str">
        <f t="shared" si="49"/>
        <v/>
      </c>
      <c r="C516" s="42">
        <v>512</v>
      </c>
      <c r="D516" s="20"/>
      <c r="E516" s="58"/>
      <c r="F516" s="63" t="str">
        <f t="shared" si="50"/>
        <v/>
      </c>
      <c r="G516" s="66" t="str">
        <f>IF(D516="","",IFERROR('Prod 3'!H516/'Prod 3'!$H$3,0))</f>
        <v/>
      </c>
      <c r="H516" s="70" t="str">
        <f>IF(D516="","",'Prod 2'!K516)</f>
        <v/>
      </c>
      <c r="I516" s="77" t="str">
        <f t="shared" si="51"/>
        <v/>
      </c>
      <c r="J516" s="57"/>
      <c r="L516" s="19">
        <v>5.1200000000000003E-7</v>
      </c>
      <c r="M516" s="59">
        <f t="shared" si="52"/>
        <v>0</v>
      </c>
      <c r="N516" s="59">
        <f t="shared" si="53"/>
        <v>0</v>
      </c>
      <c r="O516" s="59">
        <f t="shared" si="54"/>
        <v>0</v>
      </c>
      <c r="P516" s="19" t="str">
        <f t="shared" si="55"/>
        <v/>
      </c>
      <c r="Q516" s="19" t="s">
        <v>552</v>
      </c>
    </row>
    <row r="517" spans="2:17" ht="30" customHeight="1" x14ac:dyDescent="0.25">
      <c r="B517" s="62" t="str">
        <f t="shared" si="49"/>
        <v/>
      </c>
      <c r="C517" s="42">
        <v>513</v>
      </c>
      <c r="D517" s="20"/>
      <c r="E517" s="58"/>
      <c r="F517" s="63" t="str">
        <f t="shared" si="50"/>
        <v/>
      </c>
      <c r="G517" s="66" t="str">
        <f>IF(D517="","",IFERROR('Prod 3'!H517/'Prod 3'!$H$3,0))</f>
        <v/>
      </c>
      <c r="H517" s="70" t="str">
        <f>IF(D517="","",'Prod 2'!K517)</f>
        <v/>
      </c>
      <c r="I517" s="77" t="str">
        <f t="shared" si="51"/>
        <v/>
      </c>
      <c r="J517" s="57"/>
      <c r="L517" s="19">
        <v>5.13E-7</v>
      </c>
      <c r="M517" s="59">
        <f t="shared" si="52"/>
        <v>0</v>
      </c>
      <c r="N517" s="59">
        <f t="shared" si="53"/>
        <v>0</v>
      </c>
      <c r="O517" s="59">
        <f t="shared" si="54"/>
        <v>0</v>
      </c>
      <c r="P517" s="19" t="str">
        <f t="shared" si="55"/>
        <v/>
      </c>
      <c r="Q517" s="19" t="s">
        <v>553</v>
      </c>
    </row>
    <row r="518" spans="2:17" ht="30" customHeight="1" x14ac:dyDescent="0.25">
      <c r="B518" s="62" t="str">
        <f t="shared" ref="B518:B581" si="56">IF(I518="","",I518)</f>
        <v/>
      </c>
      <c r="C518" s="42">
        <v>514</v>
      </c>
      <c r="D518" s="20"/>
      <c r="E518" s="58"/>
      <c r="F518" s="63" t="str">
        <f t="shared" ref="F518:F581" si="57">IF(D518="","",IFERROR(VLOOKUP(D518,$P$5:$Q$1004,2,0),""))</f>
        <v/>
      </c>
      <c r="G518" s="66" t="str">
        <f>IF(D518="","",IFERROR('Prod 3'!H518/'Prod 3'!$H$3,0))</f>
        <v/>
      </c>
      <c r="H518" s="70" t="str">
        <f>IF(D518="","",'Prod 2'!K518)</f>
        <v/>
      </c>
      <c r="I518" s="77" t="str">
        <f t="shared" ref="I518:I581" si="58">IF(D518="","",E518-H518+L518)</f>
        <v/>
      </c>
      <c r="J518" s="57"/>
      <c r="L518" s="19">
        <v>5.1399999999999997E-7</v>
      </c>
      <c r="M518" s="59">
        <f t="shared" ref="M518:M581" si="59">IFERROR(LARGE($I$5:$I$1004,C518),0)</f>
        <v>0</v>
      </c>
      <c r="N518" s="59">
        <f t="shared" ref="N518:N581" si="60">IFERROR(M518,0)</f>
        <v>0</v>
      </c>
      <c r="O518" s="59">
        <f t="shared" ref="O518:O581" si="61">IFERROR(LARGE($N$5:$N$1004,C518),0)</f>
        <v>0</v>
      </c>
      <c r="P518" s="19" t="str">
        <f t="shared" ref="P518:P581" si="62">IFERROR(IF(VLOOKUP(O518,$B$5:$D$1004,3,0)=0,"",(VLOOKUP(O518,$B$5:$D$1004,3,0))),"")</f>
        <v/>
      </c>
      <c r="Q518" s="19" t="s">
        <v>554</v>
      </c>
    </row>
    <row r="519" spans="2:17" ht="30" customHeight="1" x14ac:dyDescent="0.25">
      <c r="B519" s="62" t="str">
        <f t="shared" si="56"/>
        <v/>
      </c>
      <c r="C519" s="42">
        <v>515</v>
      </c>
      <c r="D519" s="20"/>
      <c r="E519" s="58"/>
      <c r="F519" s="63" t="str">
        <f t="shared" si="57"/>
        <v/>
      </c>
      <c r="G519" s="66" t="str">
        <f>IF(D519="","",IFERROR('Prod 3'!H519/'Prod 3'!$H$3,0))</f>
        <v/>
      </c>
      <c r="H519" s="70" t="str">
        <f>IF(D519="","",'Prod 2'!K519)</f>
        <v/>
      </c>
      <c r="I519" s="77" t="str">
        <f t="shared" si="58"/>
        <v/>
      </c>
      <c r="J519" s="57"/>
      <c r="L519" s="19">
        <v>5.1500000000000005E-7</v>
      </c>
      <c r="M519" s="59">
        <f t="shared" si="59"/>
        <v>0</v>
      </c>
      <c r="N519" s="59">
        <f t="shared" si="60"/>
        <v>0</v>
      </c>
      <c r="O519" s="59">
        <f t="shared" si="61"/>
        <v>0</v>
      </c>
      <c r="P519" s="19" t="str">
        <f t="shared" si="62"/>
        <v/>
      </c>
      <c r="Q519" s="19" t="s">
        <v>555</v>
      </c>
    </row>
    <row r="520" spans="2:17" ht="30" customHeight="1" x14ac:dyDescent="0.25">
      <c r="B520" s="62" t="str">
        <f t="shared" si="56"/>
        <v/>
      </c>
      <c r="C520" s="42">
        <v>516</v>
      </c>
      <c r="D520" s="20"/>
      <c r="E520" s="58"/>
      <c r="F520" s="63" t="str">
        <f t="shared" si="57"/>
        <v/>
      </c>
      <c r="G520" s="66" t="str">
        <f>IF(D520="","",IFERROR('Prod 3'!H520/'Prod 3'!$H$3,0))</f>
        <v/>
      </c>
      <c r="H520" s="70" t="str">
        <f>IF(D520="","",'Prod 2'!K520)</f>
        <v/>
      </c>
      <c r="I520" s="77" t="str">
        <f t="shared" si="58"/>
        <v/>
      </c>
      <c r="J520" s="57"/>
      <c r="L520" s="19">
        <v>5.1600000000000001E-7</v>
      </c>
      <c r="M520" s="59">
        <f t="shared" si="59"/>
        <v>0</v>
      </c>
      <c r="N520" s="59">
        <f t="shared" si="60"/>
        <v>0</v>
      </c>
      <c r="O520" s="59">
        <f t="shared" si="61"/>
        <v>0</v>
      </c>
      <c r="P520" s="19" t="str">
        <f t="shared" si="62"/>
        <v/>
      </c>
      <c r="Q520" s="19" t="s">
        <v>556</v>
      </c>
    </row>
    <row r="521" spans="2:17" ht="30" customHeight="1" x14ac:dyDescent="0.25">
      <c r="B521" s="62" t="str">
        <f t="shared" si="56"/>
        <v/>
      </c>
      <c r="C521" s="42">
        <v>517</v>
      </c>
      <c r="D521" s="20"/>
      <c r="E521" s="58"/>
      <c r="F521" s="63" t="str">
        <f t="shared" si="57"/>
        <v/>
      </c>
      <c r="G521" s="66" t="str">
        <f>IF(D521="","",IFERROR('Prod 3'!H521/'Prod 3'!$H$3,0))</f>
        <v/>
      </c>
      <c r="H521" s="70" t="str">
        <f>IF(D521="","",'Prod 2'!K521)</f>
        <v/>
      </c>
      <c r="I521" s="77" t="str">
        <f t="shared" si="58"/>
        <v/>
      </c>
      <c r="J521" s="57"/>
      <c r="L521" s="19">
        <v>5.1699999999999998E-7</v>
      </c>
      <c r="M521" s="59">
        <f t="shared" si="59"/>
        <v>0</v>
      </c>
      <c r="N521" s="59">
        <f t="shared" si="60"/>
        <v>0</v>
      </c>
      <c r="O521" s="59">
        <f t="shared" si="61"/>
        <v>0</v>
      </c>
      <c r="P521" s="19" t="str">
        <f t="shared" si="62"/>
        <v/>
      </c>
      <c r="Q521" s="19" t="s">
        <v>557</v>
      </c>
    </row>
    <row r="522" spans="2:17" ht="30" customHeight="1" x14ac:dyDescent="0.25">
      <c r="B522" s="62" t="str">
        <f t="shared" si="56"/>
        <v/>
      </c>
      <c r="C522" s="42">
        <v>518</v>
      </c>
      <c r="D522" s="20"/>
      <c r="E522" s="58"/>
      <c r="F522" s="63" t="str">
        <f t="shared" si="57"/>
        <v/>
      </c>
      <c r="G522" s="66" t="str">
        <f>IF(D522="","",IFERROR('Prod 3'!H522/'Prod 3'!$H$3,0))</f>
        <v/>
      </c>
      <c r="H522" s="70" t="str">
        <f>IF(D522="","",'Prod 2'!K522)</f>
        <v/>
      </c>
      <c r="I522" s="77" t="str">
        <f t="shared" si="58"/>
        <v/>
      </c>
      <c r="J522" s="57"/>
      <c r="L522" s="19">
        <v>5.1799999999999995E-7</v>
      </c>
      <c r="M522" s="59">
        <f t="shared" si="59"/>
        <v>0</v>
      </c>
      <c r="N522" s="59">
        <f t="shared" si="60"/>
        <v>0</v>
      </c>
      <c r="O522" s="59">
        <f t="shared" si="61"/>
        <v>0</v>
      </c>
      <c r="P522" s="19" t="str">
        <f t="shared" si="62"/>
        <v/>
      </c>
      <c r="Q522" s="19" t="s">
        <v>558</v>
      </c>
    </row>
    <row r="523" spans="2:17" ht="30" customHeight="1" x14ac:dyDescent="0.25">
      <c r="B523" s="62" t="str">
        <f t="shared" si="56"/>
        <v/>
      </c>
      <c r="C523" s="42">
        <v>519</v>
      </c>
      <c r="D523" s="20"/>
      <c r="E523" s="58"/>
      <c r="F523" s="63" t="str">
        <f t="shared" si="57"/>
        <v/>
      </c>
      <c r="G523" s="66" t="str">
        <f>IF(D523="","",IFERROR('Prod 3'!H523/'Prod 3'!$H$3,0))</f>
        <v/>
      </c>
      <c r="H523" s="70" t="str">
        <f>IF(D523="","",'Prod 2'!K523)</f>
        <v/>
      </c>
      <c r="I523" s="77" t="str">
        <f t="shared" si="58"/>
        <v/>
      </c>
      <c r="J523" s="57"/>
      <c r="L523" s="19">
        <v>5.1900000000000003E-7</v>
      </c>
      <c r="M523" s="59">
        <f t="shared" si="59"/>
        <v>0</v>
      </c>
      <c r="N523" s="59">
        <f t="shared" si="60"/>
        <v>0</v>
      </c>
      <c r="O523" s="59">
        <f t="shared" si="61"/>
        <v>0</v>
      </c>
      <c r="P523" s="19" t="str">
        <f t="shared" si="62"/>
        <v/>
      </c>
      <c r="Q523" s="19" t="s">
        <v>559</v>
      </c>
    </row>
    <row r="524" spans="2:17" ht="30" customHeight="1" x14ac:dyDescent="0.25">
      <c r="B524" s="62" t="str">
        <f t="shared" si="56"/>
        <v/>
      </c>
      <c r="C524" s="42">
        <v>520</v>
      </c>
      <c r="D524" s="20"/>
      <c r="E524" s="58"/>
      <c r="F524" s="63" t="str">
        <f t="shared" si="57"/>
        <v/>
      </c>
      <c r="G524" s="66" t="str">
        <f>IF(D524="","",IFERROR('Prod 3'!H524/'Prod 3'!$H$3,0))</f>
        <v/>
      </c>
      <c r="H524" s="70" t="str">
        <f>IF(D524="","",'Prod 2'!K524)</f>
        <v/>
      </c>
      <c r="I524" s="77" t="str">
        <f t="shared" si="58"/>
        <v/>
      </c>
      <c r="J524" s="57"/>
      <c r="L524" s="19">
        <v>5.2E-7</v>
      </c>
      <c r="M524" s="59">
        <f t="shared" si="59"/>
        <v>0</v>
      </c>
      <c r="N524" s="59">
        <f t="shared" si="60"/>
        <v>0</v>
      </c>
      <c r="O524" s="59">
        <f t="shared" si="61"/>
        <v>0</v>
      </c>
      <c r="P524" s="19" t="str">
        <f t="shared" si="62"/>
        <v/>
      </c>
      <c r="Q524" s="19" t="s">
        <v>560</v>
      </c>
    </row>
    <row r="525" spans="2:17" ht="30" customHeight="1" x14ac:dyDescent="0.25">
      <c r="B525" s="62" t="str">
        <f t="shared" si="56"/>
        <v/>
      </c>
      <c r="C525" s="42">
        <v>521</v>
      </c>
      <c r="D525" s="20"/>
      <c r="E525" s="58"/>
      <c r="F525" s="63" t="str">
        <f t="shared" si="57"/>
        <v/>
      </c>
      <c r="G525" s="66" t="str">
        <f>IF(D525="","",IFERROR('Prod 3'!H525/'Prod 3'!$H$3,0))</f>
        <v/>
      </c>
      <c r="H525" s="70" t="str">
        <f>IF(D525="","",'Prod 2'!K525)</f>
        <v/>
      </c>
      <c r="I525" s="77" t="str">
        <f t="shared" si="58"/>
        <v/>
      </c>
      <c r="J525" s="57"/>
      <c r="L525" s="19">
        <v>5.2099999999999997E-7</v>
      </c>
      <c r="M525" s="59">
        <f t="shared" si="59"/>
        <v>0</v>
      </c>
      <c r="N525" s="59">
        <f t="shared" si="60"/>
        <v>0</v>
      </c>
      <c r="O525" s="59">
        <f t="shared" si="61"/>
        <v>0</v>
      </c>
      <c r="P525" s="19" t="str">
        <f t="shared" si="62"/>
        <v/>
      </c>
      <c r="Q525" s="19" t="s">
        <v>561</v>
      </c>
    </row>
    <row r="526" spans="2:17" ht="30" customHeight="1" x14ac:dyDescent="0.25">
      <c r="B526" s="62" t="str">
        <f t="shared" si="56"/>
        <v/>
      </c>
      <c r="C526" s="42">
        <v>522</v>
      </c>
      <c r="D526" s="20"/>
      <c r="E526" s="58"/>
      <c r="F526" s="63" t="str">
        <f t="shared" si="57"/>
        <v/>
      </c>
      <c r="G526" s="66" t="str">
        <f>IF(D526="","",IFERROR('Prod 3'!H526/'Prod 3'!$H$3,0))</f>
        <v/>
      </c>
      <c r="H526" s="70" t="str">
        <f>IF(D526="","",'Prod 2'!K526)</f>
        <v/>
      </c>
      <c r="I526" s="77" t="str">
        <f t="shared" si="58"/>
        <v/>
      </c>
      <c r="J526" s="57"/>
      <c r="L526" s="19">
        <v>5.2200000000000004E-7</v>
      </c>
      <c r="M526" s="59">
        <f t="shared" si="59"/>
        <v>0</v>
      </c>
      <c r="N526" s="59">
        <f t="shared" si="60"/>
        <v>0</v>
      </c>
      <c r="O526" s="59">
        <f t="shared" si="61"/>
        <v>0</v>
      </c>
      <c r="P526" s="19" t="str">
        <f t="shared" si="62"/>
        <v/>
      </c>
      <c r="Q526" s="19" t="s">
        <v>562</v>
      </c>
    </row>
    <row r="527" spans="2:17" ht="30" customHeight="1" x14ac:dyDescent="0.25">
      <c r="B527" s="62" t="str">
        <f t="shared" si="56"/>
        <v/>
      </c>
      <c r="C527" s="42">
        <v>523</v>
      </c>
      <c r="D527" s="20"/>
      <c r="E527" s="58"/>
      <c r="F527" s="63" t="str">
        <f t="shared" si="57"/>
        <v/>
      </c>
      <c r="G527" s="66" t="str">
        <f>IF(D527="","",IFERROR('Prod 3'!H527/'Prod 3'!$H$3,0))</f>
        <v/>
      </c>
      <c r="H527" s="70" t="str">
        <f>IF(D527="","",'Prod 2'!K527)</f>
        <v/>
      </c>
      <c r="I527" s="77" t="str">
        <f t="shared" si="58"/>
        <v/>
      </c>
      <c r="J527" s="57"/>
      <c r="L527" s="19">
        <v>5.2300000000000001E-7</v>
      </c>
      <c r="M527" s="59">
        <f t="shared" si="59"/>
        <v>0</v>
      </c>
      <c r="N527" s="59">
        <f t="shared" si="60"/>
        <v>0</v>
      </c>
      <c r="O527" s="59">
        <f t="shared" si="61"/>
        <v>0</v>
      </c>
      <c r="P527" s="19" t="str">
        <f t="shared" si="62"/>
        <v/>
      </c>
      <c r="Q527" s="19" t="s">
        <v>563</v>
      </c>
    </row>
    <row r="528" spans="2:17" ht="30" customHeight="1" x14ac:dyDescent="0.25">
      <c r="B528" s="62" t="str">
        <f t="shared" si="56"/>
        <v/>
      </c>
      <c r="C528" s="42">
        <v>524</v>
      </c>
      <c r="D528" s="20"/>
      <c r="E528" s="58"/>
      <c r="F528" s="63" t="str">
        <f t="shared" si="57"/>
        <v/>
      </c>
      <c r="G528" s="66" t="str">
        <f>IF(D528="","",IFERROR('Prod 3'!H528/'Prod 3'!$H$3,0))</f>
        <v/>
      </c>
      <c r="H528" s="70" t="str">
        <f>IF(D528="","",'Prod 2'!K528)</f>
        <v/>
      </c>
      <c r="I528" s="77" t="str">
        <f t="shared" si="58"/>
        <v/>
      </c>
      <c r="J528" s="57"/>
      <c r="L528" s="19">
        <v>5.2399999999999998E-7</v>
      </c>
      <c r="M528" s="59">
        <f t="shared" si="59"/>
        <v>0</v>
      </c>
      <c r="N528" s="59">
        <f t="shared" si="60"/>
        <v>0</v>
      </c>
      <c r="O528" s="59">
        <f t="shared" si="61"/>
        <v>0</v>
      </c>
      <c r="P528" s="19" t="str">
        <f t="shared" si="62"/>
        <v/>
      </c>
      <c r="Q528" s="19" t="s">
        <v>564</v>
      </c>
    </row>
    <row r="529" spans="2:17" ht="30" customHeight="1" x14ac:dyDescent="0.25">
      <c r="B529" s="62" t="str">
        <f t="shared" si="56"/>
        <v/>
      </c>
      <c r="C529" s="42">
        <v>525</v>
      </c>
      <c r="D529" s="20"/>
      <c r="E529" s="58"/>
      <c r="F529" s="63" t="str">
        <f t="shared" si="57"/>
        <v/>
      </c>
      <c r="G529" s="66" t="str">
        <f>IF(D529="","",IFERROR('Prod 3'!H529/'Prod 3'!$H$3,0))</f>
        <v/>
      </c>
      <c r="H529" s="70" t="str">
        <f>IF(D529="","",'Prod 2'!K529)</f>
        <v/>
      </c>
      <c r="I529" s="77" t="str">
        <f t="shared" si="58"/>
        <v/>
      </c>
      <c r="J529" s="57"/>
      <c r="L529" s="19">
        <v>5.2499999999999995E-7</v>
      </c>
      <c r="M529" s="59">
        <f t="shared" si="59"/>
        <v>0</v>
      </c>
      <c r="N529" s="59">
        <f t="shared" si="60"/>
        <v>0</v>
      </c>
      <c r="O529" s="59">
        <f t="shared" si="61"/>
        <v>0</v>
      </c>
      <c r="P529" s="19" t="str">
        <f t="shared" si="62"/>
        <v/>
      </c>
      <c r="Q529" s="19" t="s">
        <v>565</v>
      </c>
    </row>
    <row r="530" spans="2:17" ht="30" customHeight="1" x14ac:dyDescent="0.25">
      <c r="B530" s="62" t="str">
        <f t="shared" si="56"/>
        <v/>
      </c>
      <c r="C530" s="42">
        <v>526</v>
      </c>
      <c r="D530" s="20"/>
      <c r="E530" s="58"/>
      <c r="F530" s="63" t="str">
        <f t="shared" si="57"/>
        <v/>
      </c>
      <c r="G530" s="66" t="str">
        <f>IF(D530="","",IFERROR('Prod 3'!H530/'Prod 3'!$H$3,0))</f>
        <v/>
      </c>
      <c r="H530" s="70" t="str">
        <f>IF(D530="","",'Prod 2'!K530)</f>
        <v/>
      </c>
      <c r="I530" s="77" t="str">
        <f t="shared" si="58"/>
        <v/>
      </c>
      <c r="J530" s="57"/>
      <c r="L530" s="19">
        <v>5.2600000000000002E-7</v>
      </c>
      <c r="M530" s="59">
        <f t="shared" si="59"/>
        <v>0</v>
      </c>
      <c r="N530" s="59">
        <f t="shared" si="60"/>
        <v>0</v>
      </c>
      <c r="O530" s="59">
        <f t="shared" si="61"/>
        <v>0</v>
      </c>
      <c r="P530" s="19" t="str">
        <f t="shared" si="62"/>
        <v/>
      </c>
      <c r="Q530" s="19" t="s">
        <v>566</v>
      </c>
    </row>
    <row r="531" spans="2:17" ht="30" customHeight="1" x14ac:dyDescent="0.25">
      <c r="B531" s="62" t="str">
        <f t="shared" si="56"/>
        <v/>
      </c>
      <c r="C531" s="42">
        <v>527</v>
      </c>
      <c r="D531" s="20"/>
      <c r="E531" s="58"/>
      <c r="F531" s="63" t="str">
        <f t="shared" si="57"/>
        <v/>
      </c>
      <c r="G531" s="66" t="str">
        <f>IF(D531="","",IFERROR('Prod 3'!H531/'Prod 3'!$H$3,0))</f>
        <v/>
      </c>
      <c r="H531" s="70" t="str">
        <f>IF(D531="","",'Prod 2'!K531)</f>
        <v/>
      </c>
      <c r="I531" s="77" t="str">
        <f t="shared" si="58"/>
        <v/>
      </c>
      <c r="J531" s="57"/>
      <c r="L531" s="19">
        <v>5.2699999999999999E-7</v>
      </c>
      <c r="M531" s="59">
        <f t="shared" si="59"/>
        <v>0</v>
      </c>
      <c r="N531" s="59">
        <f t="shared" si="60"/>
        <v>0</v>
      </c>
      <c r="O531" s="59">
        <f t="shared" si="61"/>
        <v>0</v>
      </c>
      <c r="P531" s="19" t="str">
        <f t="shared" si="62"/>
        <v/>
      </c>
      <c r="Q531" s="19" t="s">
        <v>567</v>
      </c>
    </row>
    <row r="532" spans="2:17" ht="30" customHeight="1" x14ac:dyDescent="0.25">
      <c r="B532" s="62" t="str">
        <f t="shared" si="56"/>
        <v/>
      </c>
      <c r="C532" s="42">
        <v>528</v>
      </c>
      <c r="D532" s="20"/>
      <c r="E532" s="58"/>
      <c r="F532" s="63" t="str">
        <f t="shared" si="57"/>
        <v/>
      </c>
      <c r="G532" s="66" t="str">
        <f>IF(D532="","",IFERROR('Prod 3'!H532/'Prod 3'!$H$3,0))</f>
        <v/>
      </c>
      <c r="H532" s="70" t="str">
        <f>IF(D532="","",'Prod 2'!K532)</f>
        <v/>
      </c>
      <c r="I532" s="77" t="str">
        <f t="shared" si="58"/>
        <v/>
      </c>
      <c r="J532" s="57"/>
      <c r="L532" s="19">
        <v>5.2799999999999996E-7</v>
      </c>
      <c r="M532" s="59">
        <f t="shared" si="59"/>
        <v>0</v>
      </c>
      <c r="N532" s="59">
        <f t="shared" si="60"/>
        <v>0</v>
      </c>
      <c r="O532" s="59">
        <f t="shared" si="61"/>
        <v>0</v>
      </c>
      <c r="P532" s="19" t="str">
        <f t="shared" si="62"/>
        <v/>
      </c>
      <c r="Q532" s="19" t="s">
        <v>568</v>
      </c>
    </row>
    <row r="533" spans="2:17" ht="30" customHeight="1" x14ac:dyDescent="0.25">
      <c r="B533" s="62" t="str">
        <f t="shared" si="56"/>
        <v/>
      </c>
      <c r="C533" s="42">
        <v>529</v>
      </c>
      <c r="D533" s="20"/>
      <c r="E533" s="58"/>
      <c r="F533" s="63" t="str">
        <f t="shared" si="57"/>
        <v/>
      </c>
      <c r="G533" s="66" t="str">
        <f>IF(D533="","",IFERROR('Prod 3'!H533/'Prod 3'!$H$3,0))</f>
        <v/>
      </c>
      <c r="H533" s="70" t="str">
        <f>IF(D533="","",'Prod 2'!K533)</f>
        <v/>
      </c>
      <c r="I533" s="77" t="str">
        <f t="shared" si="58"/>
        <v/>
      </c>
      <c r="J533" s="57"/>
      <c r="L533" s="19">
        <v>5.2900000000000004E-7</v>
      </c>
      <c r="M533" s="59">
        <f t="shared" si="59"/>
        <v>0</v>
      </c>
      <c r="N533" s="59">
        <f t="shared" si="60"/>
        <v>0</v>
      </c>
      <c r="O533" s="59">
        <f t="shared" si="61"/>
        <v>0</v>
      </c>
      <c r="P533" s="19" t="str">
        <f t="shared" si="62"/>
        <v/>
      </c>
      <c r="Q533" s="19" t="s">
        <v>569</v>
      </c>
    </row>
    <row r="534" spans="2:17" ht="30" customHeight="1" x14ac:dyDescent="0.25">
      <c r="B534" s="62" t="str">
        <f t="shared" si="56"/>
        <v/>
      </c>
      <c r="C534" s="42">
        <v>530</v>
      </c>
      <c r="D534" s="20"/>
      <c r="E534" s="58"/>
      <c r="F534" s="63" t="str">
        <f t="shared" si="57"/>
        <v/>
      </c>
      <c r="G534" s="66" t="str">
        <f>IF(D534="","",IFERROR('Prod 3'!H534/'Prod 3'!$H$3,0))</f>
        <v/>
      </c>
      <c r="H534" s="70" t="str">
        <f>IF(D534="","",'Prod 2'!K534)</f>
        <v/>
      </c>
      <c r="I534" s="77" t="str">
        <f t="shared" si="58"/>
        <v/>
      </c>
      <c r="J534" s="57"/>
      <c r="L534" s="19">
        <v>5.3000000000000001E-7</v>
      </c>
      <c r="M534" s="59">
        <f t="shared" si="59"/>
        <v>0</v>
      </c>
      <c r="N534" s="59">
        <f t="shared" si="60"/>
        <v>0</v>
      </c>
      <c r="O534" s="59">
        <f t="shared" si="61"/>
        <v>0</v>
      </c>
      <c r="P534" s="19" t="str">
        <f t="shared" si="62"/>
        <v/>
      </c>
      <c r="Q534" s="19" t="s">
        <v>570</v>
      </c>
    </row>
    <row r="535" spans="2:17" ht="30" customHeight="1" x14ac:dyDescent="0.25">
      <c r="B535" s="62" t="str">
        <f t="shared" si="56"/>
        <v/>
      </c>
      <c r="C535" s="42">
        <v>531</v>
      </c>
      <c r="D535" s="20"/>
      <c r="E535" s="58"/>
      <c r="F535" s="63" t="str">
        <f t="shared" si="57"/>
        <v/>
      </c>
      <c r="G535" s="66" t="str">
        <f>IF(D535="","",IFERROR('Prod 3'!H535/'Prod 3'!$H$3,0))</f>
        <v/>
      </c>
      <c r="H535" s="70" t="str">
        <f>IF(D535="","",'Prod 2'!K535)</f>
        <v/>
      </c>
      <c r="I535" s="77" t="str">
        <f t="shared" si="58"/>
        <v/>
      </c>
      <c r="J535" s="57"/>
      <c r="L535" s="19">
        <v>5.3099999999999998E-7</v>
      </c>
      <c r="M535" s="59">
        <f t="shared" si="59"/>
        <v>0</v>
      </c>
      <c r="N535" s="59">
        <f t="shared" si="60"/>
        <v>0</v>
      </c>
      <c r="O535" s="59">
        <f t="shared" si="61"/>
        <v>0</v>
      </c>
      <c r="P535" s="19" t="str">
        <f t="shared" si="62"/>
        <v/>
      </c>
      <c r="Q535" s="19" t="s">
        <v>571</v>
      </c>
    </row>
    <row r="536" spans="2:17" ht="30" customHeight="1" x14ac:dyDescent="0.25">
      <c r="B536" s="62" t="str">
        <f t="shared" si="56"/>
        <v/>
      </c>
      <c r="C536" s="42">
        <v>532</v>
      </c>
      <c r="D536" s="20"/>
      <c r="E536" s="58"/>
      <c r="F536" s="63" t="str">
        <f t="shared" si="57"/>
        <v/>
      </c>
      <c r="G536" s="66" t="str">
        <f>IF(D536="","",IFERROR('Prod 3'!H536/'Prod 3'!$H$3,0))</f>
        <v/>
      </c>
      <c r="H536" s="70" t="str">
        <f>IF(D536="","",'Prod 2'!K536)</f>
        <v/>
      </c>
      <c r="I536" s="77" t="str">
        <f t="shared" si="58"/>
        <v/>
      </c>
      <c r="J536" s="57"/>
      <c r="L536" s="19">
        <v>5.3200000000000005E-7</v>
      </c>
      <c r="M536" s="59">
        <f t="shared" si="59"/>
        <v>0</v>
      </c>
      <c r="N536" s="59">
        <f t="shared" si="60"/>
        <v>0</v>
      </c>
      <c r="O536" s="59">
        <f t="shared" si="61"/>
        <v>0</v>
      </c>
      <c r="P536" s="19" t="str">
        <f t="shared" si="62"/>
        <v/>
      </c>
      <c r="Q536" s="19" t="s">
        <v>572</v>
      </c>
    </row>
    <row r="537" spans="2:17" ht="30" customHeight="1" x14ac:dyDescent="0.25">
      <c r="B537" s="62" t="str">
        <f t="shared" si="56"/>
        <v/>
      </c>
      <c r="C537" s="42">
        <v>533</v>
      </c>
      <c r="D537" s="20"/>
      <c r="E537" s="58"/>
      <c r="F537" s="63" t="str">
        <f t="shared" si="57"/>
        <v/>
      </c>
      <c r="G537" s="66" t="str">
        <f>IF(D537="","",IFERROR('Prod 3'!H537/'Prod 3'!$H$3,0))</f>
        <v/>
      </c>
      <c r="H537" s="70" t="str">
        <f>IF(D537="","",'Prod 2'!K537)</f>
        <v/>
      </c>
      <c r="I537" s="77" t="str">
        <f t="shared" si="58"/>
        <v/>
      </c>
      <c r="J537" s="57"/>
      <c r="L537" s="19">
        <v>5.3300000000000002E-7</v>
      </c>
      <c r="M537" s="59">
        <f t="shared" si="59"/>
        <v>0</v>
      </c>
      <c r="N537" s="59">
        <f t="shared" si="60"/>
        <v>0</v>
      </c>
      <c r="O537" s="59">
        <f t="shared" si="61"/>
        <v>0</v>
      </c>
      <c r="P537" s="19" t="str">
        <f t="shared" si="62"/>
        <v/>
      </c>
      <c r="Q537" s="19" t="s">
        <v>573</v>
      </c>
    </row>
    <row r="538" spans="2:17" ht="30" customHeight="1" x14ac:dyDescent="0.25">
      <c r="B538" s="62" t="str">
        <f t="shared" si="56"/>
        <v/>
      </c>
      <c r="C538" s="42">
        <v>534</v>
      </c>
      <c r="D538" s="20"/>
      <c r="E538" s="58"/>
      <c r="F538" s="63" t="str">
        <f t="shared" si="57"/>
        <v/>
      </c>
      <c r="G538" s="66" t="str">
        <f>IF(D538="","",IFERROR('Prod 3'!H538/'Prod 3'!$H$3,0))</f>
        <v/>
      </c>
      <c r="H538" s="70" t="str">
        <f>IF(D538="","",'Prod 2'!K538)</f>
        <v/>
      </c>
      <c r="I538" s="77" t="str">
        <f t="shared" si="58"/>
        <v/>
      </c>
      <c r="J538" s="57"/>
      <c r="L538" s="19">
        <v>5.3399999999999999E-7</v>
      </c>
      <c r="M538" s="59">
        <f t="shared" si="59"/>
        <v>0</v>
      </c>
      <c r="N538" s="59">
        <f t="shared" si="60"/>
        <v>0</v>
      </c>
      <c r="O538" s="59">
        <f t="shared" si="61"/>
        <v>0</v>
      </c>
      <c r="P538" s="19" t="str">
        <f t="shared" si="62"/>
        <v/>
      </c>
      <c r="Q538" s="19" t="s">
        <v>574</v>
      </c>
    </row>
    <row r="539" spans="2:17" ht="30" customHeight="1" x14ac:dyDescent="0.25">
      <c r="B539" s="62" t="str">
        <f t="shared" si="56"/>
        <v/>
      </c>
      <c r="C539" s="42">
        <v>535</v>
      </c>
      <c r="D539" s="20"/>
      <c r="E539" s="58"/>
      <c r="F539" s="63" t="str">
        <f t="shared" si="57"/>
        <v/>
      </c>
      <c r="G539" s="66" t="str">
        <f>IF(D539="","",IFERROR('Prod 3'!H539/'Prod 3'!$H$3,0))</f>
        <v/>
      </c>
      <c r="H539" s="70" t="str">
        <f>IF(D539="","",'Prod 2'!K539)</f>
        <v/>
      </c>
      <c r="I539" s="77" t="str">
        <f t="shared" si="58"/>
        <v/>
      </c>
      <c r="J539" s="57"/>
      <c r="L539" s="19">
        <v>5.3499999999999996E-7</v>
      </c>
      <c r="M539" s="59">
        <f t="shared" si="59"/>
        <v>0</v>
      </c>
      <c r="N539" s="59">
        <f t="shared" si="60"/>
        <v>0</v>
      </c>
      <c r="O539" s="59">
        <f t="shared" si="61"/>
        <v>0</v>
      </c>
      <c r="P539" s="19" t="str">
        <f t="shared" si="62"/>
        <v/>
      </c>
      <c r="Q539" s="19" t="s">
        <v>575</v>
      </c>
    </row>
    <row r="540" spans="2:17" ht="30" customHeight="1" x14ac:dyDescent="0.25">
      <c r="B540" s="62" t="str">
        <f t="shared" si="56"/>
        <v/>
      </c>
      <c r="C540" s="42">
        <v>536</v>
      </c>
      <c r="D540" s="20"/>
      <c r="E540" s="58"/>
      <c r="F540" s="63" t="str">
        <f t="shared" si="57"/>
        <v/>
      </c>
      <c r="G540" s="66" t="str">
        <f>IF(D540="","",IFERROR('Prod 3'!H540/'Prod 3'!$H$3,0))</f>
        <v/>
      </c>
      <c r="H540" s="70" t="str">
        <f>IF(D540="","",'Prod 2'!K540)</f>
        <v/>
      </c>
      <c r="I540" s="77" t="str">
        <f t="shared" si="58"/>
        <v/>
      </c>
      <c r="J540" s="57"/>
      <c r="L540" s="19">
        <v>5.3600000000000004E-7</v>
      </c>
      <c r="M540" s="59">
        <f t="shared" si="59"/>
        <v>0</v>
      </c>
      <c r="N540" s="59">
        <f t="shared" si="60"/>
        <v>0</v>
      </c>
      <c r="O540" s="59">
        <f t="shared" si="61"/>
        <v>0</v>
      </c>
      <c r="P540" s="19" t="str">
        <f t="shared" si="62"/>
        <v/>
      </c>
      <c r="Q540" s="19" t="s">
        <v>576</v>
      </c>
    </row>
    <row r="541" spans="2:17" ht="30" customHeight="1" x14ac:dyDescent="0.25">
      <c r="B541" s="62" t="str">
        <f t="shared" si="56"/>
        <v/>
      </c>
      <c r="C541" s="42">
        <v>537</v>
      </c>
      <c r="D541" s="20"/>
      <c r="E541" s="58"/>
      <c r="F541" s="63" t="str">
        <f t="shared" si="57"/>
        <v/>
      </c>
      <c r="G541" s="66" t="str">
        <f>IF(D541="","",IFERROR('Prod 3'!H541/'Prod 3'!$H$3,0))</f>
        <v/>
      </c>
      <c r="H541" s="70" t="str">
        <f>IF(D541="","",'Prod 2'!K541)</f>
        <v/>
      </c>
      <c r="I541" s="77" t="str">
        <f t="shared" si="58"/>
        <v/>
      </c>
      <c r="J541" s="57"/>
      <c r="L541" s="19">
        <v>5.37E-7</v>
      </c>
      <c r="M541" s="59">
        <f t="shared" si="59"/>
        <v>0</v>
      </c>
      <c r="N541" s="59">
        <f t="shared" si="60"/>
        <v>0</v>
      </c>
      <c r="O541" s="59">
        <f t="shared" si="61"/>
        <v>0</v>
      </c>
      <c r="P541" s="19" t="str">
        <f t="shared" si="62"/>
        <v/>
      </c>
      <c r="Q541" s="19" t="s">
        <v>577</v>
      </c>
    </row>
    <row r="542" spans="2:17" ht="30" customHeight="1" x14ac:dyDescent="0.25">
      <c r="B542" s="62" t="str">
        <f t="shared" si="56"/>
        <v/>
      </c>
      <c r="C542" s="42">
        <v>538</v>
      </c>
      <c r="D542" s="20"/>
      <c r="E542" s="58"/>
      <c r="F542" s="63" t="str">
        <f t="shared" si="57"/>
        <v/>
      </c>
      <c r="G542" s="66" t="str">
        <f>IF(D542="","",IFERROR('Prod 3'!H542/'Prod 3'!$H$3,0))</f>
        <v/>
      </c>
      <c r="H542" s="70" t="str">
        <f>IF(D542="","",'Prod 2'!K542)</f>
        <v/>
      </c>
      <c r="I542" s="77" t="str">
        <f t="shared" si="58"/>
        <v/>
      </c>
      <c r="J542" s="57"/>
      <c r="L542" s="19">
        <v>5.3799999999999997E-7</v>
      </c>
      <c r="M542" s="59">
        <f t="shared" si="59"/>
        <v>0</v>
      </c>
      <c r="N542" s="59">
        <f t="shared" si="60"/>
        <v>0</v>
      </c>
      <c r="O542" s="59">
        <f t="shared" si="61"/>
        <v>0</v>
      </c>
      <c r="P542" s="19" t="str">
        <f t="shared" si="62"/>
        <v/>
      </c>
      <c r="Q542" s="19" t="s">
        <v>578</v>
      </c>
    </row>
    <row r="543" spans="2:17" ht="30" customHeight="1" x14ac:dyDescent="0.25">
      <c r="B543" s="62" t="str">
        <f t="shared" si="56"/>
        <v/>
      </c>
      <c r="C543" s="42">
        <v>539</v>
      </c>
      <c r="D543" s="20"/>
      <c r="E543" s="58"/>
      <c r="F543" s="63" t="str">
        <f t="shared" si="57"/>
        <v/>
      </c>
      <c r="G543" s="66" t="str">
        <f>IF(D543="","",IFERROR('Prod 3'!H543/'Prod 3'!$H$3,0))</f>
        <v/>
      </c>
      <c r="H543" s="70" t="str">
        <f>IF(D543="","",'Prod 2'!K543)</f>
        <v/>
      </c>
      <c r="I543" s="77" t="str">
        <f t="shared" si="58"/>
        <v/>
      </c>
      <c r="J543" s="57"/>
      <c r="L543" s="19">
        <v>5.3900000000000005E-7</v>
      </c>
      <c r="M543" s="59">
        <f t="shared" si="59"/>
        <v>0</v>
      </c>
      <c r="N543" s="59">
        <f t="shared" si="60"/>
        <v>0</v>
      </c>
      <c r="O543" s="59">
        <f t="shared" si="61"/>
        <v>0</v>
      </c>
      <c r="P543" s="19" t="str">
        <f t="shared" si="62"/>
        <v/>
      </c>
      <c r="Q543" s="19" t="s">
        <v>579</v>
      </c>
    </row>
    <row r="544" spans="2:17" ht="30" customHeight="1" x14ac:dyDescent="0.25">
      <c r="B544" s="62" t="str">
        <f t="shared" si="56"/>
        <v/>
      </c>
      <c r="C544" s="42">
        <v>540</v>
      </c>
      <c r="D544" s="20"/>
      <c r="E544" s="58"/>
      <c r="F544" s="63" t="str">
        <f t="shared" si="57"/>
        <v/>
      </c>
      <c r="G544" s="66" t="str">
        <f>IF(D544="","",IFERROR('Prod 3'!H544/'Prod 3'!$H$3,0))</f>
        <v/>
      </c>
      <c r="H544" s="70" t="str">
        <f>IF(D544="","",'Prod 2'!K544)</f>
        <v/>
      </c>
      <c r="I544" s="77" t="str">
        <f t="shared" si="58"/>
        <v/>
      </c>
      <c r="J544" s="57"/>
      <c r="L544" s="19">
        <v>5.4000000000000002E-7</v>
      </c>
      <c r="M544" s="59">
        <f t="shared" si="59"/>
        <v>0</v>
      </c>
      <c r="N544" s="59">
        <f t="shared" si="60"/>
        <v>0</v>
      </c>
      <c r="O544" s="59">
        <f t="shared" si="61"/>
        <v>0</v>
      </c>
      <c r="P544" s="19" t="str">
        <f t="shared" si="62"/>
        <v/>
      </c>
      <c r="Q544" s="19" t="s">
        <v>580</v>
      </c>
    </row>
    <row r="545" spans="2:17" ht="30" customHeight="1" x14ac:dyDescent="0.25">
      <c r="B545" s="62" t="str">
        <f t="shared" si="56"/>
        <v/>
      </c>
      <c r="C545" s="42">
        <v>541</v>
      </c>
      <c r="D545" s="20"/>
      <c r="E545" s="58"/>
      <c r="F545" s="63" t="str">
        <f t="shared" si="57"/>
        <v/>
      </c>
      <c r="G545" s="66" t="str">
        <f>IF(D545="","",IFERROR('Prod 3'!H545/'Prod 3'!$H$3,0))</f>
        <v/>
      </c>
      <c r="H545" s="70" t="str">
        <f>IF(D545="","",'Prod 2'!K545)</f>
        <v/>
      </c>
      <c r="I545" s="77" t="str">
        <f t="shared" si="58"/>
        <v/>
      </c>
      <c r="J545" s="57"/>
      <c r="L545" s="19">
        <v>5.4099999999999999E-7</v>
      </c>
      <c r="M545" s="59">
        <f t="shared" si="59"/>
        <v>0</v>
      </c>
      <c r="N545" s="59">
        <f t="shared" si="60"/>
        <v>0</v>
      </c>
      <c r="O545" s="59">
        <f t="shared" si="61"/>
        <v>0</v>
      </c>
      <c r="P545" s="19" t="str">
        <f t="shared" si="62"/>
        <v/>
      </c>
      <c r="Q545" s="19" t="s">
        <v>581</v>
      </c>
    </row>
    <row r="546" spans="2:17" ht="30" customHeight="1" x14ac:dyDescent="0.25">
      <c r="B546" s="62" t="str">
        <f t="shared" si="56"/>
        <v/>
      </c>
      <c r="C546" s="42">
        <v>542</v>
      </c>
      <c r="D546" s="20"/>
      <c r="E546" s="58"/>
      <c r="F546" s="63" t="str">
        <f t="shared" si="57"/>
        <v/>
      </c>
      <c r="G546" s="66" t="str">
        <f>IF(D546="","",IFERROR('Prod 3'!H546/'Prod 3'!$H$3,0))</f>
        <v/>
      </c>
      <c r="H546" s="70" t="str">
        <f>IF(D546="","",'Prod 2'!K546)</f>
        <v/>
      </c>
      <c r="I546" s="77" t="str">
        <f t="shared" si="58"/>
        <v/>
      </c>
      <c r="J546" s="57"/>
      <c r="L546" s="19">
        <v>5.4199999999999996E-7</v>
      </c>
      <c r="M546" s="59">
        <f t="shared" si="59"/>
        <v>0</v>
      </c>
      <c r="N546" s="59">
        <f t="shared" si="60"/>
        <v>0</v>
      </c>
      <c r="O546" s="59">
        <f t="shared" si="61"/>
        <v>0</v>
      </c>
      <c r="P546" s="19" t="str">
        <f t="shared" si="62"/>
        <v/>
      </c>
      <c r="Q546" s="19" t="s">
        <v>582</v>
      </c>
    </row>
    <row r="547" spans="2:17" ht="30" customHeight="1" x14ac:dyDescent="0.25">
      <c r="B547" s="62" t="str">
        <f t="shared" si="56"/>
        <v/>
      </c>
      <c r="C547" s="42">
        <v>543</v>
      </c>
      <c r="D547" s="20"/>
      <c r="E547" s="58"/>
      <c r="F547" s="63" t="str">
        <f t="shared" si="57"/>
        <v/>
      </c>
      <c r="G547" s="66" t="str">
        <f>IF(D547="","",IFERROR('Prod 3'!H547/'Prod 3'!$H$3,0))</f>
        <v/>
      </c>
      <c r="H547" s="70" t="str">
        <f>IF(D547="","",'Prod 2'!K547)</f>
        <v/>
      </c>
      <c r="I547" s="77" t="str">
        <f t="shared" si="58"/>
        <v/>
      </c>
      <c r="J547" s="57"/>
      <c r="L547" s="19">
        <v>5.4300000000000003E-7</v>
      </c>
      <c r="M547" s="59">
        <f t="shared" si="59"/>
        <v>0</v>
      </c>
      <c r="N547" s="59">
        <f t="shared" si="60"/>
        <v>0</v>
      </c>
      <c r="O547" s="59">
        <f t="shared" si="61"/>
        <v>0</v>
      </c>
      <c r="P547" s="19" t="str">
        <f t="shared" si="62"/>
        <v/>
      </c>
      <c r="Q547" s="19" t="s">
        <v>583</v>
      </c>
    </row>
    <row r="548" spans="2:17" ht="30" customHeight="1" x14ac:dyDescent="0.25">
      <c r="B548" s="62" t="str">
        <f t="shared" si="56"/>
        <v/>
      </c>
      <c r="C548" s="42">
        <v>544</v>
      </c>
      <c r="D548" s="20"/>
      <c r="E548" s="58"/>
      <c r="F548" s="63" t="str">
        <f t="shared" si="57"/>
        <v/>
      </c>
      <c r="G548" s="66" t="str">
        <f>IF(D548="","",IFERROR('Prod 3'!H548/'Prod 3'!$H$3,0))</f>
        <v/>
      </c>
      <c r="H548" s="70" t="str">
        <f>IF(D548="","",'Prod 2'!K548)</f>
        <v/>
      </c>
      <c r="I548" s="77" t="str">
        <f t="shared" si="58"/>
        <v/>
      </c>
      <c r="J548" s="57"/>
      <c r="L548" s="19">
        <v>5.44E-7</v>
      </c>
      <c r="M548" s="59">
        <f t="shared" si="59"/>
        <v>0</v>
      </c>
      <c r="N548" s="59">
        <f t="shared" si="60"/>
        <v>0</v>
      </c>
      <c r="O548" s="59">
        <f t="shared" si="61"/>
        <v>0</v>
      </c>
      <c r="P548" s="19" t="str">
        <f t="shared" si="62"/>
        <v/>
      </c>
      <c r="Q548" s="19" t="s">
        <v>584</v>
      </c>
    </row>
    <row r="549" spans="2:17" ht="30" customHeight="1" x14ac:dyDescent="0.25">
      <c r="B549" s="62" t="str">
        <f t="shared" si="56"/>
        <v/>
      </c>
      <c r="C549" s="42">
        <v>545</v>
      </c>
      <c r="D549" s="20"/>
      <c r="E549" s="58"/>
      <c r="F549" s="63" t="str">
        <f t="shared" si="57"/>
        <v/>
      </c>
      <c r="G549" s="66" t="str">
        <f>IF(D549="","",IFERROR('Prod 3'!H549/'Prod 3'!$H$3,0))</f>
        <v/>
      </c>
      <c r="H549" s="70" t="str">
        <f>IF(D549="","",'Prod 2'!K549)</f>
        <v/>
      </c>
      <c r="I549" s="77" t="str">
        <f t="shared" si="58"/>
        <v/>
      </c>
      <c r="J549" s="57"/>
      <c r="L549" s="19">
        <v>5.4499999999999997E-7</v>
      </c>
      <c r="M549" s="59">
        <f t="shared" si="59"/>
        <v>0</v>
      </c>
      <c r="N549" s="59">
        <f t="shared" si="60"/>
        <v>0</v>
      </c>
      <c r="O549" s="59">
        <f t="shared" si="61"/>
        <v>0</v>
      </c>
      <c r="P549" s="19" t="str">
        <f t="shared" si="62"/>
        <v/>
      </c>
      <c r="Q549" s="19" t="s">
        <v>585</v>
      </c>
    </row>
    <row r="550" spans="2:17" ht="30" customHeight="1" x14ac:dyDescent="0.25">
      <c r="B550" s="62" t="str">
        <f t="shared" si="56"/>
        <v/>
      </c>
      <c r="C550" s="42">
        <v>546</v>
      </c>
      <c r="D550" s="20"/>
      <c r="E550" s="58"/>
      <c r="F550" s="63" t="str">
        <f t="shared" si="57"/>
        <v/>
      </c>
      <c r="G550" s="66" t="str">
        <f>IF(D550="","",IFERROR('Prod 3'!H550/'Prod 3'!$H$3,0))</f>
        <v/>
      </c>
      <c r="H550" s="70" t="str">
        <f>IF(D550="","",'Prod 2'!K550)</f>
        <v/>
      </c>
      <c r="I550" s="77" t="str">
        <f t="shared" si="58"/>
        <v/>
      </c>
      <c r="J550" s="57"/>
      <c r="L550" s="19">
        <v>5.4600000000000005E-7</v>
      </c>
      <c r="M550" s="59">
        <f t="shared" si="59"/>
        <v>0</v>
      </c>
      <c r="N550" s="59">
        <f t="shared" si="60"/>
        <v>0</v>
      </c>
      <c r="O550" s="59">
        <f t="shared" si="61"/>
        <v>0</v>
      </c>
      <c r="P550" s="19" t="str">
        <f t="shared" si="62"/>
        <v/>
      </c>
      <c r="Q550" s="19" t="s">
        <v>586</v>
      </c>
    </row>
    <row r="551" spans="2:17" ht="30" customHeight="1" x14ac:dyDescent="0.25">
      <c r="B551" s="62" t="str">
        <f t="shared" si="56"/>
        <v/>
      </c>
      <c r="C551" s="42">
        <v>547</v>
      </c>
      <c r="D551" s="20"/>
      <c r="E551" s="58"/>
      <c r="F551" s="63" t="str">
        <f t="shared" si="57"/>
        <v/>
      </c>
      <c r="G551" s="66" t="str">
        <f>IF(D551="","",IFERROR('Prod 3'!H551/'Prod 3'!$H$3,0))</f>
        <v/>
      </c>
      <c r="H551" s="70" t="str">
        <f>IF(D551="","",'Prod 2'!K551)</f>
        <v/>
      </c>
      <c r="I551" s="77" t="str">
        <f t="shared" si="58"/>
        <v/>
      </c>
      <c r="J551" s="57"/>
      <c r="L551" s="19">
        <v>5.4700000000000001E-7</v>
      </c>
      <c r="M551" s="59">
        <f t="shared" si="59"/>
        <v>0</v>
      </c>
      <c r="N551" s="59">
        <f t="shared" si="60"/>
        <v>0</v>
      </c>
      <c r="O551" s="59">
        <f t="shared" si="61"/>
        <v>0</v>
      </c>
      <c r="P551" s="19" t="str">
        <f t="shared" si="62"/>
        <v/>
      </c>
      <c r="Q551" s="19" t="s">
        <v>587</v>
      </c>
    </row>
    <row r="552" spans="2:17" ht="30" customHeight="1" x14ac:dyDescent="0.25">
      <c r="B552" s="62" t="str">
        <f t="shared" si="56"/>
        <v/>
      </c>
      <c r="C552" s="42">
        <v>548</v>
      </c>
      <c r="D552" s="20"/>
      <c r="E552" s="58"/>
      <c r="F552" s="63" t="str">
        <f t="shared" si="57"/>
        <v/>
      </c>
      <c r="G552" s="66" t="str">
        <f>IF(D552="","",IFERROR('Prod 3'!H552/'Prod 3'!$H$3,0))</f>
        <v/>
      </c>
      <c r="H552" s="70" t="str">
        <f>IF(D552="","",'Prod 2'!K552)</f>
        <v/>
      </c>
      <c r="I552" s="77" t="str">
        <f t="shared" si="58"/>
        <v/>
      </c>
      <c r="J552" s="57"/>
      <c r="L552" s="19">
        <v>5.4799999999999998E-7</v>
      </c>
      <c r="M552" s="59">
        <f t="shared" si="59"/>
        <v>0</v>
      </c>
      <c r="N552" s="59">
        <f t="shared" si="60"/>
        <v>0</v>
      </c>
      <c r="O552" s="59">
        <f t="shared" si="61"/>
        <v>0</v>
      </c>
      <c r="P552" s="19" t="str">
        <f t="shared" si="62"/>
        <v/>
      </c>
      <c r="Q552" s="19" t="s">
        <v>588</v>
      </c>
    </row>
    <row r="553" spans="2:17" ht="30" customHeight="1" x14ac:dyDescent="0.25">
      <c r="B553" s="62" t="str">
        <f t="shared" si="56"/>
        <v/>
      </c>
      <c r="C553" s="42">
        <v>549</v>
      </c>
      <c r="D553" s="20"/>
      <c r="E553" s="58"/>
      <c r="F553" s="63" t="str">
        <f t="shared" si="57"/>
        <v/>
      </c>
      <c r="G553" s="66" t="str">
        <f>IF(D553="","",IFERROR('Prod 3'!H553/'Prod 3'!$H$3,0))</f>
        <v/>
      </c>
      <c r="H553" s="70" t="str">
        <f>IF(D553="","",'Prod 2'!K553)</f>
        <v/>
      </c>
      <c r="I553" s="77" t="str">
        <f t="shared" si="58"/>
        <v/>
      </c>
      <c r="J553" s="57"/>
      <c r="L553" s="19">
        <v>5.4899999999999995E-7</v>
      </c>
      <c r="M553" s="59">
        <f t="shared" si="59"/>
        <v>0</v>
      </c>
      <c r="N553" s="59">
        <f t="shared" si="60"/>
        <v>0</v>
      </c>
      <c r="O553" s="59">
        <f t="shared" si="61"/>
        <v>0</v>
      </c>
      <c r="P553" s="19" t="str">
        <f t="shared" si="62"/>
        <v/>
      </c>
      <c r="Q553" s="19" t="s">
        <v>589</v>
      </c>
    </row>
    <row r="554" spans="2:17" ht="30" customHeight="1" x14ac:dyDescent="0.25">
      <c r="B554" s="62" t="str">
        <f t="shared" si="56"/>
        <v/>
      </c>
      <c r="C554" s="42">
        <v>550</v>
      </c>
      <c r="D554" s="20"/>
      <c r="E554" s="58"/>
      <c r="F554" s="63" t="str">
        <f t="shared" si="57"/>
        <v/>
      </c>
      <c r="G554" s="66" t="str">
        <f>IF(D554="","",IFERROR('Prod 3'!H554/'Prod 3'!$H$3,0))</f>
        <v/>
      </c>
      <c r="H554" s="70" t="str">
        <f>IF(D554="","",'Prod 2'!K554)</f>
        <v/>
      </c>
      <c r="I554" s="77" t="str">
        <f t="shared" si="58"/>
        <v/>
      </c>
      <c r="J554" s="57"/>
      <c r="L554" s="19">
        <v>5.5000000000000003E-7</v>
      </c>
      <c r="M554" s="59">
        <f t="shared" si="59"/>
        <v>0</v>
      </c>
      <c r="N554" s="59">
        <f t="shared" si="60"/>
        <v>0</v>
      </c>
      <c r="O554" s="59">
        <f t="shared" si="61"/>
        <v>0</v>
      </c>
      <c r="P554" s="19" t="str">
        <f t="shared" si="62"/>
        <v/>
      </c>
      <c r="Q554" s="19" t="s">
        <v>590</v>
      </c>
    </row>
    <row r="555" spans="2:17" ht="30" customHeight="1" x14ac:dyDescent="0.25">
      <c r="B555" s="62" t="str">
        <f t="shared" si="56"/>
        <v/>
      </c>
      <c r="C555" s="42">
        <v>551</v>
      </c>
      <c r="D555" s="20"/>
      <c r="E555" s="58"/>
      <c r="F555" s="63" t="str">
        <f t="shared" si="57"/>
        <v/>
      </c>
      <c r="G555" s="66" t="str">
        <f>IF(D555="","",IFERROR('Prod 3'!H555/'Prod 3'!$H$3,0))</f>
        <v/>
      </c>
      <c r="H555" s="70" t="str">
        <f>IF(D555="","",'Prod 2'!K555)</f>
        <v/>
      </c>
      <c r="I555" s="77" t="str">
        <f t="shared" si="58"/>
        <v/>
      </c>
      <c r="J555" s="57"/>
      <c r="L555" s="19">
        <v>5.51E-7</v>
      </c>
      <c r="M555" s="59">
        <f t="shared" si="59"/>
        <v>0</v>
      </c>
      <c r="N555" s="59">
        <f t="shared" si="60"/>
        <v>0</v>
      </c>
      <c r="O555" s="59">
        <f t="shared" si="61"/>
        <v>0</v>
      </c>
      <c r="P555" s="19" t="str">
        <f t="shared" si="62"/>
        <v/>
      </c>
      <c r="Q555" s="19" t="s">
        <v>591</v>
      </c>
    </row>
    <row r="556" spans="2:17" ht="30" customHeight="1" x14ac:dyDescent="0.25">
      <c r="B556" s="62" t="str">
        <f t="shared" si="56"/>
        <v/>
      </c>
      <c r="C556" s="42">
        <v>552</v>
      </c>
      <c r="D556" s="20"/>
      <c r="E556" s="58"/>
      <c r="F556" s="63" t="str">
        <f t="shared" si="57"/>
        <v/>
      </c>
      <c r="G556" s="66" t="str">
        <f>IF(D556="","",IFERROR('Prod 3'!H556/'Prod 3'!$H$3,0))</f>
        <v/>
      </c>
      <c r="H556" s="70" t="str">
        <f>IF(D556="","",'Prod 2'!K556)</f>
        <v/>
      </c>
      <c r="I556" s="77" t="str">
        <f t="shared" si="58"/>
        <v/>
      </c>
      <c r="J556" s="57"/>
      <c r="L556" s="19">
        <v>5.5199999999999997E-7</v>
      </c>
      <c r="M556" s="59">
        <f t="shared" si="59"/>
        <v>0</v>
      </c>
      <c r="N556" s="59">
        <f t="shared" si="60"/>
        <v>0</v>
      </c>
      <c r="O556" s="59">
        <f t="shared" si="61"/>
        <v>0</v>
      </c>
      <c r="P556" s="19" t="str">
        <f t="shared" si="62"/>
        <v/>
      </c>
      <c r="Q556" s="19" t="s">
        <v>592</v>
      </c>
    </row>
    <row r="557" spans="2:17" ht="30" customHeight="1" x14ac:dyDescent="0.25">
      <c r="B557" s="62" t="str">
        <f t="shared" si="56"/>
        <v/>
      </c>
      <c r="C557" s="42">
        <v>553</v>
      </c>
      <c r="D557" s="20"/>
      <c r="E557" s="58"/>
      <c r="F557" s="63" t="str">
        <f t="shared" si="57"/>
        <v/>
      </c>
      <c r="G557" s="66" t="str">
        <f>IF(D557="","",IFERROR('Prod 3'!H557/'Prod 3'!$H$3,0))</f>
        <v/>
      </c>
      <c r="H557" s="70" t="str">
        <f>IF(D557="","",'Prod 2'!K557)</f>
        <v/>
      </c>
      <c r="I557" s="77" t="str">
        <f t="shared" si="58"/>
        <v/>
      </c>
      <c r="J557" s="57"/>
      <c r="L557" s="19">
        <v>5.5300000000000004E-7</v>
      </c>
      <c r="M557" s="59">
        <f t="shared" si="59"/>
        <v>0</v>
      </c>
      <c r="N557" s="59">
        <f t="shared" si="60"/>
        <v>0</v>
      </c>
      <c r="O557" s="59">
        <f t="shared" si="61"/>
        <v>0</v>
      </c>
      <c r="P557" s="19" t="str">
        <f t="shared" si="62"/>
        <v/>
      </c>
      <c r="Q557" s="19" t="s">
        <v>593</v>
      </c>
    </row>
    <row r="558" spans="2:17" ht="30" customHeight="1" x14ac:dyDescent="0.25">
      <c r="B558" s="62" t="str">
        <f t="shared" si="56"/>
        <v/>
      </c>
      <c r="C558" s="42">
        <v>554</v>
      </c>
      <c r="D558" s="20"/>
      <c r="E558" s="58"/>
      <c r="F558" s="63" t="str">
        <f t="shared" si="57"/>
        <v/>
      </c>
      <c r="G558" s="66" t="str">
        <f>IF(D558="","",IFERROR('Prod 3'!H558/'Prod 3'!$H$3,0))</f>
        <v/>
      </c>
      <c r="H558" s="70" t="str">
        <f>IF(D558="","",'Prod 2'!K558)</f>
        <v/>
      </c>
      <c r="I558" s="77" t="str">
        <f t="shared" si="58"/>
        <v/>
      </c>
      <c r="J558" s="57"/>
      <c r="L558" s="19">
        <v>5.5400000000000001E-7</v>
      </c>
      <c r="M558" s="59">
        <f t="shared" si="59"/>
        <v>0</v>
      </c>
      <c r="N558" s="59">
        <f t="shared" si="60"/>
        <v>0</v>
      </c>
      <c r="O558" s="59">
        <f t="shared" si="61"/>
        <v>0</v>
      </c>
      <c r="P558" s="19" t="str">
        <f t="shared" si="62"/>
        <v/>
      </c>
      <c r="Q558" s="19" t="s">
        <v>594</v>
      </c>
    </row>
    <row r="559" spans="2:17" ht="30" customHeight="1" x14ac:dyDescent="0.25">
      <c r="B559" s="62" t="str">
        <f t="shared" si="56"/>
        <v/>
      </c>
      <c r="C559" s="42">
        <v>555</v>
      </c>
      <c r="D559" s="20"/>
      <c r="E559" s="58"/>
      <c r="F559" s="63" t="str">
        <f t="shared" si="57"/>
        <v/>
      </c>
      <c r="G559" s="66" t="str">
        <f>IF(D559="","",IFERROR('Prod 3'!H559/'Prod 3'!$H$3,0))</f>
        <v/>
      </c>
      <c r="H559" s="70" t="str">
        <f>IF(D559="","",'Prod 2'!K559)</f>
        <v/>
      </c>
      <c r="I559" s="77" t="str">
        <f t="shared" si="58"/>
        <v/>
      </c>
      <c r="J559" s="57"/>
      <c r="L559" s="19">
        <v>5.5499999999999998E-7</v>
      </c>
      <c r="M559" s="59">
        <f t="shared" si="59"/>
        <v>0</v>
      </c>
      <c r="N559" s="59">
        <f t="shared" si="60"/>
        <v>0</v>
      </c>
      <c r="O559" s="59">
        <f t="shared" si="61"/>
        <v>0</v>
      </c>
      <c r="P559" s="19" t="str">
        <f t="shared" si="62"/>
        <v/>
      </c>
      <c r="Q559" s="19" t="s">
        <v>595</v>
      </c>
    </row>
    <row r="560" spans="2:17" ht="30" customHeight="1" x14ac:dyDescent="0.25">
      <c r="B560" s="62" t="str">
        <f t="shared" si="56"/>
        <v/>
      </c>
      <c r="C560" s="42">
        <v>556</v>
      </c>
      <c r="D560" s="20"/>
      <c r="E560" s="58"/>
      <c r="F560" s="63" t="str">
        <f t="shared" si="57"/>
        <v/>
      </c>
      <c r="G560" s="66" t="str">
        <f>IF(D560="","",IFERROR('Prod 3'!H560/'Prod 3'!$H$3,0))</f>
        <v/>
      </c>
      <c r="H560" s="70" t="str">
        <f>IF(D560="","",'Prod 2'!K560)</f>
        <v/>
      </c>
      <c r="I560" s="77" t="str">
        <f t="shared" si="58"/>
        <v/>
      </c>
      <c r="J560" s="57"/>
      <c r="L560" s="19">
        <v>5.5599999999999995E-7</v>
      </c>
      <c r="M560" s="59">
        <f t="shared" si="59"/>
        <v>0</v>
      </c>
      <c r="N560" s="59">
        <f t="shared" si="60"/>
        <v>0</v>
      </c>
      <c r="O560" s="59">
        <f t="shared" si="61"/>
        <v>0</v>
      </c>
      <c r="P560" s="19" t="str">
        <f t="shared" si="62"/>
        <v/>
      </c>
      <c r="Q560" s="19" t="s">
        <v>596</v>
      </c>
    </row>
    <row r="561" spans="2:17" ht="30" customHeight="1" x14ac:dyDescent="0.25">
      <c r="B561" s="62" t="str">
        <f t="shared" si="56"/>
        <v/>
      </c>
      <c r="C561" s="42">
        <v>557</v>
      </c>
      <c r="D561" s="20"/>
      <c r="E561" s="58"/>
      <c r="F561" s="63" t="str">
        <f t="shared" si="57"/>
        <v/>
      </c>
      <c r="G561" s="66" t="str">
        <f>IF(D561="","",IFERROR('Prod 3'!H561/'Prod 3'!$H$3,0))</f>
        <v/>
      </c>
      <c r="H561" s="70" t="str">
        <f>IF(D561="","",'Prod 2'!K561)</f>
        <v/>
      </c>
      <c r="I561" s="77" t="str">
        <f t="shared" si="58"/>
        <v/>
      </c>
      <c r="J561" s="57"/>
      <c r="L561" s="19">
        <v>5.5700000000000002E-7</v>
      </c>
      <c r="M561" s="59">
        <f t="shared" si="59"/>
        <v>0</v>
      </c>
      <c r="N561" s="59">
        <f t="shared" si="60"/>
        <v>0</v>
      </c>
      <c r="O561" s="59">
        <f t="shared" si="61"/>
        <v>0</v>
      </c>
      <c r="P561" s="19" t="str">
        <f t="shared" si="62"/>
        <v/>
      </c>
      <c r="Q561" s="19" t="s">
        <v>597</v>
      </c>
    </row>
    <row r="562" spans="2:17" ht="30" customHeight="1" x14ac:dyDescent="0.25">
      <c r="B562" s="62" t="str">
        <f t="shared" si="56"/>
        <v/>
      </c>
      <c r="C562" s="42">
        <v>558</v>
      </c>
      <c r="D562" s="20"/>
      <c r="E562" s="58"/>
      <c r="F562" s="63" t="str">
        <f t="shared" si="57"/>
        <v/>
      </c>
      <c r="G562" s="66" t="str">
        <f>IF(D562="","",IFERROR('Prod 3'!H562/'Prod 3'!$H$3,0))</f>
        <v/>
      </c>
      <c r="H562" s="70" t="str">
        <f>IF(D562="","",'Prod 2'!K562)</f>
        <v/>
      </c>
      <c r="I562" s="77" t="str">
        <f t="shared" si="58"/>
        <v/>
      </c>
      <c r="J562" s="57"/>
      <c r="L562" s="19">
        <v>5.5799999999999999E-7</v>
      </c>
      <c r="M562" s="59">
        <f t="shared" si="59"/>
        <v>0</v>
      </c>
      <c r="N562" s="59">
        <f t="shared" si="60"/>
        <v>0</v>
      </c>
      <c r="O562" s="59">
        <f t="shared" si="61"/>
        <v>0</v>
      </c>
      <c r="P562" s="19" t="str">
        <f t="shared" si="62"/>
        <v/>
      </c>
      <c r="Q562" s="19" t="s">
        <v>598</v>
      </c>
    </row>
    <row r="563" spans="2:17" ht="30" customHeight="1" x14ac:dyDescent="0.25">
      <c r="B563" s="62" t="str">
        <f t="shared" si="56"/>
        <v/>
      </c>
      <c r="C563" s="42">
        <v>559</v>
      </c>
      <c r="D563" s="20"/>
      <c r="E563" s="58"/>
      <c r="F563" s="63" t="str">
        <f t="shared" si="57"/>
        <v/>
      </c>
      <c r="G563" s="66" t="str">
        <f>IF(D563="","",IFERROR('Prod 3'!H563/'Prod 3'!$H$3,0))</f>
        <v/>
      </c>
      <c r="H563" s="70" t="str">
        <f>IF(D563="","",'Prod 2'!K563)</f>
        <v/>
      </c>
      <c r="I563" s="77" t="str">
        <f t="shared" si="58"/>
        <v/>
      </c>
      <c r="J563" s="57"/>
      <c r="L563" s="19">
        <v>5.5899999999999996E-7</v>
      </c>
      <c r="M563" s="59">
        <f t="shared" si="59"/>
        <v>0</v>
      </c>
      <c r="N563" s="59">
        <f t="shared" si="60"/>
        <v>0</v>
      </c>
      <c r="O563" s="59">
        <f t="shared" si="61"/>
        <v>0</v>
      </c>
      <c r="P563" s="19" t="str">
        <f t="shared" si="62"/>
        <v/>
      </c>
      <c r="Q563" s="19" t="s">
        <v>599</v>
      </c>
    </row>
    <row r="564" spans="2:17" ht="30" customHeight="1" x14ac:dyDescent="0.25">
      <c r="B564" s="62" t="str">
        <f t="shared" si="56"/>
        <v/>
      </c>
      <c r="C564" s="42">
        <v>560</v>
      </c>
      <c r="D564" s="20"/>
      <c r="E564" s="58"/>
      <c r="F564" s="63" t="str">
        <f t="shared" si="57"/>
        <v/>
      </c>
      <c r="G564" s="66" t="str">
        <f>IF(D564="","",IFERROR('Prod 3'!H564/'Prod 3'!$H$3,0))</f>
        <v/>
      </c>
      <c r="H564" s="70" t="str">
        <f>IF(D564="","",'Prod 2'!K564)</f>
        <v/>
      </c>
      <c r="I564" s="77" t="str">
        <f t="shared" si="58"/>
        <v/>
      </c>
      <c r="J564" s="57"/>
      <c r="L564" s="19">
        <v>5.6000000000000004E-7</v>
      </c>
      <c r="M564" s="59">
        <f t="shared" si="59"/>
        <v>0</v>
      </c>
      <c r="N564" s="59">
        <f t="shared" si="60"/>
        <v>0</v>
      </c>
      <c r="O564" s="59">
        <f t="shared" si="61"/>
        <v>0</v>
      </c>
      <c r="P564" s="19" t="str">
        <f t="shared" si="62"/>
        <v/>
      </c>
      <c r="Q564" s="19" t="s">
        <v>600</v>
      </c>
    </row>
    <row r="565" spans="2:17" ht="30" customHeight="1" x14ac:dyDescent="0.25">
      <c r="B565" s="62" t="str">
        <f t="shared" si="56"/>
        <v/>
      </c>
      <c r="C565" s="42">
        <v>561</v>
      </c>
      <c r="D565" s="20"/>
      <c r="E565" s="58"/>
      <c r="F565" s="63" t="str">
        <f t="shared" si="57"/>
        <v/>
      </c>
      <c r="G565" s="66" t="str">
        <f>IF(D565="","",IFERROR('Prod 3'!H565/'Prod 3'!$H$3,0))</f>
        <v/>
      </c>
      <c r="H565" s="70" t="str">
        <f>IF(D565="","",'Prod 2'!K565)</f>
        <v/>
      </c>
      <c r="I565" s="77" t="str">
        <f t="shared" si="58"/>
        <v/>
      </c>
      <c r="J565" s="57"/>
      <c r="L565" s="19">
        <v>5.6100000000000001E-7</v>
      </c>
      <c r="M565" s="59">
        <f t="shared" si="59"/>
        <v>0</v>
      </c>
      <c r="N565" s="59">
        <f t="shared" si="60"/>
        <v>0</v>
      </c>
      <c r="O565" s="59">
        <f t="shared" si="61"/>
        <v>0</v>
      </c>
      <c r="P565" s="19" t="str">
        <f t="shared" si="62"/>
        <v/>
      </c>
      <c r="Q565" s="19" t="s">
        <v>601</v>
      </c>
    </row>
    <row r="566" spans="2:17" ht="30" customHeight="1" x14ac:dyDescent="0.25">
      <c r="B566" s="62" t="str">
        <f t="shared" si="56"/>
        <v/>
      </c>
      <c r="C566" s="42">
        <v>562</v>
      </c>
      <c r="D566" s="20"/>
      <c r="E566" s="58"/>
      <c r="F566" s="63" t="str">
        <f t="shared" si="57"/>
        <v/>
      </c>
      <c r="G566" s="66" t="str">
        <f>IF(D566="","",IFERROR('Prod 3'!H566/'Prod 3'!$H$3,0))</f>
        <v/>
      </c>
      <c r="H566" s="70" t="str">
        <f>IF(D566="","",'Prod 2'!K566)</f>
        <v/>
      </c>
      <c r="I566" s="77" t="str">
        <f t="shared" si="58"/>
        <v/>
      </c>
      <c r="J566" s="57"/>
      <c r="L566" s="19">
        <v>5.6199999999999998E-7</v>
      </c>
      <c r="M566" s="59">
        <f t="shared" si="59"/>
        <v>0</v>
      </c>
      <c r="N566" s="59">
        <f t="shared" si="60"/>
        <v>0</v>
      </c>
      <c r="O566" s="59">
        <f t="shared" si="61"/>
        <v>0</v>
      </c>
      <c r="P566" s="19" t="str">
        <f t="shared" si="62"/>
        <v/>
      </c>
      <c r="Q566" s="19" t="s">
        <v>602</v>
      </c>
    </row>
    <row r="567" spans="2:17" ht="30" customHeight="1" x14ac:dyDescent="0.25">
      <c r="B567" s="62" t="str">
        <f t="shared" si="56"/>
        <v/>
      </c>
      <c r="C567" s="42">
        <v>563</v>
      </c>
      <c r="D567" s="20"/>
      <c r="E567" s="58"/>
      <c r="F567" s="63" t="str">
        <f t="shared" si="57"/>
        <v/>
      </c>
      <c r="G567" s="66" t="str">
        <f>IF(D567="","",IFERROR('Prod 3'!H567/'Prod 3'!$H$3,0))</f>
        <v/>
      </c>
      <c r="H567" s="70" t="str">
        <f>IF(D567="","",'Prod 2'!K567)</f>
        <v/>
      </c>
      <c r="I567" s="77" t="str">
        <f t="shared" si="58"/>
        <v/>
      </c>
      <c r="J567" s="57"/>
      <c r="L567" s="19">
        <v>5.6300000000000005E-7</v>
      </c>
      <c r="M567" s="59">
        <f t="shared" si="59"/>
        <v>0</v>
      </c>
      <c r="N567" s="59">
        <f t="shared" si="60"/>
        <v>0</v>
      </c>
      <c r="O567" s="59">
        <f t="shared" si="61"/>
        <v>0</v>
      </c>
      <c r="P567" s="19" t="str">
        <f t="shared" si="62"/>
        <v/>
      </c>
      <c r="Q567" s="19" t="s">
        <v>603</v>
      </c>
    </row>
    <row r="568" spans="2:17" ht="30" customHeight="1" x14ac:dyDescent="0.25">
      <c r="B568" s="62" t="str">
        <f t="shared" si="56"/>
        <v/>
      </c>
      <c r="C568" s="42">
        <v>564</v>
      </c>
      <c r="D568" s="20"/>
      <c r="E568" s="58"/>
      <c r="F568" s="63" t="str">
        <f t="shared" si="57"/>
        <v/>
      </c>
      <c r="G568" s="66" t="str">
        <f>IF(D568="","",IFERROR('Prod 3'!H568/'Prod 3'!$H$3,0))</f>
        <v/>
      </c>
      <c r="H568" s="70" t="str">
        <f>IF(D568="","",'Prod 2'!K568)</f>
        <v/>
      </c>
      <c r="I568" s="77" t="str">
        <f t="shared" si="58"/>
        <v/>
      </c>
      <c r="J568" s="57"/>
      <c r="L568" s="19">
        <v>5.6400000000000002E-7</v>
      </c>
      <c r="M568" s="59">
        <f t="shared" si="59"/>
        <v>0</v>
      </c>
      <c r="N568" s="59">
        <f t="shared" si="60"/>
        <v>0</v>
      </c>
      <c r="O568" s="59">
        <f t="shared" si="61"/>
        <v>0</v>
      </c>
      <c r="P568" s="19" t="str">
        <f t="shared" si="62"/>
        <v/>
      </c>
      <c r="Q568" s="19" t="s">
        <v>604</v>
      </c>
    </row>
    <row r="569" spans="2:17" ht="30" customHeight="1" x14ac:dyDescent="0.25">
      <c r="B569" s="62" t="str">
        <f t="shared" si="56"/>
        <v/>
      </c>
      <c r="C569" s="42">
        <v>565</v>
      </c>
      <c r="D569" s="20"/>
      <c r="E569" s="58"/>
      <c r="F569" s="63" t="str">
        <f t="shared" si="57"/>
        <v/>
      </c>
      <c r="G569" s="66" t="str">
        <f>IF(D569="","",IFERROR('Prod 3'!H569/'Prod 3'!$H$3,0))</f>
        <v/>
      </c>
      <c r="H569" s="70" t="str">
        <f>IF(D569="","",'Prod 2'!K569)</f>
        <v/>
      </c>
      <c r="I569" s="77" t="str">
        <f t="shared" si="58"/>
        <v/>
      </c>
      <c r="J569" s="57"/>
      <c r="L569" s="19">
        <v>5.6499999999999999E-7</v>
      </c>
      <c r="M569" s="59">
        <f t="shared" si="59"/>
        <v>0</v>
      </c>
      <c r="N569" s="59">
        <f t="shared" si="60"/>
        <v>0</v>
      </c>
      <c r="O569" s="59">
        <f t="shared" si="61"/>
        <v>0</v>
      </c>
      <c r="P569" s="19" t="str">
        <f t="shared" si="62"/>
        <v/>
      </c>
      <c r="Q569" s="19" t="s">
        <v>605</v>
      </c>
    </row>
    <row r="570" spans="2:17" ht="30" customHeight="1" x14ac:dyDescent="0.25">
      <c r="B570" s="62" t="str">
        <f t="shared" si="56"/>
        <v/>
      </c>
      <c r="C570" s="42">
        <v>566</v>
      </c>
      <c r="D570" s="20"/>
      <c r="E570" s="58"/>
      <c r="F570" s="63" t="str">
        <f t="shared" si="57"/>
        <v/>
      </c>
      <c r="G570" s="66" t="str">
        <f>IF(D570="","",IFERROR('Prod 3'!H570/'Prod 3'!$H$3,0))</f>
        <v/>
      </c>
      <c r="H570" s="70" t="str">
        <f>IF(D570="","",'Prod 2'!K570)</f>
        <v/>
      </c>
      <c r="I570" s="77" t="str">
        <f t="shared" si="58"/>
        <v/>
      </c>
      <c r="J570" s="57"/>
      <c r="L570" s="19">
        <v>5.6599999999999996E-7</v>
      </c>
      <c r="M570" s="59">
        <f t="shared" si="59"/>
        <v>0</v>
      </c>
      <c r="N570" s="59">
        <f t="shared" si="60"/>
        <v>0</v>
      </c>
      <c r="O570" s="59">
        <f t="shared" si="61"/>
        <v>0</v>
      </c>
      <c r="P570" s="19" t="str">
        <f t="shared" si="62"/>
        <v/>
      </c>
      <c r="Q570" s="19" t="s">
        <v>606</v>
      </c>
    </row>
    <row r="571" spans="2:17" ht="30" customHeight="1" x14ac:dyDescent="0.25">
      <c r="B571" s="62" t="str">
        <f t="shared" si="56"/>
        <v/>
      </c>
      <c r="C571" s="42">
        <v>567</v>
      </c>
      <c r="D571" s="20"/>
      <c r="E571" s="58"/>
      <c r="F571" s="63" t="str">
        <f t="shared" si="57"/>
        <v/>
      </c>
      <c r="G571" s="66" t="str">
        <f>IF(D571="","",IFERROR('Prod 3'!H571/'Prod 3'!$H$3,0))</f>
        <v/>
      </c>
      <c r="H571" s="70" t="str">
        <f>IF(D571="","",'Prod 2'!K571)</f>
        <v/>
      </c>
      <c r="I571" s="77" t="str">
        <f t="shared" si="58"/>
        <v/>
      </c>
      <c r="J571" s="57"/>
      <c r="L571" s="19">
        <v>5.6700000000000003E-7</v>
      </c>
      <c r="M571" s="59">
        <f t="shared" si="59"/>
        <v>0</v>
      </c>
      <c r="N571" s="59">
        <f t="shared" si="60"/>
        <v>0</v>
      </c>
      <c r="O571" s="59">
        <f t="shared" si="61"/>
        <v>0</v>
      </c>
      <c r="P571" s="19" t="str">
        <f t="shared" si="62"/>
        <v/>
      </c>
      <c r="Q571" s="19" t="s">
        <v>607</v>
      </c>
    </row>
    <row r="572" spans="2:17" ht="30" customHeight="1" x14ac:dyDescent="0.25">
      <c r="B572" s="62" t="str">
        <f t="shared" si="56"/>
        <v/>
      </c>
      <c r="C572" s="42">
        <v>568</v>
      </c>
      <c r="D572" s="20"/>
      <c r="E572" s="58"/>
      <c r="F572" s="63" t="str">
        <f t="shared" si="57"/>
        <v/>
      </c>
      <c r="G572" s="66" t="str">
        <f>IF(D572="","",IFERROR('Prod 3'!H572/'Prod 3'!$H$3,0))</f>
        <v/>
      </c>
      <c r="H572" s="70" t="str">
        <f>IF(D572="","",'Prod 2'!K572)</f>
        <v/>
      </c>
      <c r="I572" s="77" t="str">
        <f t="shared" si="58"/>
        <v/>
      </c>
      <c r="J572" s="57"/>
      <c r="L572" s="19">
        <v>5.68E-7</v>
      </c>
      <c r="M572" s="59">
        <f t="shared" si="59"/>
        <v>0</v>
      </c>
      <c r="N572" s="59">
        <f t="shared" si="60"/>
        <v>0</v>
      </c>
      <c r="O572" s="59">
        <f t="shared" si="61"/>
        <v>0</v>
      </c>
      <c r="P572" s="19" t="str">
        <f t="shared" si="62"/>
        <v/>
      </c>
      <c r="Q572" s="19" t="s">
        <v>608</v>
      </c>
    </row>
    <row r="573" spans="2:17" ht="30" customHeight="1" x14ac:dyDescent="0.25">
      <c r="B573" s="62" t="str">
        <f t="shared" si="56"/>
        <v/>
      </c>
      <c r="C573" s="42">
        <v>569</v>
      </c>
      <c r="D573" s="20"/>
      <c r="E573" s="58"/>
      <c r="F573" s="63" t="str">
        <f t="shared" si="57"/>
        <v/>
      </c>
      <c r="G573" s="66" t="str">
        <f>IF(D573="","",IFERROR('Prod 3'!H573/'Prod 3'!$H$3,0))</f>
        <v/>
      </c>
      <c r="H573" s="70" t="str">
        <f>IF(D573="","",'Prod 2'!K573)</f>
        <v/>
      </c>
      <c r="I573" s="77" t="str">
        <f t="shared" si="58"/>
        <v/>
      </c>
      <c r="J573" s="57"/>
      <c r="L573" s="19">
        <v>5.6899999999999997E-7</v>
      </c>
      <c r="M573" s="59">
        <f t="shared" si="59"/>
        <v>0</v>
      </c>
      <c r="N573" s="59">
        <f t="shared" si="60"/>
        <v>0</v>
      </c>
      <c r="O573" s="59">
        <f t="shared" si="61"/>
        <v>0</v>
      </c>
      <c r="P573" s="19" t="str">
        <f t="shared" si="62"/>
        <v/>
      </c>
      <c r="Q573" s="19" t="s">
        <v>609</v>
      </c>
    </row>
    <row r="574" spans="2:17" ht="30" customHeight="1" x14ac:dyDescent="0.25">
      <c r="B574" s="62" t="str">
        <f t="shared" si="56"/>
        <v/>
      </c>
      <c r="C574" s="42">
        <v>570</v>
      </c>
      <c r="D574" s="20"/>
      <c r="E574" s="58"/>
      <c r="F574" s="63" t="str">
        <f t="shared" si="57"/>
        <v/>
      </c>
      <c r="G574" s="66" t="str">
        <f>IF(D574="","",IFERROR('Prod 3'!H574/'Prod 3'!$H$3,0))</f>
        <v/>
      </c>
      <c r="H574" s="70" t="str">
        <f>IF(D574="","",'Prod 2'!K574)</f>
        <v/>
      </c>
      <c r="I574" s="77" t="str">
        <f t="shared" si="58"/>
        <v/>
      </c>
      <c r="J574" s="57"/>
      <c r="L574" s="19">
        <v>5.7000000000000005E-7</v>
      </c>
      <c r="M574" s="59">
        <f t="shared" si="59"/>
        <v>0</v>
      </c>
      <c r="N574" s="59">
        <f t="shared" si="60"/>
        <v>0</v>
      </c>
      <c r="O574" s="59">
        <f t="shared" si="61"/>
        <v>0</v>
      </c>
      <c r="P574" s="19" t="str">
        <f t="shared" si="62"/>
        <v/>
      </c>
      <c r="Q574" s="19" t="s">
        <v>610</v>
      </c>
    </row>
    <row r="575" spans="2:17" ht="30" customHeight="1" x14ac:dyDescent="0.25">
      <c r="B575" s="62" t="str">
        <f t="shared" si="56"/>
        <v/>
      </c>
      <c r="C575" s="42">
        <v>571</v>
      </c>
      <c r="D575" s="20"/>
      <c r="E575" s="58"/>
      <c r="F575" s="63" t="str">
        <f t="shared" si="57"/>
        <v/>
      </c>
      <c r="G575" s="66" t="str">
        <f>IF(D575="","",IFERROR('Prod 3'!H575/'Prod 3'!$H$3,0))</f>
        <v/>
      </c>
      <c r="H575" s="70" t="str">
        <f>IF(D575="","",'Prod 2'!K575)</f>
        <v/>
      </c>
      <c r="I575" s="77" t="str">
        <f t="shared" si="58"/>
        <v/>
      </c>
      <c r="J575" s="57"/>
      <c r="L575" s="19">
        <v>5.7100000000000002E-7</v>
      </c>
      <c r="M575" s="59">
        <f t="shared" si="59"/>
        <v>0</v>
      </c>
      <c r="N575" s="59">
        <f t="shared" si="60"/>
        <v>0</v>
      </c>
      <c r="O575" s="59">
        <f t="shared" si="61"/>
        <v>0</v>
      </c>
      <c r="P575" s="19" t="str">
        <f t="shared" si="62"/>
        <v/>
      </c>
      <c r="Q575" s="19" t="s">
        <v>611</v>
      </c>
    </row>
    <row r="576" spans="2:17" ht="30" customHeight="1" x14ac:dyDescent="0.25">
      <c r="B576" s="62" t="str">
        <f t="shared" si="56"/>
        <v/>
      </c>
      <c r="C576" s="42">
        <v>572</v>
      </c>
      <c r="D576" s="20"/>
      <c r="E576" s="58"/>
      <c r="F576" s="63" t="str">
        <f t="shared" si="57"/>
        <v/>
      </c>
      <c r="G576" s="66" t="str">
        <f>IF(D576="","",IFERROR('Prod 3'!H576/'Prod 3'!$H$3,0))</f>
        <v/>
      </c>
      <c r="H576" s="70" t="str">
        <f>IF(D576="","",'Prod 2'!K576)</f>
        <v/>
      </c>
      <c r="I576" s="77" t="str">
        <f t="shared" si="58"/>
        <v/>
      </c>
      <c r="J576" s="57"/>
      <c r="L576" s="19">
        <v>5.7199999999999999E-7</v>
      </c>
      <c r="M576" s="59">
        <f t="shared" si="59"/>
        <v>0</v>
      </c>
      <c r="N576" s="59">
        <f t="shared" si="60"/>
        <v>0</v>
      </c>
      <c r="O576" s="59">
        <f t="shared" si="61"/>
        <v>0</v>
      </c>
      <c r="P576" s="19" t="str">
        <f t="shared" si="62"/>
        <v/>
      </c>
      <c r="Q576" s="19" t="s">
        <v>612</v>
      </c>
    </row>
    <row r="577" spans="2:17" ht="30" customHeight="1" x14ac:dyDescent="0.25">
      <c r="B577" s="62" t="str">
        <f t="shared" si="56"/>
        <v/>
      </c>
      <c r="C577" s="42">
        <v>573</v>
      </c>
      <c r="D577" s="20"/>
      <c r="E577" s="58"/>
      <c r="F577" s="63" t="str">
        <f t="shared" si="57"/>
        <v/>
      </c>
      <c r="G577" s="66" t="str">
        <f>IF(D577="","",IFERROR('Prod 3'!H577/'Prod 3'!$H$3,0))</f>
        <v/>
      </c>
      <c r="H577" s="70" t="str">
        <f>IF(D577="","",'Prod 2'!K577)</f>
        <v/>
      </c>
      <c r="I577" s="77" t="str">
        <f t="shared" si="58"/>
        <v/>
      </c>
      <c r="J577" s="57"/>
      <c r="L577" s="19">
        <v>5.7299999999999996E-7</v>
      </c>
      <c r="M577" s="59">
        <f t="shared" si="59"/>
        <v>0</v>
      </c>
      <c r="N577" s="59">
        <f t="shared" si="60"/>
        <v>0</v>
      </c>
      <c r="O577" s="59">
        <f t="shared" si="61"/>
        <v>0</v>
      </c>
      <c r="P577" s="19" t="str">
        <f t="shared" si="62"/>
        <v/>
      </c>
      <c r="Q577" s="19" t="s">
        <v>613</v>
      </c>
    </row>
    <row r="578" spans="2:17" ht="30" customHeight="1" x14ac:dyDescent="0.25">
      <c r="B578" s="62" t="str">
        <f t="shared" si="56"/>
        <v/>
      </c>
      <c r="C578" s="42">
        <v>574</v>
      </c>
      <c r="D578" s="20"/>
      <c r="E578" s="58"/>
      <c r="F578" s="63" t="str">
        <f t="shared" si="57"/>
        <v/>
      </c>
      <c r="G578" s="66" t="str">
        <f>IF(D578="","",IFERROR('Prod 3'!H578/'Prod 3'!$H$3,0))</f>
        <v/>
      </c>
      <c r="H578" s="70" t="str">
        <f>IF(D578="","",'Prod 2'!K578)</f>
        <v/>
      </c>
      <c r="I578" s="77" t="str">
        <f t="shared" si="58"/>
        <v/>
      </c>
      <c r="J578" s="57"/>
      <c r="L578" s="19">
        <v>5.7400000000000003E-7</v>
      </c>
      <c r="M578" s="59">
        <f t="shared" si="59"/>
        <v>0</v>
      </c>
      <c r="N578" s="59">
        <f t="shared" si="60"/>
        <v>0</v>
      </c>
      <c r="O578" s="59">
        <f t="shared" si="61"/>
        <v>0</v>
      </c>
      <c r="P578" s="19" t="str">
        <f t="shared" si="62"/>
        <v/>
      </c>
      <c r="Q578" s="19" t="s">
        <v>614</v>
      </c>
    </row>
    <row r="579" spans="2:17" ht="30" customHeight="1" x14ac:dyDescent="0.25">
      <c r="B579" s="62" t="str">
        <f t="shared" si="56"/>
        <v/>
      </c>
      <c r="C579" s="42">
        <v>575</v>
      </c>
      <c r="D579" s="20"/>
      <c r="E579" s="58"/>
      <c r="F579" s="63" t="str">
        <f t="shared" si="57"/>
        <v/>
      </c>
      <c r="G579" s="66" t="str">
        <f>IF(D579="","",IFERROR('Prod 3'!H579/'Prod 3'!$H$3,0))</f>
        <v/>
      </c>
      <c r="H579" s="70" t="str">
        <f>IF(D579="","",'Prod 2'!K579)</f>
        <v/>
      </c>
      <c r="I579" s="77" t="str">
        <f t="shared" si="58"/>
        <v/>
      </c>
      <c r="J579" s="57"/>
      <c r="L579" s="19">
        <v>5.75E-7</v>
      </c>
      <c r="M579" s="59">
        <f t="shared" si="59"/>
        <v>0</v>
      </c>
      <c r="N579" s="59">
        <f t="shared" si="60"/>
        <v>0</v>
      </c>
      <c r="O579" s="59">
        <f t="shared" si="61"/>
        <v>0</v>
      </c>
      <c r="P579" s="19" t="str">
        <f t="shared" si="62"/>
        <v/>
      </c>
      <c r="Q579" s="19" t="s">
        <v>615</v>
      </c>
    </row>
    <row r="580" spans="2:17" ht="30" customHeight="1" x14ac:dyDescent="0.25">
      <c r="B580" s="62" t="str">
        <f t="shared" si="56"/>
        <v/>
      </c>
      <c r="C580" s="42">
        <v>576</v>
      </c>
      <c r="D580" s="20"/>
      <c r="E580" s="58"/>
      <c r="F580" s="63" t="str">
        <f t="shared" si="57"/>
        <v/>
      </c>
      <c r="G580" s="66" t="str">
        <f>IF(D580="","",IFERROR('Prod 3'!H580/'Prod 3'!$H$3,0))</f>
        <v/>
      </c>
      <c r="H580" s="70" t="str">
        <f>IF(D580="","",'Prod 2'!K580)</f>
        <v/>
      </c>
      <c r="I580" s="77" t="str">
        <f t="shared" si="58"/>
        <v/>
      </c>
      <c r="J580" s="57"/>
      <c r="L580" s="19">
        <v>5.7599999999999997E-7</v>
      </c>
      <c r="M580" s="59">
        <f t="shared" si="59"/>
        <v>0</v>
      </c>
      <c r="N580" s="59">
        <f t="shared" si="60"/>
        <v>0</v>
      </c>
      <c r="O580" s="59">
        <f t="shared" si="61"/>
        <v>0</v>
      </c>
      <c r="P580" s="19" t="str">
        <f t="shared" si="62"/>
        <v/>
      </c>
      <c r="Q580" s="19" t="s">
        <v>616</v>
      </c>
    </row>
    <row r="581" spans="2:17" ht="30" customHeight="1" x14ac:dyDescent="0.25">
      <c r="B581" s="62" t="str">
        <f t="shared" si="56"/>
        <v/>
      </c>
      <c r="C581" s="42">
        <v>577</v>
      </c>
      <c r="D581" s="20"/>
      <c r="E581" s="58"/>
      <c r="F581" s="63" t="str">
        <f t="shared" si="57"/>
        <v/>
      </c>
      <c r="G581" s="66" t="str">
        <f>IF(D581="","",IFERROR('Prod 3'!H581/'Prod 3'!$H$3,0))</f>
        <v/>
      </c>
      <c r="H581" s="70" t="str">
        <f>IF(D581="","",'Prod 2'!K581)</f>
        <v/>
      </c>
      <c r="I581" s="77" t="str">
        <f t="shared" si="58"/>
        <v/>
      </c>
      <c r="J581" s="57"/>
      <c r="L581" s="19">
        <v>5.7700000000000004E-7</v>
      </c>
      <c r="M581" s="59">
        <f t="shared" si="59"/>
        <v>0</v>
      </c>
      <c r="N581" s="59">
        <f t="shared" si="60"/>
        <v>0</v>
      </c>
      <c r="O581" s="59">
        <f t="shared" si="61"/>
        <v>0</v>
      </c>
      <c r="P581" s="19" t="str">
        <f t="shared" si="62"/>
        <v/>
      </c>
      <c r="Q581" s="19" t="s">
        <v>617</v>
      </c>
    </row>
    <row r="582" spans="2:17" ht="30" customHeight="1" x14ac:dyDescent="0.25">
      <c r="B582" s="62" t="str">
        <f t="shared" ref="B582:B645" si="63">IF(I582="","",I582)</f>
        <v/>
      </c>
      <c r="C582" s="42">
        <v>578</v>
      </c>
      <c r="D582" s="20"/>
      <c r="E582" s="58"/>
      <c r="F582" s="63" t="str">
        <f t="shared" ref="F582:F645" si="64">IF(D582="","",IFERROR(VLOOKUP(D582,$P$5:$Q$1004,2,0),""))</f>
        <v/>
      </c>
      <c r="G582" s="66" t="str">
        <f>IF(D582="","",IFERROR('Prod 3'!H582/'Prod 3'!$H$3,0))</f>
        <v/>
      </c>
      <c r="H582" s="70" t="str">
        <f>IF(D582="","",'Prod 2'!K582)</f>
        <v/>
      </c>
      <c r="I582" s="77" t="str">
        <f t="shared" ref="I582:I645" si="65">IF(D582="","",E582-H582+L582)</f>
        <v/>
      </c>
      <c r="J582" s="57"/>
      <c r="L582" s="19">
        <v>5.7800000000000001E-7</v>
      </c>
      <c r="M582" s="59">
        <f t="shared" ref="M582:M645" si="66">IFERROR(LARGE($I$5:$I$1004,C582),0)</f>
        <v>0</v>
      </c>
      <c r="N582" s="59">
        <f t="shared" ref="N582:N645" si="67">IFERROR(M582,0)</f>
        <v>0</v>
      </c>
      <c r="O582" s="59">
        <f t="shared" ref="O582:O645" si="68">IFERROR(LARGE($N$5:$N$1004,C582),0)</f>
        <v>0</v>
      </c>
      <c r="P582" s="19" t="str">
        <f t="shared" ref="P582:P645" si="69">IFERROR(IF(VLOOKUP(O582,$B$5:$D$1004,3,0)=0,"",(VLOOKUP(O582,$B$5:$D$1004,3,0))),"")</f>
        <v/>
      </c>
      <c r="Q582" s="19" t="s">
        <v>618</v>
      </c>
    </row>
    <row r="583" spans="2:17" ht="30" customHeight="1" x14ac:dyDescent="0.25">
      <c r="B583" s="62" t="str">
        <f t="shared" si="63"/>
        <v/>
      </c>
      <c r="C583" s="42">
        <v>579</v>
      </c>
      <c r="D583" s="20"/>
      <c r="E583" s="58"/>
      <c r="F583" s="63" t="str">
        <f t="shared" si="64"/>
        <v/>
      </c>
      <c r="G583" s="66" t="str">
        <f>IF(D583="","",IFERROR('Prod 3'!H583/'Prod 3'!$H$3,0))</f>
        <v/>
      </c>
      <c r="H583" s="70" t="str">
        <f>IF(D583="","",'Prod 2'!K583)</f>
        <v/>
      </c>
      <c r="I583" s="77" t="str">
        <f t="shared" si="65"/>
        <v/>
      </c>
      <c r="J583" s="57"/>
      <c r="L583" s="19">
        <v>5.7899999999999998E-7</v>
      </c>
      <c r="M583" s="59">
        <f t="shared" si="66"/>
        <v>0</v>
      </c>
      <c r="N583" s="59">
        <f t="shared" si="67"/>
        <v>0</v>
      </c>
      <c r="O583" s="59">
        <f t="shared" si="68"/>
        <v>0</v>
      </c>
      <c r="P583" s="19" t="str">
        <f t="shared" si="69"/>
        <v/>
      </c>
      <c r="Q583" s="19" t="s">
        <v>619</v>
      </c>
    </row>
    <row r="584" spans="2:17" ht="30" customHeight="1" x14ac:dyDescent="0.25">
      <c r="B584" s="62" t="str">
        <f t="shared" si="63"/>
        <v/>
      </c>
      <c r="C584" s="42">
        <v>580</v>
      </c>
      <c r="D584" s="20"/>
      <c r="E584" s="58"/>
      <c r="F584" s="63" t="str">
        <f t="shared" si="64"/>
        <v/>
      </c>
      <c r="G584" s="66" t="str">
        <f>IF(D584="","",IFERROR('Prod 3'!H584/'Prod 3'!$H$3,0))</f>
        <v/>
      </c>
      <c r="H584" s="70" t="str">
        <f>IF(D584="","",'Prod 2'!K584)</f>
        <v/>
      </c>
      <c r="I584" s="77" t="str">
        <f t="shared" si="65"/>
        <v/>
      </c>
      <c r="J584" s="57"/>
      <c r="L584" s="19">
        <v>5.7999999999999995E-7</v>
      </c>
      <c r="M584" s="59">
        <f t="shared" si="66"/>
        <v>0</v>
      </c>
      <c r="N584" s="59">
        <f t="shared" si="67"/>
        <v>0</v>
      </c>
      <c r="O584" s="59">
        <f t="shared" si="68"/>
        <v>0</v>
      </c>
      <c r="P584" s="19" t="str">
        <f t="shared" si="69"/>
        <v/>
      </c>
      <c r="Q584" s="19" t="s">
        <v>620</v>
      </c>
    </row>
    <row r="585" spans="2:17" ht="30" customHeight="1" x14ac:dyDescent="0.25">
      <c r="B585" s="62" t="str">
        <f t="shared" si="63"/>
        <v/>
      </c>
      <c r="C585" s="42">
        <v>581</v>
      </c>
      <c r="D585" s="20"/>
      <c r="E585" s="58"/>
      <c r="F585" s="63" t="str">
        <f t="shared" si="64"/>
        <v/>
      </c>
      <c r="G585" s="66" t="str">
        <f>IF(D585="","",IFERROR('Prod 3'!H585/'Prod 3'!$H$3,0))</f>
        <v/>
      </c>
      <c r="H585" s="70" t="str">
        <f>IF(D585="","",'Prod 2'!K585)</f>
        <v/>
      </c>
      <c r="I585" s="77" t="str">
        <f t="shared" si="65"/>
        <v/>
      </c>
      <c r="J585" s="57"/>
      <c r="L585" s="19">
        <v>5.8100000000000003E-7</v>
      </c>
      <c r="M585" s="59">
        <f t="shared" si="66"/>
        <v>0</v>
      </c>
      <c r="N585" s="59">
        <f t="shared" si="67"/>
        <v>0</v>
      </c>
      <c r="O585" s="59">
        <f t="shared" si="68"/>
        <v>0</v>
      </c>
      <c r="P585" s="19" t="str">
        <f t="shared" si="69"/>
        <v/>
      </c>
      <c r="Q585" s="19" t="s">
        <v>621</v>
      </c>
    </row>
    <row r="586" spans="2:17" ht="30" customHeight="1" x14ac:dyDescent="0.25">
      <c r="B586" s="62" t="str">
        <f t="shared" si="63"/>
        <v/>
      </c>
      <c r="C586" s="42">
        <v>582</v>
      </c>
      <c r="D586" s="20"/>
      <c r="E586" s="58"/>
      <c r="F586" s="63" t="str">
        <f t="shared" si="64"/>
        <v/>
      </c>
      <c r="G586" s="66" t="str">
        <f>IF(D586="","",IFERROR('Prod 3'!H586/'Prod 3'!$H$3,0))</f>
        <v/>
      </c>
      <c r="H586" s="70" t="str">
        <f>IF(D586="","",'Prod 2'!K586)</f>
        <v/>
      </c>
      <c r="I586" s="77" t="str">
        <f t="shared" si="65"/>
        <v/>
      </c>
      <c r="J586" s="57"/>
      <c r="L586" s="19">
        <v>5.82E-7</v>
      </c>
      <c r="M586" s="59">
        <f t="shared" si="66"/>
        <v>0</v>
      </c>
      <c r="N586" s="59">
        <f t="shared" si="67"/>
        <v>0</v>
      </c>
      <c r="O586" s="59">
        <f t="shared" si="68"/>
        <v>0</v>
      </c>
      <c r="P586" s="19" t="str">
        <f t="shared" si="69"/>
        <v/>
      </c>
      <c r="Q586" s="19" t="s">
        <v>622</v>
      </c>
    </row>
    <row r="587" spans="2:17" ht="30" customHeight="1" x14ac:dyDescent="0.25">
      <c r="B587" s="62" t="str">
        <f t="shared" si="63"/>
        <v/>
      </c>
      <c r="C587" s="42">
        <v>583</v>
      </c>
      <c r="D587" s="20"/>
      <c r="E587" s="58"/>
      <c r="F587" s="63" t="str">
        <f t="shared" si="64"/>
        <v/>
      </c>
      <c r="G587" s="66" t="str">
        <f>IF(D587="","",IFERROR('Prod 3'!H587/'Prod 3'!$H$3,0))</f>
        <v/>
      </c>
      <c r="H587" s="70" t="str">
        <f>IF(D587="","",'Prod 2'!K587)</f>
        <v/>
      </c>
      <c r="I587" s="77" t="str">
        <f t="shared" si="65"/>
        <v/>
      </c>
      <c r="J587" s="57"/>
      <c r="L587" s="19">
        <v>5.8299999999999997E-7</v>
      </c>
      <c r="M587" s="59">
        <f t="shared" si="66"/>
        <v>0</v>
      </c>
      <c r="N587" s="59">
        <f t="shared" si="67"/>
        <v>0</v>
      </c>
      <c r="O587" s="59">
        <f t="shared" si="68"/>
        <v>0</v>
      </c>
      <c r="P587" s="19" t="str">
        <f t="shared" si="69"/>
        <v/>
      </c>
      <c r="Q587" s="19" t="s">
        <v>623</v>
      </c>
    </row>
    <row r="588" spans="2:17" ht="30" customHeight="1" x14ac:dyDescent="0.25">
      <c r="B588" s="62" t="str">
        <f t="shared" si="63"/>
        <v/>
      </c>
      <c r="C588" s="42">
        <v>584</v>
      </c>
      <c r="D588" s="20"/>
      <c r="E588" s="58"/>
      <c r="F588" s="63" t="str">
        <f t="shared" si="64"/>
        <v/>
      </c>
      <c r="G588" s="66" t="str">
        <f>IF(D588="","",IFERROR('Prod 3'!H588/'Prod 3'!$H$3,0))</f>
        <v/>
      </c>
      <c r="H588" s="70" t="str">
        <f>IF(D588="","",'Prod 2'!K588)</f>
        <v/>
      </c>
      <c r="I588" s="77" t="str">
        <f t="shared" si="65"/>
        <v/>
      </c>
      <c r="J588" s="57"/>
      <c r="L588" s="19">
        <v>5.8400000000000004E-7</v>
      </c>
      <c r="M588" s="59">
        <f t="shared" si="66"/>
        <v>0</v>
      </c>
      <c r="N588" s="59">
        <f t="shared" si="67"/>
        <v>0</v>
      </c>
      <c r="O588" s="59">
        <f t="shared" si="68"/>
        <v>0</v>
      </c>
      <c r="P588" s="19" t="str">
        <f t="shared" si="69"/>
        <v/>
      </c>
      <c r="Q588" s="19" t="s">
        <v>624</v>
      </c>
    </row>
    <row r="589" spans="2:17" ht="30" customHeight="1" x14ac:dyDescent="0.25">
      <c r="B589" s="62" t="str">
        <f t="shared" si="63"/>
        <v/>
      </c>
      <c r="C589" s="42">
        <v>585</v>
      </c>
      <c r="D589" s="20"/>
      <c r="E589" s="58"/>
      <c r="F589" s="63" t="str">
        <f t="shared" si="64"/>
        <v/>
      </c>
      <c r="G589" s="66" t="str">
        <f>IF(D589="","",IFERROR('Prod 3'!H589/'Prod 3'!$H$3,0))</f>
        <v/>
      </c>
      <c r="H589" s="70" t="str">
        <f>IF(D589="","",'Prod 2'!K589)</f>
        <v/>
      </c>
      <c r="I589" s="77" t="str">
        <f t="shared" si="65"/>
        <v/>
      </c>
      <c r="J589" s="57"/>
      <c r="L589" s="19">
        <v>5.8500000000000001E-7</v>
      </c>
      <c r="M589" s="59">
        <f t="shared" si="66"/>
        <v>0</v>
      </c>
      <c r="N589" s="59">
        <f t="shared" si="67"/>
        <v>0</v>
      </c>
      <c r="O589" s="59">
        <f t="shared" si="68"/>
        <v>0</v>
      </c>
      <c r="P589" s="19" t="str">
        <f t="shared" si="69"/>
        <v/>
      </c>
      <c r="Q589" s="19" t="s">
        <v>625</v>
      </c>
    </row>
    <row r="590" spans="2:17" ht="30" customHeight="1" x14ac:dyDescent="0.25">
      <c r="B590" s="62" t="str">
        <f t="shared" si="63"/>
        <v/>
      </c>
      <c r="C590" s="42">
        <v>586</v>
      </c>
      <c r="D590" s="20"/>
      <c r="E590" s="58"/>
      <c r="F590" s="63" t="str">
        <f t="shared" si="64"/>
        <v/>
      </c>
      <c r="G590" s="66" t="str">
        <f>IF(D590="","",IFERROR('Prod 3'!H590/'Prod 3'!$H$3,0))</f>
        <v/>
      </c>
      <c r="H590" s="70" t="str">
        <f>IF(D590="","",'Prod 2'!K590)</f>
        <v/>
      </c>
      <c r="I590" s="77" t="str">
        <f t="shared" si="65"/>
        <v/>
      </c>
      <c r="J590" s="57"/>
      <c r="L590" s="19">
        <v>5.8599999999999998E-7</v>
      </c>
      <c r="M590" s="59">
        <f t="shared" si="66"/>
        <v>0</v>
      </c>
      <c r="N590" s="59">
        <f t="shared" si="67"/>
        <v>0</v>
      </c>
      <c r="O590" s="59">
        <f t="shared" si="68"/>
        <v>0</v>
      </c>
      <c r="P590" s="19" t="str">
        <f t="shared" si="69"/>
        <v/>
      </c>
      <c r="Q590" s="19" t="s">
        <v>626</v>
      </c>
    </row>
    <row r="591" spans="2:17" ht="30" customHeight="1" x14ac:dyDescent="0.25">
      <c r="B591" s="62" t="str">
        <f t="shared" si="63"/>
        <v/>
      </c>
      <c r="C591" s="42">
        <v>587</v>
      </c>
      <c r="D591" s="20"/>
      <c r="E591" s="58"/>
      <c r="F591" s="63" t="str">
        <f t="shared" si="64"/>
        <v/>
      </c>
      <c r="G591" s="66" t="str">
        <f>IF(D591="","",IFERROR('Prod 3'!H591/'Prod 3'!$H$3,0))</f>
        <v/>
      </c>
      <c r="H591" s="70" t="str">
        <f>IF(D591="","",'Prod 2'!K591)</f>
        <v/>
      </c>
      <c r="I591" s="77" t="str">
        <f t="shared" si="65"/>
        <v/>
      </c>
      <c r="J591" s="57"/>
      <c r="L591" s="19">
        <v>5.8699999999999995E-7</v>
      </c>
      <c r="M591" s="59">
        <f t="shared" si="66"/>
        <v>0</v>
      </c>
      <c r="N591" s="59">
        <f t="shared" si="67"/>
        <v>0</v>
      </c>
      <c r="O591" s="59">
        <f t="shared" si="68"/>
        <v>0</v>
      </c>
      <c r="P591" s="19" t="str">
        <f t="shared" si="69"/>
        <v/>
      </c>
      <c r="Q591" s="19" t="s">
        <v>627</v>
      </c>
    </row>
    <row r="592" spans="2:17" ht="30" customHeight="1" x14ac:dyDescent="0.25">
      <c r="B592" s="62" t="str">
        <f t="shared" si="63"/>
        <v/>
      </c>
      <c r="C592" s="42">
        <v>588</v>
      </c>
      <c r="D592" s="20"/>
      <c r="E592" s="58"/>
      <c r="F592" s="63" t="str">
        <f t="shared" si="64"/>
        <v/>
      </c>
      <c r="G592" s="66" t="str">
        <f>IF(D592="","",IFERROR('Prod 3'!H592/'Prod 3'!$H$3,0))</f>
        <v/>
      </c>
      <c r="H592" s="70" t="str">
        <f>IF(D592="","",'Prod 2'!K592)</f>
        <v/>
      </c>
      <c r="I592" s="77" t="str">
        <f t="shared" si="65"/>
        <v/>
      </c>
      <c r="J592" s="57"/>
      <c r="L592" s="19">
        <v>5.8800000000000002E-7</v>
      </c>
      <c r="M592" s="59">
        <f t="shared" si="66"/>
        <v>0</v>
      </c>
      <c r="N592" s="59">
        <f t="shared" si="67"/>
        <v>0</v>
      </c>
      <c r="O592" s="59">
        <f t="shared" si="68"/>
        <v>0</v>
      </c>
      <c r="P592" s="19" t="str">
        <f t="shared" si="69"/>
        <v/>
      </c>
      <c r="Q592" s="19" t="s">
        <v>628</v>
      </c>
    </row>
    <row r="593" spans="2:17" ht="30" customHeight="1" x14ac:dyDescent="0.25">
      <c r="B593" s="62" t="str">
        <f t="shared" si="63"/>
        <v/>
      </c>
      <c r="C593" s="42">
        <v>589</v>
      </c>
      <c r="D593" s="20"/>
      <c r="E593" s="58"/>
      <c r="F593" s="63" t="str">
        <f t="shared" si="64"/>
        <v/>
      </c>
      <c r="G593" s="66" t="str">
        <f>IF(D593="","",IFERROR('Prod 3'!H593/'Prod 3'!$H$3,0))</f>
        <v/>
      </c>
      <c r="H593" s="70" t="str">
        <f>IF(D593="","",'Prod 2'!K593)</f>
        <v/>
      </c>
      <c r="I593" s="77" t="str">
        <f t="shared" si="65"/>
        <v/>
      </c>
      <c r="J593" s="57"/>
      <c r="L593" s="19">
        <v>5.8899999999999999E-7</v>
      </c>
      <c r="M593" s="59">
        <f t="shared" si="66"/>
        <v>0</v>
      </c>
      <c r="N593" s="59">
        <f t="shared" si="67"/>
        <v>0</v>
      </c>
      <c r="O593" s="59">
        <f t="shared" si="68"/>
        <v>0</v>
      </c>
      <c r="P593" s="19" t="str">
        <f t="shared" si="69"/>
        <v/>
      </c>
      <c r="Q593" s="19" t="s">
        <v>629</v>
      </c>
    </row>
    <row r="594" spans="2:17" ht="30" customHeight="1" x14ac:dyDescent="0.25">
      <c r="B594" s="62" t="str">
        <f t="shared" si="63"/>
        <v/>
      </c>
      <c r="C594" s="42">
        <v>590</v>
      </c>
      <c r="D594" s="20"/>
      <c r="E594" s="58"/>
      <c r="F594" s="63" t="str">
        <f t="shared" si="64"/>
        <v/>
      </c>
      <c r="G594" s="66" t="str">
        <f>IF(D594="","",IFERROR('Prod 3'!H594/'Prod 3'!$H$3,0))</f>
        <v/>
      </c>
      <c r="H594" s="70" t="str">
        <f>IF(D594="","",'Prod 2'!K594)</f>
        <v/>
      </c>
      <c r="I594" s="77" t="str">
        <f t="shared" si="65"/>
        <v/>
      </c>
      <c r="J594" s="57"/>
      <c r="L594" s="19">
        <v>5.8999999999999996E-7</v>
      </c>
      <c r="M594" s="59">
        <f t="shared" si="66"/>
        <v>0</v>
      </c>
      <c r="N594" s="59">
        <f t="shared" si="67"/>
        <v>0</v>
      </c>
      <c r="O594" s="59">
        <f t="shared" si="68"/>
        <v>0</v>
      </c>
      <c r="P594" s="19" t="str">
        <f t="shared" si="69"/>
        <v/>
      </c>
      <c r="Q594" s="19" t="s">
        <v>630</v>
      </c>
    </row>
    <row r="595" spans="2:17" ht="30" customHeight="1" x14ac:dyDescent="0.25">
      <c r="B595" s="62" t="str">
        <f t="shared" si="63"/>
        <v/>
      </c>
      <c r="C595" s="42">
        <v>591</v>
      </c>
      <c r="D595" s="20"/>
      <c r="E595" s="58"/>
      <c r="F595" s="63" t="str">
        <f t="shared" si="64"/>
        <v/>
      </c>
      <c r="G595" s="66" t="str">
        <f>IF(D595="","",IFERROR('Prod 3'!H595/'Prod 3'!$H$3,0))</f>
        <v/>
      </c>
      <c r="H595" s="70" t="str">
        <f>IF(D595="","",'Prod 2'!K595)</f>
        <v/>
      </c>
      <c r="I595" s="77" t="str">
        <f t="shared" si="65"/>
        <v/>
      </c>
      <c r="J595" s="57"/>
      <c r="L595" s="19">
        <v>5.9100000000000004E-7</v>
      </c>
      <c r="M595" s="59">
        <f t="shared" si="66"/>
        <v>0</v>
      </c>
      <c r="N595" s="59">
        <f t="shared" si="67"/>
        <v>0</v>
      </c>
      <c r="O595" s="59">
        <f t="shared" si="68"/>
        <v>0</v>
      </c>
      <c r="P595" s="19" t="str">
        <f t="shared" si="69"/>
        <v/>
      </c>
      <c r="Q595" s="19" t="s">
        <v>631</v>
      </c>
    </row>
    <row r="596" spans="2:17" ht="30" customHeight="1" x14ac:dyDescent="0.25">
      <c r="B596" s="62" t="str">
        <f t="shared" si="63"/>
        <v/>
      </c>
      <c r="C596" s="42">
        <v>592</v>
      </c>
      <c r="D596" s="20"/>
      <c r="E596" s="58"/>
      <c r="F596" s="63" t="str">
        <f t="shared" si="64"/>
        <v/>
      </c>
      <c r="G596" s="66" t="str">
        <f>IF(D596="","",IFERROR('Prod 3'!H596/'Prod 3'!$H$3,0))</f>
        <v/>
      </c>
      <c r="H596" s="70" t="str">
        <f>IF(D596="","",'Prod 2'!K596)</f>
        <v/>
      </c>
      <c r="I596" s="77" t="str">
        <f t="shared" si="65"/>
        <v/>
      </c>
      <c r="J596" s="57"/>
      <c r="L596" s="19">
        <v>5.9200000000000001E-7</v>
      </c>
      <c r="M596" s="59">
        <f t="shared" si="66"/>
        <v>0</v>
      </c>
      <c r="N596" s="59">
        <f t="shared" si="67"/>
        <v>0</v>
      </c>
      <c r="O596" s="59">
        <f t="shared" si="68"/>
        <v>0</v>
      </c>
      <c r="P596" s="19" t="str">
        <f t="shared" si="69"/>
        <v/>
      </c>
      <c r="Q596" s="19" t="s">
        <v>632</v>
      </c>
    </row>
    <row r="597" spans="2:17" ht="30" customHeight="1" x14ac:dyDescent="0.25">
      <c r="B597" s="62" t="str">
        <f t="shared" si="63"/>
        <v/>
      </c>
      <c r="C597" s="42">
        <v>593</v>
      </c>
      <c r="D597" s="20"/>
      <c r="E597" s="58"/>
      <c r="F597" s="63" t="str">
        <f t="shared" si="64"/>
        <v/>
      </c>
      <c r="G597" s="66" t="str">
        <f>IF(D597="","",IFERROR('Prod 3'!H597/'Prod 3'!$H$3,0))</f>
        <v/>
      </c>
      <c r="H597" s="70" t="str">
        <f>IF(D597="","",'Prod 2'!K597)</f>
        <v/>
      </c>
      <c r="I597" s="77" t="str">
        <f t="shared" si="65"/>
        <v/>
      </c>
      <c r="J597" s="57"/>
      <c r="L597" s="19">
        <v>5.9299999999999998E-7</v>
      </c>
      <c r="M597" s="59">
        <f t="shared" si="66"/>
        <v>0</v>
      </c>
      <c r="N597" s="59">
        <f t="shared" si="67"/>
        <v>0</v>
      </c>
      <c r="O597" s="59">
        <f t="shared" si="68"/>
        <v>0</v>
      </c>
      <c r="P597" s="19" t="str">
        <f t="shared" si="69"/>
        <v/>
      </c>
      <c r="Q597" s="19" t="s">
        <v>633</v>
      </c>
    </row>
    <row r="598" spans="2:17" ht="30" customHeight="1" x14ac:dyDescent="0.25">
      <c r="B598" s="62" t="str">
        <f t="shared" si="63"/>
        <v/>
      </c>
      <c r="C598" s="42">
        <v>594</v>
      </c>
      <c r="D598" s="20"/>
      <c r="E598" s="58"/>
      <c r="F598" s="63" t="str">
        <f t="shared" si="64"/>
        <v/>
      </c>
      <c r="G598" s="66" t="str">
        <f>IF(D598="","",IFERROR('Prod 3'!H598/'Prod 3'!$H$3,0))</f>
        <v/>
      </c>
      <c r="H598" s="70" t="str">
        <f>IF(D598="","",'Prod 2'!K598)</f>
        <v/>
      </c>
      <c r="I598" s="77" t="str">
        <f t="shared" si="65"/>
        <v/>
      </c>
      <c r="J598" s="57"/>
      <c r="L598" s="19">
        <v>5.9400000000000005E-7</v>
      </c>
      <c r="M598" s="59">
        <f t="shared" si="66"/>
        <v>0</v>
      </c>
      <c r="N598" s="59">
        <f t="shared" si="67"/>
        <v>0</v>
      </c>
      <c r="O598" s="59">
        <f t="shared" si="68"/>
        <v>0</v>
      </c>
      <c r="P598" s="19" t="str">
        <f t="shared" si="69"/>
        <v/>
      </c>
      <c r="Q598" s="19" t="s">
        <v>634</v>
      </c>
    </row>
    <row r="599" spans="2:17" ht="30" customHeight="1" x14ac:dyDescent="0.25">
      <c r="B599" s="62" t="str">
        <f t="shared" si="63"/>
        <v/>
      </c>
      <c r="C599" s="42">
        <v>595</v>
      </c>
      <c r="D599" s="20"/>
      <c r="E599" s="58"/>
      <c r="F599" s="63" t="str">
        <f t="shared" si="64"/>
        <v/>
      </c>
      <c r="G599" s="66" t="str">
        <f>IF(D599="","",IFERROR('Prod 3'!H599/'Prod 3'!$H$3,0))</f>
        <v/>
      </c>
      <c r="H599" s="70" t="str">
        <f>IF(D599="","",'Prod 2'!K599)</f>
        <v/>
      </c>
      <c r="I599" s="77" t="str">
        <f t="shared" si="65"/>
        <v/>
      </c>
      <c r="J599" s="57"/>
      <c r="L599" s="19">
        <v>5.9500000000000002E-7</v>
      </c>
      <c r="M599" s="59">
        <f t="shared" si="66"/>
        <v>0</v>
      </c>
      <c r="N599" s="59">
        <f t="shared" si="67"/>
        <v>0</v>
      </c>
      <c r="O599" s="59">
        <f t="shared" si="68"/>
        <v>0</v>
      </c>
      <c r="P599" s="19" t="str">
        <f t="shared" si="69"/>
        <v/>
      </c>
      <c r="Q599" s="19" t="s">
        <v>635</v>
      </c>
    </row>
    <row r="600" spans="2:17" ht="30" customHeight="1" x14ac:dyDescent="0.25">
      <c r="B600" s="62" t="str">
        <f t="shared" si="63"/>
        <v/>
      </c>
      <c r="C600" s="42">
        <v>596</v>
      </c>
      <c r="D600" s="20"/>
      <c r="E600" s="58"/>
      <c r="F600" s="63" t="str">
        <f t="shared" si="64"/>
        <v/>
      </c>
      <c r="G600" s="66" t="str">
        <f>IF(D600="","",IFERROR('Prod 3'!H600/'Prod 3'!$H$3,0))</f>
        <v/>
      </c>
      <c r="H600" s="70" t="str">
        <f>IF(D600="","",'Prod 2'!K600)</f>
        <v/>
      </c>
      <c r="I600" s="77" t="str">
        <f t="shared" si="65"/>
        <v/>
      </c>
      <c r="J600" s="57"/>
      <c r="L600" s="19">
        <v>5.9599999999999999E-7</v>
      </c>
      <c r="M600" s="59">
        <f t="shared" si="66"/>
        <v>0</v>
      </c>
      <c r="N600" s="59">
        <f t="shared" si="67"/>
        <v>0</v>
      </c>
      <c r="O600" s="59">
        <f t="shared" si="68"/>
        <v>0</v>
      </c>
      <c r="P600" s="19" t="str">
        <f t="shared" si="69"/>
        <v/>
      </c>
      <c r="Q600" s="19" t="s">
        <v>636</v>
      </c>
    </row>
    <row r="601" spans="2:17" ht="30" customHeight="1" x14ac:dyDescent="0.25">
      <c r="B601" s="62" t="str">
        <f t="shared" si="63"/>
        <v/>
      </c>
      <c r="C601" s="42">
        <v>597</v>
      </c>
      <c r="D601" s="20"/>
      <c r="E601" s="58"/>
      <c r="F601" s="63" t="str">
        <f t="shared" si="64"/>
        <v/>
      </c>
      <c r="G601" s="66" t="str">
        <f>IF(D601="","",IFERROR('Prod 3'!H601/'Prod 3'!$H$3,0))</f>
        <v/>
      </c>
      <c r="H601" s="70" t="str">
        <f>IF(D601="","",'Prod 2'!K601)</f>
        <v/>
      </c>
      <c r="I601" s="77" t="str">
        <f t="shared" si="65"/>
        <v/>
      </c>
      <c r="J601" s="57"/>
      <c r="L601" s="19">
        <v>5.9699999999999996E-7</v>
      </c>
      <c r="M601" s="59">
        <f t="shared" si="66"/>
        <v>0</v>
      </c>
      <c r="N601" s="59">
        <f t="shared" si="67"/>
        <v>0</v>
      </c>
      <c r="O601" s="59">
        <f t="shared" si="68"/>
        <v>0</v>
      </c>
      <c r="P601" s="19" t="str">
        <f t="shared" si="69"/>
        <v/>
      </c>
      <c r="Q601" s="19" t="s">
        <v>637</v>
      </c>
    </row>
    <row r="602" spans="2:17" ht="30" customHeight="1" x14ac:dyDescent="0.25">
      <c r="B602" s="62" t="str">
        <f t="shared" si="63"/>
        <v/>
      </c>
      <c r="C602" s="42">
        <v>598</v>
      </c>
      <c r="D602" s="20"/>
      <c r="E602" s="58"/>
      <c r="F602" s="63" t="str">
        <f t="shared" si="64"/>
        <v/>
      </c>
      <c r="G602" s="66" t="str">
        <f>IF(D602="","",IFERROR('Prod 3'!H602/'Prod 3'!$H$3,0))</f>
        <v/>
      </c>
      <c r="H602" s="70" t="str">
        <f>IF(D602="","",'Prod 2'!K602)</f>
        <v/>
      </c>
      <c r="I602" s="77" t="str">
        <f t="shared" si="65"/>
        <v/>
      </c>
      <c r="J602" s="57"/>
      <c r="L602" s="19">
        <v>5.9800000000000003E-7</v>
      </c>
      <c r="M602" s="59">
        <f t="shared" si="66"/>
        <v>0</v>
      </c>
      <c r="N602" s="59">
        <f t="shared" si="67"/>
        <v>0</v>
      </c>
      <c r="O602" s="59">
        <f t="shared" si="68"/>
        <v>0</v>
      </c>
      <c r="P602" s="19" t="str">
        <f t="shared" si="69"/>
        <v/>
      </c>
      <c r="Q602" s="19" t="s">
        <v>638</v>
      </c>
    </row>
    <row r="603" spans="2:17" ht="30" customHeight="1" x14ac:dyDescent="0.25">
      <c r="B603" s="62" t="str">
        <f t="shared" si="63"/>
        <v/>
      </c>
      <c r="C603" s="42">
        <v>599</v>
      </c>
      <c r="D603" s="20"/>
      <c r="E603" s="58"/>
      <c r="F603" s="63" t="str">
        <f t="shared" si="64"/>
        <v/>
      </c>
      <c r="G603" s="66" t="str">
        <f>IF(D603="","",IFERROR('Prod 3'!H603/'Prod 3'!$H$3,0))</f>
        <v/>
      </c>
      <c r="H603" s="70" t="str">
        <f>IF(D603="","",'Prod 2'!K603)</f>
        <v/>
      </c>
      <c r="I603" s="77" t="str">
        <f t="shared" si="65"/>
        <v/>
      </c>
      <c r="J603" s="57"/>
      <c r="L603" s="19">
        <v>5.99E-7</v>
      </c>
      <c r="M603" s="59">
        <f t="shared" si="66"/>
        <v>0</v>
      </c>
      <c r="N603" s="59">
        <f t="shared" si="67"/>
        <v>0</v>
      </c>
      <c r="O603" s="59">
        <f t="shared" si="68"/>
        <v>0</v>
      </c>
      <c r="P603" s="19" t="str">
        <f t="shared" si="69"/>
        <v/>
      </c>
      <c r="Q603" s="19" t="s">
        <v>639</v>
      </c>
    </row>
    <row r="604" spans="2:17" ht="30" customHeight="1" x14ac:dyDescent="0.25">
      <c r="B604" s="62" t="str">
        <f t="shared" si="63"/>
        <v/>
      </c>
      <c r="C604" s="42">
        <v>600</v>
      </c>
      <c r="D604" s="20"/>
      <c r="E604" s="58"/>
      <c r="F604" s="63" t="str">
        <f t="shared" si="64"/>
        <v/>
      </c>
      <c r="G604" s="66" t="str">
        <f>IF(D604="","",IFERROR('Prod 3'!H604/'Prod 3'!$H$3,0))</f>
        <v/>
      </c>
      <c r="H604" s="70" t="str">
        <f>IF(D604="","",'Prod 2'!K604)</f>
        <v/>
      </c>
      <c r="I604" s="77" t="str">
        <f t="shared" si="65"/>
        <v/>
      </c>
      <c r="J604" s="57"/>
      <c r="L604" s="19">
        <v>5.9999999999999997E-7</v>
      </c>
      <c r="M604" s="59">
        <f t="shared" si="66"/>
        <v>0</v>
      </c>
      <c r="N604" s="59">
        <f t="shared" si="67"/>
        <v>0</v>
      </c>
      <c r="O604" s="59">
        <f t="shared" si="68"/>
        <v>0</v>
      </c>
      <c r="P604" s="19" t="str">
        <f t="shared" si="69"/>
        <v/>
      </c>
      <c r="Q604" s="19" t="s">
        <v>640</v>
      </c>
    </row>
    <row r="605" spans="2:17" ht="30" customHeight="1" x14ac:dyDescent="0.25">
      <c r="B605" s="62" t="str">
        <f t="shared" si="63"/>
        <v/>
      </c>
      <c r="C605" s="42">
        <v>601</v>
      </c>
      <c r="D605" s="20"/>
      <c r="E605" s="58"/>
      <c r="F605" s="63" t="str">
        <f t="shared" si="64"/>
        <v/>
      </c>
      <c r="G605" s="66" t="str">
        <f>IF(D605="","",IFERROR('Prod 3'!H605/'Prod 3'!$H$3,0))</f>
        <v/>
      </c>
      <c r="H605" s="70" t="str">
        <f>IF(D605="","",'Prod 2'!K605)</f>
        <v/>
      </c>
      <c r="I605" s="77" t="str">
        <f t="shared" si="65"/>
        <v/>
      </c>
      <c r="J605" s="57"/>
      <c r="L605" s="19">
        <v>6.0100000000000005E-7</v>
      </c>
      <c r="M605" s="59">
        <f t="shared" si="66"/>
        <v>0</v>
      </c>
      <c r="N605" s="59">
        <f t="shared" si="67"/>
        <v>0</v>
      </c>
      <c r="O605" s="59">
        <f t="shared" si="68"/>
        <v>0</v>
      </c>
      <c r="P605" s="19" t="str">
        <f t="shared" si="69"/>
        <v/>
      </c>
      <c r="Q605" s="19" t="s">
        <v>641</v>
      </c>
    </row>
    <row r="606" spans="2:17" ht="30" customHeight="1" x14ac:dyDescent="0.25">
      <c r="B606" s="62" t="str">
        <f t="shared" si="63"/>
        <v/>
      </c>
      <c r="C606" s="42">
        <v>602</v>
      </c>
      <c r="D606" s="20"/>
      <c r="E606" s="58"/>
      <c r="F606" s="63" t="str">
        <f t="shared" si="64"/>
        <v/>
      </c>
      <c r="G606" s="66" t="str">
        <f>IF(D606="","",IFERROR('Prod 3'!H606/'Prod 3'!$H$3,0))</f>
        <v/>
      </c>
      <c r="H606" s="70" t="str">
        <f>IF(D606="","",'Prod 2'!K606)</f>
        <v/>
      </c>
      <c r="I606" s="77" t="str">
        <f t="shared" si="65"/>
        <v/>
      </c>
      <c r="J606" s="57"/>
      <c r="L606" s="19">
        <v>6.0200000000000002E-7</v>
      </c>
      <c r="M606" s="59">
        <f t="shared" si="66"/>
        <v>0</v>
      </c>
      <c r="N606" s="59">
        <f t="shared" si="67"/>
        <v>0</v>
      </c>
      <c r="O606" s="59">
        <f t="shared" si="68"/>
        <v>0</v>
      </c>
      <c r="P606" s="19" t="str">
        <f t="shared" si="69"/>
        <v/>
      </c>
      <c r="Q606" s="19" t="s">
        <v>642</v>
      </c>
    </row>
    <row r="607" spans="2:17" ht="30" customHeight="1" x14ac:dyDescent="0.25">
      <c r="B607" s="62" t="str">
        <f t="shared" si="63"/>
        <v/>
      </c>
      <c r="C607" s="42">
        <v>603</v>
      </c>
      <c r="D607" s="20"/>
      <c r="E607" s="58"/>
      <c r="F607" s="63" t="str">
        <f t="shared" si="64"/>
        <v/>
      </c>
      <c r="G607" s="66" t="str">
        <f>IF(D607="","",IFERROR('Prod 3'!H607/'Prod 3'!$H$3,0))</f>
        <v/>
      </c>
      <c r="H607" s="70" t="str">
        <f>IF(D607="","",'Prod 2'!K607)</f>
        <v/>
      </c>
      <c r="I607" s="77" t="str">
        <f t="shared" si="65"/>
        <v/>
      </c>
      <c r="J607" s="57"/>
      <c r="L607" s="19">
        <v>6.0299999999999999E-7</v>
      </c>
      <c r="M607" s="59">
        <f t="shared" si="66"/>
        <v>0</v>
      </c>
      <c r="N607" s="59">
        <f t="shared" si="67"/>
        <v>0</v>
      </c>
      <c r="O607" s="59">
        <f t="shared" si="68"/>
        <v>0</v>
      </c>
      <c r="P607" s="19" t="str">
        <f t="shared" si="69"/>
        <v/>
      </c>
      <c r="Q607" s="19" t="s">
        <v>643</v>
      </c>
    </row>
    <row r="608" spans="2:17" ht="30" customHeight="1" x14ac:dyDescent="0.25">
      <c r="B608" s="62" t="str">
        <f t="shared" si="63"/>
        <v/>
      </c>
      <c r="C608" s="42">
        <v>604</v>
      </c>
      <c r="D608" s="20"/>
      <c r="E608" s="58"/>
      <c r="F608" s="63" t="str">
        <f t="shared" si="64"/>
        <v/>
      </c>
      <c r="G608" s="66" t="str">
        <f>IF(D608="","",IFERROR('Prod 3'!H608/'Prod 3'!$H$3,0))</f>
        <v/>
      </c>
      <c r="H608" s="70" t="str">
        <f>IF(D608="","",'Prod 2'!K608)</f>
        <v/>
      </c>
      <c r="I608" s="77" t="str">
        <f t="shared" si="65"/>
        <v/>
      </c>
      <c r="J608" s="57"/>
      <c r="L608" s="19">
        <v>6.0399999999999996E-7</v>
      </c>
      <c r="M608" s="59">
        <f t="shared" si="66"/>
        <v>0</v>
      </c>
      <c r="N608" s="59">
        <f t="shared" si="67"/>
        <v>0</v>
      </c>
      <c r="O608" s="59">
        <f t="shared" si="68"/>
        <v>0</v>
      </c>
      <c r="P608" s="19" t="str">
        <f t="shared" si="69"/>
        <v/>
      </c>
      <c r="Q608" s="19" t="s">
        <v>644</v>
      </c>
    </row>
    <row r="609" spans="2:17" ht="30" customHeight="1" x14ac:dyDescent="0.25">
      <c r="B609" s="62" t="str">
        <f t="shared" si="63"/>
        <v/>
      </c>
      <c r="C609" s="42">
        <v>605</v>
      </c>
      <c r="D609" s="20"/>
      <c r="E609" s="58"/>
      <c r="F609" s="63" t="str">
        <f t="shared" si="64"/>
        <v/>
      </c>
      <c r="G609" s="66" t="str">
        <f>IF(D609="","",IFERROR('Prod 3'!H609/'Prod 3'!$H$3,0))</f>
        <v/>
      </c>
      <c r="H609" s="70" t="str">
        <f>IF(D609="","",'Prod 2'!K609)</f>
        <v/>
      </c>
      <c r="I609" s="77" t="str">
        <f t="shared" si="65"/>
        <v/>
      </c>
      <c r="J609" s="57"/>
      <c r="L609" s="19">
        <v>6.0500000000000003E-7</v>
      </c>
      <c r="M609" s="59">
        <f t="shared" si="66"/>
        <v>0</v>
      </c>
      <c r="N609" s="59">
        <f t="shared" si="67"/>
        <v>0</v>
      </c>
      <c r="O609" s="59">
        <f t="shared" si="68"/>
        <v>0</v>
      </c>
      <c r="P609" s="19" t="str">
        <f t="shared" si="69"/>
        <v/>
      </c>
      <c r="Q609" s="19" t="s">
        <v>645</v>
      </c>
    </row>
    <row r="610" spans="2:17" ht="30" customHeight="1" x14ac:dyDescent="0.25">
      <c r="B610" s="62" t="str">
        <f t="shared" si="63"/>
        <v/>
      </c>
      <c r="C610" s="42">
        <v>606</v>
      </c>
      <c r="D610" s="20"/>
      <c r="E610" s="58"/>
      <c r="F610" s="63" t="str">
        <f t="shared" si="64"/>
        <v/>
      </c>
      <c r="G610" s="66" t="str">
        <f>IF(D610="","",IFERROR('Prod 3'!H610/'Prod 3'!$H$3,0))</f>
        <v/>
      </c>
      <c r="H610" s="70" t="str">
        <f>IF(D610="","",'Prod 2'!K610)</f>
        <v/>
      </c>
      <c r="I610" s="77" t="str">
        <f t="shared" si="65"/>
        <v/>
      </c>
      <c r="J610" s="57"/>
      <c r="L610" s="19">
        <v>6.06E-7</v>
      </c>
      <c r="M610" s="59">
        <f t="shared" si="66"/>
        <v>0</v>
      </c>
      <c r="N610" s="59">
        <f t="shared" si="67"/>
        <v>0</v>
      </c>
      <c r="O610" s="59">
        <f t="shared" si="68"/>
        <v>0</v>
      </c>
      <c r="P610" s="19" t="str">
        <f t="shared" si="69"/>
        <v/>
      </c>
      <c r="Q610" s="19" t="s">
        <v>646</v>
      </c>
    </row>
    <row r="611" spans="2:17" ht="30" customHeight="1" x14ac:dyDescent="0.25">
      <c r="B611" s="62" t="str">
        <f t="shared" si="63"/>
        <v/>
      </c>
      <c r="C611" s="42">
        <v>607</v>
      </c>
      <c r="D611" s="20"/>
      <c r="E611" s="58"/>
      <c r="F611" s="63" t="str">
        <f t="shared" si="64"/>
        <v/>
      </c>
      <c r="G611" s="66" t="str">
        <f>IF(D611="","",IFERROR('Prod 3'!H611/'Prod 3'!$H$3,0))</f>
        <v/>
      </c>
      <c r="H611" s="70" t="str">
        <f>IF(D611="","",'Prod 2'!K611)</f>
        <v/>
      </c>
      <c r="I611" s="77" t="str">
        <f t="shared" si="65"/>
        <v/>
      </c>
      <c r="J611" s="57"/>
      <c r="L611" s="19">
        <v>6.0699999999999997E-7</v>
      </c>
      <c r="M611" s="59">
        <f t="shared" si="66"/>
        <v>0</v>
      </c>
      <c r="N611" s="59">
        <f t="shared" si="67"/>
        <v>0</v>
      </c>
      <c r="O611" s="59">
        <f t="shared" si="68"/>
        <v>0</v>
      </c>
      <c r="P611" s="19" t="str">
        <f t="shared" si="69"/>
        <v/>
      </c>
      <c r="Q611" s="19" t="s">
        <v>647</v>
      </c>
    </row>
    <row r="612" spans="2:17" ht="30" customHeight="1" x14ac:dyDescent="0.25">
      <c r="B612" s="62" t="str">
        <f t="shared" si="63"/>
        <v/>
      </c>
      <c r="C612" s="42">
        <v>608</v>
      </c>
      <c r="D612" s="20"/>
      <c r="E612" s="58"/>
      <c r="F612" s="63" t="str">
        <f t="shared" si="64"/>
        <v/>
      </c>
      <c r="G612" s="66" t="str">
        <f>IF(D612="","",IFERROR('Prod 3'!H612/'Prod 3'!$H$3,0))</f>
        <v/>
      </c>
      <c r="H612" s="70" t="str">
        <f>IF(D612="","",'Prod 2'!K612)</f>
        <v/>
      </c>
      <c r="I612" s="77" t="str">
        <f t="shared" si="65"/>
        <v/>
      </c>
      <c r="J612" s="57"/>
      <c r="L612" s="19">
        <v>6.0800000000000004E-7</v>
      </c>
      <c r="M612" s="59">
        <f t="shared" si="66"/>
        <v>0</v>
      </c>
      <c r="N612" s="59">
        <f t="shared" si="67"/>
        <v>0</v>
      </c>
      <c r="O612" s="59">
        <f t="shared" si="68"/>
        <v>0</v>
      </c>
      <c r="P612" s="19" t="str">
        <f t="shared" si="69"/>
        <v/>
      </c>
      <c r="Q612" s="19" t="s">
        <v>648</v>
      </c>
    </row>
    <row r="613" spans="2:17" ht="30" customHeight="1" x14ac:dyDescent="0.25">
      <c r="B613" s="62" t="str">
        <f t="shared" si="63"/>
        <v/>
      </c>
      <c r="C613" s="42">
        <v>609</v>
      </c>
      <c r="D613" s="20"/>
      <c r="E613" s="58"/>
      <c r="F613" s="63" t="str">
        <f t="shared" si="64"/>
        <v/>
      </c>
      <c r="G613" s="66" t="str">
        <f>IF(D613="","",IFERROR('Prod 3'!H613/'Prod 3'!$H$3,0))</f>
        <v/>
      </c>
      <c r="H613" s="70" t="str">
        <f>IF(D613="","",'Prod 2'!K613)</f>
        <v/>
      </c>
      <c r="I613" s="77" t="str">
        <f t="shared" si="65"/>
        <v/>
      </c>
      <c r="J613" s="57"/>
      <c r="L613" s="19">
        <v>6.0900000000000001E-7</v>
      </c>
      <c r="M613" s="59">
        <f t="shared" si="66"/>
        <v>0</v>
      </c>
      <c r="N613" s="59">
        <f t="shared" si="67"/>
        <v>0</v>
      </c>
      <c r="O613" s="59">
        <f t="shared" si="68"/>
        <v>0</v>
      </c>
      <c r="P613" s="19" t="str">
        <f t="shared" si="69"/>
        <v/>
      </c>
      <c r="Q613" s="19" t="s">
        <v>649</v>
      </c>
    </row>
    <row r="614" spans="2:17" ht="30" customHeight="1" x14ac:dyDescent="0.25">
      <c r="B614" s="62" t="str">
        <f t="shared" si="63"/>
        <v/>
      </c>
      <c r="C614" s="42">
        <v>610</v>
      </c>
      <c r="D614" s="20"/>
      <c r="E614" s="58"/>
      <c r="F614" s="63" t="str">
        <f t="shared" si="64"/>
        <v/>
      </c>
      <c r="G614" s="66" t="str">
        <f>IF(D614="","",IFERROR('Prod 3'!H614/'Prod 3'!$H$3,0))</f>
        <v/>
      </c>
      <c r="H614" s="70" t="str">
        <f>IF(D614="","",'Prod 2'!K614)</f>
        <v/>
      </c>
      <c r="I614" s="77" t="str">
        <f t="shared" si="65"/>
        <v/>
      </c>
      <c r="J614" s="57"/>
      <c r="L614" s="19">
        <v>6.0999999999999998E-7</v>
      </c>
      <c r="M614" s="59">
        <f t="shared" si="66"/>
        <v>0</v>
      </c>
      <c r="N614" s="59">
        <f t="shared" si="67"/>
        <v>0</v>
      </c>
      <c r="O614" s="59">
        <f t="shared" si="68"/>
        <v>0</v>
      </c>
      <c r="P614" s="19" t="str">
        <f t="shared" si="69"/>
        <v/>
      </c>
      <c r="Q614" s="19" t="s">
        <v>650</v>
      </c>
    </row>
    <row r="615" spans="2:17" ht="30" customHeight="1" x14ac:dyDescent="0.25">
      <c r="B615" s="62" t="str">
        <f t="shared" si="63"/>
        <v/>
      </c>
      <c r="C615" s="42">
        <v>611</v>
      </c>
      <c r="D615" s="20"/>
      <c r="E615" s="58"/>
      <c r="F615" s="63" t="str">
        <f t="shared" si="64"/>
        <v/>
      </c>
      <c r="G615" s="66" t="str">
        <f>IF(D615="","",IFERROR('Prod 3'!H615/'Prod 3'!$H$3,0))</f>
        <v/>
      </c>
      <c r="H615" s="70" t="str">
        <f>IF(D615="","",'Prod 2'!K615)</f>
        <v/>
      </c>
      <c r="I615" s="77" t="str">
        <f t="shared" si="65"/>
        <v/>
      </c>
      <c r="J615" s="57"/>
      <c r="L615" s="19">
        <v>6.1099999999999995E-7</v>
      </c>
      <c r="M615" s="59">
        <f t="shared" si="66"/>
        <v>0</v>
      </c>
      <c r="N615" s="59">
        <f t="shared" si="67"/>
        <v>0</v>
      </c>
      <c r="O615" s="59">
        <f t="shared" si="68"/>
        <v>0</v>
      </c>
      <c r="P615" s="19" t="str">
        <f t="shared" si="69"/>
        <v/>
      </c>
      <c r="Q615" s="19" t="s">
        <v>651</v>
      </c>
    </row>
    <row r="616" spans="2:17" ht="30" customHeight="1" x14ac:dyDescent="0.25">
      <c r="B616" s="62" t="str">
        <f t="shared" si="63"/>
        <v/>
      </c>
      <c r="C616" s="42">
        <v>612</v>
      </c>
      <c r="D616" s="20"/>
      <c r="E616" s="58"/>
      <c r="F616" s="63" t="str">
        <f t="shared" si="64"/>
        <v/>
      </c>
      <c r="G616" s="66" t="str">
        <f>IF(D616="","",IFERROR('Prod 3'!H616/'Prod 3'!$H$3,0))</f>
        <v/>
      </c>
      <c r="H616" s="70" t="str">
        <f>IF(D616="","",'Prod 2'!K616)</f>
        <v/>
      </c>
      <c r="I616" s="77" t="str">
        <f t="shared" si="65"/>
        <v/>
      </c>
      <c r="J616" s="57"/>
      <c r="L616" s="19">
        <v>6.1200000000000003E-7</v>
      </c>
      <c r="M616" s="59">
        <f t="shared" si="66"/>
        <v>0</v>
      </c>
      <c r="N616" s="59">
        <f t="shared" si="67"/>
        <v>0</v>
      </c>
      <c r="O616" s="59">
        <f t="shared" si="68"/>
        <v>0</v>
      </c>
      <c r="P616" s="19" t="str">
        <f t="shared" si="69"/>
        <v/>
      </c>
      <c r="Q616" s="19" t="s">
        <v>652</v>
      </c>
    </row>
    <row r="617" spans="2:17" ht="30" customHeight="1" x14ac:dyDescent="0.25">
      <c r="B617" s="62" t="str">
        <f t="shared" si="63"/>
        <v/>
      </c>
      <c r="C617" s="42">
        <v>613</v>
      </c>
      <c r="D617" s="20"/>
      <c r="E617" s="58"/>
      <c r="F617" s="63" t="str">
        <f t="shared" si="64"/>
        <v/>
      </c>
      <c r="G617" s="66" t="str">
        <f>IF(D617="","",IFERROR('Prod 3'!H617/'Prod 3'!$H$3,0))</f>
        <v/>
      </c>
      <c r="H617" s="70" t="str">
        <f>IF(D617="","",'Prod 2'!K617)</f>
        <v/>
      </c>
      <c r="I617" s="77" t="str">
        <f t="shared" si="65"/>
        <v/>
      </c>
      <c r="J617" s="57"/>
      <c r="L617" s="19">
        <v>6.13E-7</v>
      </c>
      <c r="M617" s="59">
        <f t="shared" si="66"/>
        <v>0</v>
      </c>
      <c r="N617" s="59">
        <f t="shared" si="67"/>
        <v>0</v>
      </c>
      <c r="O617" s="59">
        <f t="shared" si="68"/>
        <v>0</v>
      </c>
      <c r="P617" s="19" t="str">
        <f t="shared" si="69"/>
        <v/>
      </c>
      <c r="Q617" s="19" t="s">
        <v>653</v>
      </c>
    </row>
    <row r="618" spans="2:17" ht="30" customHeight="1" x14ac:dyDescent="0.25">
      <c r="B618" s="62" t="str">
        <f t="shared" si="63"/>
        <v/>
      </c>
      <c r="C618" s="42">
        <v>614</v>
      </c>
      <c r="D618" s="20"/>
      <c r="E618" s="58"/>
      <c r="F618" s="63" t="str">
        <f t="shared" si="64"/>
        <v/>
      </c>
      <c r="G618" s="66" t="str">
        <f>IF(D618="","",IFERROR('Prod 3'!H618/'Prod 3'!$H$3,0))</f>
        <v/>
      </c>
      <c r="H618" s="70" t="str">
        <f>IF(D618="","",'Prod 2'!K618)</f>
        <v/>
      </c>
      <c r="I618" s="77" t="str">
        <f t="shared" si="65"/>
        <v/>
      </c>
      <c r="J618" s="57"/>
      <c r="L618" s="19">
        <v>6.1399999999999997E-7</v>
      </c>
      <c r="M618" s="59">
        <f t="shared" si="66"/>
        <v>0</v>
      </c>
      <c r="N618" s="59">
        <f t="shared" si="67"/>
        <v>0</v>
      </c>
      <c r="O618" s="59">
        <f t="shared" si="68"/>
        <v>0</v>
      </c>
      <c r="P618" s="19" t="str">
        <f t="shared" si="69"/>
        <v/>
      </c>
      <c r="Q618" s="19" t="s">
        <v>654</v>
      </c>
    </row>
    <row r="619" spans="2:17" ht="30" customHeight="1" x14ac:dyDescent="0.25">
      <c r="B619" s="62" t="str">
        <f t="shared" si="63"/>
        <v/>
      </c>
      <c r="C619" s="42">
        <v>615</v>
      </c>
      <c r="D619" s="20"/>
      <c r="E619" s="58"/>
      <c r="F619" s="63" t="str">
        <f t="shared" si="64"/>
        <v/>
      </c>
      <c r="G619" s="66" t="str">
        <f>IF(D619="","",IFERROR('Prod 3'!H619/'Prod 3'!$H$3,0))</f>
        <v/>
      </c>
      <c r="H619" s="70" t="str">
        <f>IF(D619="","",'Prod 2'!K619)</f>
        <v/>
      </c>
      <c r="I619" s="77" t="str">
        <f t="shared" si="65"/>
        <v/>
      </c>
      <c r="J619" s="57"/>
      <c r="L619" s="19">
        <v>6.1500000000000004E-7</v>
      </c>
      <c r="M619" s="59">
        <f t="shared" si="66"/>
        <v>0</v>
      </c>
      <c r="N619" s="59">
        <f t="shared" si="67"/>
        <v>0</v>
      </c>
      <c r="O619" s="59">
        <f t="shared" si="68"/>
        <v>0</v>
      </c>
      <c r="P619" s="19" t="str">
        <f t="shared" si="69"/>
        <v/>
      </c>
      <c r="Q619" s="19" t="s">
        <v>655</v>
      </c>
    </row>
    <row r="620" spans="2:17" ht="30" customHeight="1" x14ac:dyDescent="0.25">
      <c r="B620" s="62" t="str">
        <f t="shared" si="63"/>
        <v/>
      </c>
      <c r="C620" s="42">
        <v>616</v>
      </c>
      <c r="D620" s="20"/>
      <c r="E620" s="58"/>
      <c r="F620" s="63" t="str">
        <f t="shared" si="64"/>
        <v/>
      </c>
      <c r="G620" s="66" t="str">
        <f>IF(D620="","",IFERROR('Prod 3'!H620/'Prod 3'!$H$3,0))</f>
        <v/>
      </c>
      <c r="H620" s="70" t="str">
        <f>IF(D620="","",'Prod 2'!K620)</f>
        <v/>
      </c>
      <c r="I620" s="77" t="str">
        <f t="shared" si="65"/>
        <v/>
      </c>
      <c r="J620" s="57"/>
      <c r="L620" s="19">
        <v>6.1600000000000001E-7</v>
      </c>
      <c r="M620" s="59">
        <f t="shared" si="66"/>
        <v>0</v>
      </c>
      <c r="N620" s="59">
        <f t="shared" si="67"/>
        <v>0</v>
      </c>
      <c r="O620" s="59">
        <f t="shared" si="68"/>
        <v>0</v>
      </c>
      <c r="P620" s="19" t="str">
        <f t="shared" si="69"/>
        <v/>
      </c>
      <c r="Q620" s="19" t="s">
        <v>656</v>
      </c>
    </row>
    <row r="621" spans="2:17" ht="30" customHeight="1" x14ac:dyDescent="0.25">
      <c r="B621" s="62" t="str">
        <f t="shared" si="63"/>
        <v/>
      </c>
      <c r="C621" s="42">
        <v>617</v>
      </c>
      <c r="D621" s="20"/>
      <c r="E621" s="58"/>
      <c r="F621" s="63" t="str">
        <f t="shared" si="64"/>
        <v/>
      </c>
      <c r="G621" s="66" t="str">
        <f>IF(D621="","",IFERROR('Prod 3'!H621/'Prod 3'!$H$3,0))</f>
        <v/>
      </c>
      <c r="H621" s="70" t="str">
        <f>IF(D621="","",'Prod 2'!K621)</f>
        <v/>
      </c>
      <c r="I621" s="77" t="str">
        <f t="shared" si="65"/>
        <v/>
      </c>
      <c r="J621" s="57"/>
      <c r="L621" s="19">
        <v>6.1699999999999998E-7</v>
      </c>
      <c r="M621" s="59">
        <f t="shared" si="66"/>
        <v>0</v>
      </c>
      <c r="N621" s="59">
        <f t="shared" si="67"/>
        <v>0</v>
      </c>
      <c r="O621" s="59">
        <f t="shared" si="68"/>
        <v>0</v>
      </c>
      <c r="P621" s="19" t="str">
        <f t="shared" si="69"/>
        <v/>
      </c>
      <c r="Q621" s="19" t="s">
        <v>657</v>
      </c>
    </row>
    <row r="622" spans="2:17" ht="30" customHeight="1" x14ac:dyDescent="0.25">
      <c r="B622" s="62" t="str">
        <f t="shared" si="63"/>
        <v/>
      </c>
      <c r="C622" s="42">
        <v>618</v>
      </c>
      <c r="D622" s="20"/>
      <c r="E622" s="58"/>
      <c r="F622" s="63" t="str">
        <f t="shared" si="64"/>
        <v/>
      </c>
      <c r="G622" s="66" t="str">
        <f>IF(D622="","",IFERROR('Prod 3'!H622/'Prod 3'!$H$3,0))</f>
        <v/>
      </c>
      <c r="H622" s="70" t="str">
        <f>IF(D622="","",'Prod 2'!K622)</f>
        <v/>
      </c>
      <c r="I622" s="77" t="str">
        <f t="shared" si="65"/>
        <v/>
      </c>
      <c r="J622" s="57"/>
      <c r="L622" s="19">
        <v>6.1799999999999995E-7</v>
      </c>
      <c r="M622" s="59">
        <f t="shared" si="66"/>
        <v>0</v>
      </c>
      <c r="N622" s="59">
        <f t="shared" si="67"/>
        <v>0</v>
      </c>
      <c r="O622" s="59">
        <f t="shared" si="68"/>
        <v>0</v>
      </c>
      <c r="P622" s="19" t="str">
        <f t="shared" si="69"/>
        <v/>
      </c>
      <c r="Q622" s="19" t="s">
        <v>658</v>
      </c>
    </row>
    <row r="623" spans="2:17" ht="30" customHeight="1" x14ac:dyDescent="0.25">
      <c r="B623" s="62" t="str">
        <f t="shared" si="63"/>
        <v/>
      </c>
      <c r="C623" s="42">
        <v>619</v>
      </c>
      <c r="D623" s="20"/>
      <c r="E623" s="58"/>
      <c r="F623" s="63" t="str">
        <f t="shared" si="64"/>
        <v/>
      </c>
      <c r="G623" s="66" t="str">
        <f>IF(D623="","",IFERROR('Prod 3'!H623/'Prod 3'!$H$3,0))</f>
        <v/>
      </c>
      <c r="H623" s="70" t="str">
        <f>IF(D623="","",'Prod 2'!K623)</f>
        <v/>
      </c>
      <c r="I623" s="77" t="str">
        <f t="shared" si="65"/>
        <v/>
      </c>
      <c r="J623" s="57"/>
      <c r="L623" s="19">
        <v>6.1900000000000002E-7</v>
      </c>
      <c r="M623" s="59">
        <f t="shared" si="66"/>
        <v>0</v>
      </c>
      <c r="N623" s="59">
        <f t="shared" si="67"/>
        <v>0</v>
      </c>
      <c r="O623" s="59">
        <f t="shared" si="68"/>
        <v>0</v>
      </c>
      <c r="P623" s="19" t="str">
        <f t="shared" si="69"/>
        <v/>
      </c>
      <c r="Q623" s="19" t="s">
        <v>659</v>
      </c>
    </row>
    <row r="624" spans="2:17" ht="30" customHeight="1" x14ac:dyDescent="0.25">
      <c r="B624" s="62" t="str">
        <f t="shared" si="63"/>
        <v/>
      </c>
      <c r="C624" s="42">
        <v>620</v>
      </c>
      <c r="D624" s="20"/>
      <c r="E624" s="58"/>
      <c r="F624" s="63" t="str">
        <f t="shared" si="64"/>
        <v/>
      </c>
      <c r="G624" s="66" t="str">
        <f>IF(D624="","",IFERROR('Prod 3'!H624/'Prod 3'!$H$3,0))</f>
        <v/>
      </c>
      <c r="H624" s="70" t="str">
        <f>IF(D624="","",'Prod 2'!K624)</f>
        <v/>
      </c>
      <c r="I624" s="77" t="str">
        <f t="shared" si="65"/>
        <v/>
      </c>
      <c r="J624" s="57"/>
      <c r="L624" s="19">
        <v>6.1999999999999999E-7</v>
      </c>
      <c r="M624" s="59">
        <f t="shared" si="66"/>
        <v>0</v>
      </c>
      <c r="N624" s="59">
        <f t="shared" si="67"/>
        <v>0</v>
      </c>
      <c r="O624" s="59">
        <f t="shared" si="68"/>
        <v>0</v>
      </c>
      <c r="P624" s="19" t="str">
        <f t="shared" si="69"/>
        <v/>
      </c>
      <c r="Q624" s="19" t="s">
        <v>660</v>
      </c>
    </row>
    <row r="625" spans="2:17" ht="30" customHeight="1" x14ac:dyDescent="0.25">
      <c r="B625" s="62" t="str">
        <f t="shared" si="63"/>
        <v/>
      </c>
      <c r="C625" s="42">
        <v>621</v>
      </c>
      <c r="D625" s="20"/>
      <c r="E625" s="58"/>
      <c r="F625" s="63" t="str">
        <f t="shared" si="64"/>
        <v/>
      </c>
      <c r="G625" s="66" t="str">
        <f>IF(D625="","",IFERROR('Prod 3'!H625/'Prod 3'!$H$3,0))</f>
        <v/>
      </c>
      <c r="H625" s="70" t="str">
        <f>IF(D625="","",'Prod 2'!K625)</f>
        <v/>
      </c>
      <c r="I625" s="77" t="str">
        <f t="shared" si="65"/>
        <v/>
      </c>
      <c r="J625" s="57"/>
      <c r="L625" s="19">
        <v>6.2099999999999996E-7</v>
      </c>
      <c r="M625" s="59">
        <f t="shared" si="66"/>
        <v>0</v>
      </c>
      <c r="N625" s="59">
        <f t="shared" si="67"/>
        <v>0</v>
      </c>
      <c r="O625" s="59">
        <f t="shared" si="68"/>
        <v>0</v>
      </c>
      <c r="P625" s="19" t="str">
        <f t="shared" si="69"/>
        <v/>
      </c>
      <c r="Q625" s="19" t="s">
        <v>661</v>
      </c>
    </row>
    <row r="626" spans="2:17" ht="30" customHeight="1" x14ac:dyDescent="0.25">
      <c r="B626" s="62" t="str">
        <f t="shared" si="63"/>
        <v/>
      </c>
      <c r="C626" s="42">
        <v>622</v>
      </c>
      <c r="D626" s="20"/>
      <c r="E626" s="58"/>
      <c r="F626" s="63" t="str">
        <f t="shared" si="64"/>
        <v/>
      </c>
      <c r="G626" s="66" t="str">
        <f>IF(D626="","",IFERROR('Prod 3'!H626/'Prod 3'!$H$3,0))</f>
        <v/>
      </c>
      <c r="H626" s="70" t="str">
        <f>IF(D626="","",'Prod 2'!K626)</f>
        <v/>
      </c>
      <c r="I626" s="77" t="str">
        <f t="shared" si="65"/>
        <v/>
      </c>
      <c r="J626" s="57"/>
      <c r="L626" s="19">
        <v>6.2200000000000004E-7</v>
      </c>
      <c r="M626" s="59">
        <f t="shared" si="66"/>
        <v>0</v>
      </c>
      <c r="N626" s="59">
        <f t="shared" si="67"/>
        <v>0</v>
      </c>
      <c r="O626" s="59">
        <f t="shared" si="68"/>
        <v>0</v>
      </c>
      <c r="P626" s="19" t="str">
        <f t="shared" si="69"/>
        <v/>
      </c>
      <c r="Q626" s="19" t="s">
        <v>662</v>
      </c>
    </row>
    <row r="627" spans="2:17" ht="30" customHeight="1" x14ac:dyDescent="0.25">
      <c r="B627" s="62" t="str">
        <f t="shared" si="63"/>
        <v/>
      </c>
      <c r="C627" s="42">
        <v>623</v>
      </c>
      <c r="D627" s="20"/>
      <c r="E627" s="58"/>
      <c r="F627" s="63" t="str">
        <f t="shared" si="64"/>
        <v/>
      </c>
      <c r="G627" s="66" t="str">
        <f>IF(D627="","",IFERROR('Prod 3'!H627/'Prod 3'!$H$3,0))</f>
        <v/>
      </c>
      <c r="H627" s="70" t="str">
        <f>IF(D627="","",'Prod 2'!K627)</f>
        <v/>
      </c>
      <c r="I627" s="77" t="str">
        <f t="shared" si="65"/>
        <v/>
      </c>
      <c r="J627" s="57"/>
      <c r="L627" s="19">
        <v>6.2300000000000001E-7</v>
      </c>
      <c r="M627" s="59">
        <f t="shared" si="66"/>
        <v>0</v>
      </c>
      <c r="N627" s="59">
        <f t="shared" si="67"/>
        <v>0</v>
      </c>
      <c r="O627" s="59">
        <f t="shared" si="68"/>
        <v>0</v>
      </c>
      <c r="P627" s="19" t="str">
        <f t="shared" si="69"/>
        <v/>
      </c>
      <c r="Q627" s="19" t="s">
        <v>663</v>
      </c>
    </row>
    <row r="628" spans="2:17" ht="30" customHeight="1" x14ac:dyDescent="0.25">
      <c r="B628" s="62" t="str">
        <f t="shared" si="63"/>
        <v/>
      </c>
      <c r="C628" s="42">
        <v>624</v>
      </c>
      <c r="D628" s="20"/>
      <c r="E628" s="58"/>
      <c r="F628" s="63" t="str">
        <f t="shared" si="64"/>
        <v/>
      </c>
      <c r="G628" s="66" t="str">
        <f>IF(D628="","",IFERROR('Prod 3'!H628/'Prod 3'!$H$3,0))</f>
        <v/>
      </c>
      <c r="H628" s="70" t="str">
        <f>IF(D628="","",'Prod 2'!K628)</f>
        <v/>
      </c>
      <c r="I628" s="77" t="str">
        <f t="shared" si="65"/>
        <v/>
      </c>
      <c r="J628" s="57"/>
      <c r="L628" s="19">
        <v>6.2399999999999998E-7</v>
      </c>
      <c r="M628" s="59">
        <f t="shared" si="66"/>
        <v>0</v>
      </c>
      <c r="N628" s="59">
        <f t="shared" si="67"/>
        <v>0</v>
      </c>
      <c r="O628" s="59">
        <f t="shared" si="68"/>
        <v>0</v>
      </c>
      <c r="P628" s="19" t="str">
        <f t="shared" si="69"/>
        <v/>
      </c>
      <c r="Q628" s="19" t="s">
        <v>664</v>
      </c>
    </row>
    <row r="629" spans="2:17" ht="30" customHeight="1" x14ac:dyDescent="0.25">
      <c r="B629" s="62" t="str">
        <f t="shared" si="63"/>
        <v/>
      </c>
      <c r="C629" s="42">
        <v>625</v>
      </c>
      <c r="D629" s="20"/>
      <c r="E629" s="58"/>
      <c r="F629" s="63" t="str">
        <f t="shared" si="64"/>
        <v/>
      </c>
      <c r="G629" s="66" t="str">
        <f>IF(D629="","",IFERROR('Prod 3'!H629/'Prod 3'!$H$3,0))</f>
        <v/>
      </c>
      <c r="H629" s="70" t="str">
        <f>IF(D629="","",'Prod 2'!K629)</f>
        <v/>
      </c>
      <c r="I629" s="77" t="str">
        <f t="shared" si="65"/>
        <v/>
      </c>
      <c r="J629" s="57"/>
      <c r="L629" s="19">
        <v>6.2500000000000005E-7</v>
      </c>
      <c r="M629" s="59">
        <f t="shared" si="66"/>
        <v>0</v>
      </c>
      <c r="N629" s="59">
        <f t="shared" si="67"/>
        <v>0</v>
      </c>
      <c r="O629" s="59">
        <f t="shared" si="68"/>
        <v>0</v>
      </c>
      <c r="P629" s="19" t="str">
        <f t="shared" si="69"/>
        <v/>
      </c>
      <c r="Q629" s="19" t="s">
        <v>665</v>
      </c>
    </row>
    <row r="630" spans="2:17" ht="30" customHeight="1" x14ac:dyDescent="0.25">
      <c r="B630" s="62" t="str">
        <f t="shared" si="63"/>
        <v/>
      </c>
      <c r="C630" s="42">
        <v>626</v>
      </c>
      <c r="D630" s="20"/>
      <c r="E630" s="58"/>
      <c r="F630" s="63" t="str">
        <f t="shared" si="64"/>
        <v/>
      </c>
      <c r="G630" s="66" t="str">
        <f>IF(D630="","",IFERROR('Prod 3'!H630/'Prod 3'!$H$3,0))</f>
        <v/>
      </c>
      <c r="H630" s="70" t="str">
        <f>IF(D630="","",'Prod 2'!K630)</f>
        <v/>
      </c>
      <c r="I630" s="77" t="str">
        <f t="shared" si="65"/>
        <v/>
      </c>
      <c r="J630" s="57"/>
      <c r="L630" s="19">
        <v>6.2600000000000002E-7</v>
      </c>
      <c r="M630" s="59">
        <f t="shared" si="66"/>
        <v>0</v>
      </c>
      <c r="N630" s="59">
        <f t="shared" si="67"/>
        <v>0</v>
      </c>
      <c r="O630" s="59">
        <f t="shared" si="68"/>
        <v>0</v>
      </c>
      <c r="P630" s="19" t="str">
        <f t="shared" si="69"/>
        <v/>
      </c>
      <c r="Q630" s="19" t="s">
        <v>666</v>
      </c>
    </row>
    <row r="631" spans="2:17" ht="30" customHeight="1" x14ac:dyDescent="0.25">
      <c r="B631" s="62" t="str">
        <f t="shared" si="63"/>
        <v/>
      </c>
      <c r="C631" s="42">
        <v>627</v>
      </c>
      <c r="D631" s="20"/>
      <c r="E631" s="58"/>
      <c r="F631" s="63" t="str">
        <f t="shared" si="64"/>
        <v/>
      </c>
      <c r="G631" s="66" t="str">
        <f>IF(D631="","",IFERROR('Prod 3'!H631/'Prod 3'!$H$3,0))</f>
        <v/>
      </c>
      <c r="H631" s="70" t="str">
        <f>IF(D631="","",'Prod 2'!K631)</f>
        <v/>
      </c>
      <c r="I631" s="77" t="str">
        <f t="shared" si="65"/>
        <v/>
      </c>
      <c r="J631" s="57"/>
      <c r="L631" s="19">
        <v>6.2699999999999999E-7</v>
      </c>
      <c r="M631" s="59">
        <f t="shared" si="66"/>
        <v>0</v>
      </c>
      <c r="N631" s="59">
        <f t="shared" si="67"/>
        <v>0</v>
      </c>
      <c r="O631" s="59">
        <f t="shared" si="68"/>
        <v>0</v>
      </c>
      <c r="P631" s="19" t="str">
        <f t="shared" si="69"/>
        <v/>
      </c>
      <c r="Q631" s="19" t="s">
        <v>667</v>
      </c>
    </row>
    <row r="632" spans="2:17" ht="30" customHeight="1" x14ac:dyDescent="0.25">
      <c r="B632" s="62" t="str">
        <f t="shared" si="63"/>
        <v/>
      </c>
      <c r="C632" s="42">
        <v>628</v>
      </c>
      <c r="D632" s="20"/>
      <c r="E632" s="58"/>
      <c r="F632" s="63" t="str">
        <f t="shared" si="64"/>
        <v/>
      </c>
      <c r="G632" s="66" t="str">
        <f>IF(D632="","",IFERROR('Prod 3'!H632/'Prod 3'!$H$3,0))</f>
        <v/>
      </c>
      <c r="H632" s="70" t="str">
        <f>IF(D632="","",'Prod 2'!K632)</f>
        <v/>
      </c>
      <c r="I632" s="77" t="str">
        <f t="shared" si="65"/>
        <v/>
      </c>
      <c r="J632" s="57"/>
      <c r="L632" s="19">
        <v>6.2799999999999996E-7</v>
      </c>
      <c r="M632" s="59">
        <f t="shared" si="66"/>
        <v>0</v>
      </c>
      <c r="N632" s="59">
        <f t="shared" si="67"/>
        <v>0</v>
      </c>
      <c r="O632" s="59">
        <f t="shared" si="68"/>
        <v>0</v>
      </c>
      <c r="P632" s="19" t="str">
        <f t="shared" si="69"/>
        <v/>
      </c>
      <c r="Q632" s="19" t="s">
        <v>668</v>
      </c>
    </row>
    <row r="633" spans="2:17" ht="30" customHeight="1" x14ac:dyDescent="0.25">
      <c r="B633" s="62" t="str">
        <f t="shared" si="63"/>
        <v/>
      </c>
      <c r="C633" s="42">
        <v>629</v>
      </c>
      <c r="D633" s="20"/>
      <c r="E633" s="58"/>
      <c r="F633" s="63" t="str">
        <f t="shared" si="64"/>
        <v/>
      </c>
      <c r="G633" s="66" t="str">
        <f>IF(D633="","",IFERROR('Prod 3'!H633/'Prod 3'!$H$3,0))</f>
        <v/>
      </c>
      <c r="H633" s="70" t="str">
        <f>IF(D633="","",'Prod 2'!K633)</f>
        <v/>
      </c>
      <c r="I633" s="77" t="str">
        <f t="shared" si="65"/>
        <v/>
      </c>
      <c r="J633" s="57"/>
      <c r="L633" s="19">
        <v>6.2900000000000003E-7</v>
      </c>
      <c r="M633" s="59">
        <f t="shared" si="66"/>
        <v>0</v>
      </c>
      <c r="N633" s="59">
        <f t="shared" si="67"/>
        <v>0</v>
      </c>
      <c r="O633" s="59">
        <f t="shared" si="68"/>
        <v>0</v>
      </c>
      <c r="P633" s="19" t="str">
        <f t="shared" si="69"/>
        <v/>
      </c>
      <c r="Q633" s="19" t="s">
        <v>669</v>
      </c>
    </row>
    <row r="634" spans="2:17" ht="30" customHeight="1" x14ac:dyDescent="0.25">
      <c r="B634" s="62" t="str">
        <f t="shared" si="63"/>
        <v/>
      </c>
      <c r="C634" s="42">
        <v>630</v>
      </c>
      <c r="D634" s="20"/>
      <c r="E634" s="58"/>
      <c r="F634" s="63" t="str">
        <f t="shared" si="64"/>
        <v/>
      </c>
      <c r="G634" s="66" t="str">
        <f>IF(D634="","",IFERROR('Prod 3'!H634/'Prod 3'!$H$3,0))</f>
        <v/>
      </c>
      <c r="H634" s="70" t="str">
        <f>IF(D634="","",'Prod 2'!K634)</f>
        <v/>
      </c>
      <c r="I634" s="77" t="str">
        <f t="shared" si="65"/>
        <v/>
      </c>
      <c r="J634" s="57"/>
      <c r="L634" s="19">
        <v>6.3E-7</v>
      </c>
      <c r="M634" s="59">
        <f t="shared" si="66"/>
        <v>0</v>
      </c>
      <c r="N634" s="59">
        <f t="shared" si="67"/>
        <v>0</v>
      </c>
      <c r="O634" s="59">
        <f t="shared" si="68"/>
        <v>0</v>
      </c>
      <c r="P634" s="19" t="str">
        <f t="shared" si="69"/>
        <v/>
      </c>
      <c r="Q634" s="19" t="s">
        <v>670</v>
      </c>
    </row>
    <row r="635" spans="2:17" ht="30" customHeight="1" x14ac:dyDescent="0.25">
      <c r="B635" s="62" t="str">
        <f t="shared" si="63"/>
        <v/>
      </c>
      <c r="C635" s="42">
        <v>631</v>
      </c>
      <c r="D635" s="20"/>
      <c r="E635" s="58"/>
      <c r="F635" s="63" t="str">
        <f t="shared" si="64"/>
        <v/>
      </c>
      <c r="G635" s="66" t="str">
        <f>IF(D635="","",IFERROR('Prod 3'!H635/'Prod 3'!$H$3,0))</f>
        <v/>
      </c>
      <c r="H635" s="70" t="str">
        <f>IF(D635="","",'Prod 2'!K635)</f>
        <v/>
      </c>
      <c r="I635" s="77" t="str">
        <f t="shared" si="65"/>
        <v/>
      </c>
      <c r="J635" s="57"/>
      <c r="L635" s="19">
        <v>6.3099999999999997E-7</v>
      </c>
      <c r="M635" s="59">
        <f t="shared" si="66"/>
        <v>0</v>
      </c>
      <c r="N635" s="59">
        <f t="shared" si="67"/>
        <v>0</v>
      </c>
      <c r="O635" s="59">
        <f t="shared" si="68"/>
        <v>0</v>
      </c>
      <c r="P635" s="19" t="str">
        <f t="shared" si="69"/>
        <v/>
      </c>
      <c r="Q635" s="19" t="s">
        <v>671</v>
      </c>
    </row>
    <row r="636" spans="2:17" ht="30" customHeight="1" x14ac:dyDescent="0.25">
      <c r="B636" s="62" t="str">
        <f t="shared" si="63"/>
        <v/>
      </c>
      <c r="C636" s="42">
        <v>632</v>
      </c>
      <c r="D636" s="20"/>
      <c r="E636" s="58"/>
      <c r="F636" s="63" t="str">
        <f t="shared" si="64"/>
        <v/>
      </c>
      <c r="G636" s="66" t="str">
        <f>IF(D636="","",IFERROR('Prod 3'!H636/'Prod 3'!$H$3,0))</f>
        <v/>
      </c>
      <c r="H636" s="70" t="str">
        <f>IF(D636="","",'Prod 2'!K636)</f>
        <v/>
      </c>
      <c r="I636" s="77" t="str">
        <f t="shared" si="65"/>
        <v/>
      </c>
      <c r="J636" s="57"/>
      <c r="L636" s="19">
        <v>6.3200000000000005E-7</v>
      </c>
      <c r="M636" s="59">
        <f t="shared" si="66"/>
        <v>0</v>
      </c>
      <c r="N636" s="59">
        <f t="shared" si="67"/>
        <v>0</v>
      </c>
      <c r="O636" s="59">
        <f t="shared" si="68"/>
        <v>0</v>
      </c>
      <c r="P636" s="19" t="str">
        <f t="shared" si="69"/>
        <v/>
      </c>
      <c r="Q636" s="19" t="s">
        <v>672</v>
      </c>
    </row>
    <row r="637" spans="2:17" ht="30" customHeight="1" x14ac:dyDescent="0.25">
      <c r="B637" s="62" t="str">
        <f t="shared" si="63"/>
        <v/>
      </c>
      <c r="C637" s="42">
        <v>633</v>
      </c>
      <c r="D637" s="20"/>
      <c r="E637" s="58"/>
      <c r="F637" s="63" t="str">
        <f t="shared" si="64"/>
        <v/>
      </c>
      <c r="G637" s="66" t="str">
        <f>IF(D637="","",IFERROR('Prod 3'!H637/'Prod 3'!$H$3,0))</f>
        <v/>
      </c>
      <c r="H637" s="70" t="str">
        <f>IF(D637="","",'Prod 2'!K637)</f>
        <v/>
      </c>
      <c r="I637" s="77" t="str">
        <f t="shared" si="65"/>
        <v/>
      </c>
      <c r="J637" s="57"/>
      <c r="L637" s="19">
        <v>6.3300000000000002E-7</v>
      </c>
      <c r="M637" s="59">
        <f t="shared" si="66"/>
        <v>0</v>
      </c>
      <c r="N637" s="59">
        <f t="shared" si="67"/>
        <v>0</v>
      </c>
      <c r="O637" s="59">
        <f t="shared" si="68"/>
        <v>0</v>
      </c>
      <c r="P637" s="19" t="str">
        <f t="shared" si="69"/>
        <v/>
      </c>
      <c r="Q637" s="19" t="s">
        <v>673</v>
      </c>
    </row>
    <row r="638" spans="2:17" ht="30" customHeight="1" x14ac:dyDescent="0.25">
      <c r="B638" s="62" t="str">
        <f t="shared" si="63"/>
        <v/>
      </c>
      <c r="C638" s="42">
        <v>634</v>
      </c>
      <c r="D638" s="20"/>
      <c r="E638" s="58"/>
      <c r="F638" s="63" t="str">
        <f t="shared" si="64"/>
        <v/>
      </c>
      <c r="G638" s="66" t="str">
        <f>IF(D638="","",IFERROR('Prod 3'!H638/'Prod 3'!$H$3,0))</f>
        <v/>
      </c>
      <c r="H638" s="70" t="str">
        <f>IF(D638="","",'Prod 2'!K638)</f>
        <v/>
      </c>
      <c r="I638" s="77" t="str">
        <f t="shared" si="65"/>
        <v/>
      </c>
      <c r="J638" s="57"/>
      <c r="L638" s="19">
        <v>6.3399999999999999E-7</v>
      </c>
      <c r="M638" s="59">
        <f t="shared" si="66"/>
        <v>0</v>
      </c>
      <c r="N638" s="59">
        <f t="shared" si="67"/>
        <v>0</v>
      </c>
      <c r="O638" s="59">
        <f t="shared" si="68"/>
        <v>0</v>
      </c>
      <c r="P638" s="19" t="str">
        <f t="shared" si="69"/>
        <v/>
      </c>
      <c r="Q638" s="19" t="s">
        <v>674</v>
      </c>
    </row>
    <row r="639" spans="2:17" ht="30" customHeight="1" x14ac:dyDescent="0.25">
      <c r="B639" s="62" t="str">
        <f t="shared" si="63"/>
        <v/>
      </c>
      <c r="C639" s="42">
        <v>635</v>
      </c>
      <c r="D639" s="20"/>
      <c r="E639" s="58"/>
      <c r="F639" s="63" t="str">
        <f t="shared" si="64"/>
        <v/>
      </c>
      <c r="G639" s="66" t="str">
        <f>IF(D639="","",IFERROR('Prod 3'!H639/'Prod 3'!$H$3,0))</f>
        <v/>
      </c>
      <c r="H639" s="70" t="str">
        <f>IF(D639="","",'Prod 2'!K639)</f>
        <v/>
      </c>
      <c r="I639" s="77" t="str">
        <f t="shared" si="65"/>
        <v/>
      </c>
      <c r="J639" s="57"/>
      <c r="L639" s="19">
        <v>6.3499999999999996E-7</v>
      </c>
      <c r="M639" s="59">
        <f t="shared" si="66"/>
        <v>0</v>
      </c>
      <c r="N639" s="59">
        <f t="shared" si="67"/>
        <v>0</v>
      </c>
      <c r="O639" s="59">
        <f t="shared" si="68"/>
        <v>0</v>
      </c>
      <c r="P639" s="19" t="str">
        <f t="shared" si="69"/>
        <v/>
      </c>
      <c r="Q639" s="19" t="s">
        <v>675</v>
      </c>
    </row>
    <row r="640" spans="2:17" ht="30" customHeight="1" x14ac:dyDescent="0.25">
      <c r="B640" s="62" t="str">
        <f t="shared" si="63"/>
        <v/>
      </c>
      <c r="C640" s="42">
        <v>636</v>
      </c>
      <c r="D640" s="20"/>
      <c r="E640" s="58"/>
      <c r="F640" s="63" t="str">
        <f t="shared" si="64"/>
        <v/>
      </c>
      <c r="G640" s="66" t="str">
        <f>IF(D640="","",IFERROR('Prod 3'!H640/'Prod 3'!$H$3,0))</f>
        <v/>
      </c>
      <c r="H640" s="70" t="str">
        <f>IF(D640="","",'Prod 2'!K640)</f>
        <v/>
      </c>
      <c r="I640" s="77" t="str">
        <f t="shared" si="65"/>
        <v/>
      </c>
      <c r="J640" s="57"/>
      <c r="L640" s="19">
        <v>6.3600000000000003E-7</v>
      </c>
      <c r="M640" s="59">
        <f t="shared" si="66"/>
        <v>0</v>
      </c>
      <c r="N640" s="59">
        <f t="shared" si="67"/>
        <v>0</v>
      </c>
      <c r="O640" s="59">
        <f t="shared" si="68"/>
        <v>0</v>
      </c>
      <c r="P640" s="19" t="str">
        <f t="shared" si="69"/>
        <v/>
      </c>
      <c r="Q640" s="19" t="s">
        <v>676</v>
      </c>
    </row>
    <row r="641" spans="2:17" ht="30" customHeight="1" x14ac:dyDescent="0.25">
      <c r="B641" s="62" t="str">
        <f t="shared" si="63"/>
        <v/>
      </c>
      <c r="C641" s="42">
        <v>637</v>
      </c>
      <c r="D641" s="20"/>
      <c r="E641" s="58"/>
      <c r="F641" s="63" t="str">
        <f t="shared" si="64"/>
        <v/>
      </c>
      <c r="G641" s="66" t="str">
        <f>IF(D641="","",IFERROR('Prod 3'!H641/'Prod 3'!$H$3,0))</f>
        <v/>
      </c>
      <c r="H641" s="70" t="str">
        <f>IF(D641="","",'Prod 2'!K641)</f>
        <v/>
      </c>
      <c r="I641" s="77" t="str">
        <f t="shared" si="65"/>
        <v/>
      </c>
      <c r="J641" s="57"/>
      <c r="L641" s="19">
        <v>6.37E-7</v>
      </c>
      <c r="M641" s="59">
        <f t="shared" si="66"/>
        <v>0</v>
      </c>
      <c r="N641" s="59">
        <f t="shared" si="67"/>
        <v>0</v>
      </c>
      <c r="O641" s="59">
        <f t="shared" si="68"/>
        <v>0</v>
      </c>
      <c r="P641" s="19" t="str">
        <f t="shared" si="69"/>
        <v/>
      </c>
      <c r="Q641" s="19" t="s">
        <v>677</v>
      </c>
    </row>
    <row r="642" spans="2:17" ht="30" customHeight="1" x14ac:dyDescent="0.25">
      <c r="B642" s="62" t="str">
        <f t="shared" si="63"/>
        <v/>
      </c>
      <c r="C642" s="42">
        <v>638</v>
      </c>
      <c r="D642" s="20"/>
      <c r="E642" s="58"/>
      <c r="F642" s="63" t="str">
        <f t="shared" si="64"/>
        <v/>
      </c>
      <c r="G642" s="66" t="str">
        <f>IF(D642="","",IFERROR('Prod 3'!H642/'Prod 3'!$H$3,0))</f>
        <v/>
      </c>
      <c r="H642" s="70" t="str">
        <f>IF(D642="","",'Prod 2'!K642)</f>
        <v/>
      </c>
      <c r="I642" s="77" t="str">
        <f t="shared" si="65"/>
        <v/>
      </c>
      <c r="J642" s="57"/>
      <c r="L642" s="19">
        <v>6.3799999999999997E-7</v>
      </c>
      <c r="M642" s="59">
        <f t="shared" si="66"/>
        <v>0</v>
      </c>
      <c r="N642" s="59">
        <f t="shared" si="67"/>
        <v>0</v>
      </c>
      <c r="O642" s="59">
        <f t="shared" si="68"/>
        <v>0</v>
      </c>
      <c r="P642" s="19" t="str">
        <f t="shared" si="69"/>
        <v/>
      </c>
      <c r="Q642" s="19" t="s">
        <v>678</v>
      </c>
    </row>
    <row r="643" spans="2:17" ht="30" customHeight="1" x14ac:dyDescent="0.25">
      <c r="B643" s="62" t="str">
        <f t="shared" si="63"/>
        <v/>
      </c>
      <c r="C643" s="42">
        <v>639</v>
      </c>
      <c r="D643" s="20"/>
      <c r="E643" s="58"/>
      <c r="F643" s="63" t="str">
        <f t="shared" si="64"/>
        <v/>
      </c>
      <c r="G643" s="66" t="str">
        <f>IF(D643="","",IFERROR('Prod 3'!H643/'Prod 3'!$H$3,0))</f>
        <v/>
      </c>
      <c r="H643" s="70" t="str">
        <f>IF(D643="","",'Prod 2'!K643)</f>
        <v/>
      </c>
      <c r="I643" s="77" t="str">
        <f t="shared" si="65"/>
        <v/>
      </c>
      <c r="J643" s="57"/>
      <c r="L643" s="19">
        <v>6.3900000000000004E-7</v>
      </c>
      <c r="M643" s="59">
        <f t="shared" si="66"/>
        <v>0</v>
      </c>
      <c r="N643" s="59">
        <f t="shared" si="67"/>
        <v>0</v>
      </c>
      <c r="O643" s="59">
        <f t="shared" si="68"/>
        <v>0</v>
      </c>
      <c r="P643" s="19" t="str">
        <f t="shared" si="69"/>
        <v/>
      </c>
      <c r="Q643" s="19" t="s">
        <v>679</v>
      </c>
    </row>
    <row r="644" spans="2:17" ht="30" customHeight="1" x14ac:dyDescent="0.25">
      <c r="B644" s="62" t="str">
        <f t="shared" si="63"/>
        <v/>
      </c>
      <c r="C644" s="42">
        <v>640</v>
      </c>
      <c r="D644" s="20"/>
      <c r="E644" s="58"/>
      <c r="F644" s="63" t="str">
        <f t="shared" si="64"/>
        <v/>
      </c>
      <c r="G644" s="66" t="str">
        <f>IF(D644="","",IFERROR('Prod 3'!H644/'Prod 3'!$H$3,0))</f>
        <v/>
      </c>
      <c r="H644" s="70" t="str">
        <f>IF(D644="","",'Prod 2'!K644)</f>
        <v/>
      </c>
      <c r="I644" s="77" t="str">
        <f t="shared" si="65"/>
        <v/>
      </c>
      <c r="J644" s="57"/>
      <c r="L644" s="19">
        <v>6.4000000000000001E-7</v>
      </c>
      <c r="M644" s="59">
        <f t="shared" si="66"/>
        <v>0</v>
      </c>
      <c r="N644" s="59">
        <f t="shared" si="67"/>
        <v>0</v>
      </c>
      <c r="O644" s="59">
        <f t="shared" si="68"/>
        <v>0</v>
      </c>
      <c r="P644" s="19" t="str">
        <f t="shared" si="69"/>
        <v/>
      </c>
      <c r="Q644" s="19" t="s">
        <v>680</v>
      </c>
    </row>
    <row r="645" spans="2:17" ht="30" customHeight="1" x14ac:dyDescent="0.25">
      <c r="B645" s="62" t="str">
        <f t="shared" si="63"/>
        <v/>
      </c>
      <c r="C645" s="42">
        <v>641</v>
      </c>
      <c r="D645" s="20"/>
      <c r="E645" s="58"/>
      <c r="F645" s="63" t="str">
        <f t="shared" si="64"/>
        <v/>
      </c>
      <c r="G645" s="66" t="str">
        <f>IF(D645="","",IFERROR('Prod 3'!H645/'Prod 3'!$H$3,0))</f>
        <v/>
      </c>
      <c r="H645" s="70" t="str">
        <f>IF(D645="","",'Prod 2'!K645)</f>
        <v/>
      </c>
      <c r="I645" s="77" t="str">
        <f t="shared" si="65"/>
        <v/>
      </c>
      <c r="J645" s="57"/>
      <c r="L645" s="19">
        <v>6.4099999999999998E-7</v>
      </c>
      <c r="M645" s="59">
        <f t="shared" si="66"/>
        <v>0</v>
      </c>
      <c r="N645" s="59">
        <f t="shared" si="67"/>
        <v>0</v>
      </c>
      <c r="O645" s="59">
        <f t="shared" si="68"/>
        <v>0</v>
      </c>
      <c r="P645" s="19" t="str">
        <f t="shared" si="69"/>
        <v/>
      </c>
      <c r="Q645" s="19" t="s">
        <v>681</v>
      </c>
    </row>
    <row r="646" spans="2:17" ht="30" customHeight="1" x14ac:dyDescent="0.25">
      <c r="B646" s="62" t="str">
        <f t="shared" ref="B646:B709" si="70">IF(I646="","",I646)</f>
        <v/>
      </c>
      <c r="C646" s="42">
        <v>642</v>
      </c>
      <c r="D646" s="20"/>
      <c r="E646" s="58"/>
      <c r="F646" s="63" t="str">
        <f t="shared" ref="F646:F709" si="71">IF(D646="","",IFERROR(VLOOKUP(D646,$P$5:$Q$1004,2,0),""))</f>
        <v/>
      </c>
      <c r="G646" s="66" t="str">
        <f>IF(D646="","",IFERROR('Prod 3'!H646/'Prod 3'!$H$3,0))</f>
        <v/>
      </c>
      <c r="H646" s="70" t="str">
        <f>IF(D646="","",'Prod 2'!K646)</f>
        <v/>
      </c>
      <c r="I646" s="77" t="str">
        <f t="shared" ref="I646:I709" si="72">IF(D646="","",E646-H646+L646)</f>
        <v/>
      </c>
      <c r="J646" s="57"/>
      <c r="L646" s="19">
        <v>6.4199999999999995E-7</v>
      </c>
      <c r="M646" s="59">
        <f t="shared" ref="M646:M709" si="73">IFERROR(LARGE($I$5:$I$1004,C646),0)</f>
        <v>0</v>
      </c>
      <c r="N646" s="59">
        <f t="shared" ref="N646:N709" si="74">IFERROR(M646,0)</f>
        <v>0</v>
      </c>
      <c r="O646" s="59">
        <f t="shared" ref="O646:O709" si="75">IFERROR(LARGE($N$5:$N$1004,C646),0)</f>
        <v>0</v>
      </c>
      <c r="P646" s="19" t="str">
        <f t="shared" ref="P646:P709" si="76">IFERROR(IF(VLOOKUP(O646,$B$5:$D$1004,3,0)=0,"",(VLOOKUP(O646,$B$5:$D$1004,3,0))),"")</f>
        <v/>
      </c>
      <c r="Q646" s="19" t="s">
        <v>682</v>
      </c>
    </row>
    <row r="647" spans="2:17" ht="30" customHeight="1" x14ac:dyDescent="0.25">
      <c r="B647" s="62" t="str">
        <f t="shared" si="70"/>
        <v/>
      </c>
      <c r="C647" s="42">
        <v>643</v>
      </c>
      <c r="D647" s="20"/>
      <c r="E647" s="58"/>
      <c r="F647" s="63" t="str">
        <f t="shared" si="71"/>
        <v/>
      </c>
      <c r="G647" s="66" t="str">
        <f>IF(D647="","",IFERROR('Prod 3'!H647/'Prod 3'!$H$3,0))</f>
        <v/>
      </c>
      <c r="H647" s="70" t="str">
        <f>IF(D647="","",'Prod 2'!K647)</f>
        <v/>
      </c>
      <c r="I647" s="77" t="str">
        <f t="shared" si="72"/>
        <v/>
      </c>
      <c r="J647" s="57"/>
      <c r="L647" s="19">
        <v>6.4300000000000003E-7</v>
      </c>
      <c r="M647" s="59">
        <f t="shared" si="73"/>
        <v>0</v>
      </c>
      <c r="N647" s="59">
        <f t="shared" si="74"/>
        <v>0</v>
      </c>
      <c r="O647" s="59">
        <f t="shared" si="75"/>
        <v>0</v>
      </c>
      <c r="P647" s="19" t="str">
        <f t="shared" si="76"/>
        <v/>
      </c>
      <c r="Q647" s="19" t="s">
        <v>683</v>
      </c>
    </row>
    <row r="648" spans="2:17" ht="30" customHeight="1" x14ac:dyDescent="0.25">
      <c r="B648" s="62" t="str">
        <f t="shared" si="70"/>
        <v/>
      </c>
      <c r="C648" s="42">
        <v>644</v>
      </c>
      <c r="D648" s="20"/>
      <c r="E648" s="58"/>
      <c r="F648" s="63" t="str">
        <f t="shared" si="71"/>
        <v/>
      </c>
      <c r="G648" s="66" t="str">
        <f>IF(D648="","",IFERROR('Prod 3'!H648/'Prod 3'!$H$3,0))</f>
        <v/>
      </c>
      <c r="H648" s="70" t="str">
        <f>IF(D648="","",'Prod 2'!K648)</f>
        <v/>
      </c>
      <c r="I648" s="77" t="str">
        <f t="shared" si="72"/>
        <v/>
      </c>
      <c r="J648" s="57"/>
      <c r="L648" s="19">
        <v>6.44E-7</v>
      </c>
      <c r="M648" s="59">
        <f t="shared" si="73"/>
        <v>0</v>
      </c>
      <c r="N648" s="59">
        <f t="shared" si="74"/>
        <v>0</v>
      </c>
      <c r="O648" s="59">
        <f t="shared" si="75"/>
        <v>0</v>
      </c>
      <c r="P648" s="19" t="str">
        <f t="shared" si="76"/>
        <v/>
      </c>
      <c r="Q648" s="19" t="s">
        <v>684</v>
      </c>
    </row>
    <row r="649" spans="2:17" ht="30" customHeight="1" x14ac:dyDescent="0.25">
      <c r="B649" s="62" t="str">
        <f t="shared" si="70"/>
        <v/>
      </c>
      <c r="C649" s="42">
        <v>645</v>
      </c>
      <c r="D649" s="20"/>
      <c r="E649" s="58"/>
      <c r="F649" s="63" t="str">
        <f t="shared" si="71"/>
        <v/>
      </c>
      <c r="G649" s="66" t="str">
        <f>IF(D649="","",IFERROR('Prod 3'!H649/'Prod 3'!$H$3,0))</f>
        <v/>
      </c>
      <c r="H649" s="70" t="str">
        <f>IF(D649="","",'Prod 2'!K649)</f>
        <v/>
      </c>
      <c r="I649" s="77" t="str">
        <f t="shared" si="72"/>
        <v/>
      </c>
      <c r="J649" s="57"/>
      <c r="L649" s="19">
        <v>6.4499999999999997E-7</v>
      </c>
      <c r="M649" s="59">
        <f t="shared" si="73"/>
        <v>0</v>
      </c>
      <c r="N649" s="59">
        <f t="shared" si="74"/>
        <v>0</v>
      </c>
      <c r="O649" s="59">
        <f t="shared" si="75"/>
        <v>0</v>
      </c>
      <c r="P649" s="19" t="str">
        <f t="shared" si="76"/>
        <v/>
      </c>
      <c r="Q649" s="19" t="s">
        <v>685</v>
      </c>
    </row>
    <row r="650" spans="2:17" ht="30" customHeight="1" x14ac:dyDescent="0.25">
      <c r="B650" s="62" t="str">
        <f t="shared" si="70"/>
        <v/>
      </c>
      <c r="C650" s="42">
        <v>646</v>
      </c>
      <c r="D650" s="20"/>
      <c r="E650" s="58"/>
      <c r="F650" s="63" t="str">
        <f t="shared" si="71"/>
        <v/>
      </c>
      <c r="G650" s="66" t="str">
        <f>IF(D650="","",IFERROR('Prod 3'!H650/'Prod 3'!$H$3,0))</f>
        <v/>
      </c>
      <c r="H650" s="70" t="str">
        <f>IF(D650="","",'Prod 2'!K650)</f>
        <v/>
      </c>
      <c r="I650" s="77" t="str">
        <f t="shared" si="72"/>
        <v/>
      </c>
      <c r="J650" s="57"/>
      <c r="L650" s="19">
        <v>6.4600000000000004E-7</v>
      </c>
      <c r="M650" s="59">
        <f t="shared" si="73"/>
        <v>0</v>
      </c>
      <c r="N650" s="59">
        <f t="shared" si="74"/>
        <v>0</v>
      </c>
      <c r="O650" s="59">
        <f t="shared" si="75"/>
        <v>0</v>
      </c>
      <c r="P650" s="19" t="str">
        <f t="shared" si="76"/>
        <v/>
      </c>
      <c r="Q650" s="19" t="s">
        <v>686</v>
      </c>
    </row>
    <row r="651" spans="2:17" ht="30" customHeight="1" x14ac:dyDescent="0.25">
      <c r="B651" s="62" t="str">
        <f t="shared" si="70"/>
        <v/>
      </c>
      <c r="C651" s="42">
        <v>647</v>
      </c>
      <c r="D651" s="20"/>
      <c r="E651" s="58"/>
      <c r="F651" s="63" t="str">
        <f t="shared" si="71"/>
        <v/>
      </c>
      <c r="G651" s="66" t="str">
        <f>IF(D651="","",IFERROR('Prod 3'!H651/'Prod 3'!$H$3,0))</f>
        <v/>
      </c>
      <c r="H651" s="70" t="str">
        <f>IF(D651="","",'Prod 2'!K651)</f>
        <v/>
      </c>
      <c r="I651" s="77" t="str">
        <f t="shared" si="72"/>
        <v/>
      </c>
      <c r="J651" s="57"/>
      <c r="L651" s="19">
        <v>6.4700000000000001E-7</v>
      </c>
      <c r="M651" s="59">
        <f t="shared" si="73"/>
        <v>0</v>
      </c>
      <c r="N651" s="59">
        <f t="shared" si="74"/>
        <v>0</v>
      </c>
      <c r="O651" s="59">
        <f t="shared" si="75"/>
        <v>0</v>
      </c>
      <c r="P651" s="19" t="str">
        <f t="shared" si="76"/>
        <v/>
      </c>
      <c r="Q651" s="19" t="s">
        <v>687</v>
      </c>
    </row>
    <row r="652" spans="2:17" ht="30" customHeight="1" x14ac:dyDescent="0.25">
      <c r="B652" s="62" t="str">
        <f t="shared" si="70"/>
        <v/>
      </c>
      <c r="C652" s="42">
        <v>648</v>
      </c>
      <c r="D652" s="20"/>
      <c r="E652" s="58"/>
      <c r="F652" s="63" t="str">
        <f t="shared" si="71"/>
        <v/>
      </c>
      <c r="G652" s="66" t="str">
        <f>IF(D652="","",IFERROR('Prod 3'!H652/'Prod 3'!$H$3,0))</f>
        <v/>
      </c>
      <c r="H652" s="70" t="str">
        <f>IF(D652="","",'Prod 2'!K652)</f>
        <v/>
      </c>
      <c r="I652" s="77" t="str">
        <f t="shared" si="72"/>
        <v/>
      </c>
      <c r="J652" s="57"/>
      <c r="L652" s="19">
        <v>6.4799999999999998E-7</v>
      </c>
      <c r="M652" s="59">
        <f t="shared" si="73"/>
        <v>0</v>
      </c>
      <c r="N652" s="59">
        <f t="shared" si="74"/>
        <v>0</v>
      </c>
      <c r="O652" s="59">
        <f t="shared" si="75"/>
        <v>0</v>
      </c>
      <c r="P652" s="19" t="str">
        <f t="shared" si="76"/>
        <v/>
      </c>
      <c r="Q652" s="19" t="s">
        <v>688</v>
      </c>
    </row>
    <row r="653" spans="2:17" ht="30" customHeight="1" x14ac:dyDescent="0.25">
      <c r="B653" s="62" t="str">
        <f t="shared" si="70"/>
        <v/>
      </c>
      <c r="C653" s="42">
        <v>649</v>
      </c>
      <c r="D653" s="20"/>
      <c r="E653" s="58"/>
      <c r="F653" s="63" t="str">
        <f t="shared" si="71"/>
        <v/>
      </c>
      <c r="G653" s="66" t="str">
        <f>IF(D653="","",IFERROR('Prod 3'!H653/'Prod 3'!$H$3,0))</f>
        <v/>
      </c>
      <c r="H653" s="70" t="str">
        <f>IF(D653="","",'Prod 2'!K653)</f>
        <v/>
      </c>
      <c r="I653" s="77" t="str">
        <f t="shared" si="72"/>
        <v/>
      </c>
      <c r="J653" s="57"/>
      <c r="L653" s="19">
        <v>6.4899999999999995E-7</v>
      </c>
      <c r="M653" s="59">
        <f t="shared" si="73"/>
        <v>0</v>
      </c>
      <c r="N653" s="59">
        <f t="shared" si="74"/>
        <v>0</v>
      </c>
      <c r="O653" s="59">
        <f t="shared" si="75"/>
        <v>0</v>
      </c>
      <c r="P653" s="19" t="str">
        <f t="shared" si="76"/>
        <v/>
      </c>
      <c r="Q653" s="19" t="s">
        <v>689</v>
      </c>
    </row>
    <row r="654" spans="2:17" ht="30" customHeight="1" x14ac:dyDescent="0.25">
      <c r="B654" s="62" t="str">
        <f t="shared" si="70"/>
        <v/>
      </c>
      <c r="C654" s="42">
        <v>650</v>
      </c>
      <c r="D654" s="20"/>
      <c r="E654" s="58"/>
      <c r="F654" s="63" t="str">
        <f t="shared" si="71"/>
        <v/>
      </c>
      <c r="G654" s="66" t="str">
        <f>IF(D654="","",IFERROR('Prod 3'!H654/'Prod 3'!$H$3,0))</f>
        <v/>
      </c>
      <c r="H654" s="70" t="str">
        <f>IF(D654="","",'Prod 2'!K654)</f>
        <v/>
      </c>
      <c r="I654" s="77" t="str">
        <f t="shared" si="72"/>
        <v/>
      </c>
      <c r="J654" s="57"/>
      <c r="L654" s="19">
        <v>6.5000000000000002E-7</v>
      </c>
      <c r="M654" s="59">
        <f t="shared" si="73"/>
        <v>0</v>
      </c>
      <c r="N654" s="59">
        <f t="shared" si="74"/>
        <v>0</v>
      </c>
      <c r="O654" s="59">
        <f t="shared" si="75"/>
        <v>0</v>
      </c>
      <c r="P654" s="19" t="str">
        <f t="shared" si="76"/>
        <v/>
      </c>
      <c r="Q654" s="19" t="s">
        <v>690</v>
      </c>
    </row>
    <row r="655" spans="2:17" ht="30" customHeight="1" x14ac:dyDescent="0.25">
      <c r="B655" s="62" t="str">
        <f t="shared" si="70"/>
        <v/>
      </c>
      <c r="C655" s="42">
        <v>651</v>
      </c>
      <c r="D655" s="20"/>
      <c r="E655" s="58"/>
      <c r="F655" s="63" t="str">
        <f t="shared" si="71"/>
        <v/>
      </c>
      <c r="G655" s="66" t="str">
        <f>IF(D655="","",IFERROR('Prod 3'!H655/'Prod 3'!$H$3,0))</f>
        <v/>
      </c>
      <c r="H655" s="70" t="str">
        <f>IF(D655="","",'Prod 2'!K655)</f>
        <v/>
      </c>
      <c r="I655" s="77" t="str">
        <f t="shared" si="72"/>
        <v/>
      </c>
      <c r="J655" s="57"/>
      <c r="L655" s="19">
        <v>6.5099999999999999E-7</v>
      </c>
      <c r="M655" s="59">
        <f t="shared" si="73"/>
        <v>0</v>
      </c>
      <c r="N655" s="59">
        <f t="shared" si="74"/>
        <v>0</v>
      </c>
      <c r="O655" s="59">
        <f t="shared" si="75"/>
        <v>0</v>
      </c>
      <c r="P655" s="19" t="str">
        <f t="shared" si="76"/>
        <v/>
      </c>
      <c r="Q655" s="19" t="s">
        <v>691</v>
      </c>
    </row>
    <row r="656" spans="2:17" ht="30" customHeight="1" x14ac:dyDescent="0.25">
      <c r="B656" s="62" t="str">
        <f t="shared" si="70"/>
        <v/>
      </c>
      <c r="C656" s="42">
        <v>652</v>
      </c>
      <c r="D656" s="20"/>
      <c r="E656" s="58"/>
      <c r="F656" s="63" t="str">
        <f t="shared" si="71"/>
        <v/>
      </c>
      <c r="G656" s="66" t="str">
        <f>IF(D656="","",IFERROR('Prod 3'!H656/'Prod 3'!$H$3,0))</f>
        <v/>
      </c>
      <c r="H656" s="70" t="str">
        <f>IF(D656="","",'Prod 2'!K656)</f>
        <v/>
      </c>
      <c r="I656" s="77" t="str">
        <f t="shared" si="72"/>
        <v/>
      </c>
      <c r="J656" s="57"/>
      <c r="L656" s="19">
        <v>6.5199999999999996E-7</v>
      </c>
      <c r="M656" s="59">
        <f t="shared" si="73"/>
        <v>0</v>
      </c>
      <c r="N656" s="59">
        <f t="shared" si="74"/>
        <v>0</v>
      </c>
      <c r="O656" s="59">
        <f t="shared" si="75"/>
        <v>0</v>
      </c>
      <c r="P656" s="19" t="str">
        <f t="shared" si="76"/>
        <v/>
      </c>
      <c r="Q656" s="19" t="s">
        <v>692</v>
      </c>
    </row>
    <row r="657" spans="2:17" ht="30" customHeight="1" x14ac:dyDescent="0.25">
      <c r="B657" s="62" t="str">
        <f t="shared" si="70"/>
        <v/>
      </c>
      <c r="C657" s="42">
        <v>653</v>
      </c>
      <c r="D657" s="20"/>
      <c r="E657" s="58"/>
      <c r="F657" s="63" t="str">
        <f t="shared" si="71"/>
        <v/>
      </c>
      <c r="G657" s="66" t="str">
        <f>IF(D657="","",IFERROR('Prod 3'!H657/'Prod 3'!$H$3,0))</f>
        <v/>
      </c>
      <c r="H657" s="70" t="str">
        <f>IF(D657="","",'Prod 2'!K657)</f>
        <v/>
      </c>
      <c r="I657" s="77" t="str">
        <f t="shared" si="72"/>
        <v/>
      </c>
      <c r="J657" s="57"/>
      <c r="L657" s="19">
        <v>6.5300000000000004E-7</v>
      </c>
      <c r="M657" s="59">
        <f t="shared" si="73"/>
        <v>0</v>
      </c>
      <c r="N657" s="59">
        <f t="shared" si="74"/>
        <v>0</v>
      </c>
      <c r="O657" s="59">
        <f t="shared" si="75"/>
        <v>0</v>
      </c>
      <c r="P657" s="19" t="str">
        <f t="shared" si="76"/>
        <v/>
      </c>
      <c r="Q657" s="19" t="s">
        <v>693</v>
      </c>
    </row>
    <row r="658" spans="2:17" ht="30" customHeight="1" x14ac:dyDescent="0.25">
      <c r="B658" s="62" t="str">
        <f t="shared" si="70"/>
        <v/>
      </c>
      <c r="C658" s="42">
        <v>654</v>
      </c>
      <c r="D658" s="20"/>
      <c r="E658" s="58"/>
      <c r="F658" s="63" t="str">
        <f t="shared" si="71"/>
        <v/>
      </c>
      <c r="G658" s="66" t="str">
        <f>IF(D658="","",IFERROR('Prod 3'!H658/'Prod 3'!$H$3,0))</f>
        <v/>
      </c>
      <c r="H658" s="70" t="str">
        <f>IF(D658="","",'Prod 2'!K658)</f>
        <v/>
      </c>
      <c r="I658" s="77" t="str">
        <f t="shared" si="72"/>
        <v/>
      </c>
      <c r="J658" s="57"/>
      <c r="L658" s="19">
        <v>6.5400000000000001E-7</v>
      </c>
      <c r="M658" s="59">
        <f t="shared" si="73"/>
        <v>0</v>
      </c>
      <c r="N658" s="59">
        <f t="shared" si="74"/>
        <v>0</v>
      </c>
      <c r="O658" s="59">
        <f t="shared" si="75"/>
        <v>0</v>
      </c>
      <c r="P658" s="19" t="str">
        <f t="shared" si="76"/>
        <v/>
      </c>
      <c r="Q658" s="19" t="s">
        <v>694</v>
      </c>
    </row>
    <row r="659" spans="2:17" ht="30" customHeight="1" x14ac:dyDescent="0.25">
      <c r="B659" s="62" t="str">
        <f t="shared" si="70"/>
        <v/>
      </c>
      <c r="C659" s="42">
        <v>655</v>
      </c>
      <c r="D659" s="20"/>
      <c r="E659" s="58"/>
      <c r="F659" s="63" t="str">
        <f t="shared" si="71"/>
        <v/>
      </c>
      <c r="G659" s="66" t="str">
        <f>IF(D659="","",IFERROR('Prod 3'!H659/'Prod 3'!$H$3,0))</f>
        <v/>
      </c>
      <c r="H659" s="70" t="str">
        <f>IF(D659="","",'Prod 2'!K659)</f>
        <v/>
      </c>
      <c r="I659" s="77" t="str">
        <f t="shared" si="72"/>
        <v/>
      </c>
      <c r="J659" s="57"/>
      <c r="L659" s="19">
        <v>6.5499999999999998E-7</v>
      </c>
      <c r="M659" s="59">
        <f t="shared" si="73"/>
        <v>0</v>
      </c>
      <c r="N659" s="59">
        <f t="shared" si="74"/>
        <v>0</v>
      </c>
      <c r="O659" s="59">
        <f t="shared" si="75"/>
        <v>0</v>
      </c>
      <c r="P659" s="19" t="str">
        <f t="shared" si="76"/>
        <v/>
      </c>
      <c r="Q659" s="19" t="s">
        <v>695</v>
      </c>
    </row>
    <row r="660" spans="2:17" ht="30" customHeight="1" x14ac:dyDescent="0.25">
      <c r="B660" s="62" t="str">
        <f t="shared" si="70"/>
        <v/>
      </c>
      <c r="C660" s="42">
        <v>656</v>
      </c>
      <c r="D660" s="20"/>
      <c r="E660" s="58"/>
      <c r="F660" s="63" t="str">
        <f t="shared" si="71"/>
        <v/>
      </c>
      <c r="G660" s="66" t="str">
        <f>IF(D660="","",IFERROR('Prod 3'!H660/'Prod 3'!$H$3,0))</f>
        <v/>
      </c>
      <c r="H660" s="70" t="str">
        <f>IF(D660="","",'Prod 2'!K660)</f>
        <v/>
      </c>
      <c r="I660" s="77" t="str">
        <f t="shared" si="72"/>
        <v/>
      </c>
      <c r="J660" s="57"/>
      <c r="L660" s="19">
        <v>6.5600000000000005E-7</v>
      </c>
      <c r="M660" s="59">
        <f t="shared" si="73"/>
        <v>0</v>
      </c>
      <c r="N660" s="59">
        <f t="shared" si="74"/>
        <v>0</v>
      </c>
      <c r="O660" s="59">
        <f t="shared" si="75"/>
        <v>0</v>
      </c>
      <c r="P660" s="19" t="str">
        <f t="shared" si="76"/>
        <v/>
      </c>
      <c r="Q660" s="19" t="s">
        <v>696</v>
      </c>
    </row>
    <row r="661" spans="2:17" ht="30" customHeight="1" x14ac:dyDescent="0.25">
      <c r="B661" s="62" t="str">
        <f t="shared" si="70"/>
        <v/>
      </c>
      <c r="C661" s="42">
        <v>657</v>
      </c>
      <c r="D661" s="20"/>
      <c r="E661" s="58"/>
      <c r="F661" s="63" t="str">
        <f t="shared" si="71"/>
        <v/>
      </c>
      <c r="G661" s="66" t="str">
        <f>IF(D661="","",IFERROR('Prod 3'!H661/'Prod 3'!$H$3,0))</f>
        <v/>
      </c>
      <c r="H661" s="70" t="str">
        <f>IF(D661="","",'Prod 2'!K661)</f>
        <v/>
      </c>
      <c r="I661" s="77" t="str">
        <f t="shared" si="72"/>
        <v/>
      </c>
      <c r="J661" s="57"/>
      <c r="L661" s="19">
        <v>6.5700000000000002E-7</v>
      </c>
      <c r="M661" s="59">
        <f t="shared" si="73"/>
        <v>0</v>
      </c>
      <c r="N661" s="59">
        <f t="shared" si="74"/>
        <v>0</v>
      </c>
      <c r="O661" s="59">
        <f t="shared" si="75"/>
        <v>0</v>
      </c>
      <c r="P661" s="19" t="str">
        <f t="shared" si="76"/>
        <v/>
      </c>
      <c r="Q661" s="19" t="s">
        <v>697</v>
      </c>
    </row>
    <row r="662" spans="2:17" ht="30" customHeight="1" x14ac:dyDescent="0.25">
      <c r="B662" s="62" t="str">
        <f t="shared" si="70"/>
        <v/>
      </c>
      <c r="C662" s="42">
        <v>658</v>
      </c>
      <c r="D662" s="20"/>
      <c r="E662" s="58"/>
      <c r="F662" s="63" t="str">
        <f t="shared" si="71"/>
        <v/>
      </c>
      <c r="G662" s="66" t="str">
        <f>IF(D662="","",IFERROR('Prod 3'!H662/'Prod 3'!$H$3,0))</f>
        <v/>
      </c>
      <c r="H662" s="70" t="str">
        <f>IF(D662="","",'Prod 2'!K662)</f>
        <v/>
      </c>
      <c r="I662" s="77" t="str">
        <f t="shared" si="72"/>
        <v/>
      </c>
      <c r="J662" s="57"/>
      <c r="L662" s="19">
        <v>6.5799999999999999E-7</v>
      </c>
      <c r="M662" s="59">
        <f t="shared" si="73"/>
        <v>0</v>
      </c>
      <c r="N662" s="59">
        <f t="shared" si="74"/>
        <v>0</v>
      </c>
      <c r="O662" s="59">
        <f t="shared" si="75"/>
        <v>0</v>
      </c>
      <c r="P662" s="19" t="str">
        <f t="shared" si="76"/>
        <v/>
      </c>
      <c r="Q662" s="19" t="s">
        <v>698</v>
      </c>
    </row>
    <row r="663" spans="2:17" ht="30" customHeight="1" x14ac:dyDescent="0.25">
      <c r="B663" s="62" t="str">
        <f t="shared" si="70"/>
        <v/>
      </c>
      <c r="C663" s="42">
        <v>659</v>
      </c>
      <c r="D663" s="20"/>
      <c r="E663" s="58"/>
      <c r="F663" s="63" t="str">
        <f t="shared" si="71"/>
        <v/>
      </c>
      <c r="G663" s="66" t="str">
        <f>IF(D663="","",IFERROR('Prod 3'!H663/'Prod 3'!$H$3,0))</f>
        <v/>
      </c>
      <c r="H663" s="70" t="str">
        <f>IF(D663="","",'Prod 2'!K663)</f>
        <v/>
      </c>
      <c r="I663" s="77" t="str">
        <f t="shared" si="72"/>
        <v/>
      </c>
      <c r="J663" s="57"/>
      <c r="L663" s="19">
        <v>6.5899999999999996E-7</v>
      </c>
      <c r="M663" s="59">
        <f t="shared" si="73"/>
        <v>0</v>
      </c>
      <c r="N663" s="59">
        <f t="shared" si="74"/>
        <v>0</v>
      </c>
      <c r="O663" s="59">
        <f t="shared" si="75"/>
        <v>0</v>
      </c>
      <c r="P663" s="19" t="str">
        <f t="shared" si="76"/>
        <v/>
      </c>
      <c r="Q663" s="19" t="s">
        <v>699</v>
      </c>
    </row>
    <row r="664" spans="2:17" ht="30" customHeight="1" x14ac:dyDescent="0.25">
      <c r="B664" s="62" t="str">
        <f t="shared" si="70"/>
        <v/>
      </c>
      <c r="C664" s="42">
        <v>660</v>
      </c>
      <c r="D664" s="20"/>
      <c r="E664" s="58"/>
      <c r="F664" s="63" t="str">
        <f t="shared" si="71"/>
        <v/>
      </c>
      <c r="G664" s="66" t="str">
        <f>IF(D664="","",IFERROR('Prod 3'!H664/'Prod 3'!$H$3,0))</f>
        <v/>
      </c>
      <c r="H664" s="70" t="str">
        <f>IF(D664="","",'Prod 2'!K664)</f>
        <v/>
      </c>
      <c r="I664" s="77" t="str">
        <f t="shared" si="72"/>
        <v/>
      </c>
      <c r="J664" s="57"/>
      <c r="L664" s="19">
        <v>6.6000000000000003E-7</v>
      </c>
      <c r="M664" s="59">
        <f t="shared" si="73"/>
        <v>0</v>
      </c>
      <c r="N664" s="59">
        <f t="shared" si="74"/>
        <v>0</v>
      </c>
      <c r="O664" s="59">
        <f t="shared" si="75"/>
        <v>0</v>
      </c>
      <c r="P664" s="19" t="str">
        <f t="shared" si="76"/>
        <v/>
      </c>
      <c r="Q664" s="19" t="s">
        <v>700</v>
      </c>
    </row>
    <row r="665" spans="2:17" ht="30" customHeight="1" x14ac:dyDescent="0.25">
      <c r="B665" s="62" t="str">
        <f t="shared" si="70"/>
        <v/>
      </c>
      <c r="C665" s="42">
        <v>661</v>
      </c>
      <c r="D665" s="20"/>
      <c r="E665" s="58"/>
      <c r="F665" s="63" t="str">
        <f t="shared" si="71"/>
        <v/>
      </c>
      <c r="G665" s="66" t="str">
        <f>IF(D665="","",IFERROR('Prod 3'!H665/'Prod 3'!$H$3,0))</f>
        <v/>
      </c>
      <c r="H665" s="70" t="str">
        <f>IF(D665="","",'Prod 2'!K665)</f>
        <v/>
      </c>
      <c r="I665" s="77" t="str">
        <f t="shared" si="72"/>
        <v/>
      </c>
      <c r="J665" s="57"/>
      <c r="L665" s="19">
        <v>6.61E-7</v>
      </c>
      <c r="M665" s="59">
        <f t="shared" si="73"/>
        <v>0</v>
      </c>
      <c r="N665" s="59">
        <f t="shared" si="74"/>
        <v>0</v>
      </c>
      <c r="O665" s="59">
        <f t="shared" si="75"/>
        <v>0</v>
      </c>
      <c r="P665" s="19" t="str">
        <f t="shared" si="76"/>
        <v/>
      </c>
      <c r="Q665" s="19" t="s">
        <v>701</v>
      </c>
    </row>
    <row r="666" spans="2:17" ht="30" customHeight="1" x14ac:dyDescent="0.25">
      <c r="B666" s="62" t="str">
        <f t="shared" si="70"/>
        <v/>
      </c>
      <c r="C666" s="42">
        <v>662</v>
      </c>
      <c r="D666" s="20"/>
      <c r="E666" s="58"/>
      <c r="F666" s="63" t="str">
        <f t="shared" si="71"/>
        <v/>
      </c>
      <c r="G666" s="66" t="str">
        <f>IF(D666="","",IFERROR('Prod 3'!H666/'Prod 3'!$H$3,0))</f>
        <v/>
      </c>
      <c r="H666" s="70" t="str">
        <f>IF(D666="","",'Prod 2'!K666)</f>
        <v/>
      </c>
      <c r="I666" s="77" t="str">
        <f t="shared" si="72"/>
        <v/>
      </c>
      <c r="J666" s="57"/>
      <c r="L666" s="19">
        <v>6.6199999999999997E-7</v>
      </c>
      <c r="M666" s="59">
        <f t="shared" si="73"/>
        <v>0</v>
      </c>
      <c r="N666" s="59">
        <f t="shared" si="74"/>
        <v>0</v>
      </c>
      <c r="O666" s="59">
        <f t="shared" si="75"/>
        <v>0</v>
      </c>
      <c r="P666" s="19" t="str">
        <f t="shared" si="76"/>
        <v/>
      </c>
      <c r="Q666" s="19" t="s">
        <v>702</v>
      </c>
    </row>
    <row r="667" spans="2:17" ht="30" customHeight="1" x14ac:dyDescent="0.25">
      <c r="B667" s="62" t="str">
        <f t="shared" si="70"/>
        <v/>
      </c>
      <c r="C667" s="42">
        <v>663</v>
      </c>
      <c r="D667" s="20"/>
      <c r="E667" s="58"/>
      <c r="F667" s="63" t="str">
        <f t="shared" si="71"/>
        <v/>
      </c>
      <c r="G667" s="66" t="str">
        <f>IF(D667="","",IFERROR('Prod 3'!H667/'Prod 3'!$H$3,0))</f>
        <v/>
      </c>
      <c r="H667" s="70" t="str">
        <f>IF(D667="","",'Prod 2'!K667)</f>
        <v/>
      </c>
      <c r="I667" s="77" t="str">
        <f t="shared" si="72"/>
        <v/>
      </c>
      <c r="J667" s="57"/>
      <c r="L667" s="19">
        <v>6.6300000000000005E-7</v>
      </c>
      <c r="M667" s="59">
        <f t="shared" si="73"/>
        <v>0</v>
      </c>
      <c r="N667" s="59">
        <f t="shared" si="74"/>
        <v>0</v>
      </c>
      <c r="O667" s="59">
        <f t="shared" si="75"/>
        <v>0</v>
      </c>
      <c r="P667" s="19" t="str">
        <f t="shared" si="76"/>
        <v/>
      </c>
      <c r="Q667" s="19" t="s">
        <v>703</v>
      </c>
    </row>
    <row r="668" spans="2:17" ht="30" customHeight="1" x14ac:dyDescent="0.25">
      <c r="B668" s="62" t="str">
        <f t="shared" si="70"/>
        <v/>
      </c>
      <c r="C668" s="42">
        <v>664</v>
      </c>
      <c r="D668" s="20"/>
      <c r="E668" s="58"/>
      <c r="F668" s="63" t="str">
        <f t="shared" si="71"/>
        <v/>
      </c>
      <c r="G668" s="66" t="str">
        <f>IF(D668="","",IFERROR('Prod 3'!H668/'Prod 3'!$H$3,0))</f>
        <v/>
      </c>
      <c r="H668" s="70" t="str">
        <f>IF(D668="","",'Prod 2'!K668)</f>
        <v/>
      </c>
      <c r="I668" s="77" t="str">
        <f t="shared" si="72"/>
        <v/>
      </c>
      <c r="J668" s="57"/>
      <c r="L668" s="19">
        <v>6.6400000000000002E-7</v>
      </c>
      <c r="M668" s="59">
        <f t="shared" si="73"/>
        <v>0</v>
      </c>
      <c r="N668" s="59">
        <f t="shared" si="74"/>
        <v>0</v>
      </c>
      <c r="O668" s="59">
        <f t="shared" si="75"/>
        <v>0</v>
      </c>
      <c r="P668" s="19" t="str">
        <f t="shared" si="76"/>
        <v/>
      </c>
      <c r="Q668" s="19" t="s">
        <v>704</v>
      </c>
    </row>
    <row r="669" spans="2:17" ht="30" customHeight="1" x14ac:dyDescent="0.25">
      <c r="B669" s="62" t="str">
        <f t="shared" si="70"/>
        <v/>
      </c>
      <c r="C669" s="42">
        <v>665</v>
      </c>
      <c r="D669" s="20"/>
      <c r="E669" s="58"/>
      <c r="F669" s="63" t="str">
        <f t="shared" si="71"/>
        <v/>
      </c>
      <c r="G669" s="66" t="str">
        <f>IF(D669="","",IFERROR('Prod 3'!H669/'Prod 3'!$H$3,0))</f>
        <v/>
      </c>
      <c r="H669" s="70" t="str">
        <f>IF(D669="","",'Prod 2'!K669)</f>
        <v/>
      </c>
      <c r="I669" s="77" t="str">
        <f t="shared" si="72"/>
        <v/>
      </c>
      <c r="J669" s="57"/>
      <c r="L669" s="19">
        <v>6.6499999999999999E-7</v>
      </c>
      <c r="M669" s="59">
        <f t="shared" si="73"/>
        <v>0</v>
      </c>
      <c r="N669" s="59">
        <f t="shared" si="74"/>
        <v>0</v>
      </c>
      <c r="O669" s="59">
        <f t="shared" si="75"/>
        <v>0</v>
      </c>
      <c r="P669" s="19" t="str">
        <f t="shared" si="76"/>
        <v/>
      </c>
      <c r="Q669" s="19" t="s">
        <v>705</v>
      </c>
    </row>
    <row r="670" spans="2:17" ht="30" customHeight="1" x14ac:dyDescent="0.25">
      <c r="B670" s="62" t="str">
        <f t="shared" si="70"/>
        <v/>
      </c>
      <c r="C670" s="42">
        <v>666</v>
      </c>
      <c r="D670" s="20"/>
      <c r="E670" s="58"/>
      <c r="F670" s="63" t="str">
        <f t="shared" si="71"/>
        <v/>
      </c>
      <c r="G670" s="66" t="str">
        <f>IF(D670="","",IFERROR('Prod 3'!H670/'Prod 3'!$H$3,0))</f>
        <v/>
      </c>
      <c r="H670" s="70" t="str">
        <f>IF(D670="","",'Prod 2'!K670)</f>
        <v/>
      </c>
      <c r="I670" s="77" t="str">
        <f t="shared" si="72"/>
        <v/>
      </c>
      <c r="J670" s="57"/>
      <c r="L670" s="19">
        <v>6.6599999999999996E-7</v>
      </c>
      <c r="M670" s="59">
        <f t="shared" si="73"/>
        <v>0</v>
      </c>
      <c r="N670" s="59">
        <f t="shared" si="74"/>
        <v>0</v>
      </c>
      <c r="O670" s="59">
        <f t="shared" si="75"/>
        <v>0</v>
      </c>
      <c r="P670" s="19" t="str">
        <f t="shared" si="76"/>
        <v/>
      </c>
      <c r="Q670" s="19" t="s">
        <v>706</v>
      </c>
    </row>
    <row r="671" spans="2:17" ht="30" customHeight="1" x14ac:dyDescent="0.25">
      <c r="B671" s="62" t="str">
        <f t="shared" si="70"/>
        <v/>
      </c>
      <c r="C671" s="42">
        <v>667</v>
      </c>
      <c r="D671" s="20"/>
      <c r="E671" s="58"/>
      <c r="F671" s="63" t="str">
        <f t="shared" si="71"/>
        <v/>
      </c>
      <c r="G671" s="66" t="str">
        <f>IF(D671="","",IFERROR('Prod 3'!H671/'Prod 3'!$H$3,0))</f>
        <v/>
      </c>
      <c r="H671" s="70" t="str">
        <f>IF(D671="","",'Prod 2'!K671)</f>
        <v/>
      </c>
      <c r="I671" s="77" t="str">
        <f t="shared" si="72"/>
        <v/>
      </c>
      <c r="J671" s="57"/>
      <c r="L671" s="19">
        <v>6.6700000000000003E-7</v>
      </c>
      <c r="M671" s="59">
        <f t="shared" si="73"/>
        <v>0</v>
      </c>
      <c r="N671" s="59">
        <f t="shared" si="74"/>
        <v>0</v>
      </c>
      <c r="O671" s="59">
        <f t="shared" si="75"/>
        <v>0</v>
      </c>
      <c r="P671" s="19" t="str">
        <f t="shared" si="76"/>
        <v/>
      </c>
      <c r="Q671" s="19" t="s">
        <v>707</v>
      </c>
    </row>
    <row r="672" spans="2:17" ht="30" customHeight="1" x14ac:dyDescent="0.25">
      <c r="B672" s="62" t="str">
        <f t="shared" si="70"/>
        <v/>
      </c>
      <c r="C672" s="42">
        <v>668</v>
      </c>
      <c r="D672" s="20"/>
      <c r="E672" s="58"/>
      <c r="F672" s="63" t="str">
        <f t="shared" si="71"/>
        <v/>
      </c>
      <c r="G672" s="66" t="str">
        <f>IF(D672="","",IFERROR('Prod 3'!H672/'Prod 3'!$H$3,0))</f>
        <v/>
      </c>
      <c r="H672" s="70" t="str">
        <f>IF(D672="","",'Prod 2'!K672)</f>
        <v/>
      </c>
      <c r="I672" s="77" t="str">
        <f t="shared" si="72"/>
        <v/>
      </c>
      <c r="J672" s="57"/>
      <c r="L672" s="19">
        <v>6.68E-7</v>
      </c>
      <c r="M672" s="59">
        <f t="shared" si="73"/>
        <v>0</v>
      </c>
      <c r="N672" s="59">
        <f t="shared" si="74"/>
        <v>0</v>
      </c>
      <c r="O672" s="59">
        <f t="shared" si="75"/>
        <v>0</v>
      </c>
      <c r="P672" s="19" t="str">
        <f t="shared" si="76"/>
        <v/>
      </c>
      <c r="Q672" s="19" t="s">
        <v>708</v>
      </c>
    </row>
    <row r="673" spans="2:17" ht="30" customHeight="1" x14ac:dyDescent="0.25">
      <c r="B673" s="62" t="str">
        <f t="shared" si="70"/>
        <v/>
      </c>
      <c r="C673" s="42">
        <v>669</v>
      </c>
      <c r="D673" s="20"/>
      <c r="E673" s="58"/>
      <c r="F673" s="63" t="str">
        <f t="shared" si="71"/>
        <v/>
      </c>
      <c r="G673" s="66" t="str">
        <f>IF(D673="","",IFERROR('Prod 3'!H673/'Prod 3'!$H$3,0))</f>
        <v/>
      </c>
      <c r="H673" s="70" t="str">
        <f>IF(D673="","",'Prod 2'!K673)</f>
        <v/>
      </c>
      <c r="I673" s="77" t="str">
        <f t="shared" si="72"/>
        <v/>
      </c>
      <c r="J673" s="57"/>
      <c r="L673" s="19">
        <v>6.6899999999999997E-7</v>
      </c>
      <c r="M673" s="59">
        <f t="shared" si="73"/>
        <v>0</v>
      </c>
      <c r="N673" s="59">
        <f t="shared" si="74"/>
        <v>0</v>
      </c>
      <c r="O673" s="59">
        <f t="shared" si="75"/>
        <v>0</v>
      </c>
      <c r="P673" s="19" t="str">
        <f t="shared" si="76"/>
        <v/>
      </c>
      <c r="Q673" s="19" t="s">
        <v>709</v>
      </c>
    </row>
    <row r="674" spans="2:17" ht="30" customHeight="1" x14ac:dyDescent="0.25">
      <c r="B674" s="62" t="str">
        <f t="shared" si="70"/>
        <v/>
      </c>
      <c r="C674" s="42">
        <v>670</v>
      </c>
      <c r="D674" s="20"/>
      <c r="E674" s="58"/>
      <c r="F674" s="63" t="str">
        <f t="shared" si="71"/>
        <v/>
      </c>
      <c r="G674" s="66" t="str">
        <f>IF(D674="","",IFERROR('Prod 3'!H674/'Prod 3'!$H$3,0))</f>
        <v/>
      </c>
      <c r="H674" s="70" t="str">
        <f>IF(D674="","",'Prod 2'!K674)</f>
        <v/>
      </c>
      <c r="I674" s="77" t="str">
        <f t="shared" si="72"/>
        <v/>
      </c>
      <c r="J674" s="57"/>
      <c r="L674" s="19">
        <v>6.7000000000000004E-7</v>
      </c>
      <c r="M674" s="59">
        <f t="shared" si="73"/>
        <v>0</v>
      </c>
      <c r="N674" s="59">
        <f t="shared" si="74"/>
        <v>0</v>
      </c>
      <c r="O674" s="59">
        <f t="shared" si="75"/>
        <v>0</v>
      </c>
      <c r="P674" s="19" t="str">
        <f t="shared" si="76"/>
        <v/>
      </c>
      <c r="Q674" s="19" t="s">
        <v>710</v>
      </c>
    </row>
    <row r="675" spans="2:17" ht="30" customHeight="1" x14ac:dyDescent="0.25">
      <c r="B675" s="62" t="str">
        <f t="shared" si="70"/>
        <v/>
      </c>
      <c r="C675" s="42">
        <v>671</v>
      </c>
      <c r="D675" s="20"/>
      <c r="E675" s="58"/>
      <c r="F675" s="63" t="str">
        <f t="shared" si="71"/>
        <v/>
      </c>
      <c r="G675" s="66" t="str">
        <f>IF(D675="","",IFERROR('Prod 3'!H675/'Prod 3'!$H$3,0))</f>
        <v/>
      </c>
      <c r="H675" s="70" t="str">
        <f>IF(D675="","",'Prod 2'!K675)</f>
        <v/>
      </c>
      <c r="I675" s="77" t="str">
        <f t="shared" si="72"/>
        <v/>
      </c>
      <c r="J675" s="57"/>
      <c r="L675" s="19">
        <v>6.7100000000000001E-7</v>
      </c>
      <c r="M675" s="59">
        <f t="shared" si="73"/>
        <v>0</v>
      </c>
      <c r="N675" s="59">
        <f t="shared" si="74"/>
        <v>0</v>
      </c>
      <c r="O675" s="59">
        <f t="shared" si="75"/>
        <v>0</v>
      </c>
      <c r="P675" s="19" t="str">
        <f t="shared" si="76"/>
        <v/>
      </c>
      <c r="Q675" s="19" t="s">
        <v>711</v>
      </c>
    </row>
    <row r="676" spans="2:17" ht="30" customHeight="1" x14ac:dyDescent="0.25">
      <c r="B676" s="62" t="str">
        <f t="shared" si="70"/>
        <v/>
      </c>
      <c r="C676" s="42">
        <v>672</v>
      </c>
      <c r="D676" s="20"/>
      <c r="E676" s="58"/>
      <c r="F676" s="63" t="str">
        <f t="shared" si="71"/>
        <v/>
      </c>
      <c r="G676" s="66" t="str">
        <f>IF(D676="","",IFERROR('Prod 3'!H676/'Prod 3'!$H$3,0))</f>
        <v/>
      </c>
      <c r="H676" s="70" t="str">
        <f>IF(D676="","",'Prod 2'!K676)</f>
        <v/>
      </c>
      <c r="I676" s="77" t="str">
        <f t="shared" si="72"/>
        <v/>
      </c>
      <c r="J676" s="57"/>
      <c r="L676" s="19">
        <v>6.7199999999999998E-7</v>
      </c>
      <c r="M676" s="59">
        <f t="shared" si="73"/>
        <v>0</v>
      </c>
      <c r="N676" s="59">
        <f t="shared" si="74"/>
        <v>0</v>
      </c>
      <c r="O676" s="59">
        <f t="shared" si="75"/>
        <v>0</v>
      </c>
      <c r="P676" s="19" t="str">
        <f t="shared" si="76"/>
        <v/>
      </c>
      <c r="Q676" s="19" t="s">
        <v>712</v>
      </c>
    </row>
    <row r="677" spans="2:17" ht="30" customHeight="1" x14ac:dyDescent="0.25">
      <c r="B677" s="62" t="str">
        <f t="shared" si="70"/>
        <v/>
      </c>
      <c r="C677" s="42">
        <v>673</v>
      </c>
      <c r="D677" s="20"/>
      <c r="E677" s="58"/>
      <c r="F677" s="63" t="str">
        <f t="shared" si="71"/>
        <v/>
      </c>
      <c r="G677" s="66" t="str">
        <f>IF(D677="","",IFERROR('Prod 3'!H677/'Prod 3'!$H$3,0))</f>
        <v/>
      </c>
      <c r="H677" s="70" t="str">
        <f>IF(D677="","",'Prod 2'!K677)</f>
        <v/>
      </c>
      <c r="I677" s="77" t="str">
        <f t="shared" si="72"/>
        <v/>
      </c>
      <c r="J677" s="57"/>
      <c r="L677" s="19">
        <v>6.7299999999999995E-7</v>
      </c>
      <c r="M677" s="59">
        <f t="shared" si="73"/>
        <v>0</v>
      </c>
      <c r="N677" s="59">
        <f t="shared" si="74"/>
        <v>0</v>
      </c>
      <c r="O677" s="59">
        <f t="shared" si="75"/>
        <v>0</v>
      </c>
      <c r="P677" s="19" t="str">
        <f t="shared" si="76"/>
        <v/>
      </c>
      <c r="Q677" s="19" t="s">
        <v>713</v>
      </c>
    </row>
    <row r="678" spans="2:17" ht="30" customHeight="1" x14ac:dyDescent="0.25">
      <c r="B678" s="62" t="str">
        <f t="shared" si="70"/>
        <v/>
      </c>
      <c r="C678" s="42">
        <v>674</v>
      </c>
      <c r="D678" s="20"/>
      <c r="E678" s="58"/>
      <c r="F678" s="63" t="str">
        <f t="shared" si="71"/>
        <v/>
      </c>
      <c r="G678" s="66" t="str">
        <f>IF(D678="","",IFERROR('Prod 3'!H678/'Prod 3'!$H$3,0))</f>
        <v/>
      </c>
      <c r="H678" s="70" t="str">
        <f>IF(D678="","",'Prod 2'!K678)</f>
        <v/>
      </c>
      <c r="I678" s="77" t="str">
        <f t="shared" si="72"/>
        <v/>
      </c>
      <c r="J678" s="57"/>
      <c r="L678" s="19">
        <v>6.7400000000000003E-7</v>
      </c>
      <c r="M678" s="59">
        <f t="shared" si="73"/>
        <v>0</v>
      </c>
      <c r="N678" s="59">
        <f t="shared" si="74"/>
        <v>0</v>
      </c>
      <c r="O678" s="59">
        <f t="shared" si="75"/>
        <v>0</v>
      </c>
      <c r="P678" s="19" t="str">
        <f t="shared" si="76"/>
        <v/>
      </c>
      <c r="Q678" s="19" t="s">
        <v>714</v>
      </c>
    </row>
    <row r="679" spans="2:17" ht="30" customHeight="1" x14ac:dyDescent="0.25">
      <c r="B679" s="62" t="str">
        <f t="shared" si="70"/>
        <v/>
      </c>
      <c r="C679" s="42">
        <v>675</v>
      </c>
      <c r="D679" s="20"/>
      <c r="E679" s="58"/>
      <c r="F679" s="63" t="str">
        <f t="shared" si="71"/>
        <v/>
      </c>
      <c r="G679" s="66" t="str">
        <f>IF(D679="","",IFERROR('Prod 3'!H679/'Prod 3'!$H$3,0))</f>
        <v/>
      </c>
      <c r="H679" s="70" t="str">
        <f>IF(D679="","",'Prod 2'!K679)</f>
        <v/>
      </c>
      <c r="I679" s="77" t="str">
        <f t="shared" si="72"/>
        <v/>
      </c>
      <c r="J679" s="57"/>
      <c r="L679" s="19">
        <v>6.75E-7</v>
      </c>
      <c r="M679" s="59">
        <f t="shared" si="73"/>
        <v>0</v>
      </c>
      <c r="N679" s="59">
        <f t="shared" si="74"/>
        <v>0</v>
      </c>
      <c r="O679" s="59">
        <f t="shared" si="75"/>
        <v>0</v>
      </c>
      <c r="P679" s="19" t="str">
        <f t="shared" si="76"/>
        <v/>
      </c>
      <c r="Q679" s="19" t="s">
        <v>715</v>
      </c>
    </row>
    <row r="680" spans="2:17" ht="30" customHeight="1" x14ac:dyDescent="0.25">
      <c r="B680" s="62" t="str">
        <f t="shared" si="70"/>
        <v/>
      </c>
      <c r="C680" s="42">
        <v>676</v>
      </c>
      <c r="D680" s="20"/>
      <c r="E680" s="58"/>
      <c r="F680" s="63" t="str">
        <f t="shared" si="71"/>
        <v/>
      </c>
      <c r="G680" s="66" t="str">
        <f>IF(D680="","",IFERROR('Prod 3'!H680/'Prod 3'!$H$3,0))</f>
        <v/>
      </c>
      <c r="H680" s="70" t="str">
        <f>IF(D680="","",'Prod 2'!K680)</f>
        <v/>
      </c>
      <c r="I680" s="77" t="str">
        <f t="shared" si="72"/>
        <v/>
      </c>
      <c r="J680" s="57"/>
      <c r="L680" s="19">
        <v>6.7599999999999997E-7</v>
      </c>
      <c r="M680" s="59">
        <f t="shared" si="73"/>
        <v>0</v>
      </c>
      <c r="N680" s="59">
        <f t="shared" si="74"/>
        <v>0</v>
      </c>
      <c r="O680" s="59">
        <f t="shared" si="75"/>
        <v>0</v>
      </c>
      <c r="P680" s="19" t="str">
        <f t="shared" si="76"/>
        <v/>
      </c>
      <c r="Q680" s="19" t="s">
        <v>716</v>
      </c>
    </row>
    <row r="681" spans="2:17" ht="30" customHeight="1" x14ac:dyDescent="0.25">
      <c r="B681" s="62" t="str">
        <f t="shared" si="70"/>
        <v/>
      </c>
      <c r="C681" s="42">
        <v>677</v>
      </c>
      <c r="D681" s="20"/>
      <c r="E681" s="58"/>
      <c r="F681" s="63" t="str">
        <f t="shared" si="71"/>
        <v/>
      </c>
      <c r="G681" s="66" t="str">
        <f>IF(D681="","",IFERROR('Prod 3'!H681/'Prod 3'!$H$3,0))</f>
        <v/>
      </c>
      <c r="H681" s="70" t="str">
        <f>IF(D681="","",'Prod 2'!K681)</f>
        <v/>
      </c>
      <c r="I681" s="77" t="str">
        <f t="shared" si="72"/>
        <v/>
      </c>
      <c r="J681" s="57"/>
      <c r="L681" s="19">
        <v>6.7700000000000004E-7</v>
      </c>
      <c r="M681" s="59">
        <f t="shared" si="73"/>
        <v>0</v>
      </c>
      <c r="N681" s="59">
        <f t="shared" si="74"/>
        <v>0</v>
      </c>
      <c r="O681" s="59">
        <f t="shared" si="75"/>
        <v>0</v>
      </c>
      <c r="P681" s="19" t="str">
        <f t="shared" si="76"/>
        <v/>
      </c>
      <c r="Q681" s="19" t="s">
        <v>717</v>
      </c>
    </row>
    <row r="682" spans="2:17" ht="30" customHeight="1" x14ac:dyDescent="0.25">
      <c r="B682" s="62" t="str">
        <f t="shared" si="70"/>
        <v/>
      </c>
      <c r="C682" s="42">
        <v>678</v>
      </c>
      <c r="D682" s="20"/>
      <c r="E682" s="58"/>
      <c r="F682" s="63" t="str">
        <f t="shared" si="71"/>
        <v/>
      </c>
      <c r="G682" s="66" t="str">
        <f>IF(D682="","",IFERROR('Prod 3'!H682/'Prod 3'!$H$3,0))</f>
        <v/>
      </c>
      <c r="H682" s="70" t="str">
        <f>IF(D682="","",'Prod 2'!K682)</f>
        <v/>
      </c>
      <c r="I682" s="77" t="str">
        <f t="shared" si="72"/>
        <v/>
      </c>
      <c r="J682" s="57"/>
      <c r="L682" s="19">
        <v>6.7800000000000001E-7</v>
      </c>
      <c r="M682" s="59">
        <f t="shared" si="73"/>
        <v>0</v>
      </c>
      <c r="N682" s="59">
        <f t="shared" si="74"/>
        <v>0</v>
      </c>
      <c r="O682" s="59">
        <f t="shared" si="75"/>
        <v>0</v>
      </c>
      <c r="P682" s="19" t="str">
        <f t="shared" si="76"/>
        <v/>
      </c>
      <c r="Q682" s="19" t="s">
        <v>718</v>
      </c>
    </row>
    <row r="683" spans="2:17" ht="30" customHeight="1" x14ac:dyDescent="0.25">
      <c r="B683" s="62" t="str">
        <f t="shared" si="70"/>
        <v/>
      </c>
      <c r="C683" s="42">
        <v>679</v>
      </c>
      <c r="D683" s="20"/>
      <c r="E683" s="58"/>
      <c r="F683" s="63" t="str">
        <f t="shared" si="71"/>
        <v/>
      </c>
      <c r="G683" s="66" t="str">
        <f>IF(D683="","",IFERROR('Prod 3'!H683/'Prod 3'!$H$3,0))</f>
        <v/>
      </c>
      <c r="H683" s="70" t="str">
        <f>IF(D683="","",'Prod 2'!K683)</f>
        <v/>
      </c>
      <c r="I683" s="77" t="str">
        <f t="shared" si="72"/>
        <v/>
      </c>
      <c r="J683" s="57"/>
      <c r="L683" s="19">
        <v>6.7899999999999998E-7</v>
      </c>
      <c r="M683" s="59">
        <f t="shared" si="73"/>
        <v>0</v>
      </c>
      <c r="N683" s="59">
        <f t="shared" si="74"/>
        <v>0</v>
      </c>
      <c r="O683" s="59">
        <f t="shared" si="75"/>
        <v>0</v>
      </c>
      <c r="P683" s="19" t="str">
        <f t="shared" si="76"/>
        <v/>
      </c>
      <c r="Q683" s="19" t="s">
        <v>719</v>
      </c>
    </row>
    <row r="684" spans="2:17" ht="30" customHeight="1" x14ac:dyDescent="0.25">
      <c r="B684" s="62" t="str">
        <f t="shared" si="70"/>
        <v/>
      </c>
      <c r="C684" s="42">
        <v>680</v>
      </c>
      <c r="D684" s="20"/>
      <c r="E684" s="58"/>
      <c r="F684" s="63" t="str">
        <f t="shared" si="71"/>
        <v/>
      </c>
      <c r="G684" s="66" t="str">
        <f>IF(D684="","",IFERROR('Prod 3'!H684/'Prod 3'!$H$3,0))</f>
        <v/>
      </c>
      <c r="H684" s="70" t="str">
        <f>IF(D684="","",'Prod 2'!K684)</f>
        <v/>
      </c>
      <c r="I684" s="77" t="str">
        <f t="shared" si="72"/>
        <v/>
      </c>
      <c r="J684" s="57"/>
      <c r="L684" s="19">
        <v>6.7999999999999995E-7</v>
      </c>
      <c r="M684" s="59">
        <f t="shared" si="73"/>
        <v>0</v>
      </c>
      <c r="N684" s="59">
        <f t="shared" si="74"/>
        <v>0</v>
      </c>
      <c r="O684" s="59">
        <f t="shared" si="75"/>
        <v>0</v>
      </c>
      <c r="P684" s="19" t="str">
        <f t="shared" si="76"/>
        <v/>
      </c>
      <c r="Q684" s="19" t="s">
        <v>720</v>
      </c>
    </row>
    <row r="685" spans="2:17" ht="30" customHeight="1" x14ac:dyDescent="0.25">
      <c r="B685" s="62" t="str">
        <f t="shared" si="70"/>
        <v/>
      </c>
      <c r="C685" s="42">
        <v>681</v>
      </c>
      <c r="D685" s="20"/>
      <c r="E685" s="58"/>
      <c r="F685" s="63" t="str">
        <f t="shared" si="71"/>
        <v/>
      </c>
      <c r="G685" s="66" t="str">
        <f>IF(D685="","",IFERROR('Prod 3'!H685/'Prod 3'!$H$3,0))</f>
        <v/>
      </c>
      <c r="H685" s="70" t="str">
        <f>IF(D685="","",'Prod 2'!K685)</f>
        <v/>
      </c>
      <c r="I685" s="77" t="str">
        <f t="shared" si="72"/>
        <v/>
      </c>
      <c r="J685" s="57"/>
      <c r="L685" s="19">
        <v>6.8100000000000002E-7</v>
      </c>
      <c r="M685" s="59">
        <f t="shared" si="73"/>
        <v>0</v>
      </c>
      <c r="N685" s="59">
        <f t="shared" si="74"/>
        <v>0</v>
      </c>
      <c r="O685" s="59">
        <f t="shared" si="75"/>
        <v>0</v>
      </c>
      <c r="P685" s="19" t="str">
        <f t="shared" si="76"/>
        <v/>
      </c>
      <c r="Q685" s="19" t="s">
        <v>721</v>
      </c>
    </row>
    <row r="686" spans="2:17" ht="30" customHeight="1" x14ac:dyDescent="0.25">
      <c r="B686" s="62" t="str">
        <f t="shared" si="70"/>
        <v/>
      </c>
      <c r="C686" s="42">
        <v>682</v>
      </c>
      <c r="D686" s="20"/>
      <c r="E686" s="58"/>
      <c r="F686" s="63" t="str">
        <f t="shared" si="71"/>
        <v/>
      </c>
      <c r="G686" s="66" t="str">
        <f>IF(D686="","",IFERROR('Prod 3'!H686/'Prod 3'!$H$3,0))</f>
        <v/>
      </c>
      <c r="H686" s="70" t="str">
        <f>IF(D686="","",'Prod 2'!K686)</f>
        <v/>
      </c>
      <c r="I686" s="77" t="str">
        <f t="shared" si="72"/>
        <v/>
      </c>
      <c r="J686" s="57"/>
      <c r="L686" s="19">
        <v>6.8199999999999999E-7</v>
      </c>
      <c r="M686" s="59">
        <f t="shared" si="73"/>
        <v>0</v>
      </c>
      <c r="N686" s="59">
        <f t="shared" si="74"/>
        <v>0</v>
      </c>
      <c r="O686" s="59">
        <f t="shared" si="75"/>
        <v>0</v>
      </c>
      <c r="P686" s="19" t="str">
        <f t="shared" si="76"/>
        <v/>
      </c>
      <c r="Q686" s="19" t="s">
        <v>722</v>
      </c>
    </row>
    <row r="687" spans="2:17" ht="30" customHeight="1" x14ac:dyDescent="0.25">
      <c r="B687" s="62" t="str">
        <f t="shared" si="70"/>
        <v/>
      </c>
      <c r="C687" s="42">
        <v>683</v>
      </c>
      <c r="D687" s="20"/>
      <c r="E687" s="58"/>
      <c r="F687" s="63" t="str">
        <f t="shared" si="71"/>
        <v/>
      </c>
      <c r="G687" s="66" t="str">
        <f>IF(D687="","",IFERROR('Prod 3'!H687/'Prod 3'!$H$3,0))</f>
        <v/>
      </c>
      <c r="H687" s="70" t="str">
        <f>IF(D687="","",'Prod 2'!K687)</f>
        <v/>
      </c>
      <c r="I687" s="77" t="str">
        <f t="shared" si="72"/>
        <v/>
      </c>
      <c r="J687" s="57"/>
      <c r="L687" s="19">
        <v>6.8299999999999996E-7</v>
      </c>
      <c r="M687" s="59">
        <f t="shared" si="73"/>
        <v>0</v>
      </c>
      <c r="N687" s="59">
        <f t="shared" si="74"/>
        <v>0</v>
      </c>
      <c r="O687" s="59">
        <f t="shared" si="75"/>
        <v>0</v>
      </c>
      <c r="P687" s="19" t="str">
        <f t="shared" si="76"/>
        <v/>
      </c>
      <c r="Q687" s="19" t="s">
        <v>723</v>
      </c>
    </row>
    <row r="688" spans="2:17" ht="30" customHeight="1" x14ac:dyDescent="0.25">
      <c r="B688" s="62" t="str">
        <f t="shared" si="70"/>
        <v/>
      </c>
      <c r="C688" s="42">
        <v>684</v>
      </c>
      <c r="D688" s="20"/>
      <c r="E688" s="58"/>
      <c r="F688" s="63" t="str">
        <f t="shared" si="71"/>
        <v/>
      </c>
      <c r="G688" s="66" t="str">
        <f>IF(D688="","",IFERROR('Prod 3'!H688/'Prod 3'!$H$3,0))</f>
        <v/>
      </c>
      <c r="H688" s="70" t="str">
        <f>IF(D688="","",'Prod 2'!K688)</f>
        <v/>
      </c>
      <c r="I688" s="77" t="str">
        <f t="shared" si="72"/>
        <v/>
      </c>
      <c r="J688" s="57"/>
      <c r="L688" s="19">
        <v>6.8400000000000004E-7</v>
      </c>
      <c r="M688" s="59">
        <f t="shared" si="73"/>
        <v>0</v>
      </c>
      <c r="N688" s="59">
        <f t="shared" si="74"/>
        <v>0</v>
      </c>
      <c r="O688" s="59">
        <f t="shared" si="75"/>
        <v>0</v>
      </c>
      <c r="P688" s="19" t="str">
        <f t="shared" si="76"/>
        <v/>
      </c>
      <c r="Q688" s="19" t="s">
        <v>724</v>
      </c>
    </row>
    <row r="689" spans="2:17" ht="30" customHeight="1" x14ac:dyDescent="0.25">
      <c r="B689" s="62" t="str">
        <f t="shared" si="70"/>
        <v/>
      </c>
      <c r="C689" s="42">
        <v>685</v>
      </c>
      <c r="D689" s="20"/>
      <c r="E689" s="58"/>
      <c r="F689" s="63" t="str">
        <f t="shared" si="71"/>
        <v/>
      </c>
      <c r="G689" s="66" t="str">
        <f>IF(D689="","",IFERROR('Prod 3'!H689/'Prod 3'!$H$3,0))</f>
        <v/>
      </c>
      <c r="H689" s="70" t="str">
        <f>IF(D689="","",'Prod 2'!K689)</f>
        <v/>
      </c>
      <c r="I689" s="77" t="str">
        <f t="shared" si="72"/>
        <v/>
      </c>
      <c r="J689" s="57"/>
      <c r="L689" s="19">
        <v>6.8500000000000001E-7</v>
      </c>
      <c r="M689" s="59">
        <f t="shared" si="73"/>
        <v>0</v>
      </c>
      <c r="N689" s="59">
        <f t="shared" si="74"/>
        <v>0</v>
      </c>
      <c r="O689" s="59">
        <f t="shared" si="75"/>
        <v>0</v>
      </c>
      <c r="P689" s="19" t="str">
        <f t="shared" si="76"/>
        <v/>
      </c>
      <c r="Q689" s="19" t="s">
        <v>725</v>
      </c>
    </row>
    <row r="690" spans="2:17" ht="30" customHeight="1" x14ac:dyDescent="0.25">
      <c r="B690" s="62" t="str">
        <f t="shared" si="70"/>
        <v/>
      </c>
      <c r="C690" s="42">
        <v>686</v>
      </c>
      <c r="D690" s="20"/>
      <c r="E690" s="58"/>
      <c r="F690" s="63" t="str">
        <f t="shared" si="71"/>
        <v/>
      </c>
      <c r="G690" s="66" t="str">
        <f>IF(D690="","",IFERROR('Prod 3'!H690/'Prod 3'!$H$3,0))</f>
        <v/>
      </c>
      <c r="H690" s="70" t="str">
        <f>IF(D690="","",'Prod 2'!K690)</f>
        <v/>
      </c>
      <c r="I690" s="77" t="str">
        <f t="shared" si="72"/>
        <v/>
      </c>
      <c r="J690" s="57"/>
      <c r="L690" s="19">
        <v>6.8599999999999998E-7</v>
      </c>
      <c r="M690" s="59">
        <f t="shared" si="73"/>
        <v>0</v>
      </c>
      <c r="N690" s="59">
        <f t="shared" si="74"/>
        <v>0</v>
      </c>
      <c r="O690" s="59">
        <f t="shared" si="75"/>
        <v>0</v>
      </c>
      <c r="P690" s="19" t="str">
        <f t="shared" si="76"/>
        <v/>
      </c>
      <c r="Q690" s="19" t="s">
        <v>726</v>
      </c>
    </row>
    <row r="691" spans="2:17" ht="30" customHeight="1" x14ac:dyDescent="0.25">
      <c r="B691" s="62" t="str">
        <f t="shared" si="70"/>
        <v/>
      </c>
      <c r="C691" s="42">
        <v>687</v>
      </c>
      <c r="D691" s="20"/>
      <c r="E691" s="58"/>
      <c r="F691" s="63" t="str">
        <f t="shared" si="71"/>
        <v/>
      </c>
      <c r="G691" s="66" t="str">
        <f>IF(D691="","",IFERROR('Prod 3'!H691/'Prod 3'!$H$3,0))</f>
        <v/>
      </c>
      <c r="H691" s="70" t="str">
        <f>IF(D691="","",'Prod 2'!K691)</f>
        <v/>
      </c>
      <c r="I691" s="77" t="str">
        <f t="shared" si="72"/>
        <v/>
      </c>
      <c r="J691" s="57"/>
      <c r="L691" s="19">
        <v>6.8700000000000005E-7</v>
      </c>
      <c r="M691" s="59">
        <f t="shared" si="73"/>
        <v>0</v>
      </c>
      <c r="N691" s="59">
        <f t="shared" si="74"/>
        <v>0</v>
      </c>
      <c r="O691" s="59">
        <f t="shared" si="75"/>
        <v>0</v>
      </c>
      <c r="P691" s="19" t="str">
        <f t="shared" si="76"/>
        <v/>
      </c>
      <c r="Q691" s="19" t="s">
        <v>727</v>
      </c>
    </row>
    <row r="692" spans="2:17" ht="30" customHeight="1" x14ac:dyDescent="0.25">
      <c r="B692" s="62" t="str">
        <f t="shared" si="70"/>
        <v/>
      </c>
      <c r="C692" s="42">
        <v>688</v>
      </c>
      <c r="D692" s="20"/>
      <c r="E692" s="58"/>
      <c r="F692" s="63" t="str">
        <f t="shared" si="71"/>
        <v/>
      </c>
      <c r="G692" s="66" t="str">
        <f>IF(D692="","",IFERROR('Prod 3'!H692/'Prod 3'!$H$3,0))</f>
        <v/>
      </c>
      <c r="H692" s="70" t="str">
        <f>IF(D692="","",'Prod 2'!K692)</f>
        <v/>
      </c>
      <c r="I692" s="77" t="str">
        <f t="shared" si="72"/>
        <v/>
      </c>
      <c r="J692" s="57"/>
      <c r="L692" s="19">
        <v>6.8800000000000002E-7</v>
      </c>
      <c r="M692" s="59">
        <f t="shared" si="73"/>
        <v>0</v>
      </c>
      <c r="N692" s="59">
        <f t="shared" si="74"/>
        <v>0</v>
      </c>
      <c r="O692" s="59">
        <f t="shared" si="75"/>
        <v>0</v>
      </c>
      <c r="P692" s="19" t="str">
        <f t="shared" si="76"/>
        <v/>
      </c>
      <c r="Q692" s="19" t="s">
        <v>728</v>
      </c>
    </row>
    <row r="693" spans="2:17" ht="30" customHeight="1" x14ac:dyDescent="0.25">
      <c r="B693" s="62" t="str">
        <f t="shared" si="70"/>
        <v/>
      </c>
      <c r="C693" s="42">
        <v>689</v>
      </c>
      <c r="D693" s="20"/>
      <c r="E693" s="58"/>
      <c r="F693" s="63" t="str">
        <f t="shared" si="71"/>
        <v/>
      </c>
      <c r="G693" s="66" t="str">
        <f>IF(D693="","",IFERROR('Prod 3'!H693/'Prod 3'!$H$3,0))</f>
        <v/>
      </c>
      <c r="H693" s="70" t="str">
        <f>IF(D693="","",'Prod 2'!K693)</f>
        <v/>
      </c>
      <c r="I693" s="77" t="str">
        <f t="shared" si="72"/>
        <v/>
      </c>
      <c r="J693" s="57"/>
      <c r="L693" s="19">
        <v>6.8899999999999999E-7</v>
      </c>
      <c r="M693" s="59">
        <f t="shared" si="73"/>
        <v>0</v>
      </c>
      <c r="N693" s="59">
        <f t="shared" si="74"/>
        <v>0</v>
      </c>
      <c r="O693" s="59">
        <f t="shared" si="75"/>
        <v>0</v>
      </c>
      <c r="P693" s="19" t="str">
        <f t="shared" si="76"/>
        <v/>
      </c>
      <c r="Q693" s="19" t="s">
        <v>729</v>
      </c>
    </row>
    <row r="694" spans="2:17" ht="30" customHeight="1" x14ac:dyDescent="0.25">
      <c r="B694" s="62" t="str">
        <f t="shared" si="70"/>
        <v/>
      </c>
      <c r="C694" s="42">
        <v>690</v>
      </c>
      <c r="D694" s="20"/>
      <c r="E694" s="58"/>
      <c r="F694" s="63" t="str">
        <f t="shared" si="71"/>
        <v/>
      </c>
      <c r="G694" s="66" t="str">
        <f>IF(D694="","",IFERROR('Prod 3'!H694/'Prod 3'!$H$3,0))</f>
        <v/>
      </c>
      <c r="H694" s="70" t="str">
        <f>IF(D694="","",'Prod 2'!K694)</f>
        <v/>
      </c>
      <c r="I694" s="77" t="str">
        <f t="shared" si="72"/>
        <v/>
      </c>
      <c r="J694" s="57"/>
      <c r="L694" s="19">
        <v>6.8999999999999996E-7</v>
      </c>
      <c r="M694" s="59">
        <f t="shared" si="73"/>
        <v>0</v>
      </c>
      <c r="N694" s="59">
        <f t="shared" si="74"/>
        <v>0</v>
      </c>
      <c r="O694" s="59">
        <f t="shared" si="75"/>
        <v>0</v>
      </c>
      <c r="P694" s="19" t="str">
        <f t="shared" si="76"/>
        <v/>
      </c>
      <c r="Q694" s="19" t="s">
        <v>730</v>
      </c>
    </row>
    <row r="695" spans="2:17" ht="30" customHeight="1" x14ac:dyDescent="0.25">
      <c r="B695" s="62" t="str">
        <f t="shared" si="70"/>
        <v/>
      </c>
      <c r="C695" s="42">
        <v>691</v>
      </c>
      <c r="D695" s="20"/>
      <c r="E695" s="58"/>
      <c r="F695" s="63" t="str">
        <f t="shared" si="71"/>
        <v/>
      </c>
      <c r="G695" s="66" t="str">
        <f>IF(D695="","",IFERROR('Prod 3'!H695/'Prod 3'!$H$3,0))</f>
        <v/>
      </c>
      <c r="H695" s="70" t="str">
        <f>IF(D695="","",'Prod 2'!K695)</f>
        <v/>
      </c>
      <c r="I695" s="77" t="str">
        <f t="shared" si="72"/>
        <v/>
      </c>
      <c r="J695" s="57"/>
      <c r="L695" s="19">
        <v>6.9100000000000003E-7</v>
      </c>
      <c r="M695" s="59">
        <f t="shared" si="73"/>
        <v>0</v>
      </c>
      <c r="N695" s="59">
        <f t="shared" si="74"/>
        <v>0</v>
      </c>
      <c r="O695" s="59">
        <f t="shared" si="75"/>
        <v>0</v>
      </c>
      <c r="P695" s="19" t="str">
        <f t="shared" si="76"/>
        <v/>
      </c>
      <c r="Q695" s="19" t="s">
        <v>731</v>
      </c>
    </row>
    <row r="696" spans="2:17" ht="30" customHeight="1" x14ac:dyDescent="0.25">
      <c r="B696" s="62" t="str">
        <f t="shared" si="70"/>
        <v/>
      </c>
      <c r="C696" s="42">
        <v>692</v>
      </c>
      <c r="D696" s="20"/>
      <c r="E696" s="58"/>
      <c r="F696" s="63" t="str">
        <f t="shared" si="71"/>
        <v/>
      </c>
      <c r="G696" s="66" t="str">
        <f>IF(D696="","",IFERROR('Prod 3'!H696/'Prod 3'!$H$3,0))</f>
        <v/>
      </c>
      <c r="H696" s="70" t="str">
        <f>IF(D696="","",'Prod 2'!K696)</f>
        <v/>
      </c>
      <c r="I696" s="77" t="str">
        <f t="shared" si="72"/>
        <v/>
      </c>
      <c r="J696" s="57"/>
      <c r="L696" s="19">
        <v>6.92E-7</v>
      </c>
      <c r="M696" s="59">
        <f t="shared" si="73"/>
        <v>0</v>
      </c>
      <c r="N696" s="59">
        <f t="shared" si="74"/>
        <v>0</v>
      </c>
      <c r="O696" s="59">
        <f t="shared" si="75"/>
        <v>0</v>
      </c>
      <c r="P696" s="19" t="str">
        <f t="shared" si="76"/>
        <v/>
      </c>
      <c r="Q696" s="19" t="s">
        <v>732</v>
      </c>
    </row>
    <row r="697" spans="2:17" ht="30" customHeight="1" x14ac:dyDescent="0.25">
      <c r="B697" s="62" t="str">
        <f t="shared" si="70"/>
        <v/>
      </c>
      <c r="C697" s="42">
        <v>693</v>
      </c>
      <c r="D697" s="20"/>
      <c r="E697" s="58"/>
      <c r="F697" s="63" t="str">
        <f t="shared" si="71"/>
        <v/>
      </c>
      <c r="G697" s="66" t="str">
        <f>IF(D697="","",IFERROR('Prod 3'!H697/'Prod 3'!$H$3,0))</f>
        <v/>
      </c>
      <c r="H697" s="70" t="str">
        <f>IF(D697="","",'Prod 2'!K697)</f>
        <v/>
      </c>
      <c r="I697" s="77" t="str">
        <f t="shared" si="72"/>
        <v/>
      </c>
      <c r="J697" s="57"/>
      <c r="L697" s="19">
        <v>6.9299999999999997E-7</v>
      </c>
      <c r="M697" s="59">
        <f t="shared" si="73"/>
        <v>0</v>
      </c>
      <c r="N697" s="59">
        <f t="shared" si="74"/>
        <v>0</v>
      </c>
      <c r="O697" s="59">
        <f t="shared" si="75"/>
        <v>0</v>
      </c>
      <c r="P697" s="19" t="str">
        <f t="shared" si="76"/>
        <v/>
      </c>
      <c r="Q697" s="19" t="s">
        <v>733</v>
      </c>
    </row>
    <row r="698" spans="2:17" ht="30" customHeight="1" x14ac:dyDescent="0.25">
      <c r="B698" s="62" t="str">
        <f t="shared" si="70"/>
        <v/>
      </c>
      <c r="C698" s="42">
        <v>694</v>
      </c>
      <c r="D698" s="20"/>
      <c r="E698" s="58"/>
      <c r="F698" s="63" t="str">
        <f t="shared" si="71"/>
        <v/>
      </c>
      <c r="G698" s="66" t="str">
        <f>IF(D698="","",IFERROR('Prod 3'!H698/'Prod 3'!$H$3,0))</f>
        <v/>
      </c>
      <c r="H698" s="70" t="str">
        <f>IF(D698="","",'Prod 2'!K698)</f>
        <v/>
      </c>
      <c r="I698" s="77" t="str">
        <f t="shared" si="72"/>
        <v/>
      </c>
      <c r="J698" s="57"/>
      <c r="L698" s="19">
        <v>6.9400000000000005E-7</v>
      </c>
      <c r="M698" s="59">
        <f t="shared" si="73"/>
        <v>0</v>
      </c>
      <c r="N698" s="59">
        <f t="shared" si="74"/>
        <v>0</v>
      </c>
      <c r="O698" s="59">
        <f t="shared" si="75"/>
        <v>0</v>
      </c>
      <c r="P698" s="19" t="str">
        <f t="shared" si="76"/>
        <v/>
      </c>
      <c r="Q698" s="19" t="s">
        <v>734</v>
      </c>
    </row>
    <row r="699" spans="2:17" ht="30" customHeight="1" x14ac:dyDescent="0.25">
      <c r="B699" s="62" t="str">
        <f t="shared" si="70"/>
        <v/>
      </c>
      <c r="C699" s="42">
        <v>695</v>
      </c>
      <c r="D699" s="20"/>
      <c r="E699" s="58"/>
      <c r="F699" s="63" t="str">
        <f t="shared" si="71"/>
        <v/>
      </c>
      <c r="G699" s="66" t="str">
        <f>IF(D699="","",IFERROR('Prod 3'!H699/'Prod 3'!$H$3,0))</f>
        <v/>
      </c>
      <c r="H699" s="70" t="str">
        <f>IF(D699="","",'Prod 2'!K699)</f>
        <v/>
      </c>
      <c r="I699" s="77" t="str">
        <f t="shared" si="72"/>
        <v/>
      </c>
      <c r="J699" s="57"/>
      <c r="L699" s="19">
        <v>6.9500000000000002E-7</v>
      </c>
      <c r="M699" s="59">
        <f t="shared" si="73"/>
        <v>0</v>
      </c>
      <c r="N699" s="59">
        <f t="shared" si="74"/>
        <v>0</v>
      </c>
      <c r="O699" s="59">
        <f t="shared" si="75"/>
        <v>0</v>
      </c>
      <c r="P699" s="19" t="str">
        <f t="shared" si="76"/>
        <v/>
      </c>
      <c r="Q699" s="19" t="s">
        <v>735</v>
      </c>
    </row>
    <row r="700" spans="2:17" ht="30" customHeight="1" x14ac:dyDescent="0.25">
      <c r="B700" s="62" t="str">
        <f t="shared" si="70"/>
        <v/>
      </c>
      <c r="C700" s="42">
        <v>696</v>
      </c>
      <c r="D700" s="20"/>
      <c r="E700" s="58"/>
      <c r="F700" s="63" t="str">
        <f t="shared" si="71"/>
        <v/>
      </c>
      <c r="G700" s="66" t="str">
        <f>IF(D700="","",IFERROR('Prod 3'!H700/'Prod 3'!$H$3,0))</f>
        <v/>
      </c>
      <c r="H700" s="70" t="str">
        <f>IF(D700="","",'Prod 2'!K700)</f>
        <v/>
      </c>
      <c r="I700" s="77" t="str">
        <f t="shared" si="72"/>
        <v/>
      </c>
      <c r="J700" s="57"/>
      <c r="L700" s="19">
        <v>6.9599999999999999E-7</v>
      </c>
      <c r="M700" s="59">
        <f t="shared" si="73"/>
        <v>0</v>
      </c>
      <c r="N700" s="59">
        <f t="shared" si="74"/>
        <v>0</v>
      </c>
      <c r="O700" s="59">
        <f t="shared" si="75"/>
        <v>0</v>
      </c>
      <c r="P700" s="19" t="str">
        <f t="shared" si="76"/>
        <v/>
      </c>
      <c r="Q700" s="19" t="s">
        <v>736</v>
      </c>
    </row>
    <row r="701" spans="2:17" ht="30" customHeight="1" x14ac:dyDescent="0.25">
      <c r="B701" s="62" t="str">
        <f t="shared" si="70"/>
        <v/>
      </c>
      <c r="C701" s="42">
        <v>697</v>
      </c>
      <c r="D701" s="20"/>
      <c r="E701" s="58"/>
      <c r="F701" s="63" t="str">
        <f t="shared" si="71"/>
        <v/>
      </c>
      <c r="G701" s="66" t="str">
        <f>IF(D701="","",IFERROR('Prod 3'!H701/'Prod 3'!$H$3,0))</f>
        <v/>
      </c>
      <c r="H701" s="70" t="str">
        <f>IF(D701="","",'Prod 2'!K701)</f>
        <v/>
      </c>
      <c r="I701" s="77" t="str">
        <f t="shared" si="72"/>
        <v/>
      </c>
      <c r="J701" s="57"/>
      <c r="L701" s="19">
        <v>6.9699999999999995E-7</v>
      </c>
      <c r="M701" s="59">
        <f t="shared" si="73"/>
        <v>0</v>
      </c>
      <c r="N701" s="59">
        <f t="shared" si="74"/>
        <v>0</v>
      </c>
      <c r="O701" s="59">
        <f t="shared" si="75"/>
        <v>0</v>
      </c>
      <c r="P701" s="19" t="str">
        <f t="shared" si="76"/>
        <v/>
      </c>
      <c r="Q701" s="19" t="s">
        <v>737</v>
      </c>
    </row>
    <row r="702" spans="2:17" ht="30" customHeight="1" x14ac:dyDescent="0.25">
      <c r="B702" s="62" t="str">
        <f t="shared" si="70"/>
        <v/>
      </c>
      <c r="C702" s="42">
        <v>698</v>
      </c>
      <c r="D702" s="20"/>
      <c r="E702" s="58"/>
      <c r="F702" s="63" t="str">
        <f t="shared" si="71"/>
        <v/>
      </c>
      <c r="G702" s="66" t="str">
        <f>IF(D702="","",IFERROR('Prod 3'!H702/'Prod 3'!$H$3,0))</f>
        <v/>
      </c>
      <c r="H702" s="70" t="str">
        <f>IF(D702="","",'Prod 2'!K702)</f>
        <v/>
      </c>
      <c r="I702" s="77" t="str">
        <f t="shared" si="72"/>
        <v/>
      </c>
      <c r="J702" s="57"/>
      <c r="L702" s="19">
        <v>6.9800000000000003E-7</v>
      </c>
      <c r="M702" s="59">
        <f t="shared" si="73"/>
        <v>0</v>
      </c>
      <c r="N702" s="59">
        <f t="shared" si="74"/>
        <v>0</v>
      </c>
      <c r="O702" s="59">
        <f t="shared" si="75"/>
        <v>0</v>
      </c>
      <c r="P702" s="19" t="str">
        <f t="shared" si="76"/>
        <v/>
      </c>
      <c r="Q702" s="19" t="s">
        <v>738</v>
      </c>
    </row>
    <row r="703" spans="2:17" ht="30" customHeight="1" x14ac:dyDescent="0.25">
      <c r="B703" s="62" t="str">
        <f t="shared" si="70"/>
        <v/>
      </c>
      <c r="C703" s="42">
        <v>699</v>
      </c>
      <c r="D703" s="20"/>
      <c r="E703" s="58"/>
      <c r="F703" s="63" t="str">
        <f t="shared" si="71"/>
        <v/>
      </c>
      <c r="G703" s="66" t="str">
        <f>IF(D703="","",IFERROR('Prod 3'!H703/'Prod 3'!$H$3,0))</f>
        <v/>
      </c>
      <c r="H703" s="70" t="str">
        <f>IF(D703="","",'Prod 2'!K703)</f>
        <v/>
      </c>
      <c r="I703" s="77" t="str">
        <f t="shared" si="72"/>
        <v/>
      </c>
      <c r="J703" s="57"/>
      <c r="L703" s="19">
        <v>6.99E-7</v>
      </c>
      <c r="M703" s="59">
        <f t="shared" si="73"/>
        <v>0</v>
      </c>
      <c r="N703" s="59">
        <f t="shared" si="74"/>
        <v>0</v>
      </c>
      <c r="O703" s="59">
        <f t="shared" si="75"/>
        <v>0</v>
      </c>
      <c r="P703" s="19" t="str">
        <f t="shared" si="76"/>
        <v/>
      </c>
      <c r="Q703" s="19" t="s">
        <v>739</v>
      </c>
    </row>
    <row r="704" spans="2:17" ht="30" customHeight="1" x14ac:dyDescent="0.25">
      <c r="B704" s="62" t="str">
        <f t="shared" si="70"/>
        <v/>
      </c>
      <c r="C704" s="42">
        <v>700</v>
      </c>
      <c r="D704" s="20"/>
      <c r="E704" s="58"/>
      <c r="F704" s="63" t="str">
        <f t="shared" si="71"/>
        <v/>
      </c>
      <c r="G704" s="66" t="str">
        <f>IF(D704="","",IFERROR('Prod 3'!H704/'Prod 3'!$H$3,0))</f>
        <v/>
      </c>
      <c r="H704" s="70" t="str">
        <f>IF(D704="","",'Prod 2'!K704)</f>
        <v/>
      </c>
      <c r="I704" s="77" t="str">
        <f t="shared" si="72"/>
        <v/>
      </c>
      <c r="J704" s="57"/>
      <c r="L704" s="19">
        <v>6.9999999999999997E-7</v>
      </c>
      <c r="M704" s="59">
        <f t="shared" si="73"/>
        <v>0</v>
      </c>
      <c r="N704" s="59">
        <f t="shared" si="74"/>
        <v>0</v>
      </c>
      <c r="O704" s="59">
        <f t="shared" si="75"/>
        <v>0</v>
      </c>
      <c r="P704" s="19" t="str">
        <f t="shared" si="76"/>
        <v/>
      </c>
      <c r="Q704" s="19" t="s">
        <v>740</v>
      </c>
    </row>
    <row r="705" spans="2:17" ht="30" customHeight="1" x14ac:dyDescent="0.25">
      <c r="B705" s="62" t="str">
        <f t="shared" si="70"/>
        <v/>
      </c>
      <c r="C705" s="42">
        <v>701</v>
      </c>
      <c r="D705" s="20"/>
      <c r="E705" s="58"/>
      <c r="F705" s="63" t="str">
        <f t="shared" si="71"/>
        <v/>
      </c>
      <c r="G705" s="66" t="str">
        <f>IF(D705="","",IFERROR('Prod 3'!H705/'Prod 3'!$H$3,0))</f>
        <v/>
      </c>
      <c r="H705" s="70" t="str">
        <f>IF(D705="","",'Prod 2'!K705)</f>
        <v/>
      </c>
      <c r="I705" s="77" t="str">
        <f t="shared" si="72"/>
        <v/>
      </c>
      <c r="J705" s="57"/>
      <c r="L705" s="19">
        <v>7.0100000000000004E-7</v>
      </c>
      <c r="M705" s="59">
        <f t="shared" si="73"/>
        <v>0</v>
      </c>
      <c r="N705" s="59">
        <f t="shared" si="74"/>
        <v>0</v>
      </c>
      <c r="O705" s="59">
        <f t="shared" si="75"/>
        <v>0</v>
      </c>
      <c r="P705" s="19" t="str">
        <f t="shared" si="76"/>
        <v/>
      </c>
      <c r="Q705" s="19" t="s">
        <v>741</v>
      </c>
    </row>
    <row r="706" spans="2:17" ht="30" customHeight="1" x14ac:dyDescent="0.25">
      <c r="B706" s="62" t="str">
        <f t="shared" si="70"/>
        <v/>
      </c>
      <c r="C706" s="42">
        <v>702</v>
      </c>
      <c r="D706" s="20"/>
      <c r="E706" s="58"/>
      <c r="F706" s="63" t="str">
        <f t="shared" si="71"/>
        <v/>
      </c>
      <c r="G706" s="66" t="str">
        <f>IF(D706="","",IFERROR('Prod 3'!H706/'Prod 3'!$H$3,0))</f>
        <v/>
      </c>
      <c r="H706" s="70" t="str">
        <f>IF(D706="","",'Prod 2'!K706)</f>
        <v/>
      </c>
      <c r="I706" s="77" t="str">
        <f t="shared" si="72"/>
        <v/>
      </c>
      <c r="J706" s="57"/>
      <c r="L706" s="19">
        <v>7.0200000000000001E-7</v>
      </c>
      <c r="M706" s="59">
        <f t="shared" si="73"/>
        <v>0</v>
      </c>
      <c r="N706" s="59">
        <f t="shared" si="74"/>
        <v>0</v>
      </c>
      <c r="O706" s="59">
        <f t="shared" si="75"/>
        <v>0</v>
      </c>
      <c r="P706" s="19" t="str">
        <f t="shared" si="76"/>
        <v/>
      </c>
      <c r="Q706" s="19" t="s">
        <v>742</v>
      </c>
    </row>
    <row r="707" spans="2:17" ht="30" customHeight="1" x14ac:dyDescent="0.25">
      <c r="B707" s="62" t="str">
        <f t="shared" si="70"/>
        <v/>
      </c>
      <c r="C707" s="42">
        <v>703</v>
      </c>
      <c r="D707" s="20"/>
      <c r="E707" s="58"/>
      <c r="F707" s="63" t="str">
        <f t="shared" si="71"/>
        <v/>
      </c>
      <c r="G707" s="66" t="str">
        <f>IF(D707="","",IFERROR('Prod 3'!H707/'Prod 3'!$H$3,0))</f>
        <v/>
      </c>
      <c r="H707" s="70" t="str">
        <f>IF(D707="","",'Prod 2'!K707)</f>
        <v/>
      </c>
      <c r="I707" s="77" t="str">
        <f t="shared" si="72"/>
        <v/>
      </c>
      <c r="J707" s="57"/>
      <c r="L707" s="19">
        <v>7.0299999999999998E-7</v>
      </c>
      <c r="M707" s="59">
        <f t="shared" si="73"/>
        <v>0</v>
      </c>
      <c r="N707" s="59">
        <f t="shared" si="74"/>
        <v>0</v>
      </c>
      <c r="O707" s="59">
        <f t="shared" si="75"/>
        <v>0</v>
      </c>
      <c r="P707" s="19" t="str">
        <f t="shared" si="76"/>
        <v/>
      </c>
      <c r="Q707" s="19" t="s">
        <v>743</v>
      </c>
    </row>
    <row r="708" spans="2:17" ht="30" customHeight="1" x14ac:dyDescent="0.25">
      <c r="B708" s="62" t="str">
        <f t="shared" si="70"/>
        <v/>
      </c>
      <c r="C708" s="42">
        <v>704</v>
      </c>
      <c r="D708" s="20"/>
      <c r="E708" s="58"/>
      <c r="F708" s="63" t="str">
        <f t="shared" si="71"/>
        <v/>
      </c>
      <c r="G708" s="66" t="str">
        <f>IF(D708="","",IFERROR('Prod 3'!H708/'Prod 3'!$H$3,0))</f>
        <v/>
      </c>
      <c r="H708" s="70" t="str">
        <f>IF(D708="","",'Prod 2'!K708)</f>
        <v/>
      </c>
      <c r="I708" s="77" t="str">
        <f t="shared" si="72"/>
        <v/>
      </c>
      <c r="J708" s="57"/>
      <c r="L708" s="19">
        <v>7.0399999999999995E-7</v>
      </c>
      <c r="M708" s="59">
        <f t="shared" si="73"/>
        <v>0</v>
      </c>
      <c r="N708" s="59">
        <f t="shared" si="74"/>
        <v>0</v>
      </c>
      <c r="O708" s="59">
        <f t="shared" si="75"/>
        <v>0</v>
      </c>
      <c r="P708" s="19" t="str">
        <f t="shared" si="76"/>
        <v/>
      </c>
      <c r="Q708" s="19" t="s">
        <v>744</v>
      </c>
    </row>
    <row r="709" spans="2:17" ht="30" customHeight="1" x14ac:dyDescent="0.25">
      <c r="B709" s="62" t="str">
        <f t="shared" si="70"/>
        <v/>
      </c>
      <c r="C709" s="42">
        <v>705</v>
      </c>
      <c r="D709" s="20"/>
      <c r="E709" s="58"/>
      <c r="F709" s="63" t="str">
        <f t="shared" si="71"/>
        <v/>
      </c>
      <c r="G709" s="66" t="str">
        <f>IF(D709="","",IFERROR('Prod 3'!H709/'Prod 3'!$H$3,0))</f>
        <v/>
      </c>
      <c r="H709" s="70" t="str">
        <f>IF(D709="","",'Prod 2'!K709)</f>
        <v/>
      </c>
      <c r="I709" s="77" t="str">
        <f t="shared" si="72"/>
        <v/>
      </c>
      <c r="J709" s="57"/>
      <c r="L709" s="19">
        <v>7.0500000000000003E-7</v>
      </c>
      <c r="M709" s="59">
        <f t="shared" si="73"/>
        <v>0</v>
      </c>
      <c r="N709" s="59">
        <f t="shared" si="74"/>
        <v>0</v>
      </c>
      <c r="O709" s="59">
        <f t="shared" si="75"/>
        <v>0</v>
      </c>
      <c r="P709" s="19" t="str">
        <f t="shared" si="76"/>
        <v/>
      </c>
      <c r="Q709" s="19" t="s">
        <v>745</v>
      </c>
    </row>
    <row r="710" spans="2:17" ht="30" customHeight="1" x14ac:dyDescent="0.25">
      <c r="B710" s="62" t="str">
        <f t="shared" ref="B710:B773" si="77">IF(I710="","",I710)</f>
        <v/>
      </c>
      <c r="C710" s="42">
        <v>706</v>
      </c>
      <c r="D710" s="20"/>
      <c r="E710" s="58"/>
      <c r="F710" s="63" t="str">
        <f t="shared" ref="F710:F773" si="78">IF(D710="","",IFERROR(VLOOKUP(D710,$P$5:$Q$1004,2,0),""))</f>
        <v/>
      </c>
      <c r="G710" s="66" t="str">
        <f>IF(D710="","",IFERROR('Prod 3'!H710/'Prod 3'!$H$3,0))</f>
        <v/>
      </c>
      <c r="H710" s="70" t="str">
        <f>IF(D710="","",'Prod 2'!K710)</f>
        <v/>
      </c>
      <c r="I710" s="77" t="str">
        <f t="shared" ref="I710:I773" si="79">IF(D710="","",E710-H710+L710)</f>
        <v/>
      </c>
      <c r="J710" s="57"/>
      <c r="L710" s="19">
        <v>7.06E-7</v>
      </c>
      <c r="M710" s="59">
        <f t="shared" ref="M710:M773" si="80">IFERROR(LARGE($I$5:$I$1004,C710),0)</f>
        <v>0</v>
      </c>
      <c r="N710" s="59">
        <f t="shared" ref="N710:N773" si="81">IFERROR(M710,0)</f>
        <v>0</v>
      </c>
      <c r="O710" s="59">
        <f t="shared" ref="O710:O773" si="82">IFERROR(LARGE($N$5:$N$1004,C710),0)</f>
        <v>0</v>
      </c>
      <c r="P710" s="19" t="str">
        <f t="shared" ref="P710:P773" si="83">IFERROR(IF(VLOOKUP(O710,$B$5:$D$1004,3,0)=0,"",(VLOOKUP(O710,$B$5:$D$1004,3,0))),"")</f>
        <v/>
      </c>
      <c r="Q710" s="19" t="s">
        <v>746</v>
      </c>
    </row>
    <row r="711" spans="2:17" ht="30" customHeight="1" x14ac:dyDescent="0.25">
      <c r="B711" s="62" t="str">
        <f t="shared" si="77"/>
        <v/>
      </c>
      <c r="C711" s="42">
        <v>707</v>
      </c>
      <c r="D711" s="20"/>
      <c r="E711" s="58"/>
      <c r="F711" s="63" t="str">
        <f t="shared" si="78"/>
        <v/>
      </c>
      <c r="G711" s="66" t="str">
        <f>IF(D711="","",IFERROR('Prod 3'!H711/'Prod 3'!$H$3,0))</f>
        <v/>
      </c>
      <c r="H711" s="70" t="str">
        <f>IF(D711="","",'Prod 2'!K711)</f>
        <v/>
      </c>
      <c r="I711" s="77" t="str">
        <f t="shared" si="79"/>
        <v/>
      </c>
      <c r="J711" s="57"/>
      <c r="L711" s="19">
        <v>7.0699999999999996E-7</v>
      </c>
      <c r="M711" s="59">
        <f t="shared" si="80"/>
        <v>0</v>
      </c>
      <c r="N711" s="59">
        <f t="shared" si="81"/>
        <v>0</v>
      </c>
      <c r="O711" s="59">
        <f t="shared" si="82"/>
        <v>0</v>
      </c>
      <c r="P711" s="19" t="str">
        <f t="shared" si="83"/>
        <v/>
      </c>
      <c r="Q711" s="19" t="s">
        <v>747</v>
      </c>
    </row>
    <row r="712" spans="2:17" ht="30" customHeight="1" x14ac:dyDescent="0.25">
      <c r="B712" s="62" t="str">
        <f t="shared" si="77"/>
        <v/>
      </c>
      <c r="C712" s="42">
        <v>708</v>
      </c>
      <c r="D712" s="20"/>
      <c r="E712" s="58"/>
      <c r="F712" s="63" t="str">
        <f t="shared" si="78"/>
        <v/>
      </c>
      <c r="G712" s="66" t="str">
        <f>IF(D712="","",IFERROR('Prod 3'!H712/'Prod 3'!$H$3,0))</f>
        <v/>
      </c>
      <c r="H712" s="70" t="str">
        <f>IF(D712="","",'Prod 2'!K712)</f>
        <v/>
      </c>
      <c r="I712" s="77" t="str">
        <f t="shared" si="79"/>
        <v/>
      </c>
      <c r="J712" s="57"/>
      <c r="L712" s="19">
        <v>7.0800000000000004E-7</v>
      </c>
      <c r="M712" s="59">
        <f t="shared" si="80"/>
        <v>0</v>
      </c>
      <c r="N712" s="59">
        <f t="shared" si="81"/>
        <v>0</v>
      </c>
      <c r="O712" s="59">
        <f t="shared" si="82"/>
        <v>0</v>
      </c>
      <c r="P712" s="19" t="str">
        <f t="shared" si="83"/>
        <v/>
      </c>
      <c r="Q712" s="19" t="s">
        <v>748</v>
      </c>
    </row>
    <row r="713" spans="2:17" ht="30" customHeight="1" x14ac:dyDescent="0.25">
      <c r="B713" s="62" t="str">
        <f t="shared" si="77"/>
        <v/>
      </c>
      <c r="C713" s="42">
        <v>709</v>
      </c>
      <c r="D713" s="20"/>
      <c r="E713" s="58"/>
      <c r="F713" s="63" t="str">
        <f t="shared" si="78"/>
        <v/>
      </c>
      <c r="G713" s="66" t="str">
        <f>IF(D713="","",IFERROR('Prod 3'!H713/'Prod 3'!$H$3,0))</f>
        <v/>
      </c>
      <c r="H713" s="70" t="str">
        <f>IF(D713="","",'Prod 2'!K713)</f>
        <v/>
      </c>
      <c r="I713" s="77" t="str">
        <f t="shared" si="79"/>
        <v/>
      </c>
      <c r="J713" s="57"/>
      <c r="L713" s="19">
        <v>7.0900000000000001E-7</v>
      </c>
      <c r="M713" s="59">
        <f t="shared" si="80"/>
        <v>0</v>
      </c>
      <c r="N713" s="59">
        <f t="shared" si="81"/>
        <v>0</v>
      </c>
      <c r="O713" s="59">
        <f t="shared" si="82"/>
        <v>0</v>
      </c>
      <c r="P713" s="19" t="str">
        <f t="shared" si="83"/>
        <v/>
      </c>
      <c r="Q713" s="19" t="s">
        <v>749</v>
      </c>
    </row>
    <row r="714" spans="2:17" ht="30" customHeight="1" x14ac:dyDescent="0.25">
      <c r="B714" s="62" t="str">
        <f t="shared" si="77"/>
        <v/>
      </c>
      <c r="C714" s="42">
        <v>710</v>
      </c>
      <c r="D714" s="20"/>
      <c r="E714" s="58"/>
      <c r="F714" s="63" t="str">
        <f t="shared" si="78"/>
        <v/>
      </c>
      <c r="G714" s="66" t="str">
        <f>IF(D714="","",IFERROR('Prod 3'!H714/'Prod 3'!$H$3,0))</f>
        <v/>
      </c>
      <c r="H714" s="70" t="str">
        <f>IF(D714="","",'Prod 2'!K714)</f>
        <v/>
      </c>
      <c r="I714" s="77" t="str">
        <f t="shared" si="79"/>
        <v/>
      </c>
      <c r="J714" s="57"/>
      <c r="L714" s="19">
        <v>7.0999999999999998E-7</v>
      </c>
      <c r="M714" s="59">
        <f t="shared" si="80"/>
        <v>0</v>
      </c>
      <c r="N714" s="59">
        <f t="shared" si="81"/>
        <v>0</v>
      </c>
      <c r="O714" s="59">
        <f t="shared" si="82"/>
        <v>0</v>
      </c>
      <c r="P714" s="19" t="str">
        <f t="shared" si="83"/>
        <v/>
      </c>
      <c r="Q714" s="19" t="s">
        <v>750</v>
      </c>
    </row>
    <row r="715" spans="2:17" ht="30" customHeight="1" x14ac:dyDescent="0.25">
      <c r="B715" s="62" t="str">
        <f t="shared" si="77"/>
        <v/>
      </c>
      <c r="C715" s="42">
        <v>711</v>
      </c>
      <c r="D715" s="20"/>
      <c r="E715" s="58"/>
      <c r="F715" s="63" t="str">
        <f t="shared" si="78"/>
        <v/>
      </c>
      <c r="G715" s="66" t="str">
        <f>IF(D715="","",IFERROR('Prod 3'!H715/'Prod 3'!$H$3,0))</f>
        <v/>
      </c>
      <c r="H715" s="70" t="str">
        <f>IF(D715="","",'Prod 2'!K715)</f>
        <v/>
      </c>
      <c r="I715" s="77" t="str">
        <f t="shared" si="79"/>
        <v/>
      </c>
      <c r="J715" s="57"/>
      <c r="L715" s="19">
        <v>7.1099999999999995E-7</v>
      </c>
      <c r="M715" s="59">
        <f t="shared" si="80"/>
        <v>0</v>
      </c>
      <c r="N715" s="59">
        <f t="shared" si="81"/>
        <v>0</v>
      </c>
      <c r="O715" s="59">
        <f t="shared" si="82"/>
        <v>0</v>
      </c>
      <c r="P715" s="19" t="str">
        <f t="shared" si="83"/>
        <v/>
      </c>
      <c r="Q715" s="19" t="s">
        <v>751</v>
      </c>
    </row>
    <row r="716" spans="2:17" ht="30" customHeight="1" x14ac:dyDescent="0.25">
      <c r="B716" s="62" t="str">
        <f t="shared" si="77"/>
        <v/>
      </c>
      <c r="C716" s="42">
        <v>712</v>
      </c>
      <c r="D716" s="20"/>
      <c r="E716" s="58"/>
      <c r="F716" s="63" t="str">
        <f t="shared" si="78"/>
        <v/>
      </c>
      <c r="G716" s="66" t="str">
        <f>IF(D716="","",IFERROR('Prod 3'!H716/'Prod 3'!$H$3,0))</f>
        <v/>
      </c>
      <c r="H716" s="70" t="str">
        <f>IF(D716="","",'Prod 2'!K716)</f>
        <v/>
      </c>
      <c r="I716" s="77" t="str">
        <f t="shared" si="79"/>
        <v/>
      </c>
      <c r="J716" s="57"/>
      <c r="L716" s="19">
        <v>7.1200000000000002E-7</v>
      </c>
      <c r="M716" s="59">
        <f t="shared" si="80"/>
        <v>0</v>
      </c>
      <c r="N716" s="59">
        <f t="shared" si="81"/>
        <v>0</v>
      </c>
      <c r="O716" s="59">
        <f t="shared" si="82"/>
        <v>0</v>
      </c>
      <c r="P716" s="19" t="str">
        <f t="shared" si="83"/>
        <v/>
      </c>
      <c r="Q716" s="19" t="s">
        <v>752</v>
      </c>
    </row>
    <row r="717" spans="2:17" ht="30" customHeight="1" x14ac:dyDescent="0.25">
      <c r="B717" s="62" t="str">
        <f t="shared" si="77"/>
        <v/>
      </c>
      <c r="C717" s="42">
        <v>713</v>
      </c>
      <c r="D717" s="20"/>
      <c r="E717" s="58"/>
      <c r="F717" s="63" t="str">
        <f t="shared" si="78"/>
        <v/>
      </c>
      <c r="G717" s="66" t="str">
        <f>IF(D717="","",IFERROR('Prod 3'!H717/'Prod 3'!$H$3,0))</f>
        <v/>
      </c>
      <c r="H717" s="70" t="str">
        <f>IF(D717="","",'Prod 2'!K717)</f>
        <v/>
      </c>
      <c r="I717" s="77" t="str">
        <f t="shared" si="79"/>
        <v/>
      </c>
      <c r="J717" s="57"/>
      <c r="L717" s="19">
        <v>7.1299999999999999E-7</v>
      </c>
      <c r="M717" s="59">
        <f t="shared" si="80"/>
        <v>0</v>
      </c>
      <c r="N717" s="59">
        <f t="shared" si="81"/>
        <v>0</v>
      </c>
      <c r="O717" s="59">
        <f t="shared" si="82"/>
        <v>0</v>
      </c>
      <c r="P717" s="19" t="str">
        <f t="shared" si="83"/>
        <v/>
      </c>
      <c r="Q717" s="19" t="s">
        <v>753</v>
      </c>
    </row>
    <row r="718" spans="2:17" ht="30" customHeight="1" x14ac:dyDescent="0.25">
      <c r="B718" s="62" t="str">
        <f t="shared" si="77"/>
        <v/>
      </c>
      <c r="C718" s="42">
        <v>714</v>
      </c>
      <c r="D718" s="20"/>
      <c r="E718" s="58"/>
      <c r="F718" s="63" t="str">
        <f t="shared" si="78"/>
        <v/>
      </c>
      <c r="G718" s="66" t="str">
        <f>IF(D718="","",IFERROR('Prod 3'!H718/'Prod 3'!$H$3,0))</f>
        <v/>
      </c>
      <c r="H718" s="70" t="str">
        <f>IF(D718="","",'Prod 2'!K718)</f>
        <v/>
      </c>
      <c r="I718" s="77" t="str">
        <f t="shared" si="79"/>
        <v/>
      </c>
      <c r="J718" s="57"/>
      <c r="L718" s="19">
        <v>7.1399999999999996E-7</v>
      </c>
      <c r="M718" s="59">
        <f t="shared" si="80"/>
        <v>0</v>
      </c>
      <c r="N718" s="59">
        <f t="shared" si="81"/>
        <v>0</v>
      </c>
      <c r="O718" s="59">
        <f t="shared" si="82"/>
        <v>0</v>
      </c>
      <c r="P718" s="19" t="str">
        <f t="shared" si="83"/>
        <v/>
      </c>
      <c r="Q718" s="19" t="s">
        <v>754</v>
      </c>
    </row>
    <row r="719" spans="2:17" ht="30" customHeight="1" x14ac:dyDescent="0.25">
      <c r="B719" s="62" t="str">
        <f t="shared" si="77"/>
        <v/>
      </c>
      <c r="C719" s="42">
        <v>715</v>
      </c>
      <c r="D719" s="20"/>
      <c r="E719" s="58"/>
      <c r="F719" s="63" t="str">
        <f t="shared" si="78"/>
        <v/>
      </c>
      <c r="G719" s="66" t="str">
        <f>IF(D719="","",IFERROR('Prod 3'!H719/'Prod 3'!$H$3,0))</f>
        <v/>
      </c>
      <c r="H719" s="70" t="str">
        <f>IF(D719="","",'Prod 2'!K719)</f>
        <v/>
      </c>
      <c r="I719" s="77" t="str">
        <f t="shared" si="79"/>
        <v/>
      </c>
      <c r="J719" s="57"/>
      <c r="L719" s="19">
        <v>7.1500000000000004E-7</v>
      </c>
      <c r="M719" s="59">
        <f t="shared" si="80"/>
        <v>0</v>
      </c>
      <c r="N719" s="59">
        <f t="shared" si="81"/>
        <v>0</v>
      </c>
      <c r="O719" s="59">
        <f t="shared" si="82"/>
        <v>0</v>
      </c>
      <c r="P719" s="19" t="str">
        <f t="shared" si="83"/>
        <v/>
      </c>
      <c r="Q719" s="19" t="s">
        <v>755</v>
      </c>
    </row>
    <row r="720" spans="2:17" ht="30" customHeight="1" x14ac:dyDescent="0.25">
      <c r="B720" s="62" t="str">
        <f t="shared" si="77"/>
        <v/>
      </c>
      <c r="C720" s="42">
        <v>716</v>
      </c>
      <c r="D720" s="20"/>
      <c r="E720" s="58"/>
      <c r="F720" s="63" t="str">
        <f t="shared" si="78"/>
        <v/>
      </c>
      <c r="G720" s="66" t="str">
        <f>IF(D720="","",IFERROR('Prod 3'!H720/'Prod 3'!$H$3,0))</f>
        <v/>
      </c>
      <c r="H720" s="70" t="str">
        <f>IF(D720="","",'Prod 2'!K720)</f>
        <v/>
      </c>
      <c r="I720" s="77" t="str">
        <f t="shared" si="79"/>
        <v/>
      </c>
      <c r="J720" s="57"/>
      <c r="L720" s="19">
        <v>7.1600000000000001E-7</v>
      </c>
      <c r="M720" s="59">
        <f t="shared" si="80"/>
        <v>0</v>
      </c>
      <c r="N720" s="59">
        <f t="shared" si="81"/>
        <v>0</v>
      </c>
      <c r="O720" s="59">
        <f t="shared" si="82"/>
        <v>0</v>
      </c>
      <c r="P720" s="19" t="str">
        <f t="shared" si="83"/>
        <v/>
      </c>
      <c r="Q720" s="19" t="s">
        <v>756</v>
      </c>
    </row>
    <row r="721" spans="2:17" ht="30" customHeight="1" x14ac:dyDescent="0.25">
      <c r="B721" s="62" t="str">
        <f t="shared" si="77"/>
        <v/>
      </c>
      <c r="C721" s="42">
        <v>717</v>
      </c>
      <c r="D721" s="20"/>
      <c r="E721" s="58"/>
      <c r="F721" s="63" t="str">
        <f t="shared" si="78"/>
        <v/>
      </c>
      <c r="G721" s="66" t="str">
        <f>IF(D721="","",IFERROR('Prod 3'!H721/'Prod 3'!$H$3,0))</f>
        <v/>
      </c>
      <c r="H721" s="70" t="str">
        <f>IF(D721="","",'Prod 2'!K721)</f>
        <v/>
      </c>
      <c r="I721" s="77" t="str">
        <f t="shared" si="79"/>
        <v/>
      </c>
      <c r="J721" s="57"/>
      <c r="L721" s="19">
        <v>7.1699999999999997E-7</v>
      </c>
      <c r="M721" s="59">
        <f t="shared" si="80"/>
        <v>0</v>
      </c>
      <c r="N721" s="59">
        <f t="shared" si="81"/>
        <v>0</v>
      </c>
      <c r="O721" s="59">
        <f t="shared" si="82"/>
        <v>0</v>
      </c>
      <c r="P721" s="19" t="str">
        <f t="shared" si="83"/>
        <v/>
      </c>
      <c r="Q721" s="19" t="s">
        <v>757</v>
      </c>
    </row>
    <row r="722" spans="2:17" ht="30" customHeight="1" x14ac:dyDescent="0.25">
      <c r="B722" s="62" t="str">
        <f t="shared" si="77"/>
        <v/>
      </c>
      <c r="C722" s="42">
        <v>718</v>
      </c>
      <c r="D722" s="20"/>
      <c r="E722" s="58"/>
      <c r="F722" s="63" t="str">
        <f t="shared" si="78"/>
        <v/>
      </c>
      <c r="G722" s="66" t="str">
        <f>IF(D722="","",IFERROR('Prod 3'!H722/'Prod 3'!$H$3,0))</f>
        <v/>
      </c>
      <c r="H722" s="70" t="str">
        <f>IF(D722="","",'Prod 2'!K722)</f>
        <v/>
      </c>
      <c r="I722" s="77" t="str">
        <f t="shared" si="79"/>
        <v/>
      </c>
      <c r="J722" s="57"/>
      <c r="L722" s="19">
        <v>7.1800000000000005E-7</v>
      </c>
      <c r="M722" s="59">
        <f t="shared" si="80"/>
        <v>0</v>
      </c>
      <c r="N722" s="59">
        <f t="shared" si="81"/>
        <v>0</v>
      </c>
      <c r="O722" s="59">
        <f t="shared" si="82"/>
        <v>0</v>
      </c>
      <c r="P722" s="19" t="str">
        <f t="shared" si="83"/>
        <v/>
      </c>
      <c r="Q722" s="19" t="s">
        <v>758</v>
      </c>
    </row>
    <row r="723" spans="2:17" ht="30" customHeight="1" x14ac:dyDescent="0.25">
      <c r="B723" s="62" t="str">
        <f t="shared" si="77"/>
        <v/>
      </c>
      <c r="C723" s="42">
        <v>719</v>
      </c>
      <c r="D723" s="20"/>
      <c r="E723" s="58"/>
      <c r="F723" s="63" t="str">
        <f t="shared" si="78"/>
        <v/>
      </c>
      <c r="G723" s="66" t="str">
        <f>IF(D723="","",IFERROR('Prod 3'!H723/'Prod 3'!$H$3,0))</f>
        <v/>
      </c>
      <c r="H723" s="70" t="str">
        <f>IF(D723="","",'Prod 2'!K723)</f>
        <v/>
      </c>
      <c r="I723" s="77" t="str">
        <f t="shared" si="79"/>
        <v/>
      </c>
      <c r="J723" s="57"/>
      <c r="L723" s="19">
        <v>7.1900000000000002E-7</v>
      </c>
      <c r="M723" s="59">
        <f t="shared" si="80"/>
        <v>0</v>
      </c>
      <c r="N723" s="59">
        <f t="shared" si="81"/>
        <v>0</v>
      </c>
      <c r="O723" s="59">
        <f t="shared" si="82"/>
        <v>0</v>
      </c>
      <c r="P723" s="19" t="str">
        <f t="shared" si="83"/>
        <v/>
      </c>
      <c r="Q723" s="19" t="s">
        <v>759</v>
      </c>
    </row>
    <row r="724" spans="2:17" ht="30" customHeight="1" x14ac:dyDescent="0.25">
      <c r="B724" s="62" t="str">
        <f t="shared" si="77"/>
        <v/>
      </c>
      <c r="C724" s="42">
        <v>720</v>
      </c>
      <c r="D724" s="20"/>
      <c r="E724" s="58"/>
      <c r="F724" s="63" t="str">
        <f t="shared" si="78"/>
        <v/>
      </c>
      <c r="G724" s="66" t="str">
        <f>IF(D724="","",IFERROR('Prod 3'!H724/'Prod 3'!$H$3,0))</f>
        <v/>
      </c>
      <c r="H724" s="70" t="str">
        <f>IF(D724="","",'Prod 2'!K724)</f>
        <v/>
      </c>
      <c r="I724" s="77" t="str">
        <f t="shared" si="79"/>
        <v/>
      </c>
      <c r="J724" s="57"/>
      <c r="L724" s="19">
        <v>7.1999999999999999E-7</v>
      </c>
      <c r="M724" s="59">
        <f t="shared" si="80"/>
        <v>0</v>
      </c>
      <c r="N724" s="59">
        <f t="shared" si="81"/>
        <v>0</v>
      </c>
      <c r="O724" s="59">
        <f t="shared" si="82"/>
        <v>0</v>
      </c>
      <c r="P724" s="19" t="str">
        <f t="shared" si="83"/>
        <v/>
      </c>
      <c r="Q724" s="19" t="s">
        <v>760</v>
      </c>
    </row>
    <row r="725" spans="2:17" ht="30" customHeight="1" x14ac:dyDescent="0.25">
      <c r="B725" s="62" t="str">
        <f t="shared" si="77"/>
        <v/>
      </c>
      <c r="C725" s="42">
        <v>721</v>
      </c>
      <c r="D725" s="20"/>
      <c r="E725" s="58"/>
      <c r="F725" s="63" t="str">
        <f t="shared" si="78"/>
        <v/>
      </c>
      <c r="G725" s="66" t="str">
        <f>IF(D725="","",IFERROR('Prod 3'!H725/'Prod 3'!$H$3,0))</f>
        <v/>
      </c>
      <c r="H725" s="70" t="str">
        <f>IF(D725="","",'Prod 2'!K725)</f>
        <v/>
      </c>
      <c r="I725" s="77" t="str">
        <f t="shared" si="79"/>
        <v/>
      </c>
      <c r="J725" s="57"/>
      <c r="L725" s="19">
        <v>7.2099999999999996E-7</v>
      </c>
      <c r="M725" s="59">
        <f t="shared" si="80"/>
        <v>0</v>
      </c>
      <c r="N725" s="59">
        <f t="shared" si="81"/>
        <v>0</v>
      </c>
      <c r="O725" s="59">
        <f t="shared" si="82"/>
        <v>0</v>
      </c>
      <c r="P725" s="19" t="str">
        <f t="shared" si="83"/>
        <v/>
      </c>
      <c r="Q725" s="19" t="s">
        <v>761</v>
      </c>
    </row>
    <row r="726" spans="2:17" ht="30" customHeight="1" x14ac:dyDescent="0.25">
      <c r="B726" s="62" t="str">
        <f t="shared" si="77"/>
        <v/>
      </c>
      <c r="C726" s="42">
        <v>722</v>
      </c>
      <c r="D726" s="20"/>
      <c r="E726" s="58"/>
      <c r="F726" s="63" t="str">
        <f t="shared" si="78"/>
        <v/>
      </c>
      <c r="G726" s="66" t="str">
        <f>IF(D726="","",IFERROR('Prod 3'!H726/'Prod 3'!$H$3,0))</f>
        <v/>
      </c>
      <c r="H726" s="70" t="str">
        <f>IF(D726="","",'Prod 2'!K726)</f>
        <v/>
      </c>
      <c r="I726" s="77" t="str">
        <f t="shared" si="79"/>
        <v/>
      </c>
      <c r="J726" s="57"/>
      <c r="L726" s="19">
        <v>7.2200000000000003E-7</v>
      </c>
      <c r="M726" s="59">
        <f t="shared" si="80"/>
        <v>0</v>
      </c>
      <c r="N726" s="59">
        <f t="shared" si="81"/>
        <v>0</v>
      </c>
      <c r="O726" s="59">
        <f t="shared" si="82"/>
        <v>0</v>
      </c>
      <c r="P726" s="19" t="str">
        <f t="shared" si="83"/>
        <v/>
      </c>
      <c r="Q726" s="19" t="s">
        <v>762</v>
      </c>
    </row>
    <row r="727" spans="2:17" ht="30" customHeight="1" x14ac:dyDescent="0.25">
      <c r="B727" s="62" t="str">
        <f t="shared" si="77"/>
        <v/>
      </c>
      <c r="C727" s="42">
        <v>723</v>
      </c>
      <c r="D727" s="20"/>
      <c r="E727" s="58"/>
      <c r="F727" s="63" t="str">
        <f t="shared" si="78"/>
        <v/>
      </c>
      <c r="G727" s="66" t="str">
        <f>IF(D727="","",IFERROR('Prod 3'!H727/'Prod 3'!$H$3,0))</f>
        <v/>
      </c>
      <c r="H727" s="70" t="str">
        <f>IF(D727="","",'Prod 2'!K727)</f>
        <v/>
      </c>
      <c r="I727" s="77" t="str">
        <f t="shared" si="79"/>
        <v/>
      </c>
      <c r="J727" s="57"/>
      <c r="L727" s="19">
        <v>7.23E-7</v>
      </c>
      <c r="M727" s="59">
        <f t="shared" si="80"/>
        <v>0</v>
      </c>
      <c r="N727" s="59">
        <f t="shared" si="81"/>
        <v>0</v>
      </c>
      <c r="O727" s="59">
        <f t="shared" si="82"/>
        <v>0</v>
      </c>
      <c r="P727" s="19" t="str">
        <f t="shared" si="83"/>
        <v/>
      </c>
      <c r="Q727" s="19" t="s">
        <v>763</v>
      </c>
    </row>
    <row r="728" spans="2:17" ht="30" customHeight="1" x14ac:dyDescent="0.25">
      <c r="B728" s="62" t="str">
        <f t="shared" si="77"/>
        <v/>
      </c>
      <c r="C728" s="42">
        <v>724</v>
      </c>
      <c r="D728" s="20"/>
      <c r="E728" s="58"/>
      <c r="F728" s="63" t="str">
        <f t="shared" si="78"/>
        <v/>
      </c>
      <c r="G728" s="66" t="str">
        <f>IF(D728="","",IFERROR('Prod 3'!H728/'Prod 3'!$H$3,0))</f>
        <v/>
      </c>
      <c r="H728" s="70" t="str">
        <f>IF(D728="","",'Prod 2'!K728)</f>
        <v/>
      </c>
      <c r="I728" s="77" t="str">
        <f t="shared" si="79"/>
        <v/>
      </c>
      <c r="J728" s="57"/>
      <c r="L728" s="19">
        <v>7.2399999999999997E-7</v>
      </c>
      <c r="M728" s="59">
        <f t="shared" si="80"/>
        <v>0</v>
      </c>
      <c r="N728" s="59">
        <f t="shared" si="81"/>
        <v>0</v>
      </c>
      <c r="O728" s="59">
        <f t="shared" si="82"/>
        <v>0</v>
      </c>
      <c r="P728" s="19" t="str">
        <f t="shared" si="83"/>
        <v/>
      </c>
      <c r="Q728" s="19" t="s">
        <v>764</v>
      </c>
    </row>
    <row r="729" spans="2:17" ht="30" customHeight="1" x14ac:dyDescent="0.25">
      <c r="B729" s="62" t="str">
        <f t="shared" si="77"/>
        <v/>
      </c>
      <c r="C729" s="42">
        <v>725</v>
      </c>
      <c r="D729" s="20"/>
      <c r="E729" s="58"/>
      <c r="F729" s="63" t="str">
        <f t="shared" si="78"/>
        <v/>
      </c>
      <c r="G729" s="66" t="str">
        <f>IF(D729="","",IFERROR('Prod 3'!H729/'Prod 3'!$H$3,0))</f>
        <v/>
      </c>
      <c r="H729" s="70" t="str">
        <f>IF(D729="","",'Prod 2'!K729)</f>
        <v/>
      </c>
      <c r="I729" s="77" t="str">
        <f t="shared" si="79"/>
        <v/>
      </c>
      <c r="J729" s="57"/>
      <c r="L729" s="19">
        <v>7.2500000000000005E-7</v>
      </c>
      <c r="M729" s="59">
        <f t="shared" si="80"/>
        <v>0</v>
      </c>
      <c r="N729" s="59">
        <f t="shared" si="81"/>
        <v>0</v>
      </c>
      <c r="O729" s="59">
        <f t="shared" si="82"/>
        <v>0</v>
      </c>
      <c r="P729" s="19" t="str">
        <f t="shared" si="83"/>
        <v/>
      </c>
      <c r="Q729" s="19" t="s">
        <v>765</v>
      </c>
    </row>
    <row r="730" spans="2:17" ht="30" customHeight="1" x14ac:dyDescent="0.25">
      <c r="B730" s="62" t="str">
        <f t="shared" si="77"/>
        <v/>
      </c>
      <c r="C730" s="42">
        <v>726</v>
      </c>
      <c r="D730" s="20"/>
      <c r="E730" s="58"/>
      <c r="F730" s="63" t="str">
        <f t="shared" si="78"/>
        <v/>
      </c>
      <c r="G730" s="66" t="str">
        <f>IF(D730="","",IFERROR('Prod 3'!H730/'Prod 3'!$H$3,0))</f>
        <v/>
      </c>
      <c r="H730" s="70" t="str">
        <f>IF(D730="","",'Prod 2'!K730)</f>
        <v/>
      </c>
      <c r="I730" s="77" t="str">
        <f t="shared" si="79"/>
        <v/>
      </c>
      <c r="J730" s="57"/>
      <c r="L730" s="19">
        <v>7.2600000000000002E-7</v>
      </c>
      <c r="M730" s="59">
        <f t="shared" si="80"/>
        <v>0</v>
      </c>
      <c r="N730" s="59">
        <f t="shared" si="81"/>
        <v>0</v>
      </c>
      <c r="O730" s="59">
        <f t="shared" si="82"/>
        <v>0</v>
      </c>
      <c r="P730" s="19" t="str">
        <f t="shared" si="83"/>
        <v/>
      </c>
      <c r="Q730" s="19" t="s">
        <v>766</v>
      </c>
    </row>
    <row r="731" spans="2:17" ht="30" customHeight="1" x14ac:dyDescent="0.25">
      <c r="B731" s="62" t="str">
        <f t="shared" si="77"/>
        <v/>
      </c>
      <c r="C731" s="42">
        <v>727</v>
      </c>
      <c r="D731" s="20"/>
      <c r="E731" s="58"/>
      <c r="F731" s="63" t="str">
        <f t="shared" si="78"/>
        <v/>
      </c>
      <c r="G731" s="66" t="str">
        <f>IF(D731="","",IFERROR('Prod 3'!H731/'Prod 3'!$H$3,0))</f>
        <v/>
      </c>
      <c r="H731" s="70" t="str">
        <f>IF(D731="","",'Prod 2'!K731)</f>
        <v/>
      </c>
      <c r="I731" s="77" t="str">
        <f t="shared" si="79"/>
        <v/>
      </c>
      <c r="J731" s="57"/>
      <c r="L731" s="19">
        <v>7.2699999999999999E-7</v>
      </c>
      <c r="M731" s="59">
        <f t="shared" si="80"/>
        <v>0</v>
      </c>
      <c r="N731" s="59">
        <f t="shared" si="81"/>
        <v>0</v>
      </c>
      <c r="O731" s="59">
        <f t="shared" si="82"/>
        <v>0</v>
      </c>
      <c r="P731" s="19" t="str">
        <f t="shared" si="83"/>
        <v/>
      </c>
      <c r="Q731" s="19" t="s">
        <v>767</v>
      </c>
    </row>
    <row r="732" spans="2:17" ht="30" customHeight="1" x14ac:dyDescent="0.25">
      <c r="B732" s="62" t="str">
        <f t="shared" si="77"/>
        <v/>
      </c>
      <c r="C732" s="42">
        <v>728</v>
      </c>
      <c r="D732" s="20"/>
      <c r="E732" s="58"/>
      <c r="F732" s="63" t="str">
        <f t="shared" si="78"/>
        <v/>
      </c>
      <c r="G732" s="66" t="str">
        <f>IF(D732="","",IFERROR('Prod 3'!H732/'Prod 3'!$H$3,0))</f>
        <v/>
      </c>
      <c r="H732" s="70" t="str">
        <f>IF(D732="","",'Prod 2'!K732)</f>
        <v/>
      </c>
      <c r="I732" s="77" t="str">
        <f t="shared" si="79"/>
        <v/>
      </c>
      <c r="J732" s="57"/>
      <c r="L732" s="19">
        <v>7.2799999999999995E-7</v>
      </c>
      <c r="M732" s="59">
        <f t="shared" si="80"/>
        <v>0</v>
      </c>
      <c r="N732" s="59">
        <f t="shared" si="81"/>
        <v>0</v>
      </c>
      <c r="O732" s="59">
        <f t="shared" si="82"/>
        <v>0</v>
      </c>
      <c r="P732" s="19" t="str">
        <f t="shared" si="83"/>
        <v/>
      </c>
      <c r="Q732" s="19" t="s">
        <v>768</v>
      </c>
    </row>
    <row r="733" spans="2:17" ht="30" customHeight="1" x14ac:dyDescent="0.25">
      <c r="B733" s="62" t="str">
        <f t="shared" si="77"/>
        <v/>
      </c>
      <c r="C733" s="42">
        <v>729</v>
      </c>
      <c r="D733" s="20"/>
      <c r="E733" s="58"/>
      <c r="F733" s="63" t="str">
        <f t="shared" si="78"/>
        <v/>
      </c>
      <c r="G733" s="66" t="str">
        <f>IF(D733="","",IFERROR('Prod 3'!H733/'Prod 3'!$H$3,0))</f>
        <v/>
      </c>
      <c r="H733" s="70" t="str">
        <f>IF(D733="","",'Prod 2'!K733)</f>
        <v/>
      </c>
      <c r="I733" s="77" t="str">
        <f t="shared" si="79"/>
        <v/>
      </c>
      <c r="J733" s="57"/>
      <c r="L733" s="19">
        <v>7.2900000000000003E-7</v>
      </c>
      <c r="M733" s="59">
        <f t="shared" si="80"/>
        <v>0</v>
      </c>
      <c r="N733" s="59">
        <f t="shared" si="81"/>
        <v>0</v>
      </c>
      <c r="O733" s="59">
        <f t="shared" si="82"/>
        <v>0</v>
      </c>
      <c r="P733" s="19" t="str">
        <f t="shared" si="83"/>
        <v/>
      </c>
      <c r="Q733" s="19" t="s">
        <v>769</v>
      </c>
    </row>
    <row r="734" spans="2:17" ht="30" customHeight="1" x14ac:dyDescent="0.25">
      <c r="B734" s="62" t="str">
        <f t="shared" si="77"/>
        <v/>
      </c>
      <c r="C734" s="42">
        <v>730</v>
      </c>
      <c r="D734" s="20"/>
      <c r="E734" s="58"/>
      <c r="F734" s="63" t="str">
        <f t="shared" si="78"/>
        <v/>
      </c>
      <c r="G734" s="66" t="str">
        <f>IF(D734="","",IFERROR('Prod 3'!H734/'Prod 3'!$H$3,0))</f>
        <v/>
      </c>
      <c r="H734" s="70" t="str">
        <f>IF(D734="","",'Prod 2'!K734)</f>
        <v/>
      </c>
      <c r="I734" s="77" t="str">
        <f t="shared" si="79"/>
        <v/>
      </c>
      <c r="J734" s="57"/>
      <c r="L734" s="19">
        <v>7.3E-7</v>
      </c>
      <c r="M734" s="59">
        <f t="shared" si="80"/>
        <v>0</v>
      </c>
      <c r="N734" s="59">
        <f t="shared" si="81"/>
        <v>0</v>
      </c>
      <c r="O734" s="59">
        <f t="shared" si="82"/>
        <v>0</v>
      </c>
      <c r="P734" s="19" t="str">
        <f t="shared" si="83"/>
        <v/>
      </c>
      <c r="Q734" s="19" t="s">
        <v>770</v>
      </c>
    </row>
    <row r="735" spans="2:17" ht="30" customHeight="1" x14ac:dyDescent="0.25">
      <c r="B735" s="62" t="str">
        <f t="shared" si="77"/>
        <v/>
      </c>
      <c r="C735" s="42">
        <v>731</v>
      </c>
      <c r="D735" s="20"/>
      <c r="E735" s="58"/>
      <c r="F735" s="63" t="str">
        <f t="shared" si="78"/>
        <v/>
      </c>
      <c r="G735" s="66" t="str">
        <f>IF(D735="","",IFERROR('Prod 3'!H735/'Prod 3'!$H$3,0))</f>
        <v/>
      </c>
      <c r="H735" s="70" t="str">
        <f>IF(D735="","",'Prod 2'!K735)</f>
        <v/>
      </c>
      <c r="I735" s="77" t="str">
        <f t="shared" si="79"/>
        <v/>
      </c>
      <c r="J735" s="57"/>
      <c r="L735" s="19">
        <v>7.3099999999999997E-7</v>
      </c>
      <c r="M735" s="59">
        <f t="shared" si="80"/>
        <v>0</v>
      </c>
      <c r="N735" s="59">
        <f t="shared" si="81"/>
        <v>0</v>
      </c>
      <c r="O735" s="59">
        <f t="shared" si="82"/>
        <v>0</v>
      </c>
      <c r="P735" s="19" t="str">
        <f t="shared" si="83"/>
        <v/>
      </c>
      <c r="Q735" s="19" t="s">
        <v>771</v>
      </c>
    </row>
    <row r="736" spans="2:17" ht="30" customHeight="1" x14ac:dyDescent="0.25">
      <c r="B736" s="62" t="str">
        <f t="shared" si="77"/>
        <v/>
      </c>
      <c r="C736" s="42">
        <v>732</v>
      </c>
      <c r="D736" s="20"/>
      <c r="E736" s="58"/>
      <c r="F736" s="63" t="str">
        <f t="shared" si="78"/>
        <v/>
      </c>
      <c r="G736" s="66" t="str">
        <f>IF(D736="","",IFERROR('Prod 3'!H736/'Prod 3'!$H$3,0))</f>
        <v/>
      </c>
      <c r="H736" s="70" t="str">
        <f>IF(D736="","",'Prod 2'!K736)</f>
        <v/>
      </c>
      <c r="I736" s="77" t="str">
        <f t="shared" si="79"/>
        <v/>
      </c>
      <c r="J736" s="57"/>
      <c r="L736" s="19">
        <v>7.3200000000000004E-7</v>
      </c>
      <c r="M736" s="59">
        <f t="shared" si="80"/>
        <v>0</v>
      </c>
      <c r="N736" s="59">
        <f t="shared" si="81"/>
        <v>0</v>
      </c>
      <c r="O736" s="59">
        <f t="shared" si="82"/>
        <v>0</v>
      </c>
      <c r="P736" s="19" t="str">
        <f t="shared" si="83"/>
        <v/>
      </c>
      <c r="Q736" s="19" t="s">
        <v>772</v>
      </c>
    </row>
    <row r="737" spans="2:17" ht="30" customHeight="1" x14ac:dyDescent="0.25">
      <c r="B737" s="62" t="str">
        <f t="shared" si="77"/>
        <v/>
      </c>
      <c r="C737" s="42">
        <v>733</v>
      </c>
      <c r="D737" s="20"/>
      <c r="E737" s="58"/>
      <c r="F737" s="63" t="str">
        <f t="shared" si="78"/>
        <v/>
      </c>
      <c r="G737" s="66" t="str">
        <f>IF(D737="","",IFERROR('Prod 3'!H737/'Prod 3'!$H$3,0))</f>
        <v/>
      </c>
      <c r="H737" s="70" t="str">
        <f>IF(D737="","",'Prod 2'!K737)</f>
        <v/>
      </c>
      <c r="I737" s="77" t="str">
        <f t="shared" si="79"/>
        <v/>
      </c>
      <c r="J737" s="57"/>
      <c r="L737" s="19">
        <v>7.3300000000000001E-7</v>
      </c>
      <c r="M737" s="59">
        <f t="shared" si="80"/>
        <v>0</v>
      </c>
      <c r="N737" s="59">
        <f t="shared" si="81"/>
        <v>0</v>
      </c>
      <c r="O737" s="59">
        <f t="shared" si="82"/>
        <v>0</v>
      </c>
      <c r="P737" s="19" t="str">
        <f t="shared" si="83"/>
        <v/>
      </c>
      <c r="Q737" s="19" t="s">
        <v>773</v>
      </c>
    </row>
    <row r="738" spans="2:17" ht="30" customHeight="1" x14ac:dyDescent="0.25">
      <c r="B738" s="62" t="str">
        <f t="shared" si="77"/>
        <v/>
      </c>
      <c r="C738" s="42">
        <v>734</v>
      </c>
      <c r="D738" s="20"/>
      <c r="E738" s="58"/>
      <c r="F738" s="63" t="str">
        <f t="shared" si="78"/>
        <v/>
      </c>
      <c r="G738" s="66" t="str">
        <f>IF(D738="","",IFERROR('Prod 3'!H738/'Prod 3'!$H$3,0))</f>
        <v/>
      </c>
      <c r="H738" s="70" t="str">
        <f>IF(D738="","",'Prod 2'!K738)</f>
        <v/>
      </c>
      <c r="I738" s="77" t="str">
        <f t="shared" si="79"/>
        <v/>
      </c>
      <c r="J738" s="57"/>
      <c r="L738" s="19">
        <v>7.3399999999999998E-7</v>
      </c>
      <c r="M738" s="59">
        <f t="shared" si="80"/>
        <v>0</v>
      </c>
      <c r="N738" s="59">
        <f t="shared" si="81"/>
        <v>0</v>
      </c>
      <c r="O738" s="59">
        <f t="shared" si="82"/>
        <v>0</v>
      </c>
      <c r="P738" s="19" t="str">
        <f t="shared" si="83"/>
        <v/>
      </c>
      <c r="Q738" s="19" t="s">
        <v>774</v>
      </c>
    </row>
    <row r="739" spans="2:17" ht="30" customHeight="1" x14ac:dyDescent="0.25">
      <c r="B739" s="62" t="str">
        <f t="shared" si="77"/>
        <v/>
      </c>
      <c r="C739" s="42">
        <v>735</v>
      </c>
      <c r="D739" s="20"/>
      <c r="E739" s="58"/>
      <c r="F739" s="63" t="str">
        <f t="shared" si="78"/>
        <v/>
      </c>
      <c r="G739" s="66" t="str">
        <f>IF(D739="","",IFERROR('Prod 3'!H739/'Prod 3'!$H$3,0))</f>
        <v/>
      </c>
      <c r="H739" s="70" t="str">
        <f>IF(D739="","",'Prod 2'!K739)</f>
        <v/>
      </c>
      <c r="I739" s="77" t="str">
        <f t="shared" si="79"/>
        <v/>
      </c>
      <c r="J739" s="57"/>
      <c r="L739" s="19">
        <v>7.3499999999999995E-7</v>
      </c>
      <c r="M739" s="59">
        <f t="shared" si="80"/>
        <v>0</v>
      </c>
      <c r="N739" s="59">
        <f t="shared" si="81"/>
        <v>0</v>
      </c>
      <c r="O739" s="59">
        <f t="shared" si="82"/>
        <v>0</v>
      </c>
      <c r="P739" s="19" t="str">
        <f t="shared" si="83"/>
        <v/>
      </c>
      <c r="Q739" s="19" t="s">
        <v>775</v>
      </c>
    </row>
    <row r="740" spans="2:17" ht="30" customHeight="1" x14ac:dyDescent="0.25">
      <c r="B740" s="62" t="str">
        <f t="shared" si="77"/>
        <v/>
      </c>
      <c r="C740" s="42">
        <v>736</v>
      </c>
      <c r="D740" s="20"/>
      <c r="E740" s="58"/>
      <c r="F740" s="63" t="str">
        <f t="shared" si="78"/>
        <v/>
      </c>
      <c r="G740" s="66" t="str">
        <f>IF(D740="","",IFERROR('Prod 3'!H740/'Prod 3'!$H$3,0))</f>
        <v/>
      </c>
      <c r="H740" s="70" t="str">
        <f>IF(D740="","",'Prod 2'!K740)</f>
        <v/>
      </c>
      <c r="I740" s="77" t="str">
        <f t="shared" si="79"/>
        <v/>
      </c>
      <c r="J740" s="57"/>
      <c r="L740" s="19">
        <v>7.3600000000000003E-7</v>
      </c>
      <c r="M740" s="59">
        <f t="shared" si="80"/>
        <v>0</v>
      </c>
      <c r="N740" s="59">
        <f t="shared" si="81"/>
        <v>0</v>
      </c>
      <c r="O740" s="59">
        <f t="shared" si="82"/>
        <v>0</v>
      </c>
      <c r="P740" s="19" t="str">
        <f t="shared" si="83"/>
        <v/>
      </c>
      <c r="Q740" s="19" t="s">
        <v>776</v>
      </c>
    </row>
    <row r="741" spans="2:17" ht="30" customHeight="1" x14ac:dyDescent="0.25">
      <c r="B741" s="62" t="str">
        <f t="shared" si="77"/>
        <v/>
      </c>
      <c r="C741" s="42">
        <v>737</v>
      </c>
      <c r="D741" s="20"/>
      <c r="E741" s="58"/>
      <c r="F741" s="63" t="str">
        <f t="shared" si="78"/>
        <v/>
      </c>
      <c r="G741" s="66" t="str">
        <f>IF(D741="","",IFERROR('Prod 3'!H741/'Prod 3'!$H$3,0))</f>
        <v/>
      </c>
      <c r="H741" s="70" t="str">
        <f>IF(D741="","",'Prod 2'!K741)</f>
        <v/>
      </c>
      <c r="I741" s="77" t="str">
        <f t="shared" si="79"/>
        <v/>
      </c>
      <c r="J741" s="57"/>
      <c r="L741" s="19">
        <v>7.37E-7</v>
      </c>
      <c r="M741" s="59">
        <f t="shared" si="80"/>
        <v>0</v>
      </c>
      <c r="N741" s="59">
        <f t="shared" si="81"/>
        <v>0</v>
      </c>
      <c r="O741" s="59">
        <f t="shared" si="82"/>
        <v>0</v>
      </c>
      <c r="P741" s="19" t="str">
        <f t="shared" si="83"/>
        <v/>
      </c>
      <c r="Q741" s="19" t="s">
        <v>777</v>
      </c>
    </row>
    <row r="742" spans="2:17" ht="30" customHeight="1" x14ac:dyDescent="0.25">
      <c r="B742" s="62" t="str">
        <f t="shared" si="77"/>
        <v/>
      </c>
      <c r="C742" s="42">
        <v>738</v>
      </c>
      <c r="D742" s="20"/>
      <c r="E742" s="58"/>
      <c r="F742" s="63" t="str">
        <f t="shared" si="78"/>
        <v/>
      </c>
      <c r="G742" s="66" t="str">
        <f>IF(D742="","",IFERROR('Prod 3'!H742/'Prod 3'!$H$3,0))</f>
        <v/>
      </c>
      <c r="H742" s="70" t="str">
        <f>IF(D742="","",'Prod 2'!K742)</f>
        <v/>
      </c>
      <c r="I742" s="77" t="str">
        <f t="shared" si="79"/>
        <v/>
      </c>
      <c r="J742" s="57"/>
      <c r="L742" s="19">
        <v>7.3799999999999996E-7</v>
      </c>
      <c r="M742" s="59">
        <f t="shared" si="80"/>
        <v>0</v>
      </c>
      <c r="N742" s="59">
        <f t="shared" si="81"/>
        <v>0</v>
      </c>
      <c r="O742" s="59">
        <f t="shared" si="82"/>
        <v>0</v>
      </c>
      <c r="P742" s="19" t="str">
        <f t="shared" si="83"/>
        <v/>
      </c>
      <c r="Q742" s="19" t="s">
        <v>778</v>
      </c>
    </row>
    <row r="743" spans="2:17" ht="30" customHeight="1" x14ac:dyDescent="0.25">
      <c r="B743" s="62" t="str">
        <f t="shared" si="77"/>
        <v/>
      </c>
      <c r="C743" s="42">
        <v>739</v>
      </c>
      <c r="D743" s="20"/>
      <c r="E743" s="58"/>
      <c r="F743" s="63" t="str">
        <f t="shared" si="78"/>
        <v/>
      </c>
      <c r="G743" s="66" t="str">
        <f>IF(D743="","",IFERROR('Prod 3'!H743/'Prod 3'!$H$3,0))</f>
        <v/>
      </c>
      <c r="H743" s="70" t="str">
        <f>IF(D743="","",'Prod 2'!K743)</f>
        <v/>
      </c>
      <c r="I743" s="77" t="str">
        <f t="shared" si="79"/>
        <v/>
      </c>
      <c r="J743" s="57"/>
      <c r="L743" s="19">
        <v>7.3900000000000004E-7</v>
      </c>
      <c r="M743" s="59">
        <f t="shared" si="80"/>
        <v>0</v>
      </c>
      <c r="N743" s="59">
        <f t="shared" si="81"/>
        <v>0</v>
      </c>
      <c r="O743" s="59">
        <f t="shared" si="82"/>
        <v>0</v>
      </c>
      <c r="P743" s="19" t="str">
        <f t="shared" si="83"/>
        <v/>
      </c>
      <c r="Q743" s="19" t="s">
        <v>779</v>
      </c>
    </row>
    <row r="744" spans="2:17" ht="30" customHeight="1" x14ac:dyDescent="0.25">
      <c r="B744" s="62" t="str">
        <f t="shared" si="77"/>
        <v/>
      </c>
      <c r="C744" s="42">
        <v>740</v>
      </c>
      <c r="D744" s="20"/>
      <c r="E744" s="58"/>
      <c r="F744" s="63" t="str">
        <f t="shared" si="78"/>
        <v/>
      </c>
      <c r="G744" s="66" t="str">
        <f>IF(D744="","",IFERROR('Prod 3'!H744/'Prod 3'!$H$3,0))</f>
        <v/>
      </c>
      <c r="H744" s="70" t="str">
        <f>IF(D744="","",'Prod 2'!K744)</f>
        <v/>
      </c>
      <c r="I744" s="77" t="str">
        <f t="shared" si="79"/>
        <v/>
      </c>
      <c r="J744" s="57"/>
      <c r="L744" s="19">
        <v>7.4000000000000001E-7</v>
      </c>
      <c r="M744" s="59">
        <f t="shared" si="80"/>
        <v>0</v>
      </c>
      <c r="N744" s="59">
        <f t="shared" si="81"/>
        <v>0</v>
      </c>
      <c r="O744" s="59">
        <f t="shared" si="82"/>
        <v>0</v>
      </c>
      <c r="P744" s="19" t="str">
        <f t="shared" si="83"/>
        <v/>
      </c>
      <c r="Q744" s="19" t="s">
        <v>780</v>
      </c>
    </row>
    <row r="745" spans="2:17" ht="30" customHeight="1" x14ac:dyDescent="0.25">
      <c r="B745" s="62" t="str">
        <f t="shared" si="77"/>
        <v/>
      </c>
      <c r="C745" s="42">
        <v>741</v>
      </c>
      <c r="D745" s="20"/>
      <c r="E745" s="58"/>
      <c r="F745" s="63" t="str">
        <f t="shared" si="78"/>
        <v/>
      </c>
      <c r="G745" s="66" t="str">
        <f>IF(D745="","",IFERROR('Prod 3'!H745/'Prod 3'!$H$3,0))</f>
        <v/>
      </c>
      <c r="H745" s="70" t="str">
        <f>IF(D745="","",'Prod 2'!K745)</f>
        <v/>
      </c>
      <c r="I745" s="77" t="str">
        <f t="shared" si="79"/>
        <v/>
      </c>
      <c r="J745" s="57"/>
      <c r="L745" s="19">
        <v>7.4099999999999998E-7</v>
      </c>
      <c r="M745" s="59">
        <f t="shared" si="80"/>
        <v>0</v>
      </c>
      <c r="N745" s="59">
        <f t="shared" si="81"/>
        <v>0</v>
      </c>
      <c r="O745" s="59">
        <f t="shared" si="82"/>
        <v>0</v>
      </c>
      <c r="P745" s="19" t="str">
        <f t="shared" si="83"/>
        <v/>
      </c>
      <c r="Q745" s="19" t="s">
        <v>781</v>
      </c>
    </row>
    <row r="746" spans="2:17" ht="30" customHeight="1" x14ac:dyDescent="0.25">
      <c r="B746" s="62" t="str">
        <f t="shared" si="77"/>
        <v/>
      </c>
      <c r="C746" s="42">
        <v>742</v>
      </c>
      <c r="D746" s="20"/>
      <c r="E746" s="58"/>
      <c r="F746" s="63" t="str">
        <f t="shared" si="78"/>
        <v/>
      </c>
      <c r="G746" s="66" t="str">
        <f>IF(D746="","",IFERROR('Prod 3'!H746/'Prod 3'!$H$3,0))</f>
        <v/>
      </c>
      <c r="H746" s="70" t="str">
        <f>IF(D746="","",'Prod 2'!K746)</f>
        <v/>
      </c>
      <c r="I746" s="77" t="str">
        <f t="shared" si="79"/>
        <v/>
      </c>
      <c r="J746" s="57"/>
      <c r="L746" s="19">
        <v>7.4199999999999995E-7</v>
      </c>
      <c r="M746" s="59">
        <f t="shared" si="80"/>
        <v>0</v>
      </c>
      <c r="N746" s="59">
        <f t="shared" si="81"/>
        <v>0</v>
      </c>
      <c r="O746" s="59">
        <f t="shared" si="82"/>
        <v>0</v>
      </c>
      <c r="P746" s="19" t="str">
        <f t="shared" si="83"/>
        <v/>
      </c>
      <c r="Q746" s="19" t="s">
        <v>782</v>
      </c>
    </row>
    <row r="747" spans="2:17" ht="30" customHeight="1" x14ac:dyDescent="0.25">
      <c r="B747" s="62" t="str">
        <f t="shared" si="77"/>
        <v/>
      </c>
      <c r="C747" s="42">
        <v>743</v>
      </c>
      <c r="D747" s="20"/>
      <c r="E747" s="58"/>
      <c r="F747" s="63" t="str">
        <f t="shared" si="78"/>
        <v/>
      </c>
      <c r="G747" s="66" t="str">
        <f>IF(D747="","",IFERROR('Prod 3'!H747/'Prod 3'!$H$3,0))</f>
        <v/>
      </c>
      <c r="H747" s="70" t="str">
        <f>IF(D747="","",'Prod 2'!K747)</f>
        <v/>
      </c>
      <c r="I747" s="77" t="str">
        <f t="shared" si="79"/>
        <v/>
      </c>
      <c r="J747" s="57"/>
      <c r="L747" s="19">
        <v>7.4300000000000002E-7</v>
      </c>
      <c r="M747" s="59">
        <f t="shared" si="80"/>
        <v>0</v>
      </c>
      <c r="N747" s="59">
        <f t="shared" si="81"/>
        <v>0</v>
      </c>
      <c r="O747" s="59">
        <f t="shared" si="82"/>
        <v>0</v>
      </c>
      <c r="P747" s="19" t="str">
        <f t="shared" si="83"/>
        <v/>
      </c>
      <c r="Q747" s="19" t="s">
        <v>783</v>
      </c>
    </row>
    <row r="748" spans="2:17" ht="30" customHeight="1" x14ac:dyDescent="0.25">
      <c r="B748" s="62" t="str">
        <f t="shared" si="77"/>
        <v/>
      </c>
      <c r="C748" s="42">
        <v>744</v>
      </c>
      <c r="D748" s="20"/>
      <c r="E748" s="58"/>
      <c r="F748" s="63" t="str">
        <f t="shared" si="78"/>
        <v/>
      </c>
      <c r="G748" s="66" t="str">
        <f>IF(D748="","",IFERROR('Prod 3'!H748/'Prod 3'!$H$3,0))</f>
        <v/>
      </c>
      <c r="H748" s="70" t="str">
        <f>IF(D748="","",'Prod 2'!K748)</f>
        <v/>
      </c>
      <c r="I748" s="77" t="str">
        <f t="shared" si="79"/>
        <v/>
      </c>
      <c r="J748" s="57"/>
      <c r="L748" s="19">
        <v>7.4399999999999999E-7</v>
      </c>
      <c r="M748" s="59">
        <f t="shared" si="80"/>
        <v>0</v>
      </c>
      <c r="N748" s="59">
        <f t="shared" si="81"/>
        <v>0</v>
      </c>
      <c r="O748" s="59">
        <f t="shared" si="82"/>
        <v>0</v>
      </c>
      <c r="P748" s="19" t="str">
        <f t="shared" si="83"/>
        <v/>
      </c>
      <c r="Q748" s="19" t="s">
        <v>784</v>
      </c>
    </row>
    <row r="749" spans="2:17" ht="30" customHeight="1" x14ac:dyDescent="0.25">
      <c r="B749" s="62" t="str">
        <f t="shared" si="77"/>
        <v/>
      </c>
      <c r="C749" s="42">
        <v>745</v>
      </c>
      <c r="D749" s="20"/>
      <c r="E749" s="58"/>
      <c r="F749" s="63" t="str">
        <f t="shared" si="78"/>
        <v/>
      </c>
      <c r="G749" s="66" t="str">
        <f>IF(D749="","",IFERROR('Prod 3'!H749/'Prod 3'!$H$3,0))</f>
        <v/>
      </c>
      <c r="H749" s="70" t="str">
        <f>IF(D749="","",'Prod 2'!K749)</f>
        <v/>
      </c>
      <c r="I749" s="77" t="str">
        <f t="shared" si="79"/>
        <v/>
      </c>
      <c r="J749" s="57"/>
      <c r="L749" s="19">
        <v>7.4499999999999996E-7</v>
      </c>
      <c r="M749" s="59">
        <f t="shared" si="80"/>
        <v>0</v>
      </c>
      <c r="N749" s="59">
        <f t="shared" si="81"/>
        <v>0</v>
      </c>
      <c r="O749" s="59">
        <f t="shared" si="82"/>
        <v>0</v>
      </c>
      <c r="P749" s="19" t="str">
        <f t="shared" si="83"/>
        <v/>
      </c>
      <c r="Q749" s="19" t="s">
        <v>785</v>
      </c>
    </row>
    <row r="750" spans="2:17" ht="30" customHeight="1" x14ac:dyDescent="0.25">
      <c r="B750" s="62" t="str">
        <f t="shared" si="77"/>
        <v/>
      </c>
      <c r="C750" s="42">
        <v>746</v>
      </c>
      <c r="D750" s="20"/>
      <c r="E750" s="58"/>
      <c r="F750" s="63" t="str">
        <f t="shared" si="78"/>
        <v/>
      </c>
      <c r="G750" s="66" t="str">
        <f>IF(D750="","",IFERROR('Prod 3'!H750/'Prod 3'!$H$3,0))</f>
        <v/>
      </c>
      <c r="H750" s="70" t="str">
        <f>IF(D750="","",'Prod 2'!K750)</f>
        <v/>
      </c>
      <c r="I750" s="77" t="str">
        <f t="shared" si="79"/>
        <v/>
      </c>
      <c r="J750" s="57"/>
      <c r="L750" s="19">
        <v>7.4600000000000004E-7</v>
      </c>
      <c r="M750" s="59">
        <f t="shared" si="80"/>
        <v>0</v>
      </c>
      <c r="N750" s="59">
        <f t="shared" si="81"/>
        <v>0</v>
      </c>
      <c r="O750" s="59">
        <f t="shared" si="82"/>
        <v>0</v>
      </c>
      <c r="P750" s="19" t="str">
        <f t="shared" si="83"/>
        <v/>
      </c>
      <c r="Q750" s="19" t="s">
        <v>786</v>
      </c>
    </row>
    <row r="751" spans="2:17" ht="30" customHeight="1" x14ac:dyDescent="0.25">
      <c r="B751" s="62" t="str">
        <f t="shared" si="77"/>
        <v/>
      </c>
      <c r="C751" s="42">
        <v>747</v>
      </c>
      <c r="D751" s="20"/>
      <c r="E751" s="58"/>
      <c r="F751" s="63" t="str">
        <f t="shared" si="78"/>
        <v/>
      </c>
      <c r="G751" s="66" t="str">
        <f>IF(D751="","",IFERROR('Prod 3'!H751/'Prod 3'!$H$3,0))</f>
        <v/>
      </c>
      <c r="H751" s="70" t="str">
        <f>IF(D751="","",'Prod 2'!K751)</f>
        <v/>
      </c>
      <c r="I751" s="77" t="str">
        <f t="shared" si="79"/>
        <v/>
      </c>
      <c r="J751" s="57"/>
      <c r="L751" s="19">
        <v>7.4700000000000001E-7</v>
      </c>
      <c r="M751" s="59">
        <f t="shared" si="80"/>
        <v>0</v>
      </c>
      <c r="N751" s="59">
        <f t="shared" si="81"/>
        <v>0</v>
      </c>
      <c r="O751" s="59">
        <f t="shared" si="82"/>
        <v>0</v>
      </c>
      <c r="P751" s="19" t="str">
        <f t="shared" si="83"/>
        <v/>
      </c>
      <c r="Q751" s="19" t="s">
        <v>787</v>
      </c>
    </row>
    <row r="752" spans="2:17" ht="30" customHeight="1" x14ac:dyDescent="0.25">
      <c r="B752" s="62" t="str">
        <f t="shared" si="77"/>
        <v/>
      </c>
      <c r="C752" s="42">
        <v>748</v>
      </c>
      <c r="D752" s="20"/>
      <c r="E752" s="58"/>
      <c r="F752" s="63" t="str">
        <f t="shared" si="78"/>
        <v/>
      </c>
      <c r="G752" s="66" t="str">
        <f>IF(D752="","",IFERROR('Prod 3'!H752/'Prod 3'!$H$3,0))</f>
        <v/>
      </c>
      <c r="H752" s="70" t="str">
        <f>IF(D752="","",'Prod 2'!K752)</f>
        <v/>
      </c>
      <c r="I752" s="77" t="str">
        <f t="shared" si="79"/>
        <v/>
      </c>
      <c r="J752" s="57"/>
      <c r="L752" s="19">
        <v>7.4799999999999997E-7</v>
      </c>
      <c r="M752" s="59">
        <f t="shared" si="80"/>
        <v>0</v>
      </c>
      <c r="N752" s="59">
        <f t="shared" si="81"/>
        <v>0</v>
      </c>
      <c r="O752" s="59">
        <f t="shared" si="82"/>
        <v>0</v>
      </c>
      <c r="P752" s="19" t="str">
        <f t="shared" si="83"/>
        <v/>
      </c>
      <c r="Q752" s="19" t="s">
        <v>788</v>
      </c>
    </row>
    <row r="753" spans="2:17" ht="30" customHeight="1" x14ac:dyDescent="0.25">
      <c r="B753" s="62" t="str">
        <f t="shared" si="77"/>
        <v/>
      </c>
      <c r="C753" s="42">
        <v>749</v>
      </c>
      <c r="D753" s="20"/>
      <c r="E753" s="58"/>
      <c r="F753" s="63" t="str">
        <f t="shared" si="78"/>
        <v/>
      </c>
      <c r="G753" s="66" t="str">
        <f>IF(D753="","",IFERROR('Prod 3'!H753/'Prod 3'!$H$3,0))</f>
        <v/>
      </c>
      <c r="H753" s="70" t="str">
        <f>IF(D753="","",'Prod 2'!K753)</f>
        <v/>
      </c>
      <c r="I753" s="77" t="str">
        <f t="shared" si="79"/>
        <v/>
      </c>
      <c r="J753" s="57"/>
      <c r="L753" s="19">
        <v>7.4900000000000005E-7</v>
      </c>
      <c r="M753" s="59">
        <f t="shared" si="80"/>
        <v>0</v>
      </c>
      <c r="N753" s="59">
        <f t="shared" si="81"/>
        <v>0</v>
      </c>
      <c r="O753" s="59">
        <f t="shared" si="82"/>
        <v>0</v>
      </c>
      <c r="P753" s="19" t="str">
        <f t="shared" si="83"/>
        <v/>
      </c>
      <c r="Q753" s="19" t="s">
        <v>789</v>
      </c>
    </row>
    <row r="754" spans="2:17" ht="30" customHeight="1" x14ac:dyDescent="0.25">
      <c r="B754" s="62" t="str">
        <f t="shared" si="77"/>
        <v/>
      </c>
      <c r="C754" s="42">
        <v>750</v>
      </c>
      <c r="D754" s="20"/>
      <c r="E754" s="58"/>
      <c r="F754" s="63" t="str">
        <f t="shared" si="78"/>
        <v/>
      </c>
      <c r="G754" s="66" t="str">
        <f>IF(D754="","",IFERROR('Prod 3'!H754/'Prod 3'!$H$3,0))</f>
        <v/>
      </c>
      <c r="H754" s="70" t="str">
        <f>IF(D754="","",'Prod 2'!K754)</f>
        <v/>
      </c>
      <c r="I754" s="77" t="str">
        <f t="shared" si="79"/>
        <v/>
      </c>
      <c r="J754" s="57"/>
      <c r="L754" s="19">
        <v>7.5000000000000002E-7</v>
      </c>
      <c r="M754" s="59">
        <f t="shared" si="80"/>
        <v>0</v>
      </c>
      <c r="N754" s="59">
        <f t="shared" si="81"/>
        <v>0</v>
      </c>
      <c r="O754" s="59">
        <f t="shared" si="82"/>
        <v>0</v>
      </c>
      <c r="P754" s="19" t="str">
        <f t="shared" si="83"/>
        <v/>
      </c>
      <c r="Q754" s="19" t="s">
        <v>790</v>
      </c>
    </row>
    <row r="755" spans="2:17" ht="30" customHeight="1" x14ac:dyDescent="0.25">
      <c r="B755" s="62" t="str">
        <f t="shared" si="77"/>
        <v/>
      </c>
      <c r="C755" s="42">
        <v>751</v>
      </c>
      <c r="D755" s="20"/>
      <c r="E755" s="58"/>
      <c r="F755" s="63" t="str">
        <f t="shared" si="78"/>
        <v/>
      </c>
      <c r="G755" s="66" t="str">
        <f>IF(D755="","",IFERROR('Prod 3'!H755/'Prod 3'!$H$3,0))</f>
        <v/>
      </c>
      <c r="H755" s="70" t="str">
        <f>IF(D755="","",'Prod 2'!K755)</f>
        <v/>
      </c>
      <c r="I755" s="77" t="str">
        <f t="shared" si="79"/>
        <v/>
      </c>
      <c r="J755" s="57"/>
      <c r="L755" s="19">
        <v>7.5099999999999999E-7</v>
      </c>
      <c r="M755" s="59">
        <f t="shared" si="80"/>
        <v>0</v>
      </c>
      <c r="N755" s="59">
        <f t="shared" si="81"/>
        <v>0</v>
      </c>
      <c r="O755" s="59">
        <f t="shared" si="82"/>
        <v>0</v>
      </c>
      <c r="P755" s="19" t="str">
        <f t="shared" si="83"/>
        <v/>
      </c>
      <c r="Q755" s="19" t="s">
        <v>791</v>
      </c>
    </row>
    <row r="756" spans="2:17" ht="30" customHeight="1" x14ac:dyDescent="0.25">
      <c r="B756" s="62" t="str">
        <f t="shared" si="77"/>
        <v/>
      </c>
      <c r="C756" s="42">
        <v>752</v>
      </c>
      <c r="D756" s="20"/>
      <c r="E756" s="58"/>
      <c r="F756" s="63" t="str">
        <f t="shared" si="78"/>
        <v/>
      </c>
      <c r="G756" s="66" t="str">
        <f>IF(D756="","",IFERROR('Prod 3'!H756/'Prod 3'!$H$3,0))</f>
        <v/>
      </c>
      <c r="H756" s="70" t="str">
        <f>IF(D756="","",'Prod 2'!K756)</f>
        <v/>
      </c>
      <c r="I756" s="77" t="str">
        <f t="shared" si="79"/>
        <v/>
      </c>
      <c r="J756" s="57"/>
      <c r="L756" s="19">
        <v>7.5199999999999996E-7</v>
      </c>
      <c r="M756" s="59">
        <f t="shared" si="80"/>
        <v>0</v>
      </c>
      <c r="N756" s="59">
        <f t="shared" si="81"/>
        <v>0</v>
      </c>
      <c r="O756" s="59">
        <f t="shared" si="82"/>
        <v>0</v>
      </c>
      <c r="P756" s="19" t="str">
        <f t="shared" si="83"/>
        <v/>
      </c>
      <c r="Q756" s="19" t="s">
        <v>792</v>
      </c>
    </row>
    <row r="757" spans="2:17" ht="30" customHeight="1" x14ac:dyDescent="0.25">
      <c r="B757" s="62" t="str">
        <f t="shared" si="77"/>
        <v/>
      </c>
      <c r="C757" s="42">
        <v>753</v>
      </c>
      <c r="D757" s="20"/>
      <c r="E757" s="58"/>
      <c r="F757" s="63" t="str">
        <f t="shared" si="78"/>
        <v/>
      </c>
      <c r="G757" s="66" t="str">
        <f>IF(D757="","",IFERROR('Prod 3'!H757/'Prod 3'!$H$3,0))</f>
        <v/>
      </c>
      <c r="H757" s="70" t="str">
        <f>IF(D757="","",'Prod 2'!K757)</f>
        <v/>
      </c>
      <c r="I757" s="77" t="str">
        <f t="shared" si="79"/>
        <v/>
      </c>
      <c r="J757" s="57"/>
      <c r="L757" s="19">
        <v>7.5300000000000003E-7</v>
      </c>
      <c r="M757" s="59">
        <f t="shared" si="80"/>
        <v>0</v>
      </c>
      <c r="N757" s="59">
        <f t="shared" si="81"/>
        <v>0</v>
      </c>
      <c r="O757" s="59">
        <f t="shared" si="82"/>
        <v>0</v>
      </c>
      <c r="P757" s="19" t="str">
        <f t="shared" si="83"/>
        <v/>
      </c>
      <c r="Q757" s="19" t="s">
        <v>793</v>
      </c>
    </row>
    <row r="758" spans="2:17" ht="30" customHeight="1" x14ac:dyDescent="0.25">
      <c r="B758" s="62" t="str">
        <f t="shared" si="77"/>
        <v/>
      </c>
      <c r="C758" s="42">
        <v>754</v>
      </c>
      <c r="D758" s="20"/>
      <c r="E758" s="58"/>
      <c r="F758" s="63" t="str">
        <f t="shared" si="78"/>
        <v/>
      </c>
      <c r="G758" s="66" t="str">
        <f>IF(D758="","",IFERROR('Prod 3'!H758/'Prod 3'!$H$3,0))</f>
        <v/>
      </c>
      <c r="H758" s="70" t="str">
        <f>IF(D758="","",'Prod 2'!K758)</f>
        <v/>
      </c>
      <c r="I758" s="77" t="str">
        <f t="shared" si="79"/>
        <v/>
      </c>
      <c r="J758" s="57"/>
      <c r="L758" s="19">
        <v>7.54E-7</v>
      </c>
      <c r="M758" s="59">
        <f t="shared" si="80"/>
        <v>0</v>
      </c>
      <c r="N758" s="59">
        <f t="shared" si="81"/>
        <v>0</v>
      </c>
      <c r="O758" s="59">
        <f t="shared" si="82"/>
        <v>0</v>
      </c>
      <c r="P758" s="19" t="str">
        <f t="shared" si="83"/>
        <v/>
      </c>
      <c r="Q758" s="19" t="s">
        <v>794</v>
      </c>
    </row>
    <row r="759" spans="2:17" ht="30" customHeight="1" x14ac:dyDescent="0.25">
      <c r="B759" s="62" t="str">
        <f t="shared" si="77"/>
        <v/>
      </c>
      <c r="C759" s="42">
        <v>755</v>
      </c>
      <c r="D759" s="20"/>
      <c r="E759" s="58"/>
      <c r="F759" s="63" t="str">
        <f t="shared" si="78"/>
        <v/>
      </c>
      <c r="G759" s="66" t="str">
        <f>IF(D759="","",IFERROR('Prod 3'!H759/'Prod 3'!$H$3,0))</f>
        <v/>
      </c>
      <c r="H759" s="70" t="str">
        <f>IF(D759="","",'Prod 2'!K759)</f>
        <v/>
      </c>
      <c r="I759" s="77" t="str">
        <f t="shared" si="79"/>
        <v/>
      </c>
      <c r="J759" s="57"/>
      <c r="L759" s="19">
        <v>7.5499999999999997E-7</v>
      </c>
      <c r="M759" s="59">
        <f t="shared" si="80"/>
        <v>0</v>
      </c>
      <c r="N759" s="59">
        <f t="shared" si="81"/>
        <v>0</v>
      </c>
      <c r="O759" s="59">
        <f t="shared" si="82"/>
        <v>0</v>
      </c>
      <c r="P759" s="19" t="str">
        <f t="shared" si="83"/>
        <v/>
      </c>
      <c r="Q759" s="19" t="s">
        <v>795</v>
      </c>
    </row>
    <row r="760" spans="2:17" ht="30" customHeight="1" x14ac:dyDescent="0.25">
      <c r="B760" s="62" t="str">
        <f t="shared" si="77"/>
        <v/>
      </c>
      <c r="C760" s="42">
        <v>756</v>
      </c>
      <c r="D760" s="20"/>
      <c r="E760" s="58"/>
      <c r="F760" s="63" t="str">
        <f t="shared" si="78"/>
        <v/>
      </c>
      <c r="G760" s="66" t="str">
        <f>IF(D760="","",IFERROR('Prod 3'!H760/'Prod 3'!$H$3,0))</f>
        <v/>
      </c>
      <c r="H760" s="70" t="str">
        <f>IF(D760="","",'Prod 2'!K760)</f>
        <v/>
      </c>
      <c r="I760" s="77" t="str">
        <f t="shared" si="79"/>
        <v/>
      </c>
      <c r="J760" s="57"/>
      <c r="L760" s="19">
        <v>7.5600000000000005E-7</v>
      </c>
      <c r="M760" s="59">
        <f t="shared" si="80"/>
        <v>0</v>
      </c>
      <c r="N760" s="59">
        <f t="shared" si="81"/>
        <v>0</v>
      </c>
      <c r="O760" s="59">
        <f t="shared" si="82"/>
        <v>0</v>
      </c>
      <c r="P760" s="19" t="str">
        <f t="shared" si="83"/>
        <v/>
      </c>
      <c r="Q760" s="19" t="s">
        <v>796</v>
      </c>
    </row>
    <row r="761" spans="2:17" ht="30" customHeight="1" x14ac:dyDescent="0.25">
      <c r="B761" s="62" t="str">
        <f t="shared" si="77"/>
        <v/>
      </c>
      <c r="C761" s="42">
        <v>757</v>
      </c>
      <c r="D761" s="20"/>
      <c r="E761" s="58"/>
      <c r="F761" s="63" t="str">
        <f t="shared" si="78"/>
        <v/>
      </c>
      <c r="G761" s="66" t="str">
        <f>IF(D761="","",IFERROR('Prod 3'!H761/'Prod 3'!$H$3,0))</f>
        <v/>
      </c>
      <c r="H761" s="70" t="str">
        <f>IF(D761="","",'Prod 2'!K761)</f>
        <v/>
      </c>
      <c r="I761" s="77" t="str">
        <f t="shared" si="79"/>
        <v/>
      </c>
      <c r="J761" s="57"/>
      <c r="L761" s="19">
        <v>7.5700000000000002E-7</v>
      </c>
      <c r="M761" s="59">
        <f t="shared" si="80"/>
        <v>0</v>
      </c>
      <c r="N761" s="59">
        <f t="shared" si="81"/>
        <v>0</v>
      </c>
      <c r="O761" s="59">
        <f t="shared" si="82"/>
        <v>0</v>
      </c>
      <c r="P761" s="19" t="str">
        <f t="shared" si="83"/>
        <v/>
      </c>
      <c r="Q761" s="19" t="s">
        <v>797</v>
      </c>
    </row>
    <row r="762" spans="2:17" ht="30" customHeight="1" x14ac:dyDescent="0.25">
      <c r="B762" s="62" t="str">
        <f t="shared" si="77"/>
        <v/>
      </c>
      <c r="C762" s="42">
        <v>758</v>
      </c>
      <c r="D762" s="20"/>
      <c r="E762" s="58"/>
      <c r="F762" s="63" t="str">
        <f t="shared" si="78"/>
        <v/>
      </c>
      <c r="G762" s="66" t="str">
        <f>IF(D762="","",IFERROR('Prod 3'!H762/'Prod 3'!$H$3,0))</f>
        <v/>
      </c>
      <c r="H762" s="70" t="str">
        <f>IF(D762="","",'Prod 2'!K762)</f>
        <v/>
      </c>
      <c r="I762" s="77" t="str">
        <f t="shared" si="79"/>
        <v/>
      </c>
      <c r="J762" s="57"/>
      <c r="L762" s="19">
        <v>7.5799999999999998E-7</v>
      </c>
      <c r="M762" s="59">
        <f t="shared" si="80"/>
        <v>0</v>
      </c>
      <c r="N762" s="59">
        <f t="shared" si="81"/>
        <v>0</v>
      </c>
      <c r="O762" s="59">
        <f t="shared" si="82"/>
        <v>0</v>
      </c>
      <c r="P762" s="19" t="str">
        <f t="shared" si="83"/>
        <v/>
      </c>
      <c r="Q762" s="19" t="s">
        <v>798</v>
      </c>
    </row>
    <row r="763" spans="2:17" ht="30" customHeight="1" x14ac:dyDescent="0.25">
      <c r="B763" s="62" t="str">
        <f t="shared" si="77"/>
        <v/>
      </c>
      <c r="C763" s="42">
        <v>759</v>
      </c>
      <c r="D763" s="20"/>
      <c r="E763" s="58"/>
      <c r="F763" s="63" t="str">
        <f t="shared" si="78"/>
        <v/>
      </c>
      <c r="G763" s="66" t="str">
        <f>IF(D763="","",IFERROR('Prod 3'!H763/'Prod 3'!$H$3,0))</f>
        <v/>
      </c>
      <c r="H763" s="70" t="str">
        <f>IF(D763="","",'Prod 2'!K763)</f>
        <v/>
      </c>
      <c r="I763" s="77" t="str">
        <f t="shared" si="79"/>
        <v/>
      </c>
      <c r="J763" s="57"/>
      <c r="L763" s="19">
        <v>7.5899999999999995E-7</v>
      </c>
      <c r="M763" s="59">
        <f t="shared" si="80"/>
        <v>0</v>
      </c>
      <c r="N763" s="59">
        <f t="shared" si="81"/>
        <v>0</v>
      </c>
      <c r="O763" s="59">
        <f t="shared" si="82"/>
        <v>0</v>
      </c>
      <c r="P763" s="19" t="str">
        <f t="shared" si="83"/>
        <v/>
      </c>
      <c r="Q763" s="19" t="s">
        <v>799</v>
      </c>
    </row>
    <row r="764" spans="2:17" ht="30" customHeight="1" x14ac:dyDescent="0.25">
      <c r="B764" s="62" t="str">
        <f t="shared" si="77"/>
        <v/>
      </c>
      <c r="C764" s="42">
        <v>760</v>
      </c>
      <c r="D764" s="20"/>
      <c r="E764" s="58"/>
      <c r="F764" s="63" t="str">
        <f t="shared" si="78"/>
        <v/>
      </c>
      <c r="G764" s="66" t="str">
        <f>IF(D764="","",IFERROR('Prod 3'!H764/'Prod 3'!$H$3,0))</f>
        <v/>
      </c>
      <c r="H764" s="70" t="str">
        <f>IF(D764="","",'Prod 2'!K764)</f>
        <v/>
      </c>
      <c r="I764" s="77" t="str">
        <f t="shared" si="79"/>
        <v/>
      </c>
      <c r="J764" s="57"/>
      <c r="L764" s="19">
        <v>7.6000000000000003E-7</v>
      </c>
      <c r="M764" s="59">
        <f t="shared" si="80"/>
        <v>0</v>
      </c>
      <c r="N764" s="59">
        <f t="shared" si="81"/>
        <v>0</v>
      </c>
      <c r="O764" s="59">
        <f t="shared" si="82"/>
        <v>0</v>
      </c>
      <c r="P764" s="19" t="str">
        <f t="shared" si="83"/>
        <v/>
      </c>
      <c r="Q764" s="19" t="s">
        <v>800</v>
      </c>
    </row>
    <row r="765" spans="2:17" ht="30" customHeight="1" x14ac:dyDescent="0.25">
      <c r="B765" s="62" t="str">
        <f t="shared" si="77"/>
        <v/>
      </c>
      <c r="C765" s="42">
        <v>761</v>
      </c>
      <c r="D765" s="20"/>
      <c r="E765" s="58"/>
      <c r="F765" s="63" t="str">
        <f t="shared" si="78"/>
        <v/>
      </c>
      <c r="G765" s="66" t="str">
        <f>IF(D765="","",IFERROR('Prod 3'!H765/'Prod 3'!$H$3,0))</f>
        <v/>
      </c>
      <c r="H765" s="70" t="str">
        <f>IF(D765="","",'Prod 2'!K765)</f>
        <v/>
      </c>
      <c r="I765" s="77" t="str">
        <f t="shared" si="79"/>
        <v/>
      </c>
      <c r="J765" s="57"/>
      <c r="L765" s="19">
        <v>7.61E-7</v>
      </c>
      <c r="M765" s="59">
        <f t="shared" si="80"/>
        <v>0</v>
      </c>
      <c r="N765" s="59">
        <f t="shared" si="81"/>
        <v>0</v>
      </c>
      <c r="O765" s="59">
        <f t="shared" si="82"/>
        <v>0</v>
      </c>
      <c r="P765" s="19" t="str">
        <f t="shared" si="83"/>
        <v/>
      </c>
      <c r="Q765" s="19" t="s">
        <v>801</v>
      </c>
    </row>
    <row r="766" spans="2:17" ht="30" customHeight="1" x14ac:dyDescent="0.25">
      <c r="B766" s="62" t="str">
        <f t="shared" si="77"/>
        <v/>
      </c>
      <c r="C766" s="42">
        <v>762</v>
      </c>
      <c r="D766" s="20"/>
      <c r="E766" s="58"/>
      <c r="F766" s="63" t="str">
        <f t="shared" si="78"/>
        <v/>
      </c>
      <c r="G766" s="66" t="str">
        <f>IF(D766="","",IFERROR('Prod 3'!H766/'Prod 3'!$H$3,0))</f>
        <v/>
      </c>
      <c r="H766" s="70" t="str">
        <f>IF(D766="","",'Prod 2'!K766)</f>
        <v/>
      </c>
      <c r="I766" s="77" t="str">
        <f t="shared" si="79"/>
        <v/>
      </c>
      <c r="J766" s="57"/>
      <c r="L766" s="19">
        <v>7.6199999999999997E-7</v>
      </c>
      <c r="M766" s="59">
        <f t="shared" si="80"/>
        <v>0</v>
      </c>
      <c r="N766" s="59">
        <f t="shared" si="81"/>
        <v>0</v>
      </c>
      <c r="O766" s="59">
        <f t="shared" si="82"/>
        <v>0</v>
      </c>
      <c r="P766" s="19" t="str">
        <f t="shared" si="83"/>
        <v/>
      </c>
      <c r="Q766" s="19" t="s">
        <v>802</v>
      </c>
    </row>
    <row r="767" spans="2:17" ht="30" customHeight="1" x14ac:dyDescent="0.25">
      <c r="B767" s="62" t="str">
        <f t="shared" si="77"/>
        <v/>
      </c>
      <c r="C767" s="42">
        <v>763</v>
      </c>
      <c r="D767" s="20"/>
      <c r="E767" s="58"/>
      <c r="F767" s="63" t="str">
        <f t="shared" si="78"/>
        <v/>
      </c>
      <c r="G767" s="66" t="str">
        <f>IF(D767="","",IFERROR('Prod 3'!H767/'Prod 3'!$H$3,0))</f>
        <v/>
      </c>
      <c r="H767" s="70" t="str">
        <f>IF(D767="","",'Prod 2'!K767)</f>
        <v/>
      </c>
      <c r="I767" s="77" t="str">
        <f t="shared" si="79"/>
        <v/>
      </c>
      <c r="J767" s="57"/>
      <c r="L767" s="19">
        <v>7.6300000000000004E-7</v>
      </c>
      <c r="M767" s="59">
        <f t="shared" si="80"/>
        <v>0</v>
      </c>
      <c r="N767" s="59">
        <f t="shared" si="81"/>
        <v>0</v>
      </c>
      <c r="O767" s="59">
        <f t="shared" si="82"/>
        <v>0</v>
      </c>
      <c r="P767" s="19" t="str">
        <f t="shared" si="83"/>
        <v/>
      </c>
      <c r="Q767" s="19" t="s">
        <v>803</v>
      </c>
    </row>
    <row r="768" spans="2:17" ht="30" customHeight="1" x14ac:dyDescent="0.25">
      <c r="B768" s="62" t="str">
        <f t="shared" si="77"/>
        <v/>
      </c>
      <c r="C768" s="42">
        <v>764</v>
      </c>
      <c r="D768" s="20"/>
      <c r="E768" s="58"/>
      <c r="F768" s="63" t="str">
        <f t="shared" si="78"/>
        <v/>
      </c>
      <c r="G768" s="66" t="str">
        <f>IF(D768="","",IFERROR('Prod 3'!H768/'Prod 3'!$H$3,0))</f>
        <v/>
      </c>
      <c r="H768" s="70" t="str">
        <f>IF(D768="","",'Prod 2'!K768)</f>
        <v/>
      </c>
      <c r="I768" s="77" t="str">
        <f t="shared" si="79"/>
        <v/>
      </c>
      <c r="J768" s="57"/>
      <c r="L768" s="19">
        <v>7.6400000000000001E-7</v>
      </c>
      <c r="M768" s="59">
        <f t="shared" si="80"/>
        <v>0</v>
      </c>
      <c r="N768" s="59">
        <f t="shared" si="81"/>
        <v>0</v>
      </c>
      <c r="O768" s="59">
        <f t="shared" si="82"/>
        <v>0</v>
      </c>
      <c r="P768" s="19" t="str">
        <f t="shared" si="83"/>
        <v/>
      </c>
      <c r="Q768" s="19" t="s">
        <v>804</v>
      </c>
    </row>
    <row r="769" spans="2:17" ht="30" customHeight="1" x14ac:dyDescent="0.25">
      <c r="B769" s="62" t="str">
        <f t="shared" si="77"/>
        <v/>
      </c>
      <c r="C769" s="42">
        <v>765</v>
      </c>
      <c r="D769" s="20"/>
      <c r="E769" s="58"/>
      <c r="F769" s="63" t="str">
        <f t="shared" si="78"/>
        <v/>
      </c>
      <c r="G769" s="66" t="str">
        <f>IF(D769="","",IFERROR('Prod 3'!H769/'Prod 3'!$H$3,0))</f>
        <v/>
      </c>
      <c r="H769" s="70" t="str">
        <f>IF(D769="","",'Prod 2'!K769)</f>
        <v/>
      </c>
      <c r="I769" s="77" t="str">
        <f t="shared" si="79"/>
        <v/>
      </c>
      <c r="J769" s="57"/>
      <c r="L769" s="19">
        <v>7.6499999999999998E-7</v>
      </c>
      <c r="M769" s="59">
        <f t="shared" si="80"/>
        <v>0</v>
      </c>
      <c r="N769" s="59">
        <f t="shared" si="81"/>
        <v>0</v>
      </c>
      <c r="O769" s="59">
        <f t="shared" si="82"/>
        <v>0</v>
      </c>
      <c r="P769" s="19" t="str">
        <f t="shared" si="83"/>
        <v/>
      </c>
      <c r="Q769" s="19" t="s">
        <v>805</v>
      </c>
    </row>
    <row r="770" spans="2:17" ht="30" customHeight="1" x14ac:dyDescent="0.25">
      <c r="B770" s="62" t="str">
        <f t="shared" si="77"/>
        <v/>
      </c>
      <c r="C770" s="42">
        <v>766</v>
      </c>
      <c r="D770" s="20"/>
      <c r="E770" s="58"/>
      <c r="F770" s="63" t="str">
        <f t="shared" si="78"/>
        <v/>
      </c>
      <c r="G770" s="66" t="str">
        <f>IF(D770="","",IFERROR('Prod 3'!H770/'Prod 3'!$H$3,0))</f>
        <v/>
      </c>
      <c r="H770" s="70" t="str">
        <f>IF(D770="","",'Prod 2'!K770)</f>
        <v/>
      </c>
      <c r="I770" s="77" t="str">
        <f t="shared" si="79"/>
        <v/>
      </c>
      <c r="J770" s="57"/>
      <c r="L770" s="19">
        <v>7.6599999999999995E-7</v>
      </c>
      <c r="M770" s="59">
        <f t="shared" si="80"/>
        <v>0</v>
      </c>
      <c r="N770" s="59">
        <f t="shared" si="81"/>
        <v>0</v>
      </c>
      <c r="O770" s="59">
        <f t="shared" si="82"/>
        <v>0</v>
      </c>
      <c r="P770" s="19" t="str">
        <f t="shared" si="83"/>
        <v/>
      </c>
      <c r="Q770" s="19" t="s">
        <v>806</v>
      </c>
    </row>
    <row r="771" spans="2:17" ht="30" customHeight="1" x14ac:dyDescent="0.25">
      <c r="B771" s="62" t="str">
        <f t="shared" si="77"/>
        <v/>
      </c>
      <c r="C771" s="42">
        <v>767</v>
      </c>
      <c r="D771" s="20"/>
      <c r="E771" s="58"/>
      <c r="F771" s="63" t="str">
        <f t="shared" si="78"/>
        <v/>
      </c>
      <c r="G771" s="66" t="str">
        <f>IF(D771="","",IFERROR('Prod 3'!H771/'Prod 3'!$H$3,0))</f>
        <v/>
      </c>
      <c r="H771" s="70" t="str">
        <f>IF(D771="","",'Prod 2'!K771)</f>
        <v/>
      </c>
      <c r="I771" s="77" t="str">
        <f t="shared" si="79"/>
        <v/>
      </c>
      <c r="J771" s="57"/>
      <c r="L771" s="19">
        <v>7.6700000000000003E-7</v>
      </c>
      <c r="M771" s="59">
        <f t="shared" si="80"/>
        <v>0</v>
      </c>
      <c r="N771" s="59">
        <f t="shared" si="81"/>
        <v>0</v>
      </c>
      <c r="O771" s="59">
        <f t="shared" si="82"/>
        <v>0</v>
      </c>
      <c r="P771" s="19" t="str">
        <f t="shared" si="83"/>
        <v/>
      </c>
      <c r="Q771" s="19" t="s">
        <v>807</v>
      </c>
    </row>
    <row r="772" spans="2:17" ht="30" customHeight="1" x14ac:dyDescent="0.25">
      <c r="B772" s="62" t="str">
        <f t="shared" si="77"/>
        <v/>
      </c>
      <c r="C772" s="42">
        <v>768</v>
      </c>
      <c r="D772" s="20"/>
      <c r="E772" s="58"/>
      <c r="F772" s="63" t="str">
        <f t="shared" si="78"/>
        <v/>
      </c>
      <c r="G772" s="66" t="str">
        <f>IF(D772="","",IFERROR('Prod 3'!H772/'Prod 3'!$H$3,0))</f>
        <v/>
      </c>
      <c r="H772" s="70" t="str">
        <f>IF(D772="","",'Prod 2'!K772)</f>
        <v/>
      </c>
      <c r="I772" s="77" t="str">
        <f t="shared" si="79"/>
        <v/>
      </c>
      <c r="J772" s="57"/>
      <c r="L772" s="19">
        <v>7.6799999999999999E-7</v>
      </c>
      <c r="M772" s="59">
        <f t="shared" si="80"/>
        <v>0</v>
      </c>
      <c r="N772" s="59">
        <f t="shared" si="81"/>
        <v>0</v>
      </c>
      <c r="O772" s="59">
        <f t="shared" si="82"/>
        <v>0</v>
      </c>
      <c r="P772" s="19" t="str">
        <f t="shared" si="83"/>
        <v/>
      </c>
      <c r="Q772" s="19" t="s">
        <v>808</v>
      </c>
    </row>
    <row r="773" spans="2:17" ht="30" customHeight="1" x14ac:dyDescent="0.25">
      <c r="B773" s="62" t="str">
        <f t="shared" si="77"/>
        <v/>
      </c>
      <c r="C773" s="42">
        <v>769</v>
      </c>
      <c r="D773" s="20"/>
      <c r="E773" s="58"/>
      <c r="F773" s="63" t="str">
        <f t="shared" si="78"/>
        <v/>
      </c>
      <c r="G773" s="66" t="str">
        <f>IF(D773="","",IFERROR('Prod 3'!H773/'Prod 3'!$H$3,0))</f>
        <v/>
      </c>
      <c r="H773" s="70" t="str">
        <f>IF(D773="","",'Prod 2'!K773)</f>
        <v/>
      </c>
      <c r="I773" s="77" t="str">
        <f t="shared" si="79"/>
        <v/>
      </c>
      <c r="J773" s="57"/>
      <c r="L773" s="19">
        <v>7.6899999999999996E-7</v>
      </c>
      <c r="M773" s="59">
        <f t="shared" si="80"/>
        <v>0</v>
      </c>
      <c r="N773" s="59">
        <f t="shared" si="81"/>
        <v>0</v>
      </c>
      <c r="O773" s="59">
        <f t="shared" si="82"/>
        <v>0</v>
      </c>
      <c r="P773" s="19" t="str">
        <f t="shared" si="83"/>
        <v/>
      </c>
      <c r="Q773" s="19" t="s">
        <v>809</v>
      </c>
    </row>
    <row r="774" spans="2:17" ht="30" customHeight="1" x14ac:dyDescent="0.25">
      <c r="B774" s="62" t="str">
        <f t="shared" ref="B774:B837" si="84">IF(I774="","",I774)</f>
        <v/>
      </c>
      <c r="C774" s="42">
        <v>770</v>
      </c>
      <c r="D774" s="20"/>
      <c r="E774" s="58"/>
      <c r="F774" s="63" t="str">
        <f t="shared" ref="F774:F837" si="85">IF(D774="","",IFERROR(VLOOKUP(D774,$P$5:$Q$1004,2,0),""))</f>
        <v/>
      </c>
      <c r="G774" s="66" t="str">
        <f>IF(D774="","",IFERROR('Prod 3'!H774/'Prod 3'!$H$3,0))</f>
        <v/>
      </c>
      <c r="H774" s="70" t="str">
        <f>IF(D774="","",'Prod 2'!K774)</f>
        <v/>
      </c>
      <c r="I774" s="77" t="str">
        <f t="shared" ref="I774:I837" si="86">IF(D774="","",E774-H774+L774)</f>
        <v/>
      </c>
      <c r="J774" s="57"/>
      <c r="L774" s="19">
        <v>7.7000000000000004E-7</v>
      </c>
      <c r="M774" s="59">
        <f t="shared" ref="M774:M837" si="87">IFERROR(LARGE($I$5:$I$1004,C774),0)</f>
        <v>0</v>
      </c>
      <c r="N774" s="59">
        <f t="shared" ref="N774:N837" si="88">IFERROR(M774,0)</f>
        <v>0</v>
      </c>
      <c r="O774" s="59">
        <f t="shared" ref="O774:O837" si="89">IFERROR(LARGE($N$5:$N$1004,C774),0)</f>
        <v>0</v>
      </c>
      <c r="P774" s="19" t="str">
        <f t="shared" ref="P774:P837" si="90">IFERROR(IF(VLOOKUP(O774,$B$5:$D$1004,3,0)=0,"",(VLOOKUP(O774,$B$5:$D$1004,3,0))),"")</f>
        <v/>
      </c>
      <c r="Q774" s="19" t="s">
        <v>810</v>
      </c>
    </row>
    <row r="775" spans="2:17" ht="30" customHeight="1" x14ac:dyDescent="0.25">
      <c r="B775" s="62" t="str">
        <f t="shared" si="84"/>
        <v/>
      </c>
      <c r="C775" s="42">
        <v>771</v>
      </c>
      <c r="D775" s="20"/>
      <c r="E775" s="58"/>
      <c r="F775" s="63" t="str">
        <f t="shared" si="85"/>
        <v/>
      </c>
      <c r="G775" s="66" t="str">
        <f>IF(D775="","",IFERROR('Prod 3'!H775/'Prod 3'!$H$3,0))</f>
        <v/>
      </c>
      <c r="H775" s="70" t="str">
        <f>IF(D775="","",'Prod 2'!K775)</f>
        <v/>
      </c>
      <c r="I775" s="77" t="str">
        <f t="shared" si="86"/>
        <v/>
      </c>
      <c r="J775" s="57"/>
      <c r="L775" s="19">
        <v>7.7100000000000001E-7</v>
      </c>
      <c r="M775" s="59">
        <f t="shared" si="87"/>
        <v>0</v>
      </c>
      <c r="N775" s="59">
        <f t="shared" si="88"/>
        <v>0</v>
      </c>
      <c r="O775" s="59">
        <f t="shared" si="89"/>
        <v>0</v>
      </c>
      <c r="P775" s="19" t="str">
        <f t="shared" si="90"/>
        <v/>
      </c>
      <c r="Q775" s="19" t="s">
        <v>811</v>
      </c>
    </row>
    <row r="776" spans="2:17" ht="30" customHeight="1" x14ac:dyDescent="0.25">
      <c r="B776" s="62" t="str">
        <f t="shared" si="84"/>
        <v/>
      </c>
      <c r="C776" s="42">
        <v>772</v>
      </c>
      <c r="D776" s="20"/>
      <c r="E776" s="58"/>
      <c r="F776" s="63" t="str">
        <f t="shared" si="85"/>
        <v/>
      </c>
      <c r="G776" s="66" t="str">
        <f>IF(D776="","",IFERROR('Prod 3'!H776/'Prod 3'!$H$3,0))</f>
        <v/>
      </c>
      <c r="H776" s="70" t="str">
        <f>IF(D776="","",'Prod 2'!K776)</f>
        <v/>
      </c>
      <c r="I776" s="77" t="str">
        <f t="shared" si="86"/>
        <v/>
      </c>
      <c r="J776" s="57"/>
      <c r="L776" s="19">
        <v>7.7199999999999998E-7</v>
      </c>
      <c r="M776" s="59">
        <f t="shared" si="87"/>
        <v>0</v>
      </c>
      <c r="N776" s="59">
        <f t="shared" si="88"/>
        <v>0</v>
      </c>
      <c r="O776" s="59">
        <f t="shared" si="89"/>
        <v>0</v>
      </c>
      <c r="P776" s="19" t="str">
        <f t="shared" si="90"/>
        <v/>
      </c>
      <c r="Q776" s="19" t="s">
        <v>812</v>
      </c>
    </row>
    <row r="777" spans="2:17" ht="30" customHeight="1" x14ac:dyDescent="0.25">
      <c r="B777" s="62" t="str">
        <f t="shared" si="84"/>
        <v/>
      </c>
      <c r="C777" s="42">
        <v>773</v>
      </c>
      <c r="D777" s="20"/>
      <c r="E777" s="58"/>
      <c r="F777" s="63" t="str">
        <f t="shared" si="85"/>
        <v/>
      </c>
      <c r="G777" s="66" t="str">
        <f>IF(D777="","",IFERROR('Prod 3'!H777/'Prod 3'!$H$3,0))</f>
        <v/>
      </c>
      <c r="H777" s="70" t="str">
        <f>IF(D777="","",'Prod 2'!K777)</f>
        <v/>
      </c>
      <c r="I777" s="77" t="str">
        <f t="shared" si="86"/>
        <v/>
      </c>
      <c r="J777" s="57"/>
      <c r="L777" s="19">
        <v>7.7300000000000005E-7</v>
      </c>
      <c r="M777" s="59">
        <f t="shared" si="87"/>
        <v>0</v>
      </c>
      <c r="N777" s="59">
        <f t="shared" si="88"/>
        <v>0</v>
      </c>
      <c r="O777" s="59">
        <f t="shared" si="89"/>
        <v>0</v>
      </c>
      <c r="P777" s="19" t="str">
        <f t="shared" si="90"/>
        <v/>
      </c>
      <c r="Q777" s="19" t="s">
        <v>813</v>
      </c>
    </row>
    <row r="778" spans="2:17" ht="30" customHeight="1" x14ac:dyDescent="0.25">
      <c r="B778" s="62" t="str">
        <f t="shared" si="84"/>
        <v/>
      </c>
      <c r="C778" s="42">
        <v>774</v>
      </c>
      <c r="D778" s="20"/>
      <c r="E778" s="58"/>
      <c r="F778" s="63" t="str">
        <f t="shared" si="85"/>
        <v/>
      </c>
      <c r="G778" s="66" t="str">
        <f>IF(D778="","",IFERROR('Prod 3'!H778/'Prod 3'!$H$3,0))</f>
        <v/>
      </c>
      <c r="H778" s="70" t="str">
        <f>IF(D778="","",'Prod 2'!K778)</f>
        <v/>
      </c>
      <c r="I778" s="77" t="str">
        <f t="shared" si="86"/>
        <v/>
      </c>
      <c r="J778" s="57"/>
      <c r="L778" s="19">
        <v>7.7400000000000002E-7</v>
      </c>
      <c r="M778" s="59">
        <f t="shared" si="87"/>
        <v>0</v>
      </c>
      <c r="N778" s="59">
        <f t="shared" si="88"/>
        <v>0</v>
      </c>
      <c r="O778" s="59">
        <f t="shared" si="89"/>
        <v>0</v>
      </c>
      <c r="P778" s="19" t="str">
        <f t="shared" si="90"/>
        <v/>
      </c>
      <c r="Q778" s="19" t="s">
        <v>814</v>
      </c>
    </row>
    <row r="779" spans="2:17" ht="30" customHeight="1" x14ac:dyDescent="0.25">
      <c r="B779" s="62" t="str">
        <f t="shared" si="84"/>
        <v/>
      </c>
      <c r="C779" s="42">
        <v>775</v>
      </c>
      <c r="D779" s="20"/>
      <c r="E779" s="58"/>
      <c r="F779" s="63" t="str">
        <f t="shared" si="85"/>
        <v/>
      </c>
      <c r="G779" s="66" t="str">
        <f>IF(D779="","",IFERROR('Prod 3'!H779/'Prod 3'!$H$3,0))</f>
        <v/>
      </c>
      <c r="H779" s="70" t="str">
        <f>IF(D779="","",'Prod 2'!K779)</f>
        <v/>
      </c>
      <c r="I779" s="77" t="str">
        <f t="shared" si="86"/>
        <v/>
      </c>
      <c r="J779" s="57"/>
      <c r="L779" s="19">
        <v>7.7499999999999999E-7</v>
      </c>
      <c r="M779" s="59">
        <f t="shared" si="87"/>
        <v>0</v>
      </c>
      <c r="N779" s="59">
        <f t="shared" si="88"/>
        <v>0</v>
      </c>
      <c r="O779" s="59">
        <f t="shared" si="89"/>
        <v>0</v>
      </c>
      <c r="P779" s="19" t="str">
        <f t="shared" si="90"/>
        <v/>
      </c>
      <c r="Q779" s="19" t="s">
        <v>815</v>
      </c>
    </row>
    <row r="780" spans="2:17" ht="30" customHeight="1" x14ac:dyDescent="0.25">
      <c r="B780" s="62" t="str">
        <f t="shared" si="84"/>
        <v/>
      </c>
      <c r="C780" s="42">
        <v>776</v>
      </c>
      <c r="D780" s="20"/>
      <c r="E780" s="58"/>
      <c r="F780" s="63" t="str">
        <f t="shared" si="85"/>
        <v/>
      </c>
      <c r="G780" s="66" t="str">
        <f>IF(D780="","",IFERROR('Prod 3'!H780/'Prod 3'!$H$3,0))</f>
        <v/>
      </c>
      <c r="H780" s="70" t="str">
        <f>IF(D780="","",'Prod 2'!K780)</f>
        <v/>
      </c>
      <c r="I780" s="77" t="str">
        <f t="shared" si="86"/>
        <v/>
      </c>
      <c r="J780" s="57"/>
      <c r="L780" s="19">
        <v>7.7599999999999996E-7</v>
      </c>
      <c r="M780" s="59">
        <f t="shared" si="87"/>
        <v>0</v>
      </c>
      <c r="N780" s="59">
        <f t="shared" si="88"/>
        <v>0</v>
      </c>
      <c r="O780" s="59">
        <f t="shared" si="89"/>
        <v>0</v>
      </c>
      <c r="P780" s="19" t="str">
        <f t="shared" si="90"/>
        <v/>
      </c>
      <c r="Q780" s="19" t="s">
        <v>816</v>
      </c>
    </row>
    <row r="781" spans="2:17" ht="30" customHeight="1" x14ac:dyDescent="0.25">
      <c r="B781" s="62" t="str">
        <f t="shared" si="84"/>
        <v/>
      </c>
      <c r="C781" s="42">
        <v>777</v>
      </c>
      <c r="D781" s="20"/>
      <c r="E781" s="58"/>
      <c r="F781" s="63" t="str">
        <f t="shared" si="85"/>
        <v/>
      </c>
      <c r="G781" s="66" t="str">
        <f>IF(D781="","",IFERROR('Prod 3'!H781/'Prod 3'!$H$3,0))</f>
        <v/>
      </c>
      <c r="H781" s="70" t="str">
        <f>IF(D781="","",'Prod 2'!K781)</f>
        <v/>
      </c>
      <c r="I781" s="77" t="str">
        <f t="shared" si="86"/>
        <v/>
      </c>
      <c r="J781" s="57"/>
      <c r="L781" s="19">
        <v>7.7700000000000004E-7</v>
      </c>
      <c r="M781" s="59">
        <f t="shared" si="87"/>
        <v>0</v>
      </c>
      <c r="N781" s="59">
        <f t="shared" si="88"/>
        <v>0</v>
      </c>
      <c r="O781" s="59">
        <f t="shared" si="89"/>
        <v>0</v>
      </c>
      <c r="P781" s="19" t="str">
        <f t="shared" si="90"/>
        <v/>
      </c>
      <c r="Q781" s="19" t="s">
        <v>817</v>
      </c>
    </row>
    <row r="782" spans="2:17" ht="30" customHeight="1" x14ac:dyDescent="0.25">
      <c r="B782" s="62" t="str">
        <f t="shared" si="84"/>
        <v/>
      </c>
      <c r="C782" s="42">
        <v>778</v>
      </c>
      <c r="D782" s="20"/>
      <c r="E782" s="58"/>
      <c r="F782" s="63" t="str">
        <f t="shared" si="85"/>
        <v/>
      </c>
      <c r="G782" s="66" t="str">
        <f>IF(D782="","",IFERROR('Prod 3'!H782/'Prod 3'!$H$3,0))</f>
        <v/>
      </c>
      <c r="H782" s="70" t="str">
        <f>IF(D782="","",'Prod 2'!K782)</f>
        <v/>
      </c>
      <c r="I782" s="77" t="str">
        <f t="shared" si="86"/>
        <v/>
      </c>
      <c r="J782" s="57"/>
      <c r="L782" s="19">
        <v>7.7800000000000001E-7</v>
      </c>
      <c r="M782" s="59">
        <f t="shared" si="87"/>
        <v>0</v>
      </c>
      <c r="N782" s="59">
        <f t="shared" si="88"/>
        <v>0</v>
      </c>
      <c r="O782" s="59">
        <f t="shared" si="89"/>
        <v>0</v>
      </c>
      <c r="P782" s="19" t="str">
        <f t="shared" si="90"/>
        <v/>
      </c>
      <c r="Q782" s="19" t="s">
        <v>818</v>
      </c>
    </row>
    <row r="783" spans="2:17" ht="30" customHeight="1" x14ac:dyDescent="0.25">
      <c r="B783" s="62" t="str">
        <f t="shared" si="84"/>
        <v/>
      </c>
      <c r="C783" s="42">
        <v>779</v>
      </c>
      <c r="D783" s="20"/>
      <c r="E783" s="58"/>
      <c r="F783" s="63" t="str">
        <f t="shared" si="85"/>
        <v/>
      </c>
      <c r="G783" s="66" t="str">
        <f>IF(D783="","",IFERROR('Prod 3'!H783/'Prod 3'!$H$3,0))</f>
        <v/>
      </c>
      <c r="H783" s="70" t="str">
        <f>IF(D783="","",'Prod 2'!K783)</f>
        <v/>
      </c>
      <c r="I783" s="77" t="str">
        <f t="shared" si="86"/>
        <v/>
      </c>
      <c r="J783" s="57"/>
      <c r="L783" s="19">
        <v>7.7899999999999997E-7</v>
      </c>
      <c r="M783" s="59">
        <f t="shared" si="87"/>
        <v>0</v>
      </c>
      <c r="N783" s="59">
        <f t="shared" si="88"/>
        <v>0</v>
      </c>
      <c r="O783" s="59">
        <f t="shared" si="89"/>
        <v>0</v>
      </c>
      <c r="P783" s="19" t="str">
        <f t="shared" si="90"/>
        <v/>
      </c>
      <c r="Q783" s="19" t="s">
        <v>819</v>
      </c>
    </row>
    <row r="784" spans="2:17" ht="30" customHeight="1" x14ac:dyDescent="0.25">
      <c r="B784" s="62" t="str">
        <f t="shared" si="84"/>
        <v/>
      </c>
      <c r="C784" s="42">
        <v>780</v>
      </c>
      <c r="D784" s="20"/>
      <c r="E784" s="58"/>
      <c r="F784" s="63" t="str">
        <f t="shared" si="85"/>
        <v/>
      </c>
      <c r="G784" s="66" t="str">
        <f>IF(D784="","",IFERROR('Prod 3'!H784/'Prod 3'!$H$3,0))</f>
        <v/>
      </c>
      <c r="H784" s="70" t="str">
        <f>IF(D784="","",'Prod 2'!K784)</f>
        <v/>
      </c>
      <c r="I784" s="77" t="str">
        <f t="shared" si="86"/>
        <v/>
      </c>
      <c r="J784" s="57"/>
      <c r="L784" s="19">
        <v>7.8000000000000005E-7</v>
      </c>
      <c r="M784" s="59">
        <f t="shared" si="87"/>
        <v>0</v>
      </c>
      <c r="N784" s="59">
        <f t="shared" si="88"/>
        <v>0</v>
      </c>
      <c r="O784" s="59">
        <f t="shared" si="89"/>
        <v>0</v>
      </c>
      <c r="P784" s="19" t="str">
        <f t="shared" si="90"/>
        <v/>
      </c>
      <c r="Q784" s="19" t="s">
        <v>820</v>
      </c>
    </row>
    <row r="785" spans="2:17" ht="30" customHeight="1" x14ac:dyDescent="0.25">
      <c r="B785" s="62" t="str">
        <f t="shared" si="84"/>
        <v/>
      </c>
      <c r="C785" s="42">
        <v>781</v>
      </c>
      <c r="D785" s="20"/>
      <c r="E785" s="58"/>
      <c r="F785" s="63" t="str">
        <f t="shared" si="85"/>
        <v/>
      </c>
      <c r="G785" s="66" t="str">
        <f>IF(D785="","",IFERROR('Prod 3'!H785/'Prod 3'!$H$3,0))</f>
        <v/>
      </c>
      <c r="H785" s="70" t="str">
        <f>IF(D785="","",'Prod 2'!K785)</f>
        <v/>
      </c>
      <c r="I785" s="77" t="str">
        <f t="shared" si="86"/>
        <v/>
      </c>
      <c r="J785" s="57"/>
      <c r="L785" s="19">
        <v>7.8100000000000002E-7</v>
      </c>
      <c r="M785" s="59">
        <f t="shared" si="87"/>
        <v>0</v>
      </c>
      <c r="N785" s="59">
        <f t="shared" si="88"/>
        <v>0</v>
      </c>
      <c r="O785" s="59">
        <f t="shared" si="89"/>
        <v>0</v>
      </c>
      <c r="P785" s="19" t="str">
        <f t="shared" si="90"/>
        <v/>
      </c>
      <c r="Q785" s="19" t="s">
        <v>821</v>
      </c>
    </row>
    <row r="786" spans="2:17" ht="30" customHeight="1" x14ac:dyDescent="0.25">
      <c r="B786" s="62" t="str">
        <f t="shared" si="84"/>
        <v/>
      </c>
      <c r="C786" s="42">
        <v>782</v>
      </c>
      <c r="D786" s="20"/>
      <c r="E786" s="58"/>
      <c r="F786" s="63" t="str">
        <f t="shared" si="85"/>
        <v/>
      </c>
      <c r="G786" s="66" t="str">
        <f>IF(D786="","",IFERROR('Prod 3'!H786/'Prod 3'!$H$3,0))</f>
        <v/>
      </c>
      <c r="H786" s="70" t="str">
        <f>IF(D786="","",'Prod 2'!K786)</f>
        <v/>
      </c>
      <c r="I786" s="77" t="str">
        <f t="shared" si="86"/>
        <v/>
      </c>
      <c r="J786" s="57"/>
      <c r="L786" s="19">
        <v>7.8199999999999999E-7</v>
      </c>
      <c r="M786" s="59">
        <f t="shared" si="87"/>
        <v>0</v>
      </c>
      <c r="N786" s="59">
        <f t="shared" si="88"/>
        <v>0</v>
      </c>
      <c r="O786" s="59">
        <f t="shared" si="89"/>
        <v>0</v>
      </c>
      <c r="P786" s="19" t="str">
        <f t="shared" si="90"/>
        <v/>
      </c>
      <c r="Q786" s="19" t="s">
        <v>822</v>
      </c>
    </row>
    <row r="787" spans="2:17" ht="30" customHeight="1" x14ac:dyDescent="0.25">
      <c r="B787" s="62" t="str">
        <f t="shared" si="84"/>
        <v/>
      </c>
      <c r="C787" s="42">
        <v>783</v>
      </c>
      <c r="D787" s="20"/>
      <c r="E787" s="58"/>
      <c r="F787" s="63" t="str">
        <f t="shared" si="85"/>
        <v/>
      </c>
      <c r="G787" s="66" t="str">
        <f>IF(D787="","",IFERROR('Prod 3'!H787/'Prod 3'!$H$3,0))</f>
        <v/>
      </c>
      <c r="H787" s="70" t="str">
        <f>IF(D787="","",'Prod 2'!K787)</f>
        <v/>
      </c>
      <c r="I787" s="77" t="str">
        <f t="shared" si="86"/>
        <v/>
      </c>
      <c r="J787" s="57"/>
      <c r="L787" s="19">
        <v>7.8299999999999996E-7</v>
      </c>
      <c r="M787" s="59">
        <f t="shared" si="87"/>
        <v>0</v>
      </c>
      <c r="N787" s="59">
        <f t="shared" si="88"/>
        <v>0</v>
      </c>
      <c r="O787" s="59">
        <f t="shared" si="89"/>
        <v>0</v>
      </c>
      <c r="P787" s="19" t="str">
        <f t="shared" si="90"/>
        <v/>
      </c>
      <c r="Q787" s="19" t="s">
        <v>823</v>
      </c>
    </row>
    <row r="788" spans="2:17" ht="30" customHeight="1" x14ac:dyDescent="0.25">
      <c r="B788" s="62" t="str">
        <f t="shared" si="84"/>
        <v/>
      </c>
      <c r="C788" s="42">
        <v>784</v>
      </c>
      <c r="D788" s="20"/>
      <c r="E788" s="58"/>
      <c r="F788" s="63" t="str">
        <f t="shared" si="85"/>
        <v/>
      </c>
      <c r="G788" s="66" t="str">
        <f>IF(D788="","",IFERROR('Prod 3'!H788/'Prod 3'!$H$3,0))</f>
        <v/>
      </c>
      <c r="H788" s="70" t="str">
        <f>IF(D788="","",'Prod 2'!K788)</f>
        <v/>
      </c>
      <c r="I788" s="77" t="str">
        <f t="shared" si="86"/>
        <v/>
      </c>
      <c r="J788" s="57"/>
      <c r="L788" s="19">
        <v>7.8400000000000003E-7</v>
      </c>
      <c r="M788" s="59">
        <f t="shared" si="87"/>
        <v>0</v>
      </c>
      <c r="N788" s="59">
        <f t="shared" si="88"/>
        <v>0</v>
      </c>
      <c r="O788" s="59">
        <f t="shared" si="89"/>
        <v>0</v>
      </c>
      <c r="P788" s="19" t="str">
        <f t="shared" si="90"/>
        <v/>
      </c>
      <c r="Q788" s="19" t="s">
        <v>824</v>
      </c>
    </row>
    <row r="789" spans="2:17" ht="30" customHeight="1" x14ac:dyDescent="0.25">
      <c r="B789" s="62" t="str">
        <f t="shared" si="84"/>
        <v/>
      </c>
      <c r="C789" s="42">
        <v>785</v>
      </c>
      <c r="D789" s="20"/>
      <c r="E789" s="58"/>
      <c r="F789" s="63" t="str">
        <f t="shared" si="85"/>
        <v/>
      </c>
      <c r="G789" s="66" t="str">
        <f>IF(D789="","",IFERROR('Prod 3'!H789/'Prod 3'!$H$3,0))</f>
        <v/>
      </c>
      <c r="H789" s="70" t="str">
        <f>IF(D789="","",'Prod 2'!K789)</f>
        <v/>
      </c>
      <c r="I789" s="77" t="str">
        <f t="shared" si="86"/>
        <v/>
      </c>
      <c r="J789" s="57"/>
      <c r="L789" s="19">
        <v>7.85E-7</v>
      </c>
      <c r="M789" s="59">
        <f t="shared" si="87"/>
        <v>0</v>
      </c>
      <c r="N789" s="59">
        <f t="shared" si="88"/>
        <v>0</v>
      </c>
      <c r="O789" s="59">
        <f t="shared" si="89"/>
        <v>0</v>
      </c>
      <c r="P789" s="19" t="str">
        <f t="shared" si="90"/>
        <v/>
      </c>
      <c r="Q789" s="19" t="s">
        <v>825</v>
      </c>
    </row>
    <row r="790" spans="2:17" ht="30" customHeight="1" x14ac:dyDescent="0.25">
      <c r="B790" s="62" t="str">
        <f t="shared" si="84"/>
        <v/>
      </c>
      <c r="C790" s="42">
        <v>786</v>
      </c>
      <c r="D790" s="20"/>
      <c r="E790" s="58"/>
      <c r="F790" s="63" t="str">
        <f t="shared" si="85"/>
        <v/>
      </c>
      <c r="G790" s="66" t="str">
        <f>IF(D790="","",IFERROR('Prod 3'!H790/'Prod 3'!$H$3,0))</f>
        <v/>
      </c>
      <c r="H790" s="70" t="str">
        <f>IF(D790="","",'Prod 2'!K790)</f>
        <v/>
      </c>
      <c r="I790" s="77" t="str">
        <f t="shared" si="86"/>
        <v/>
      </c>
      <c r="J790" s="57"/>
      <c r="L790" s="19">
        <v>7.8599999999999997E-7</v>
      </c>
      <c r="M790" s="59">
        <f t="shared" si="87"/>
        <v>0</v>
      </c>
      <c r="N790" s="59">
        <f t="shared" si="88"/>
        <v>0</v>
      </c>
      <c r="O790" s="59">
        <f t="shared" si="89"/>
        <v>0</v>
      </c>
      <c r="P790" s="19" t="str">
        <f t="shared" si="90"/>
        <v/>
      </c>
      <c r="Q790" s="19" t="s">
        <v>826</v>
      </c>
    </row>
    <row r="791" spans="2:17" ht="30" customHeight="1" x14ac:dyDescent="0.25">
      <c r="B791" s="62" t="str">
        <f t="shared" si="84"/>
        <v/>
      </c>
      <c r="C791" s="42">
        <v>787</v>
      </c>
      <c r="D791" s="20"/>
      <c r="E791" s="58"/>
      <c r="F791" s="63" t="str">
        <f t="shared" si="85"/>
        <v/>
      </c>
      <c r="G791" s="66" t="str">
        <f>IF(D791="","",IFERROR('Prod 3'!H791/'Prod 3'!$H$3,0))</f>
        <v/>
      </c>
      <c r="H791" s="70" t="str">
        <f>IF(D791="","",'Prod 2'!K791)</f>
        <v/>
      </c>
      <c r="I791" s="77" t="str">
        <f t="shared" si="86"/>
        <v/>
      </c>
      <c r="J791" s="57"/>
      <c r="L791" s="19">
        <v>7.8700000000000005E-7</v>
      </c>
      <c r="M791" s="59">
        <f t="shared" si="87"/>
        <v>0</v>
      </c>
      <c r="N791" s="59">
        <f t="shared" si="88"/>
        <v>0</v>
      </c>
      <c r="O791" s="59">
        <f t="shared" si="89"/>
        <v>0</v>
      </c>
      <c r="P791" s="19" t="str">
        <f t="shared" si="90"/>
        <v/>
      </c>
      <c r="Q791" s="19" t="s">
        <v>827</v>
      </c>
    </row>
    <row r="792" spans="2:17" ht="30" customHeight="1" x14ac:dyDescent="0.25">
      <c r="B792" s="62" t="str">
        <f t="shared" si="84"/>
        <v/>
      </c>
      <c r="C792" s="42">
        <v>788</v>
      </c>
      <c r="D792" s="20"/>
      <c r="E792" s="58"/>
      <c r="F792" s="63" t="str">
        <f t="shared" si="85"/>
        <v/>
      </c>
      <c r="G792" s="66" t="str">
        <f>IF(D792="","",IFERROR('Prod 3'!H792/'Prod 3'!$H$3,0))</f>
        <v/>
      </c>
      <c r="H792" s="70" t="str">
        <f>IF(D792="","",'Prod 2'!K792)</f>
        <v/>
      </c>
      <c r="I792" s="77" t="str">
        <f t="shared" si="86"/>
        <v/>
      </c>
      <c r="J792" s="57"/>
      <c r="L792" s="19">
        <v>7.8800000000000002E-7</v>
      </c>
      <c r="M792" s="59">
        <f t="shared" si="87"/>
        <v>0</v>
      </c>
      <c r="N792" s="59">
        <f t="shared" si="88"/>
        <v>0</v>
      </c>
      <c r="O792" s="59">
        <f t="shared" si="89"/>
        <v>0</v>
      </c>
      <c r="P792" s="19" t="str">
        <f t="shared" si="90"/>
        <v/>
      </c>
      <c r="Q792" s="19" t="s">
        <v>828</v>
      </c>
    </row>
    <row r="793" spans="2:17" ht="30" customHeight="1" x14ac:dyDescent="0.25">
      <c r="B793" s="62" t="str">
        <f t="shared" si="84"/>
        <v/>
      </c>
      <c r="C793" s="42">
        <v>789</v>
      </c>
      <c r="D793" s="20"/>
      <c r="E793" s="58"/>
      <c r="F793" s="63" t="str">
        <f t="shared" si="85"/>
        <v/>
      </c>
      <c r="G793" s="66" t="str">
        <f>IF(D793="","",IFERROR('Prod 3'!H793/'Prod 3'!$H$3,0))</f>
        <v/>
      </c>
      <c r="H793" s="70" t="str">
        <f>IF(D793="","",'Prod 2'!K793)</f>
        <v/>
      </c>
      <c r="I793" s="77" t="str">
        <f t="shared" si="86"/>
        <v/>
      </c>
      <c r="J793" s="57"/>
      <c r="L793" s="19">
        <v>7.8899999999999998E-7</v>
      </c>
      <c r="M793" s="59">
        <f t="shared" si="87"/>
        <v>0</v>
      </c>
      <c r="N793" s="59">
        <f t="shared" si="88"/>
        <v>0</v>
      </c>
      <c r="O793" s="59">
        <f t="shared" si="89"/>
        <v>0</v>
      </c>
      <c r="P793" s="19" t="str">
        <f t="shared" si="90"/>
        <v/>
      </c>
      <c r="Q793" s="19" t="s">
        <v>829</v>
      </c>
    </row>
    <row r="794" spans="2:17" ht="30" customHeight="1" x14ac:dyDescent="0.25">
      <c r="B794" s="62" t="str">
        <f t="shared" si="84"/>
        <v/>
      </c>
      <c r="C794" s="42">
        <v>790</v>
      </c>
      <c r="D794" s="20"/>
      <c r="E794" s="58"/>
      <c r="F794" s="63" t="str">
        <f t="shared" si="85"/>
        <v/>
      </c>
      <c r="G794" s="66" t="str">
        <f>IF(D794="","",IFERROR('Prod 3'!H794/'Prod 3'!$H$3,0))</f>
        <v/>
      </c>
      <c r="H794" s="70" t="str">
        <f>IF(D794="","",'Prod 2'!K794)</f>
        <v/>
      </c>
      <c r="I794" s="77" t="str">
        <f t="shared" si="86"/>
        <v/>
      </c>
      <c r="J794" s="57"/>
      <c r="L794" s="19">
        <v>7.8999999999999995E-7</v>
      </c>
      <c r="M794" s="59">
        <f t="shared" si="87"/>
        <v>0</v>
      </c>
      <c r="N794" s="59">
        <f t="shared" si="88"/>
        <v>0</v>
      </c>
      <c r="O794" s="59">
        <f t="shared" si="89"/>
        <v>0</v>
      </c>
      <c r="P794" s="19" t="str">
        <f t="shared" si="90"/>
        <v/>
      </c>
      <c r="Q794" s="19" t="s">
        <v>830</v>
      </c>
    </row>
    <row r="795" spans="2:17" ht="30" customHeight="1" x14ac:dyDescent="0.25">
      <c r="B795" s="62" t="str">
        <f t="shared" si="84"/>
        <v/>
      </c>
      <c r="C795" s="42">
        <v>791</v>
      </c>
      <c r="D795" s="20"/>
      <c r="E795" s="58"/>
      <c r="F795" s="63" t="str">
        <f t="shared" si="85"/>
        <v/>
      </c>
      <c r="G795" s="66" t="str">
        <f>IF(D795="","",IFERROR('Prod 3'!H795/'Prod 3'!$H$3,0))</f>
        <v/>
      </c>
      <c r="H795" s="70" t="str">
        <f>IF(D795="","",'Prod 2'!K795)</f>
        <v/>
      </c>
      <c r="I795" s="77" t="str">
        <f t="shared" si="86"/>
        <v/>
      </c>
      <c r="J795" s="57"/>
      <c r="L795" s="19">
        <v>7.9100000000000003E-7</v>
      </c>
      <c r="M795" s="59">
        <f t="shared" si="87"/>
        <v>0</v>
      </c>
      <c r="N795" s="59">
        <f t="shared" si="88"/>
        <v>0</v>
      </c>
      <c r="O795" s="59">
        <f t="shared" si="89"/>
        <v>0</v>
      </c>
      <c r="P795" s="19" t="str">
        <f t="shared" si="90"/>
        <v/>
      </c>
      <c r="Q795" s="19" t="s">
        <v>831</v>
      </c>
    </row>
    <row r="796" spans="2:17" ht="30" customHeight="1" x14ac:dyDescent="0.25">
      <c r="B796" s="62" t="str">
        <f t="shared" si="84"/>
        <v/>
      </c>
      <c r="C796" s="42">
        <v>792</v>
      </c>
      <c r="D796" s="20"/>
      <c r="E796" s="58"/>
      <c r="F796" s="63" t="str">
        <f t="shared" si="85"/>
        <v/>
      </c>
      <c r="G796" s="66" t="str">
        <f>IF(D796="","",IFERROR('Prod 3'!H796/'Prod 3'!$H$3,0))</f>
        <v/>
      </c>
      <c r="H796" s="70" t="str">
        <f>IF(D796="","",'Prod 2'!K796)</f>
        <v/>
      </c>
      <c r="I796" s="77" t="str">
        <f t="shared" si="86"/>
        <v/>
      </c>
      <c r="J796" s="57"/>
      <c r="L796" s="19">
        <v>7.92E-7</v>
      </c>
      <c r="M796" s="59">
        <f t="shared" si="87"/>
        <v>0</v>
      </c>
      <c r="N796" s="59">
        <f t="shared" si="88"/>
        <v>0</v>
      </c>
      <c r="O796" s="59">
        <f t="shared" si="89"/>
        <v>0</v>
      </c>
      <c r="P796" s="19" t="str">
        <f t="shared" si="90"/>
        <v/>
      </c>
      <c r="Q796" s="19" t="s">
        <v>832</v>
      </c>
    </row>
    <row r="797" spans="2:17" ht="30" customHeight="1" x14ac:dyDescent="0.25">
      <c r="B797" s="62" t="str">
        <f t="shared" si="84"/>
        <v/>
      </c>
      <c r="C797" s="42">
        <v>793</v>
      </c>
      <c r="D797" s="20"/>
      <c r="E797" s="58"/>
      <c r="F797" s="63" t="str">
        <f t="shared" si="85"/>
        <v/>
      </c>
      <c r="G797" s="66" t="str">
        <f>IF(D797="","",IFERROR('Prod 3'!H797/'Prod 3'!$H$3,0))</f>
        <v/>
      </c>
      <c r="H797" s="70" t="str">
        <f>IF(D797="","",'Prod 2'!K797)</f>
        <v/>
      </c>
      <c r="I797" s="77" t="str">
        <f t="shared" si="86"/>
        <v/>
      </c>
      <c r="J797" s="57"/>
      <c r="L797" s="19">
        <v>7.9299999999999997E-7</v>
      </c>
      <c r="M797" s="59">
        <f t="shared" si="87"/>
        <v>0</v>
      </c>
      <c r="N797" s="59">
        <f t="shared" si="88"/>
        <v>0</v>
      </c>
      <c r="O797" s="59">
        <f t="shared" si="89"/>
        <v>0</v>
      </c>
      <c r="P797" s="19" t="str">
        <f t="shared" si="90"/>
        <v/>
      </c>
      <c r="Q797" s="19" t="s">
        <v>833</v>
      </c>
    </row>
    <row r="798" spans="2:17" ht="30" customHeight="1" x14ac:dyDescent="0.25">
      <c r="B798" s="62" t="str">
        <f t="shared" si="84"/>
        <v/>
      </c>
      <c r="C798" s="42">
        <v>794</v>
      </c>
      <c r="D798" s="20"/>
      <c r="E798" s="58"/>
      <c r="F798" s="63" t="str">
        <f t="shared" si="85"/>
        <v/>
      </c>
      <c r="G798" s="66" t="str">
        <f>IF(D798="","",IFERROR('Prod 3'!H798/'Prod 3'!$H$3,0))</f>
        <v/>
      </c>
      <c r="H798" s="70" t="str">
        <f>IF(D798="","",'Prod 2'!K798)</f>
        <v/>
      </c>
      <c r="I798" s="77" t="str">
        <f t="shared" si="86"/>
        <v/>
      </c>
      <c r="J798" s="57"/>
      <c r="L798" s="19">
        <v>7.9400000000000004E-7</v>
      </c>
      <c r="M798" s="59">
        <f t="shared" si="87"/>
        <v>0</v>
      </c>
      <c r="N798" s="59">
        <f t="shared" si="88"/>
        <v>0</v>
      </c>
      <c r="O798" s="59">
        <f t="shared" si="89"/>
        <v>0</v>
      </c>
      <c r="P798" s="19" t="str">
        <f t="shared" si="90"/>
        <v/>
      </c>
      <c r="Q798" s="19" t="s">
        <v>834</v>
      </c>
    </row>
    <row r="799" spans="2:17" ht="30" customHeight="1" x14ac:dyDescent="0.25">
      <c r="B799" s="62" t="str">
        <f t="shared" si="84"/>
        <v/>
      </c>
      <c r="C799" s="42">
        <v>795</v>
      </c>
      <c r="D799" s="20"/>
      <c r="E799" s="58"/>
      <c r="F799" s="63" t="str">
        <f t="shared" si="85"/>
        <v/>
      </c>
      <c r="G799" s="66" t="str">
        <f>IF(D799="","",IFERROR('Prod 3'!H799/'Prod 3'!$H$3,0))</f>
        <v/>
      </c>
      <c r="H799" s="70" t="str">
        <f>IF(D799="","",'Prod 2'!K799)</f>
        <v/>
      </c>
      <c r="I799" s="77" t="str">
        <f t="shared" si="86"/>
        <v/>
      </c>
      <c r="J799" s="57"/>
      <c r="L799" s="19">
        <v>7.9500000000000001E-7</v>
      </c>
      <c r="M799" s="59">
        <f t="shared" si="87"/>
        <v>0</v>
      </c>
      <c r="N799" s="59">
        <f t="shared" si="88"/>
        <v>0</v>
      </c>
      <c r="O799" s="59">
        <f t="shared" si="89"/>
        <v>0</v>
      </c>
      <c r="P799" s="19" t="str">
        <f t="shared" si="90"/>
        <v/>
      </c>
      <c r="Q799" s="19" t="s">
        <v>835</v>
      </c>
    </row>
    <row r="800" spans="2:17" ht="30" customHeight="1" x14ac:dyDescent="0.25">
      <c r="B800" s="62" t="str">
        <f t="shared" si="84"/>
        <v/>
      </c>
      <c r="C800" s="42">
        <v>796</v>
      </c>
      <c r="D800" s="20"/>
      <c r="E800" s="58"/>
      <c r="F800" s="63" t="str">
        <f t="shared" si="85"/>
        <v/>
      </c>
      <c r="G800" s="66" t="str">
        <f>IF(D800="","",IFERROR('Prod 3'!H800/'Prod 3'!$H$3,0))</f>
        <v/>
      </c>
      <c r="H800" s="70" t="str">
        <f>IF(D800="","",'Prod 2'!K800)</f>
        <v/>
      </c>
      <c r="I800" s="77" t="str">
        <f t="shared" si="86"/>
        <v/>
      </c>
      <c r="J800" s="57"/>
      <c r="L800" s="19">
        <v>7.9599999999999998E-7</v>
      </c>
      <c r="M800" s="59">
        <f t="shared" si="87"/>
        <v>0</v>
      </c>
      <c r="N800" s="59">
        <f t="shared" si="88"/>
        <v>0</v>
      </c>
      <c r="O800" s="59">
        <f t="shared" si="89"/>
        <v>0</v>
      </c>
      <c r="P800" s="19" t="str">
        <f t="shared" si="90"/>
        <v/>
      </c>
      <c r="Q800" s="19" t="s">
        <v>836</v>
      </c>
    </row>
    <row r="801" spans="2:17" ht="30" customHeight="1" x14ac:dyDescent="0.25">
      <c r="B801" s="62" t="str">
        <f t="shared" si="84"/>
        <v/>
      </c>
      <c r="C801" s="42">
        <v>797</v>
      </c>
      <c r="D801" s="20"/>
      <c r="E801" s="58"/>
      <c r="F801" s="63" t="str">
        <f t="shared" si="85"/>
        <v/>
      </c>
      <c r="G801" s="66" t="str">
        <f>IF(D801="","",IFERROR('Prod 3'!H801/'Prod 3'!$H$3,0))</f>
        <v/>
      </c>
      <c r="H801" s="70" t="str">
        <f>IF(D801="","",'Prod 2'!K801)</f>
        <v/>
      </c>
      <c r="I801" s="77" t="str">
        <f t="shared" si="86"/>
        <v/>
      </c>
      <c r="J801" s="57"/>
      <c r="L801" s="19">
        <v>7.9699999999999995E-7</v>
      </c>
      <c r="M801" s="59">
        <f t="shared" si="87"/>
        <v>0</v>
      </c>
      <c r="N801" s="59">
        <f t="shared" si="88"/>
        <v>0</v>
      </c>
      <c r="O801" s="59">
        <f t="shared" si="89"/>
        <v>0</v>
      </c>
      <c r="P801" s="19" t="str">
        <f t="shared" si="90"/>
        <v/>
      </c>
      <c r="Q801" s="19" t="s">
        <v>837</v>
      </c>
    </row>
    <row r="802" spans="2:17" ht="30" customHeight="1" x14ac:dyDescent="0.25">
      <c r="B802" s="62" t="str">
        <f t="shared" si="84"/>
        <v/>
      </c>
      <c r="C802" s="42">
        <v>798</v>
      </c>
      <c r="D802" s="20"/>
      <c r="E802" s="58"/>
      <c r="F802" s="63" t="str">
        <f t="shared" si="85"/>
        <v/>
      </c>
      <c r="G802" s="66" t="str">
        <f>IF(D802="","",IFERROR('Prod 3'!H802/'Prod 3'!$H$3,0))</f>
        <v/>
      </c>
      <c r="H802" s="70" t="str">
        <f>IF(D802="","",'Prod 2'!K802)</f>
        <v/>
      </c>
      <c r="I802" s="77" t="str">
        <f t="shared" si="86"/>
        <v/>
      </c>
      <c r="J802" s="57"/>
      <c r="L802" s="19">
        <v>7.9800000000000003E-7</v>
      </c>
      <c r="M802" s="59">
        <f t="shared" si="87"/>
        <v>0</v>
      </c>
      <c r="N802" s="59">
        <f t="shared" si="88"/>
        <v>0</v>
      </c>
      <c r="O802" s="59">
        <f t="shared" si="89"/>
        <v>0</v>
      </c>
      <c r="P802" s="19" t="str">
        <f t="shared" si="90"/>
        <v/>
      </c>
      <c r="Q802" s="19" t="s">
        <v>838</v>
      </c>
    </row>
    <row r="803" spans="2:17" ht="30" customHeight="1" x14ac:dyDescent="0.25">
      <c r="B803" s="62" t="str">
        <f t="shared" si="84"/>
        <v/>
      </c>
      <c r="C803" s="42">
        <v>799</v>
      </c>
      <c r="D803" s="20"/>
      <c r="E803" s="58"/>
      <c r="F803" s="63" t="str">
        <f t="shared" si="85"/>
        <v/>
      </c>
      <c r="G803" s="66" t="str">
        <f>IF(D803="","",IFERROR('Prod 3'!H803/'Prod 3'!$H$3,0))</f>
        <v/>
      </c>
      <c r="H803" s="70" t="str">
        <f>IF(D803="","",'Prod 2'!K803)</f>
        <v/>
      </c>
      <c r="I803" s="77" t="str">
        <f t="shared" si="86"/>
        <v/>
      </c>
      <c r="J803" s="57"/>
      <c r="L803" s="19">
        <v>7.9899999999999999E-7</v>
      </c>
      <c r="M803" s="59">
        <f t="shared" si="87"/>
        <v>0</v>
      </c>
      <c r="N803" s="59">
        <f t="shared" si="88"/>
        <v>0</v>
      </c>
      <c r="O803" s="59">
        <f t="shared" si="89"/>
        <v>0</v>
      </c>
      <c r="P803" s="19" t="str">
        <f t="shared" si="90"/>
        <v/>
      </c>
      <c r="Q803" s="19" t="s">
        <v>839</v>
      </c>
    </row>
    <row r="804" spans="2:17" ht="30" customHeight="1" x14ac:dyDescent="0.25">
      <c r="B804" s="62" t="str">
        <f t="shared" si="84"/>
        <v/>
      </c>
      <c r="C804" s="42">
        <v>800</v>
      </c>
      <c r="D804" s="20"/>
      <c r="E804" s="58"/>
      <c r="F804" s="63" t="str">
        <f t="shared" si="85"/>
        <v/>
      </c>
      <c r="G804" s="66" t="str">
        <f>IF(D804="","",IFERROR('Prod 3'!H804/'Prod 3'!$H$3,0))</f>
        <v/>
      </c>
      <c r="H804" s="70" t="str">
        <f>IF(D804="","",'Prod 2'!K804)</f>
        <v/>
      </c>
      <c r="I804" s="77" t="str">
        <f t="shared" si="86"/>
        <v/>
      </c>
      <c r="J804" s="57"/>
      <c r="L804" s="19">
        <v>7.9999999999999996E-7</v>
      </c>
      <c r="M804" s="59">
        <f t="shared" si="87"/>
        <v>0</v>
      </c>
      <c r="N804" s="59">
        <f t="shared" si="88"/>
        <v>0</v>
      </c>
      <c r="O804" s="59">
        <f t="shared" si="89"/>
        <v>0</v>
      </c>
      <c r="P804" s="19" t="str">
        <f t="shared" si="90"/>
        <v/>
      </c>
      <c r="Q804" s="19" t="s">
        <v>840</v>
      </c>
    </row>
    <row r="805" spans="2:17" ht="30" customHeight="1" x14ac:dyDescent="0.25">
      <c r="B805" s="62" t="str">
        <f t="shared" si="84"/>
        <v/>
      </c>
      <c r="C805" s="42">
        <v>801</v>
      </c>
      <c r="D805" s="20"/>
      <c r="E805" s="58"/>
      <c r="F805" s="63" t="str">
        <f t="shared" si="85"/>
        <v/>
      </c>
      <c r="G805" s="66" t="str">
        <f>IF(D805="","",IFERROR('Prod 3'!H805/'Prod 3'!$H$3,0))</f>
        <v/>
      </c>
      <c r="H805" s="70" t="str">
        <f>IF(D805="","",'Prod 2'!K805)</f>
        <v/>
      </c>
      <c r="I805" s="77" t="str">
        <f t="shared" si="86"/>
        <v/>
      </c>
      <c r="J805" s="57"/>
      <c r="L805" s="19">
        <v>8.0100000000000004E-7</v>
      </c>
      <c r="M805" s="59">
        <f t="shared" si="87"/>
        <v>0</v>
      </c>
      <c r="N805" s="59">
        <f t="shared" si="88"/>
        <v>0</v>
      </c>
      <c r="O805" s="59">
        <f t="shared" si="89"/>
        <v>0</v>
      </c>
      <c r="P805" s="19" t="str">
        <f t="shared" si="90"/>
        <v/>
      </c>
      <c r="Q805" s="19" t="s">
        <v>841</v>
      </c>
    </row>
    <row r="806" spans="2:17" ht="30" customHeight="1" x14ac:dyDescent="0.25">
      <c r="B806" s="62" t="str">
        <f t="shared" si="84"/>
        <v/>
      </c>
      <c r="C806" s="42">
        <v>802</v>
      </c>
      <c r="D806" s="20"/>
      <c r="E806" s="58"/>
      <c r="F806" s="63" t="str">
        <f t="shared" si="85"/>
        <v/>
      </c>
      <c r="G806" s="66" t="str">
        <f>IF(D806="","",IFERROR('Prod 3'!H806/'Prod 3'!$H$3,0))</f>
        <v/>
      </c>
      <c r="H806" s="70" t="str">
        <f>IF(D806="","",'Prod 2'!K806)</f>
        <v/>
      </c>
      <c r="I806" s="77" t="str">
        <f t="shared" si="86"/>
        <v/>
      </c>
      <c r="J806" s="57"/>
      <c r="L806" s="19">
        <v>8.0200000000000001E-7</v>
      </c>
      <c r="M806" s="59">
        <f t="shared" si="87"/>
        <v>0</v>
      </c>
      <c r="N806" s="59">
        <f t="shared" si="88"/>
        <v>0</v>
      </c>
      <c r="O806" s="59">
        <f t="shared" si="89"/>
        <v>0</v>
      </c>
      <c r="P806" s="19" t="str">
        <f t="shared" si="90"/>
        <v/>
      </c>
      <c r="Q806" s="19" t="s">
        <v>842</v>
      </c>
    </row>
    <row r="807" spans="2:17" ht="30" customHeight="1" x14ac:dyDescent="0.25">
      <c r="B807" s="62" t="str">
        <f t="shared" si="84"/>
        <v/>
      </c>
      <c r="C807" s="42">
        <v>803</v>
      </c>
      <c r="D807" s="20"/>
      <c r="E807" s="58"/>
      <c r="F807" s="63" t="str">
        <f t="shared" si="85"/>
        <v/>
      </c>
      <c r="G807" s="66" t="str">
        <f>IF(D807="","",IFERROR('Prod 3'!H807/'Prod 3'!$H$3,0))</f>
        <v/>
      </c>
      <c r="H807" s="70" t="str">
        <f>IF(D807="","",'Prod 2'!K807)</f>
        <v/>
      </c>
      <c r="I807" s="77" t="str">
        <f t="shared" si="86"/>
        <v/>
      </c>
      <c r="J807" s="57"/>
      <c r="L807" s="19">
        <v>8.0299999999999998E-7</v>
      </c>
      <c r="M807" s="59">
        <f t="shared" si="87"/>
        <v>0</v>
      </c>
      <c r="N807" s="59">
        <f t="shared" si="88"/>
        <v>0</v>
      </c>
      <c r="O807" s="59">
        <f t="shared" si="89"/>
        <v>0</v>
      </c>
      <c r="P807" s="19" t="str">
        <f t="shared" si="90"/>
        <v/>
      </c>
      <c r="Q807" s="19" t="s">
        <v>843</v>
      </c>
    </row>
    <row r="808" spans="2:17" ht="30" customHeight="1" x14ac:dyDescent="0.25">
      <c r="B808" s="62" t="str">
        <f t="shared" si="84"/>
        <v/>
      </c>
      <c r="C808" s="42">
        <v>804</v>
      </c>
      <c r="D808" s="20"/>
      <c r="E808" s="58"/>
      <c r="F808" s="63" t="str">
        <f t="shared" si="85"/>
        <v/>
      </c>
      <c r="G808" s="66" t="str">
        <f>IF(D808="","",IFERROR('Prod 3'!H808/'Prod 3'!$H$3,0))</f>
        <v/>
      </c>
      <c r="H808" s="70" t="str">
        <f>IF(D808="","",'Prod 2'!K808)</f>
        <v/>
      </c>
      <c r="I808" s="77" t="str">
        <f t="shared" si="86"/>
        <v/>
      </c>
      <c r="J808" s="57"/>
      <c r="L808" s="19">
        <v>8.0400000000000005E-7</v>
      </c>
      <c r="M808" s="59">
        <f t="shared" si="87"/>
        <v>0</v>
      </c>
      <c r="N808" s="59">
        <f t="shared" si="88"/>
        <v>0</v>
      </c>
      <c r="O808" s="59">
        <f t="shared" si="89"/>
        <v>0</v>
      </c>
      <c r="P808" s="19" t="str">
        <f t="shared" si="90"/>
        <v/>
      </c>
      <c r="Q808" s="19" t="s">
        <v>844</v>
      </c>
    </row>
    <row r="809" spans="2:17" ht="30" customHeight="1" x14ac:dyDescent="0.25">
      <c r="B809" s="62" t="str">
        <f t="shared" si="84"/>
        <v/>
      </c>
      <c r="C809" s="42">
        <v>805</v>
      </c>
      <c r="D809" s="20"/>
      <c r="E809" s="58"/>
      <c r="F809" s="63" t="str">
        <f t="shared" si="85"/>
        <v/>
      </c>
      <c r="G809" s="66" t="str">
        <f>IF(D809="","",IFERROR('Prod 3'!H809/'Prod 3'!$H$3,0))</f>
        <v/>
      </c>
      <c r="H809" s="70" t="str">
        <f>IF(D809="","",'Prod 2'!K809)</f>
        <v/>
      </c>
      <c r="I809" s="77" t="str">
        <f t="shared" si="86"/>
        <v/>
      </c>
      <c r="J809" s="57"/>
      <c r="L809" s="19">
        <v>8.0500000000000002E-7</v>
      </c>
      <c r="M809" s="59">
        <f t="shared" si="87"/>
        <v>0</v>
      </c>
      <c r="N809" s="59">
        <f t="shared" si="88"/>
        <v>0</v>
      </c>
      <c r="O809" s="59">
        <f t="shared" si="89"/>
        <v>0</v>
      </c>
      <c r="P809" s="19" t="str">
        <f t="shared" si="90"/>
        <v/>
      </c>
      <c r="Q809" s="19" t="s">
        <v>845</v>
      </c>
    </row>
    <row r="810" spans="2:17" ht="30" customHeight="1" x14ac:dyDescent="0.25">
      <c r="B810" s="62" t="str">
        <f t="shared" si="84"/>
        <v/>
      </c>
      <c r="C810" s="42">
        <v>806</v>
      </c>
      <c r="D810" s="20"/>
      <c r="E810" s="58"/>
      <c r="F810" s="63" t="str">
        <f t="shared" si="85"/>
        <v/>
      </c>
      <c r="G810" s="66" t="str">
        <f>IF(D810="","",IFERROR('Prod 3'!H810/'Prod 3'!$H$3,0))</f>
        <v/>
      </c>
      <c r="H810" s="70" t="str">
        <f>IF(D810="","",'Prod 2'!K810)</f>
        <v/>
      </c>
      <c r="I810" s="77" t="str">
        <f t="shared" si="86"/>
        <v/>
      </c>
      <c r="J810" s="57"/>
      <c r="L810" s="19">
        <v>8.0599999999999999E-7</v>
      </c>
      <c r="M810" s="59">
        <f t="shared" si="87"/>
        <v>0</v>
      </c>
      <c r="N810" s="59">
        <f t="shared" si="88"/>
        <v>0</v>
      </c>
      <c r="O810" s="59">
        <f t="shared" si="89"/>
        <v>0</v>
      </c>
      <c r="P810" s="19" t="str">
        <f t="shared" si="90"/>
        <v/>
      </c>
      <c r="Q810" s="19" t="s">
        <v>846</v>
      </c>
    </row>
    <row r="811" spans="2:17" ht="30" customHeight="1" x14ac:dyDescent="0.25">
      <c r="B811" s="62" t="str">
        <f t="shared" si="84"/>
        <v/>
      </c>
      <c r="C811" s="42">
        <v>807</v>
      </c>
      <c r="D811" s="20"/>
      <c r="E811" s="58"/>
      <c r="F811" s="63" t="str">
        <f t="shared" si="85"/>
        <v/>
      </c>
      <c r="G811" s="66" t="str">
        <f>IF(D811="","",IFERROR('Prod 3'!H811/'Prod 3'!$H$3,0))</f>
        <v/>
      </c>
      <c r="H811" s="70" t="str">
        <f>IF(D811="","",'Prod 2'!K811)</f>
        <v/>
      </c>
      <c r="I811" s="77" t="str">
        <f t="shared" si="86"/>
        <v/>
      </c>
      <c r="J811" s="57"/>
      <c r="L811" s="19">
        <v>8.0699999999999996E-7</v>
      </c>
      <c r="M811" s="59">
        <f t="shared" si="87"/>
        <v>0</v>
      </c>
      <c r="N811" s="59">
        <f t="shared" si="88"/>
        <v>0</v>
      </c>
      <c r="O811" s="59">
        <f t="shared" si="89"/>
        <v>0</v>
      </c>
      <c r="P811" s="19" t="str">
        <f t="shared" si="90"/>
        <v/>
      </c>
      <c r="Q811" s="19" t="s">
        <v>847</v>
      </c>
    </row>
    <row r="812" spans="2:17" ht="30" customHeight="1" x14ac:dyDescent="0.25">
      <c r="B812" s="62" t="str">
        <f t="shared" si="84"/>
        <v/>
      </c>
      <c r="C812" s="42">
        <v>808</v>
      </c>
      <c r="D812" s="20"/>
      <c r="E812" s="58"/>
      <c r="F812" s="63" t="str">
        <f t="shared" si="85"/>
        <v/>
      </c>
      <c r="G812" s="66" t="str">
        <f>IF(D812="","",IFERROR('Prod 3'!H812/'Prod 3'!$H$3,0))</f>
        <v/>
      </c>
      <c r="H812" s="70" t="str">
        <f>IF(D812="","",'Prod 2'!K812)</f>
        <v/>
      </c>
      <c r="I812" s="77" t="str">
        <f t="shared" si="86"/>
        <v/>
      </c>
      <c r="J812" s="57"/>
      <c r="L812" s="19">
        <v>8.0800000000000004E-7</v>
      </c>
      <c r="M812" s="59">
        <f t="shared" si="87"/>
        <v>0</v>
      </c>
      <c r="N812" s="59">
        <f t="shared" si="88"/>
        <v>0</v>
      </c>
      <c r="O812" s="59">
        <f t="shared" si="89"/>
        <v>0</v>
      </c>
      <c r="P812" s="19" t="str">
        <f t="shared" si="90"/>
        <v/>
      </c>
      <c r="Q812" s="19" t="s">
        <v>848</v>
      </c>
    </row>
    <row r="813" spans="2:17" ht="30" customHeight="1" x14ac:dyDescent="0.25">
      <c r="B813" s="62" t="str">
        <f t="shared" si="84"/>
        <v/>
      </c>
      <c r="C813" s="42">
        <v>809</v>
      </c>
      <c r="D813" s="20"/>
      <c r="E813" s="58"/>
      <c r="F813" s="63" t="str">
        <f t="shared" si="85"/>
        <v/>
      </c>
      <c r="G813" s="66" t="str">
        <f>IF(D813="","",IFERROR('Prod 3'!H813/'Prod 3'!$H$3,0))</f>
        <v/>
      </c>
      <c r="H813" s="70" t="str">
        <f>IF(D813="","",'Prod 2'!K813)</f>
        <v/>
      </c>
      <c r="I813" s="77" t="str">
        <f t="shared" si="86"/>
        <v/>
      </c>
      <c r="J813" s="57"/>
      <c r="L813" s="19">
        <v>8.09E-7</v>
      </c>
      <c r="M813" s="59">
        <f t="shared" si="87"/>
        <v>0</v>
      </c>
      <c r="N813" s="59">
        <f t="shared" si="88"/>
        <v>0</v>
      </c>
      <c r="O813" s="59">
        <f t="shared" si="89"/>
        <v>0</v>
      </c>
      <c r="P813" s="19" t="str">
        <f t="shared" si="90"/>
        <v/>
      </c>
      <c r="Q813" s="19" t="s">
        <v>849</v>
      </c>
    </row>
    <row r="814" spans="2:17" ht="30" customHeight="1" x14ac:dyDescent="0.25">
      <c r="B814" s="62" t="str">
        <f t="shared" si="84"/>
        <v/>
      </c>
      <c r="C814" s="42">
        <v>810</v>
      </c>
      <c r="D814" s="20"/>
      <c r="E814" s="58"/>
      <c r="F814" s="63" t="str">
        <f t="shared" si="85"/>
        <v/>
      </c>
      <c r="G814" s="66" t="str">
        <f>IF(D814="","",IFERROR('Prod 3'!H814/'Prod 3'!$H$3,0))</f>
        <v/>
      </c>
      <c r="H814" s="70" t="str">
        <f>IF(D814="","",'Prod 2'!K814)</f>
        <v/>
      </c>
      <c r="I814" s="77" t="str">
        <f t="shared" si="86"/>
        <v/>
      </c>
      <c r="J814" s="57"/>
      <c r="L814" s="19">
        <v>8.0999999999999997E-7</v>
      </c>
      <c r="M814" s="59">
        <f t="shared" si="87"/>
        <v>0</v>
      </c>
      <c r="N814" s="59">
        <f t="shared" si="88"/>
        <v>0</v>
      </c>
      <c r="O814" s="59">
        <f t="shared" si="89"/>
        <v>0</v>
      </c>
      <c r="P814" s="19" t="str">
        <f t="shared" si="90"/>
        <v/>
      </c>
      <c r="Q814" s="19" t="s">
        <v>850</v>
      </c>
    </row>
    <row r="815" spans="2:17" ht="30" customHeight="1" x14ac:dyDescent="0.25">
      <c r="B815" s="62" t="str">
        <f t="shared" si="84"/>
        <v/>
      </c>
      <c r="C815" s="42">
        <v>811</v>
      </c>
      <c r="D815" s="20"/>
      <c r="E815" s="58"/>
      <c r="F815" s="63" t="str">
        <f t="shared" si="85"/>
        <v/>
      </c>
      <c r="G815" s="66" t="str">
        <f>IF(D815="","",IFERROR('Prod 3'!H815/'Prod 3'!$H$3,0))</f>
        <v/>
      </c>
      <c r="H815" s="70" t="str">
        <f>IF(D815="","",'Prod 2'!K815)</f>
        <v/>
      </c>
      <c r="I815" s="77" t="str">
        <f t="shared" si="86"/>
        <v/>
      </c>
      <c r="J815" s="57"/>
      <c r="L815" s="19">
        <v>8.1100000000000005E-7</v>
      </c>
      <c r="M815" s="59">
        <f t="shared" si="87"/>
        <v>0</v>
      </c>
      <c r="N815" s="59">
        <f t="shared" si="88"/>
        <v>0</v>
      </c>
      <c r="O815" s="59">
        <f t="shared" si="89"/>
        <v>0</v>
      </c>
      <c r="P815" s="19" t="str">
        <f t="shared" si="90"/>
        <v/>
      </c>
      <c r="Q815" s="19" t="s">
        <v>851</v>
      </c>
    </row>
    <row r="816" spans="2:17" ht="30" customHeight="1" x14ac:dyDescent="0.25">
      <c r="B816" s="62" t="str">
        <f t="shared" si="84"/>
        <v/>
      </c>
      <c r="C816" s="42">
        <v>812</v>
      </c>
      <c r="D816" s="20"/>
      <c r="E816" s="58"/>
      <c r="F816" s="63" t="str">
        <f t="shared" si="85"/>
        <v/>
      </c>
      <c r="G816" s="66" t="str">
        <f>IF(D816="","",IFERROR('Prod 3'!H816/'Prod 3'!$H$3,0))</f>
        <v/>
      </c>
      <c r="H816" s="70" t="str">
        <f>IF(D816="","",'Prod 2'!K816)</f>
        <v/>
      </c>
      <c r="I816" s="77" t="str">
        <f t="shared" si="86"/>
        <v/>
      </c>
      <c r="J816" s="57"/>
      <c r="L816" s="19">
        <v>8.1200000000000002E-7</v>
      </c>
      <c r="M816" s="59">
        <f t="shared" si="87"/>
        <v>0</v>
      </c>
      <c r="N816" s="59">
        <f t="shared" si="88"/>
        <v>0</v>
      </c>
      <c r="O816" s="59">
        <f t="shared" si="89"/>
        <v>0</v>
      </c>
      <c r="P816" s="19" t="str">
        <f t="shared" si="90"/>
        <v/>
      </c>
      <c r="Q816" s="19" t="s">
        <v>852</v>
      </c>
    </row>
    <row r="817" spans="2:17" ht="30" customHeight="1" x14ac:dyDescent="0.25">
      <c r="B817" s="62" t="str">
        <f t="shared" si="84"/>
        <v/>
      </c>
      <c r="C817" s="42">
        <v>813</v>
      </c>
      <c r="D817" s="20"/>
      <c r="E817" s="58"/>
      <c r="F817" s="63" t="str">
        <f t="shared" si="85"/>
        <v/>
      </c>
      <c r="G817" s="66" t="str">
        <f>IF(D817="","",IFERROR('Prod 3'!H817/'Prod 3'!$H$3,0))</f>
        <v/>
      </c>
      <c r="H817" s="70" t="str">
        <f>IF(D817="","",'Prod 2'!K817)</f>
        <v/>
      </c>
      <c r="I817" s="77" t="str">
        <f t="shared" si="86"/>
        <v/>
      </c>
      <c r="J817" s="57"/>
      <c r="L817" s="19">
        <v>8.1299999999999999E-7</v>
      </c>
      <c r="M817" s="59">
        <f t="shared" si="87"/>
        <v>0</v>
      </c>
      <c r="N817" s="59">
        <f t="shared" si="88"/>
        <v>0</v>
      </c>
      <c r="O817" s="59">
        <f t="shared" si="89"/>
        <v>0</v>
      </c>
      <c r="P817" s="19" t="str">
        <f t="shared" si="90"/>
        <v/>
      </c>
      <c r="Q817" s="19" t="s">
        <v>853</v>
      </c>
    </row>
    <row r="818" spans="2:17" ht="30" customHeight="1" x14ac:dyDescent="0.25">
      <c r="B818" s="62" t="str">
        <f t="shared" si="84"/>
        <v/>
      </c>
      <c r="C818" s="42">
        <v>814</v>
      </c>
      <c r="D818" s="20"/>
      <c r="E818" s="58"/>
      <c r="F818" s="63" t="str">
        <f t="shared" si="85"/>
        <v/>
      </c>
      <c r="G818" s="66" t="str">
        <f>IF(D818="","",IFERROR('Prod 3'!H818/'Prod 3'!$H$3,0))</f>
        <v/>
      </c>
      <c r="H818" s="70" t="str">
        <f>IF(D818="","",'Prod 2'!K818)</f>
        <v/>
      </c>
      <c r="I818" s="77" t="str">
        <f t="shared" si="86"/>
        <v/>
      </c>
      <c r="J818" s="57"/>
      <c r="L818" s="19">
        <v>8.1399999999999996E-7</v>
      </c>
      <c r="M818" s="59">
        <f t="shared" si="87"/>
        <v>0</v>
      </c>
      <c r="N818" s="59">
        <f t="shared" si="88"/>
        <v>0</v>
      </c>
      <c r="O818" s="59">
        <f t="shared" si="89"/>
        <v>0</v>
      </c>
      <c r="P818" s="19" t="str">
        <f t="shared" si="90"/>
        <v/>
      </c>
      <c r="Q818" s="19" t="s">
        <v>854</v>
      </c>
    </row>
    <row r="819" spans="2:17" ht="30" customHeight="1" x14ac:dyDescent="0.25">
      <c r="B819" s="62" t="str">
        <f t="shared" si="84"/>
        <v/>
      </c>
      <c r="C819" s="42">
        <v>815</v>
      </c>
      <c r="D819" s="20"/>
      <c r="E819" s="58"/>
      <c r="F819" s="63" t="str">
        <f t="shared" si="85"/>
        <v/>
      </c>
      <c r="G819" s="66" t="str">
        <f>IF(D819="","",IFERROR('Prod 3'!H819/'Prod 3'!$H$3,0))</f>
        <v/>
      </c>
      <c r="H819" s="70" t="str">
        <f>IF(D819="","",'Prod 2'!K819)</f>
        <v/>
      </c>
      <c r="I819" s="77" t="str">
        <f t="shared" si="86"/>
        <v/>
      </c>
      <c r="J819" s="57"/>
      <c r="L819" s="19">
        <v>8.1500000000000003E-7</v>
      </c>
      <c r="M819" s="59">
        <f t="shared" si="87"/>
        <v>0</v>
      </c>
      <c r="N819" s="59">
        <f t="shared" si="88"/>
        <v>0</v>
      </c>
      <c r="O819" s="59">
        <f t="shared" si="89"/>
        <v>0</v>
      </c>
      <c r="P819" s="19" t="str">
        <f t="shared" si="90"/>
        <v/>
      </c>
      <c r="Q819" s="19" t="s">
        <v>855</v>
      </c>
    </row>
    <row r="820" spans="2:17" ht="30" customHeight="1" x14ac:dyDescent="0.25">
      <c r="B820" s="62" t="str">
        <f t="shared" si="84"/>
        <v/>
      </c>
      <c r="C820" s="42">
        <v>816</v>
      </c>
      <c r="D820" s="20"/>
      <c r="E820" s="58"/>
      <c r="F820" s="63" t="str">
        <f t="shared" si="85"/>
        <v/>
      </c>
      <c r="G820" s="66" t="str">
        <f>IF(D820="","",IFERROR('Prod 3'!H820/'Prod 3'!$H$3,0))</f>
        <v/>
      </c>
      <c r="H820" s="70" t="str">
        <f>IF(D820="","",'Prod 2'!K820)</f>
        <v/>
      </c>
      <c r="I820" s="77" t="str">
        <f t="shared" si="86"/>
        <v/>
      </c>
      <c r="J820" s="57"/>
      <c r="L820" s="19">
        <v>8.16E-7</v>
      </c>
      <c r="M820" s="59">
        <f t="shared" si="87"/>
        <v>0</v>
      </c>
      <c r="N820" s="59">
        <f t="shared" si="88"/>
        <v>0</v>
      </c>
      <c r="O820" s="59">
        <f t="shared" si="89"/>
        <v>0</v>
      </c>
      <c r="P820" s="19" t="str">
        <f t="shared" si="90"/>
        <v/>
      </c>
      <c r="Q820" s="19" t="s">
        <v>856</v>
      </c>
    </row>
    <row r="821" spans="2:17" ht="30" customHeight="1" x14ac:dyDescent="0.25">
      <c r="B821" s="62" t="str">
        <f t="shared" si="84"/>
        <v/>
      </c>
      <c r="C821" s="42">
        <v>817</v>
      </c>
      <c r="D821" s="20"/>
      <c r="E821" s="58"/>
      <c r="F821" s="63" t="str">
        <f t="shared" si="85"/>
        <v/>
      </c>
      <c r="G821" s="66" t="str">
        <f>IF(D821="","",IFERROR('Prod 3'!H821/'Prod 3'!$H$3,0))</f>
        <v/>
      </c>
      <c r="H821" s="70" t="str">
        <f>IF(D821="","",'Prod 2'!K821)</f>
        <v/>
      </c>
      <c r="I821" s="77" t="str">
        <f t="shared" si="86"/>
        <v/>
      </c>
      <c r="J821" s="57"/>
      <c r="L821" s="19">
        <v>8.1699999999999997E-7</v>
      </c>
      <c r="M821" s="59">
        <f t="shared" si="87"/>
        <v>0</v>
      </c>
      <c r="N821" s="59">
        <f t="shared" si="88"/>
        <v>0</v>
      </c>
      <c r="O821" s="59">
        <f t="shared" si="89"/>
        <v>0</v>
      </c>
      <c r="P821" s="19" t="str">
        <f t="shared" si="90"/>
        <v/>
      </c>
      <c r="Q821" s="19" t="s">
        <v>857</v>
      </c>
    </row>
    <row r="822" spans="2:17" ht="30" customHeight="1" x14ac:dyDescent="0.25">
      <c r="B822" s="62" t="str">
        <f t="shared" si="84"/>
        <v/>
      </c>
      <c r="C822" s="42">
        <v>818</v>
      </c>
      <c r="D822" s="20"/>
      <c r="E822" s="58"/>
      <c r="F822" s="63" t="str">
        <f t="shared" si="85"/>
        <v/>
      </c>
      <c r="G822" s="66" t="str">
        <f>IF(D822="","",IFERROR('Prod 3'!H822/'Prod 3'!$H$3,0))</f>
        <v/>
      </c>
      <c r="H822" s="70" t="str">
        <f>IF(D822="","",'Prod 2'!K822)</f>
        <v/>
      </c>
      <c r="I822" s="77" t="str">
        <f t="shared" si="86"/>
        <v/>
      </c>
      <c r="J822" s="57"/>
      <c r="L822" s="19">
        <v>8.1800000000000005E-7</v>
      </c>
      <c r="M822" s="59">
        <f t="shared" si="87"/>
        <v>0</v>
      </c>
      <c r="N822" s="59">
        <f t="shared" si="88"/>
        <v>0</v>
      </c>
      <c r="O822" s="59">
        <f t="shared" si="89"/>
        <v>0</v>
      </c>
      <c r="P822" s="19" t="str">
        <f t="shared" si="90"/>
        <v/>
      </c>
      <c r="Q822" s="19" t="s">
        <v>858</v>
      </c>
    </row>
    <row r="823" spans="2:17" ht="30" customHeight="1" x14ac:dyDescent="0.25">
      <c r="B823" s="62" t="str">
        <f t="shared" si="84"/>
        <v/>
      </c>
      <c r="C823" s="42">
        <v>819</v>
      </c>
      <c r="D823" s="20"/>
      <c r="E823" s="58"/>
      <c r="F823" s="63" t="str">
        <f t="shared" si="85"/>
        <v/>
      </c>
      <c r="G823" s="66" t="str">
        <f>IF(D823="","",IFERROR('Prod 3'!H823/'Prod 3'!$H$3,0))</f>
        <v/>
      </c>
      <c r="H823" s="70" t="str">
        <f>IF(D823="","",'Prod 2'!K823)</f>
        <v/>
      </c>
      <c r="I823" s="77" t="str">
        <f t="shared" si="86"/>
        <v/>
      </c>
      <c r="J823" s="57"/>
      <c r="L823" s="19">
        <v>8.1900000000000001E-7</v>
      </c>
      <c r="M823" s="59">
        <f t="shared" si="87"/>
        <v>0</v>
      </c>
      <c r="N823" s="59">
        <f t="shared" si="88"/>
        <v>0</v>
      </c>
      <c r="O823" s="59">
        <f t="shared" si="89"/>
        <v>0</v>
      </c>
      <c r="P823" s="19" t="str">
        <f t="shared" si="90"/>
        <v/>
      </c>
      <c r="Q823" s="19" t="s">
        <v>859</v>
      </c>
    </row>
    <row r="824" spans="2:17" ht="30" customHeight="1" x14ac:dyDescent="0.25">
      <c r="B824" s="62" t="str">
        <f t="shared" si="84"/>
        <v/>
      </c>
      <c r="C824" s="42">
        <v>820</v>
      </c>
      <c r="D824" s="20"/>
      <c r="E824" s="58"/>
      <c r="F824" s="63" t="str">
        <f t="shared" si="85"/>
        <v/>
      </c>
      <c r="G824" s="66" t="str">
        <f>IF(D824="","",IFERROR('Prod 3'!H824/'Prod 3'!$H$3,0))</f>
        <v/>
      </c>
      <c r="H824" s="70" t="str">
        <f>IF(D824="","",'Prod 2'!K824)</f>
        <v/>
      </c>
      <c r="I824" s="77" t="str">
        <f t="shared" si="86"/>
        <v/>
      </c>
      <c r="J824" s="57"/>
      <c r="L824" s="19">
        <v>8.1999999999999998E-7</v>
      </c>
      <c r="M824" s="59">
        <f t="shared" si="87"/>
        <v>0</v>
      </c>
      <c r="N824" s="59">
        <f t="shared" si="88"/>
        <v>0</v>
      </c>
      <c r="O824" s="59">
        <f t="shared" si="89"/>
        <v>0</v>
      </c>
      <c r="P824" s="19" t="str">
        <f t="shared" si="90"/>
        <v/>
      </c>
      <c r="Q824" s="19" t="s">
        <v>860</v>
      </c>
    </row>
    <row r="825" spans="2:17" ht="30" customHeight="1" x14ac:dyDescent="0.25">
      <c r="B825" s="62" t="str">
        <f t="shared" si="84"/>
        <v/>
      </c>
      <c r="C825" s="42">
        <v>821</v>
      </c>
      <c r="D825" s="20"/>
      <c r="E825" s="58"/>
      <c r="F825" s="63" t="str">
        <f t="shared" si="85"/>
        <v/>
      </c>
      <c r="G825" s="66" t="str">
        <f>IF(D825="","",IFERROR('Prod 3'!H825/'Prod 3'!$H$3,0))</f>
        <v/>
      </c>
      <c r="H825" s="70" t="str">
        <f>IF(D825="","",'Prod 2'!K825)</f>
        <v/>
      </c>
      <c r="I825" s="77" t="str">
        <f t="shared" si="86"/>
        <v/>
      </c>
      <c r="J825" s="57"/>
      <c r="L825" s="19">
        <v>8.2099999999999995E-7</v>
      </c>
      <c r="M825" s="59">
        <f t="shared" si="87"/>
        <v>0</v>
      </c>
      <c r="N825" s="59">
        <f t="shared" si="88"/>
        <v>0</v>
      </c>
      <c r="O825" s="59">
        <f t="shared" si="89"/>
        <v>0</v>
      </c>
      <c r="P825" s="19" t="str">
        <f t="shared" si="90"/>
        <v/>
      </c>
      <c r="Q825" s="19" t="s">
        <v>861</v>
      </c>
    </row>
    <row r="826" spans="2:17" ht="30" customHeight="1" x14ac:dyDescent="0.25">
      <c r="B826" s="62" t="str">
        <f t="shared" si="84"/>
        <v/>
      </c>
      <c r="C826" s="42">
        <v>822</v>
      </c>
      <c r="D826" s="20"/>
      <c r="E826" s="58"/>
      <c r="F826" s="63" t="str">
        <f t="shared" si="85"/>
        <v/>
      </c>
      <c r="G826" s="66" t="str">
        <f>IF(D826="","",IFERROR('Prod 3'!H826/'Prod 3'!$H$3,0))</f>
        <v/>
      </c>
      <c r="H826" s="70" t="str">
        <f>IF(D826="","",'Prod 2'!K826)</f>
        <v/>
      </c>
      <c r="I826" s="77" t="str">
        <f t="shared" si="86"/>
        <v/>
      </c>
      <c r="J826" s="57"/>
      <c r="L826" s="19">
        <v>8.2200000000000003E-7</v>
      </c>
      <c r="M826" s="59">
        <f t="shared" si="87"/>
        <v>0</v>
      </c>
      <c r="N826" s="59">
        <f t="shared" si="88"/>
        <v>0</v>
      </c>
      <c r="O826" s="59">
        <f t="shared" si="89"/>
        <v>0</v>
      </c>
      <c r="P826" s="19" t="str">
        <f t="shared" si="90"/>
        <v/>
      </c>
      <c r="Q826" s="19" t="s">
        <v>862</v>
      </c>
    </row>
    <row r="827" spans="2:17" ht="30" customHeight="1" x14ac:dyDescent="0.25">
      <c r="B827" s="62" t="str">
        <f t="shared" si="84"/>
        <v/>
      </c>
      <c r="C827" s="42">
        <v>823</v>
      </c>
      <c r="D827" s="20"/>
      <c r="E827" s="58"/>
      <c r="F827" s="63" t="str">
        <f t="shared" si="85"/>
        <v/>
      </c>
      <c r="G827" s="66" t="str">
        <f>IF(D827="","",IFERROR('Prod 3'!H827/'Prod 3'!$H$3,0))</f>
        <v/>
      </c>
      <c r="H827" s="70" t="str">
        <f>IF(D827="","",'Prod 2'!K827)</f>
        <v/>
      </c>
      <c r="I827" s="77" t="str">
        <f t="shared" si="86"/>
        <v/>
      </c>
      <c r="J827" s="57"/>
      <c r="L827" s="19">
        <v>8.23E-7</v>
      </c>
      <c r="M827" s="59">
        <f t="shared" si="87"/>
        <v>0</v>
      </c>
      <c r="N827" s="59">
        <f t="shared" si="88"/>
        <v>0</v>
      </c>
      <c r="O827" s="59">
        <f t="shared" si="89"/>
        <v>0</v>
      </c>
      <c r="P827" s="19" t="str">
        <f t="shared" si="90"/>
        <v/>
      </c>
      <c r="Q827" s="19" t="s">
        <v>863</v>
      </c>
    </row>
    <row r="828" spans="2:17" ht="30" customHeight="1" x14ac:dyDescent="0.25">
      <c r="B828" s="62" t="str">
        <f t="shared" si="84"/>
        <v/>
      </c>
      <c r="C828" s="42">
        <v>824</v>
      </c>
      <c r="D828" s="20"/>
      <c r="E828" s="58"/>
      <c r="F828" s="63" t="str">
        <f t="shared" si="85"/>
        <v/>
      </c>
      <c r="G828" s="66" t="str">
        <f>IF(D828="","",IFERROR('Prod 3'!H828/'Prod 3'!$H$3,0))</f>
        <v/>
      </c>
      <c r="H828" s="70" t="str">
        <f>IF(D828="","",'Prod 2'!K828)</f>
        <v/>
      </c>
      <c r="I828" s="77" t="str">
        <f t="shared" si="86"/>
        <v/>
      </c>
      <c r="J828" s="57"/>
      <c r="L828" s="19">
        <v>8.2399999999999997E-7</v>
      </c>
      <c r="M828" s="59">
        <f t="shared" si="87"/>
        <v>0</v>
      </c>
      <c r="N828" s="59">
        <f t="shared" si="88"/>
        <v>0</v>
      </c>
      <c r="O828" s="59">
        <f t="shared" si="89"/>
        <v>0</v>
      </c>
      <c r="P828" s="19" t="str">
        <f t="shared" si="90"/>
        <v/>
      </c>
      <c r="Q828" s="19" t="s">
        <v>864</v>
      </c>
    </row>
    <row r="829" spans="2:17" ht="30" customHeight="1" x14ac:dyDescent="0.25">
      <c r="B829" s="62" t="str">
        <f t="shared" si="84"/>
        <v/>
      </c>
      <c r="C829" s="42">
        <v>825</v>
      </c>
      <c r="D829" s="20"/>
      <c r="E829" s="58"/>
      <c r="F829" s="63" t="str">
        <f t="shared" si="85"/>
        <v/>
      </c>
      <c r="G829" s="66" t="str">
        <f>IF(D829="","",IFERROR('Prod 3'!H829/'Prod 3'!$H$3,0))</f>
        <v/>
      </c>
      <c r="H829" s="70" t="str">
        <f>IF(D829="","",'Prod 2'!K829)</f>
        <v/>
      </c>
      <c r="I829" s="77" t="str">
        <f t="shared" si="86"/>
        <v/>
      </c>
      <c r="J829" s="57"/>
      <c r="L829" s="19">
        <v>8.2500000000000004E-7</v>
      </c>
      <c r="M829" s="59">
        <f t="shared" si="87"/>
        <v>0</v>
      </c>
      <c r="N829" s="59">
        <f t="shared" si="88"/>
        <v>0</v>
      </c>
      <c r="O829" s="59">
        <f t="shared" si="89"/>
        <v>0</v>
      </c>
      <c r="P829" s="19" t="str">
        <f t="shared" si="90"/>
        <v/>
      </c>
      <c r="Q829" s="19" t="s">
        <v>865</v>
      </c>
    </row>
    <row r="830" spans="2:17" ht="30" customHeight="1" x14ac:dyDescent="0.25">
      <c r="B830" s="62" t="str">
        <f t="shared" si="84"/>
        <v/>
      </c>
      <c r="C830" s="42">
        <v>826</v>
      </c>
      <c r="D830" s="20"/>
      <c r="E830" s="58"/>
      <c r="F830" s="63" t="str">
        <f t="shared" si="85"/>
        <v/>
      </c>
      <c r="G830" s="66" t="str">
        <f>IF(D830="","",IFERROR('Prod 3'!H830/'Prod 3'!$H$3,0))</f>
        <v/>
      </c>
      <c r="H830" s="70" t="str">
        <f>IF(D830="","",'Prod 2'!K830)</f>
        <v/>
      </c>
      <c r="I830" s="77" t="str">
        <f t="shared" si="86"/>
        <v/>
      </c>
      <c r="J830" s="57"/>
      <c r="L830" s="19">
        <v>8.2600000000000001E-7</v>
      </c>
      <c r="M830" s="59">
        <f t="shared" si="87"/>
        <v>0</v>
      </c>
      <c r="N830" s="59">
        <f t="shared" si="88"/>
        <v>0</v>
      </c>
      <c r="O830" s="59">
        <f t="shared" si="89"/>
        <v>0</v>
      </c>
      <c r="P830" s="19" t="str">
        <f t="shared" si="90"/>
        <v/>
      </c>
      <c r="Q830" s="19" t="s">
        <v>866</v>
      </c>
    </row>
    <row r="831" spans="2:17" ht="30" customHeight="1" x14ac:dyDescent="0.25">
      <c r="B831" s="62" t="str">
        <f t="shared" si="84"/>
        <v/>
      </c>
      <c r="C831" s="42">
        <v>827</v>
      </c>
      <c r="D831" s="20"/>
      <c r="E831" s="58"/>
      <c r="F831" s="63" t="str">
        <f t="shared" si="85"/>
        <v/>
      </c>
      <c r="G831" s="66" t="str">
        <f>IF(D831="","",IFERROR('Prod 3'!H831/'Prod 3'!$H$3,0))</f>
        <v/>
      </c>
      <c r="H831" s="70" t="str">
        <f>IF(D831="","",'Prod 2'!K831)</f>
        <v/>
      </c>
      <c r="I831" s="77" t="str">
        <f t="shared" si="86"/>
        <v/>
      </c>
      <c r="J831" s="57"/>
      <c r="L831" s="19">
        <v>8.2699999999999998E-7</v>
      </c>
      <c r="M831" s="59">
        <f t="shared" si="87"/>
        <v>0</v>
      </c>
      <c r="N831" s="59">
        <f t="shared" si="88"/>
        <v>0</v>
      </c>
      <c r="O831" s="59">
        <f t="shared" si="89"/>
        <v>0</v>
      </c>
      <c r="P831" s="19" t="str">
        <f t="shared" si="90"/>
        <v/>
      </c>
      <c r="Q831" s="19" t="s">
        <v>867</v>
      </c>
    </row>
    <row r="832" spans="2:17" ht="30" customHeight="1" x14ac:dyDescent="0.25">
      <c r="B832" s="62" t="str">
        <f t="shared" si="84"/>
        <v/>
      </c>
      <c r="C832" s="42">
        <v>828</v>
      </c>
      <c r="D832" s="20"/>
      <c r="E832" s="58"/>
      <c r="F832" s="63" t="str">
        <f t="shared" si="85"/>
        <v/>
      </c>
      <c r="G832" s="66" t="str">
        <f>IF(D832="","",IFERROR('Prod 3'!H832/'Prod 3'!$H$3,0))</f>
        <v/>
      </c>
      <c r="H832" s="70" t="str">
        <f>IF(D832="","",'Prod 2'!K832)</f>
        <v/>
      </c>
      <c r="I832" s="77" t="str">
        <f t="shared" si="86"/>
        <v/>
      </c>
      <c r="J832" s="57"/>
      <c r="L832" s="19">
        <v>8.2799999999999995E-7</v>
      </c>
      <c r="M832" s="59">
        <f t="shared" si="87"/>
        <v>0</v>
      </c>
      <c r="N832" s="59">
        <f t="shared" si="88"/>
        <v>0</v>
      </c>
      <c r="O832" s="59">
        <f t="shared" si="89"/>
        <v>0</v>
      </c>
      <c r="P832" s="19" t="str">
        <f t="shared" si="90"/>
        <v/>
      </c>
      <c r="Q832" s="19" t="s">
        <v>868</v>
      </c>
    </row>
    <row r="833" spans="2:17" ht="30" customHeight="1" x14ac:dyDescent="0.25">
      <c r="B833" s="62" t="str">
        <f t="shared" si="84"/>
        <v/>
      </c>
      <c r="C833" s="42">
        <v>829</v>
      </c>
      <c r="D833" s="20"/>
      <c r="E833" s="58"/>
      <c r="F833" s="63" t="str">
        <f t="shared" si="85"/>
        <v/>
      </c>
      <c r="G833" s="66" t="str">
        <f>IF(D833="","",IFERROR('Prod 3'!H833/'Prod 3'!$H$3,0))</f>
        <v/>
      </c>
      <c r="H833" s="70" t="str">
        <f>IF(D833="","",'Prod 2'!K833)</f>
        <v/>
      </c>
      <c r="I833" s="77" t="str">
        <f t="shared" si="86"/>
        <v/>
      </c>
      <c r="J833" s="57"/>
      <c r="L833" s="19">
        <v>8.2900000000000002E-7</v>
      </c>
      <c r="M833" s="59">
        <f t="shared" si="87"/>
        <v>0</v>
      </c>
      <c r="N833" s="59">
        <f t="shared" si="88"/>
        <v>0</v>
      </c>
      <c r="O833" s="59">
        <f t="shared" si="89"/>
        <v>0</v>
      </c>
      <c r="P833" s="19" t="str">
        <f t="shared" si="90"/>
        <v/>
      </c>
      <c r="Q833" s="19" t="s">
        <v>869</v>
      </c>
    </row>
    <row r="834" spans="2:17" ht="30" customHeight="1" x14ac:dyDescent="0.25">
      <c r="B834" s="62" t="str">
        <f t="shared" si="84"/>
        <v/>
      </c>
      <c r="C834" s="42">
        <v>830</v>
      </c>
      <c r="D834" s="20"/>
      <c r="E834" s="58"/>
      <c r="F834" s="63" t="str">
        <f t="shared" si="85"/>
        <v/>
      </c>
      <c r="G834" s="66" t="str">
        <f>IF(D834="","",IFERROR('Prod 3'!H834/'Prod 3'!$H$3,0))</f>
        <v/>
      </c>
      <c r="H834" s="70" t="str">
        <f>IF(D834="","",'Prod 2'!K834)</f>
        <v/>
      </c>
      <c r="I834" s="77" t="str">
        <f t="shared" si="86"/>
        <v/>
      </c>
      <c r="J834" s="57"/>
      <c r="L834" s="19">
        <v>8.2999999999999999E-7</v>
      </c>
      <c r="M834" s="59">
        <f t="shared" si="87"/>
        <v>0</v>
      </c>
      <c r="N834" s="59">
        <f t="shared" si="88"/>
        <v>0</v>
      </c>
      <c r="O834" s="59">
        <f t="shared" si="89"/>
        <v>0</v>
      </c>
      <c r="P834" s="19" t="str">
        <f t="shared" si="90"/>
        <v/>
      </c>
      <c r="Q834" s="19" t="s">
        <v>870</v>
      </c>
    </row>
    <row r="835" spans="2:17" ht="30" customHeight="1" x14ac:dyDescent="0.25">
      <c r="B835" s="62" t="str">
        <f t="shared" si="84"/>
        <v/>
      </c>
      <c r="C835" s="42">
        <v>831</v>
      </c>
      <c r="D835" s="20"/>
      <c r="E835" s="58"/>
      <c r="F835" s="63" t="str">
        <f t="shared" si="85"/>
        <v/>
      </c>
      <c r="G835" s="66" t="str">
        <f>IF(D835="","",IFERROR('Prod 3'!H835/'Prod 3'!$H$3,0))</f>
        <v/>
      </c>
      <c r="H835" s="70" t="str">
        <f>IF(D835="","",'Prod 2'!K835)</f>
        <v/>
      </c>
      <c r="I835" s="77" t="str">
        <f t="shared" si="86"/>
        <v/>
      </c>
      <c r="J835" s="57"/>
      <c r="L835" s="19">
        <v>8.3099999999999996E-7</v>
      </c>
      <c r="M835" s="59">
        <f t="shared" si="87"/>
        <v>0</v>
      </c>
      <c r="N835" s="59">
        <f t="shared" si="88"/>
        <v>0</v>
      </c>
      <c r="O835" s="59">
        <f t="shared" si="89"/>
        <v>0</v>
      </c>
      <c r="P835" s="19" t="str">
        <f t="shared" si="90"/>
        <v/>
      </c>
      <c r="Q835" s="19" t="s">
        <v>871</v>
      </c>
    </row>
    <row r="836" spans="2:17" ht="30" customHeight="1" x14ac:dyDescent="0.25">
      <c r="B836" s="62" t="str">
        <f t="shared" si="84"/>
        <v/>
      </c>
      <c r="C836" s="42">
        <v>832</v>
      </c>
      <c r="D836" s="20"/>
      <c r="E836" s="58"/>
      <c r="F836" s="63" t="str">
        <f t="shared" si="85"/>
        <v/>
      </c>
      <c r="G836" s="66" t="str">
        <f>IF(D836="","",IFERROR('Prod 3'!H836/'Prod 3'!$H$3,0))</f>
        <v/>
      </c>
      <c r="H836" s="70" t="str">
        <f>IF(D836="","",'Prod 2'!K836)</f>
        <v/>
      </c>
      <c r="I836" s="77" t="str">
        <f t="shared" si="86"/>
        <v/>
      </c>
      <c r="J836" s="57"/>
      <c r="L836" s="19">
        <v>8.3200000000000004E-7</v>
      </c>
      <c r="M836" s="59">
        <f t="shared" si="87"/>
        <v>0</v>
      </c>
      <c r="N836" s="59">
        <f t="shared" si="88"/>
        <v>0</v>
      </c>
      <c r="O836" s="59">
        <f t="shared" si="89"/>
        <v>0</v>
      </c>
      <c r="P836" s="19" t="str">
        <f t="shared" si="90"/>
        <v/>
      </c>
      <c r="Q836" s="19" t="s">
        <v>872</v>
      </c>
    </row>
    <row r="837" spans="2:17" ht="30" customHeight="1" x14ac:dyDescent="0.25">
      <c r="B837" s="62" t="str">
        <f t="shared" si="84"/>
        <v/>
      </c>
      <c r="C837" s="42">
        <v>833</v>
      </c>
      <c r="D837" s="20"/>
      <c r="E837" s="58"/>
      <c r="F837" s="63" t="str">
        <f t="shared" si="85"/>
        <v/>
      </c>
      <c r="G837" s="66" t="str">
        <f>IF(D837="","",IFERROR('Prod 3'!H837/'Prod 3'!$H$3,0))</f>
        <v/>
      </c>
      <c r="H837" s="70" t="str">
        <f>IF(D837="","",'Prod 2'!K837)</f>
        <v/>
      </c>
      <c r="I837" s="77" t="str">
        <f t="shared" si="86"/>
        <v/>
      </c>
      <c r="J837" s="57"/>
      <c r="L837" s="19">
        <v>8.3300000000000001E-7</v>
      </c>
      <c r="M837" s="59">
        <f t="shared" si="87"/>
        <v>0</v>
      </c>
      <c r="N837" s="59">
        <f t="shared" si="88"/>
        <v>0</v>
      </c>
      <c r="O837" s="59">
        <f t="shared" si="89"/>
        <v>0</v>
      </c>
      <c r="P837" s="19" t="str">
        <f t="shared" si="90"/>
        <v/>
      </c>
      <c r="Q837" s="19" t="s">
        <v>873</v>
      </c>
    </row>
    <row r="838" spans="2:17" ht="30" customHeight="1" x14ac:dyDescent="0.25">
      <c r="B838" s="62" t="str">
        <f t="shared" ref="B838:B901" si="91">IF(I838="","",I838)</f>
        <v/>
      </c>
      <c r="C838" s="42">
        <v>834</v>
      </c>
      <c r="D838" s="20"/>
      <c r="E838" s="58"/>
      <c r="F838" s="63" t="str">
        <f t="shared" ref="F838:F901" si="92">IF(D838="","",IFERROR(VLOOKUP(D838,$P$5:$Q$1004,2,0),""))</f>
        <v/>
      </c>
      <c r="G838" s="66" t="str">
        <f>IF(D838="","",IFERROR('Prod 3'!H838/'Prod 3'!$H$3,0))</f>
        <v/>
      </c>
      <c r="H838" s="70" t="str">
        <f>IF(D838="","",'Prod 2'!K838)</f>
        <v/>
      </c>
      <c r="I838" s="77" t="str">
        <f t="shared" ref="I838:I901" si="93">IF(D838="","",E838-H838+L838)</f>
        <v/>
      </c>
      <c r="J838" s="57"/>
      <c r="L838" s="19">
        <v>8.3399999999999998E-7</v>
      </c>
      <c r="M838" s="59">
        <f t="shared" ref="M838:M901" si="94">IFERROR(LARGE($I$5:$I$1004,C838),0)</f>
        <v>0</v>
      </c>
      <c r="N838" s="59">
        <f t="shared" ref="N838:N901" si="95">IFERROR(M838,0)</f>
        <v>0</v>
      </c>
      <c r="O838" s="59">
        <f t="shared" ref="O838:O901" si="96">IFERROR(LARGE($N$5:$N$1004,C838),0)</f>
        <v>0</v>
      </c>
      <c r="P838" s="19" t="str">
        <f t="shared" ref="P838:P901" si="97">IFERROR(IF(VLOOKUP(O838,$B$5:$D$1004,3,0)=0,"",(VLOOKUP(O838,$B$5:$D$1004,3,0))),"")</f>
        <v/>
      </c>
      <c r="Q838" s="19" t="s">
        <v>874</v>
      </c>
    </row>
    <row r="839" spans="2:17" ht="30" customHeight="1" x14ac:dyDescent="0.25">
      <c r="B839" s="62" t="str">
        <f t="shared" si="91"/>
        <v/>
      </c>
      <c r="C839" s="42">
        <v>835</v>
      </c>
      <c r="D839" s="20"/>
      <c r="E839" s="58"/>
      <c r="F839" s="63" t="str">
        <f t="shared" si="92"/>
        <v/>
      </c>
      <c r="G839" s="66" t="str">
        <f>IF(D839="","",IFERROR('Prod 3'!H839/'Prod 3'!$H$3,0))</f>
        <v/>
      </c>
      <c r="H839" s="70" t="str">
        <f>IF(D839="","",'Prod 2'!K839)</f>
        <v/>
      </c>
      <c r="I839" s="77" t="str">
        <f t="shared" si="93"/>
        <v/>
      </c>
      <c r="J839" s="57"/>
      <c r="L839" s="19">
        <v>8.3500000000000005E-7</v>
      </c>
      <c r="M839" s="59">
        <f t="shared" si="94"/>
        <v>0</v>
      </c>
      <c r="N839" s="59">
        <f t="shared" si="95"/>
        <v>0</v>
      </c>
      <c r="O839" s="59">
        <f t="shared" si="96"/>
        <v>0</v>
      </c>
      <c r="P839" s="19" t="str">
        <f t="shared" si="97"/>
        <v/>
      </c>
      <c r="Q839" s="19" t="s">
        <v>875</v>
      </c>
    </row>
    <row r="840" spans="2:17" ht="30" customHeight="1" x14ac:dyDescent="0.25">
      <c r="B840" s="62" t="str">
        <f t="shared" si="91"/>
        <v/>
      </c>
      <c r="C840" s="42">
        <v>836</v>
      </c>
      <c r="D840" s="20"/>
      <c r="E840" s="58"/>
      <c r="F840" s="63" t="str">
        <f t="shared" si="92"/>
        <v/>
      </c>
      <c r="G840" s="66" t="str">
        <f>IF(D840="","",IFERROR('Prod 3'!H840/'Prod 3'!$H$3,0))</f>
        <v/>
      </c>
      <c r="H840" s="70" t="str">
        <f>IF(D840="","",'Prod 2'!K840)</f>
        <v/>
      </c>
      <c r="I840" s="77" t="str">
        <f t="shared" si="93"/>
        <v/>
      </c>
      <c r="J840" s="57"/>
      <c r="L840" s="19">
        <v>8.3600000000000002E-7</v>
      </c>
      <c r="M840" s="59">
        <f t="shared" si="94"/>
        <v>0</v>
      </c>
      <c r="N840" s="59">
        <f t="shared" si="95"/>
        <v>0</v>
      </c>
      <c r="O840" s="59">
        <f t="shared" si="96"/>
        <v>0</v>
      </c>
      <c r="P840" s="19" t="str">
        <f t="shared" si="97"/>
        <v/>
      </c>
      <c r="Q840" s="19" t="s">
        <v>876</v>
      </c>
    </row>
    <row r="841" spans="2:17" ht="30" customHeight="1" x14ac:dyDescent="0.25">
      <c r="B841" s="62" t="str">
        <f t="shared" si="91"/>
        <v/>
      </c>
      <c r="C841" s="42">
        <v>837</v>
      </c>
      <c r="D841" s="20"/>
      <c r="E841" s="58"/>
      <c r="F841" s="63" t="str">
        <f t="shared" si="92"/>
        <v/>
      </c>
      <c r="G841" s="66" t="str">
        <f>IF(D841="","",IFERROR('Prod 3'!H841/'Prod 3'!$H$3,0))</f>
        <v/>
      </c>
      <c r="H841" s="70" t="str">
        <f>IF(D841="","",'Prod 2'!K841)</f>
        <v/>
      </c>
      <c r="I841" s="77" t="str">
        <f t="shared" si="93"/>
        <v/>
      </c>
      <c r="J841" s="57"/>
      <c r="L841" s="19">
        <v>8.3699999999999999E-7</v>
      </c>
      <c r="M841" s="59">
        <f t="shared" si="94"/>
        <v>0</v>
      </c>
      <c r="N841" s="59">
        <f t="shared" si="95"/>
        <v>0</v>
      </c>
      <c r="O841" s="59">
        <f t="shared" si="96"/>
        <v>0</v>
      </c>
      <c r="P841" s="19" t="str">
        <f t="shared" si="97"/>
        <v/>
      </c>
      <c r="Q841" s="19" t="s">
        <v>877</v>
      </c>
    </row>
    <row r="842" spans="2:17" ht="30" customHeight="1" x14ac:dyDescent="0.25">
      <c r="B842" s="62" t="str">
        <f t="shared" si="91"/>
        <v/>
      </c>
      <c r="C842" s="42">
        <v>838</v>
      </c>
      <c r="D842" s="20"/>
      <c r="E842" s="58"/>
      <c r="F842" s="63" t="str">
        <f t="shared" si="92"/>
        <v/>
      </c>
      <c r="G842" s="66" t="str">
        <f>IF(D842="","",IFERROR('Prod 3'!H842/'Prod 3'!$H$3,0))</f>
        <v/>
      </c>
      <c r="H842" s="70" t="str">
        <f>IF(D842="","",'Prod 2'!K842)</f>
        <v/>
      </c>
      <c r="I842" s="77" t="str">
        <f t="shared" si="93"/>
        <v/>
      </c>
      <c r="J842" s="57"/>
      <c r="L842" s="19">
        <v>8.3799999999999996E-7</v>
      </c>
      <c r="M842" s="59">
        <f t="shared" si="94"/>
        <v>0</v>
      </c>
      <c r="N842" s="59">
        <f t="shared" si="95"/>
        <v>0</v>
      </c>
      <c r="O842" s="59">
        <f t="shared" si="96"/>
        <v>0</v>
      </c>
      <c r="P842" s="19" t="str">
        <f t="shared" si="97"/>
        <v/>
      </c>
      <c r="Q842" s="19" t="s">
        <v>878</v>
      </c>
    </row>
    <row r="843" spans="2:17" ht="30" customHeight="1" x14ac:dyDescent="0.25">
      <c r="B843" s="62" t="str">
        <f t="shared" si="91"/>
        <v/>
      </c>
      <c r="C843" s="42">
        <v>839</v>
      </c>
      <c r="D843" s="20"/>
      <c r="E843" s="58"/>
      <c r="F843" s="63" t="str">
        <f t="shared" si="92"/>
        <v/>
      </c>
      <c r="G843" s="66" t="str">
        <f>IF(D843="","",IFERROR('Prod 3'!H843/'Prod 3'!$H$3,0))</f>
        <v/>
      </c>
      <c r="H843" s="70" t="str">
        <f>IF(D843="","",'Prod 2'!K843)</f>
        <v/>
      </c>
      <c r="I843" s="77" t="str">
        <f t="shared" si="93"/>
        <v/>
      </c>
      <c r="J843" s="57"/>
      <c r="L843" s="19">
        <v>8.3900000000000004E-7</v>
      </c>
      <c r="M843" s="59">
        <f t="shared" si="94"/>
        <v>0</v>
      </c>
      <c r="N843" s="59">
        <f t="shared" si="95"/>
        <v>0</v>
      </c>
      <c r="O843" s="59">
        <f t="shared" si="96"/>
        <v>0</v>
      </c>
      <c r="P843" s="19" t="str">
        <f t="shared" si="97"/>
        <v/>
      </c>
      <c r="Q843" s="19" t="s">
        <v>879</v>
      </c>
    </row>
    <row r="844" spans="2:17" ht="30" customHeight="1" x14ac:dyDescent="0.25">
      <c r="B844" s="62" t="str">
        <f t="shared" si="91"/>
        <v/>
      </c>
      <c r="C844" s="42">
        <v>840</v>
      </c>
      <c r="D844" s="20"/>
      <c r="E844" s="58"/>
      <c r="F844" s="63" t="str">
        <f t="shared" si="92"/>
        <v/>
      </c>
      <c r="G844" s="66" t="str">
        <f>IF(D844="","",IFERROR('Prod 3'!H844/'Prod 3'!$H$3,0))</f>
        <v/>
      </c>
      <c r="H844" s="70" t="str">
        <f>IF(D844="","",'Prod 2'!K844)</f>
        <v/>
      </c>
      <c r="I844" s="77" t="str">
        <f t="shared" si="93"/>
        <v/>
      </c>
      <c r="J844" s="57"/>
      <c r="L844" s="19">
        <v>8.4E-7</v>
      </c>
      <c r="M844" s="59">
        <f t="shared" si="94"/>
        <v>0</v>
      </c>
      <c r="N844" s="59">
        <f t="shared" si="95"/>
        <v>0</v>
      </c>
      <c r="O844" s="59">
        <f t="shared" si="96"/>
        <v>0</v>
      </c>
      <c r="P844" s="19" t="str">
        <f t="shared" si="97"/>
        <v/>
      </c>
      <c r="Q844" s="19" t="s">
        <v>880</v>
      </c>
    </row>
    <row r="845" spans="2:17" ht="30" customHeight="1" x14ac:dyDescent="0.25">
      <c r="B845" s="62" t="str">
        <f t="shared" si="91"/>
        <v/>
      </c>
      <c r="C845" s="42">
        <v>841</v>
      </c>
      <c r="D845" s="20"/>
      <c r="E845" s="58"/>
      <c r="F845" s="63" t="str">
        <f t="shared" si="92"/>
        <v/>
      </c>
      <c r="G845" s="66" t="str">
        <f>IF(D845="","",IFERROR('Prod 3'!H845/'Prod 3'!$H$3,0))</f>
        <v/>
      </c>
      <c r="H845" s="70" t="str">
        <f>IF(D845="","",'Prod 2'!K845)</f>
        <v/>
      </c>
      <c r="I845" s="77" t="str">
        <f t="shared" si="93"/>
        <v/>
      </c>
      <c r="J845" s="57"/>
      <c r="L845" s="19">
        <v>8.4099999999999997E-7</v>
      </c>
      <c r="M845" s="59">
        <f t="shared" si="94"/>
        <v>0</v>
      </c>
      <c r="N845" s="59">
        <f t="shared" si="95"/>
        <v>0</v>
      </c>
      <c r="O845" s="59">
        <f t="shared" si="96"/>
        <v>0</v>
      </c>
      <c r="P845" s="19" t="str">
        <f t="shared" si="97"/>
        <v/>
      </c>
      <c r="Q845" s="19" t="s">
        <v>881</v>
      </c>
    </row>
    <row r="846" spans="2:17" ht="30" customHeight="1" x14ac:dyDescent="0.25">
      <c r="B846" s="62" t="str">
        <f t="shared" si="91"/>
        <v/>
      </c>
      <c r="C846" s="42">
        <v>842</v>
      </c>
      <c r="D846" s="20"/>
      <c r="E846" s="58"/>
      <c r="F846" s="63" t="str">
        <f t="shared" si="92"/>
        <v/>
      </c>
      <c r="G846" s="66" t="str">
        <f>IF(D846="","",IFERROR('Prod 3'!H846/'Prod 3'!$H$3,0))</f>
        <v/>
      </c>
      <c r="H846" s="70" t="str">
        <f>IF(D846="","",'Prod 2'!K846)</f>
        <v/>
      </c>
      <c r="I846" s="77" t="str">
        <f t="shared" si="93"/>
        <v/>
      </c>
      <c r="J846" s="57"/>
      <c r="L846" s="19">
        <v>8.4200000000000005E-7</v>
      </c>
      <c r="M846" s="59">
        <f t="shared" si="94"/>
        <v>0</v>
      </c>
      <c r="N846" s="59">
        <f t="shared" si="95"/>
        <v>0</v>
      </c>
      <c r="O846" s="59">
        <f t="shared" si="96"/>
        <v>0</v>
      </c>
      <c r="P846" s="19" t="str">
        <f t="shared" si="97"/>
        <v/>
      </c>
      <c r="Q846" s="19" t="s">
        <v>882</v>
      </c>
    </row>
    <row r="847" spans="2:17" ht="30" customHeight="1" x14ac:dyDescent="0.25">
      <c r="B847" s="62" t="str">
        <f t="shared" si="91"/>
        <v/>
      </c>
      <c r="C847" s="42">
        <v>843</v>
      </c>
      <c r="D847" s="20"/>
      <c r="E847" s="58"/>
      <c r="F847" s="63" t="str">
        <f t="shared" si="92"/>
        <v/>
      </c>
      <c r="G847" s="66" t="str">
        <f>IF(D847="","",IFERROR('Prod 3'!H847/'Prod 3'!$H$3,0))</f>
        <v/>
      </c>
      <c r="H847" s="70" t="str">
        <f>IF(D847="","",'Prod 2'!K847)</f>
        <v/>
      </c>
      <c r="I847" s="77" t="str">
        <f t="shared" si="93"/>
        <v/>
      </c>
      <c r="J847" s="57"/>
      <c r="L847" s="19">
        <v>8.4300000000000002E-7</v>
      </c>
      <c r="M847" s="59">
        <f t="shared" si="94"/>
        <v>0</v>
      </c>
      <c r="N847" s="59">
        <f t="shared" si="95"/>
        <v>0</v>
      </c>
      <c r="O847" s="59">
        <f t="shared" si="96"/>
        <v>0</v>
      </c>
      <c r="P847" s="19" t="str">
        <f t="shared" si="97"/>
        <v/>
      </c>
      <c r="Q847" s="19" t="s">
        <v>883</v>
      </c>
    </row>
    <row r="848" spans="2:17" ht="30" customHeight="1" x14ac:dyDescent="0.25">
      <c r="B848" s="62" t="str">
        <f t="shared" si="91"/>
        <v/>
      </c>
      <c r="C848" s="42">
        <v>844</v>
      </c>
      <c r="D848" s="20"/>
      <c r="E848" s="58"/>
      <c r="F848" s="63" t="str">
        <f t="shared" si="92"/>
        <v/>
      </c>
      <c r="G848" s="66" t="str">
        <f>IF(D848="","",IFERROR('Prod 3'!H848/'Prod 3'!$H$3,0))</f>
        <v/>
      </c>
      <c r="H848" s="70" t="str">
        <f>IF(D848="","",'Prod 2'!K848)</f>
        <v/>
      </c>
      <c r="I848" s="77" t="str">
        <f t="shared" si="93"/>
        <v/>
      </c>
      <c r="J848" s="57"/>
      <c r="L848" s="19">
        <v>8.4399999999999999E-7</v>
      </c>
      <c r="M848" s="59">
        <f t="shared" si="94"/>
        <v>0</v>
      </c>
      <c r="N848" s="59">
        <f t="shared" si="95"/>
        <v>0</v>
      </c>
      <c r="O848" s="59">
        <f t="shared" si="96"/>
        <v>0</v>
      </c>
      <c r="P848" s="19" t="str">
        <f t="shared" si="97"/>
        <v/>
      </c>
      <c r="Q848" s="19" t="s">
        <v>884</v>
      </c>
    </row>
    <row r="849" spans="2:17" ht="30" customHeight="1" x14ac:dyDescent="0.25">
      <c r="B849" s="62" t="str">
        <f t="shared" si="91"/>
        <v/>
      </c>
      <c r="C849" s="42">
        <v>845</v>
      </c>
      <c r="D849" s="20"/>
      <c r="E849" s="58"/>
      <c r="F849" s="63" t="str">
        <f t="shared" si="92"/>
        <v/>
      </c>
      <c r="G849" s="66" t="str">
        <f>IF(D849="","",IFERROR('Prod 3'!H849/'Prod 3'!$H$3,0))</f>
        <v/>
      </c>
      <c r="H849" s="70" t="str">
        <f>IF(D849="","",'Prod 2'!K849)</f>
        <v/>
      </c>
      <c r="I849" s="77" t="str">
        <f t="shared" si="93"/>
        <v/>
      </c>
      <c r="J849" s="57"/>
      <c r="L849" s="19">
        <v>8.4499999999999996E-7</v>
      </c>
      <c r="M849" s="59">
        <f t="shared" si="94"/>
        <v>0</v>
      </c>
      <c r="N849" s="59">
        <f t="shared" si="95"/>
        <v>0</v>
      </c>
      <c r="O849" s="59">
        <f t="shared" si="96"/>
        <v>0</v>
      </c>
      <c r="P849" s="19" t="str">
        <f t="shared" si="97"/>
        <v/>
      </c>
      <c r="Q849" s="19" t="s">
        <v>885</v>
      </c>
    </row>
    <row r="850" spans="2:17" ht="30" customHeight="1" x14ac:dyDescent="0.25">
      <c r="B850" s="62" t="str">
        <f t="shared" si="91"/>
        <v/>
      </c>
      <c r="C850" s="42">
        <v>846</v>
      </c>
      <c r="D850" s="20"/>
      <c r="E850" s="58"/>
      <c r="F850" s="63" t="str">
        <f t="shared" si="92"/>
        <v/>
      </c>
      <c r="G850" s="66" t="str">
        <f>IF(D850="","",IFERROR('Prod 3'!H850/'Prod 3'!$H$3,0))</f>
        <v/>
      </c>
      <c r="H850" s="70" t="str">
        <f>IF(D850="","",'Prod 2'!K850)</f>
        <v/>
      </c>
      <c r="I850" s="77" t="str">
        <f t="shared" si="93"/>
        <v/>
      </c>
      <c r="J850" s="57"/>
      <c r="L850" s="19">
        <v>8.4600000000000003E-7</v>
      </c>
      <c r="M850" s="59">
        <f t="shared" si="94"/>
        <v>0</v>
      </c>
      <c r="N850" s="59">
        <f t="shared" si="95"/>
        <v>0</v>
      </c>
      <c r="O850" s="59">
        <f t="shared" si="96"/>
        <v>0</v>
      </c>
      <c r="P850" s="19" t="str">
        <f t="shared" si="97"/>
        <v/>
      </c>
      <c r="Q850" s="19" t="s">
        <v>886</v>
      </c>
    </row>
    <row r="851" spans="2:17" ht="30" customHeight="1" x14ac:dyDescent="0.25">
      <c r="B851" s="62" t="str">
        <f t="shared" si="91"/>
        <v/>
      </c>
      <c r="C851" s="42">
        <v>847</v>
      </c>
      <c r="D851" s="20"/>
      <c r="E851" s="58"/>
      <c r="F851" s="63" t="str">
        <f t="shared" si="92"/>
        <v/>
      </c>
      <c r="G851" s="66" t="str">
        <f>IF(D851="","",IFERROR('Prod 3'!H851/'Prod 3'!$H$3,0))</f>
        <v/>
      </c>
      <c r="H851" s="70" t="str">
        <f>IF(D851="","",'Prod 2'!K851)</f>
        <v/>
      </c>
      <c r="I851" s="77" t="str">
        <f t="shared" si="93"/>
        <v/>
      </c>
      <c r="J851" s="57"/>
      <c r="L851" s="19">
        <v>8.47E-7</v>
      </c>
      <c r="M851" s="59">
        <f t="shared" si="94"/>
        <v>0</v>
      </c>
      <c r="N851" s="59">
        <f t="shared" si="95"/>
        <v>0</v>
      </c>
      <c r="O851" s="59">
        <f t="shared" si="96"/>
        <v>0</v>
      </c>
      <c r="P851" s="19" t="str">
        <f t="shared" si="97"/>
        <v/>
      </c>
      <c r="Q851" s="19" t="s">
        <v>887</v>
      </c>
    </row>
    <row r="852" spans="2:17" ht="30" customHeight="1" x14ac:dyDescent="0.25">
      <c r="B852" s="62" t="str">
        <f t="shared" si="91"/>
        <v/>
      </c>
      <c r="C852" s="42">
        <v>848</v>
      </c>
      <c r="D852" s="20"/>
      <c r="E852" s="58"/>
      <c r="F852" s="63" t="str">
        <f t="shared" si="92"/>
        <v/>
      </c>
      <c r="G852" s="66" t="str">
        <f>IF(D852="","",IFERROR('Prod 3'!H852/'Prod 3'!$H$3,0))</f>
        <v/>
      </c>
      <c r="H852" s="70" t="str">
        <f>IF(D852="","",'Prod 2'!K852)</f>
        <v/>
      </c>
      <c r="I852" s="77" t="str">
        <f t="shared" si="93"/>
        <v/>
      </c>
      <c r="J852" s="57"/>
      <c r="L852" s="19">
        <v>8.4799999999999997E-7</v>
      </c>
      <c r="M852" s="59">
        <f t="shared" si="94"/>
        <v>0</v>
      </c>
      <c r="N852" s="59">
        <f t="shared" si="95"/>
        <v>0</v>
      </c>
      <c r="O852" s="59">
        <f t="shared" si="96"/>
        <v>0</v>
      </c>
      <c r="P852" s="19" t="str">
        <f t="shared" si="97"/>
        <v/>
      </c>
      <c r="Q852" s="19" t="s">
        <v>888</v>
      </c>
    </row>
    <row r="853" spans="2:17" ht="30" customHeight="1" x14ac:dyDescent="0.25">
      <c r="B853" s="62" t="str">
        <f t="shared" si="91"/>
        <v/>
      </c>
      <c r="C853" s="42">
        <v>849</v>
      </c>
      <c r="D853" s="20"/>
      <c r="E853" s="58"/>
      <c r="F853" s="63" t="str">
        <f t="shared" si="92"/>
        <v/>
      </c>
      <c r="G853" s="66" t="str">
        <f>IF(D853="","",IFERROR('Prod 3'!H853/'Prod 3'!$H$3,0))</f>
        <v/>
      </c>
      <c r="H853" s="70" t="str">
        <f>IF(D853="","",'Prod 2'!K853)</f>
        <v/>
      </c>
      <c r="I853" s="77" t="str">
        <f t="shared" si="93"/>
        <v/>
      </c>
      <c r="J853" s="57"/>
      <c r="L853" s="19">
        <v>8.4900000000000005E-7</v>
      </c>
      <c r="M853" s="59">
        <f t="shared" si="94"/>
        <v>0</v>
      </c>
      <c r="N853" s="59">
        <f t="shared" si="95"/>
        <v>0</v>
      </c>
      <c r="O853" s="59">
        <f t="shared" si="96"/>
        <v>0</v>
      </c>
      <c r="P853" s="19" t="str">
        <f t="shared" si="97"/>
        <v/>
      </c>
      <c r="Q853" s="19" t="s">
        <v>889</v>
      </c>
    </row>
    <row r="854" spans="2:17" ht="30" customHeight="1" x14ac:dyDescent="0.25">
      <c r="B854" s="62" t="str">
        <f t="shared" si="91"/>
        <v/>
      </c>
      <c r="C854" s="42">
        <v>850</v>
      </c>
      <c r="D854" s="20"/>
      <c r="E854" s="58"/>
      <c r="F854" s="63" t="str">
        <f t="shared" si="92"/>
        <v/>
      </c>
      <c r="G854" s="66" t="str">
        <f>IF(D854="","",IFERROR('Prod 3'!H854/'Prod 3'!$H$3,0))</f>
        <v/>
      </c>
      <c r="H854" s="70" t="str">
        <f>IF(D854="","",'Prod 2'!K854)</f>
        <v/>
      </c>
      <c r="I854" s="77" t="str">
        <f t="shared" si="93"/>
        <v/>
      </c>
      <c r="J854" s="57"/>
      <c r="L854" s="19">
        <v>8.5000000000000001E-7</v>
      </c>
      <c r="M854" s="59">
        <f t="shared" si="94"/>
        <v>0</v>
      </c>
      <c r="N854" s="59">
        <f t="shared" si="95"/>
        <v>0</v>
      </c>
      <c r="O854" s="59">
        <f t="shared" si="96"/>
        <v>0</v>
      </c>
      <c r="P854" s="19" t="str">
        <f t="shared" si="97"/>
        <v/>
      </c>
      <c r="Q854" s="19" t="s">
        <v>890</v>
      </c>
    </row>
    <row r="855" spans="2:17" ht="30" customHeight="1" x14ac:dyDescent="0.25">
      <c r="B855" s="62" t="str">
        <f t="shared" si="91"/>
        <v/>
      </c>
      <c r="C855" s="42">
        <v>851</v>
      </c>
      <c r="D855" s="20"/>
      <c r="E855" s="58"/>
      <c r="F855" s="63" t="str">
        <f t="shared" si="92"/>
        <v/>
      </c>
      <c r="G855" s="66" t="str">
        <f>IF(D855="","",IFERROR('Prod 3'!H855/'Prod 3'!$H$3,0))</f>
        <v/>
      </c>
      <c r="H855" s="70" t="str">
        <f>IF(D855="","",'Prod 2'!K855)</f>
        <v/>
      </c>
      <c r="I855" s="77" t="str">
        <f t="shared" si="93"/>
        <v/>
      </c>
      <c r="J855" s="57"/>
      <c r="L855" s="19">
        <v>8.5099999999999998E-7</v>
      </c>
      <c r="M855" s="59">
        <f t="shared" si="94"/>
        <v>0</v>
      </c>
      <c r="N855" s="59">
        <f t="shared" si="95"/>
        <v>0</v>
      </c>
      <c r="O855" s="59">
        <f t="shared" si="96"/>
        <v>0</v>
      </c>
      <c r="P855" s="19" t="str">
        <f t="shared" si="97"/>
        <v/>
      </c>
      <c r="Q855" s="19" t="s">
        <v>891</v>
      </c>
    </row>
    <row r="856" spans="2:17" ht="30" customHeight="1" x14ac:dyDescent="0.25">
      <c r="B856" s="62" t="str">
        <f t="shared" si="91"/>
        <v/>
      </c>
      <c r="C856" s="42">
        <v>852</v>
      </c>
      <c r="D856" s="20"/>
      <c r="E856" s="58"/>
      <c r="F856" s="63" t="str">
        <f t="shared" si="92"/>
        <v/>
      </c>
      <c r="G856" s="66" t="str">
        <f>IF(D856="","",IFERROR('Prod 3'!H856/'Prod 3'!$H$3,0))</f>
        <v/>
      </c>
      <c r="H856" s="70" t="str">
        <f>IF(D856="","",'Prod 2'!K856)</f>
        <v/>
      </c>
      <c r="I856" s="77" t="str">
        <f t="shared" si="93"/>
        <v/>
      </c>
      <c r="J856" s="57"/>
      <c r="L856" s="19">
        <v>8.5199999999999995E-7</v>
      </c>
      <c r="M856" s="59">
        <f t="shared" si="94"/>
        <v>0</v>
      </c>
      <c r="N856" s="59">
        <f t="shared" si="95"/>
        <v>0</v>
      </c>
      <c r="O856" s="59">
        <f t="shared" si="96"/>
        <v>0</v>
      </c>
      <c r="P856" s="19" t="str">
        <f t="shared" si="97"/>
        <v/>
      </c>
      <c r="Q856" s="19" t="s">
        <v>892</v>
      </c>
    </row>
    <row r="857" spans="2:17" ht="30" customHeight="1" x14ac:dyDescent="0.25">
      <c r="B857" s="62" t="str">
        <f t="shared" si="91"/>
        <v/>
      </c>
      <c r="C857" s="42">
        <v>853</v>
      </c>
      <c r="D857" s="20"/>
      <c r="E857" s="58"/>
      <c r="F857" s="63" t="str">
        <f t="shared" si="92"/>
        <v/>
      </c>
      <c r="G857" s="66" t="str">
        <f>IF(D857="","",IFERROR('Prod 3'!H857/'Prod 3'!$H$3,0))</f>
        <v/>
      </c>
      <c r="H857" s="70" t="str">
        <f>IF(D857="","",'Prod 2'!K857)</f>
        <v/>
      </c>
      <c r="I857" s="77" t="str">
        <f t="shared" si="93"/>
        <v/>
      </c>
      <c r="J857" s="57"/>
      <c r="L857" s="19">
        <v>8.5300000000000003E-7</v>
      </c>
      <c r="M857" s="59">
        <f t="shared" si="94"/>
        <v>0</v>
      </c>
      <c r="N857" s="59">
        <f t="shared" si="95"/>
        <v>0</v>
      </c>
      <c r="O857" s="59">
        <f t="shared" si="96"/>
        <v>0</v>
      </c>
      <c r="P857" s="19" t="str">
        <f t="shared" si="97"/>
        <v/>
      </c>
      <c r="Q857" s="19" t="s">
        <v>893</v>
      </c>
    </row>
    <row r="858" spans="2:17" ht="30" customHeight="1" x14ac:dyDescent="0.25">
      <c r="B858" s="62" t="str">
        <f t="shared" si="91"/>
        <v/>
      </c>
      <c r="C858" s="42">
        <v>854</v>
      </c>
      <c r="D858" s="20"/>
      <c r="E858" s="58"/>
      <c r="F858" s="63" t="str">
        <f t="shared" si="92"/>
        <v/>
      </c>
      <c r="G858" s="66" t="str">
        <f>IF(D858="","",IFERROR('Prod 3'!H858/'Prod 3'!$H$3,0))</f>
        <v/>
      </c>
      <c r="H858" s="70" t="str">
        <f>IF(D858="","",'Prod 2'!K858)</f>
        <v/>
      </c>
      <c r="I858" s="77" t="str">
        <f t="shared" si="93"/>
        <v/>
      </c>
      <c r="J858" s="57"/>
      <c r="L858" s="19">
        <v>8.54E-7</v>
      </c>
      <c r="M858" s="59">
        <f t="shared" si="94"/>
        <v>0</v>
      </c>
      <c r="N858" s="59">
        <f t="shared" si="95"/>
        <v>0</v>
      </c>
      <c r="O858" s="59">
        <f t="shared" si="96"/>
        <v>0</v>
      </c>
      <c r="P858" s="19" t="str">
        <f t="shared" si="97"/>
        <v/>
      </c>
      <c r="Q858" s="19" t="s">
        <v>894</v>
      </c>
    </row>
    <row r="859" spans="2:17" ht="30" customHeight="1" x14ac:dyDescent="0.25">
      <c r="B859" s="62" t="str">
        <f t="shared" si="91"/>
        <v/>
      </c>
      <c r="C859" s="42">
        <v>855</v>
      </c>
      <c r="D859" s="20"/>
      <c r="E859" s="58"/>
      <c r="F859" s="63" t="str">
        <f t="shared" si="92"/>
        <v/>
      </c>
      <c r="G859" s="66" t="str">
        <f>IF(D859="","",IFERROR('Prod 3'!H859/'Prod 3'!$H$3,0))</f>
        <v/>
      </c>
      <c r="H859" s="70" t="str">
        <f>IF(D859="","",'Prod 2'!K859)</f>
        <v/>
      </c>
      <c r="I859" s="77" t="str">
        <f t="shared" si="93"/>
        <v/>
      </c>
      <c r="J859" s="57"/>
      <c r="L859" s="19">
        <v>8.5499999999999997E-7</v>
      </c>
      <c r="M859" s="59">
        <f t="shared" si="94"/>
        <v>0</v>
      </c>
      <c r="N859" s="59">
        <f t="shared" si="95"/>
        <v>0</v>
      </c>
      <c r="O859" s="59">
        <f t="shared" si="96"/>
        <v>0</v>
      </c>
      <c r="P859" s="19" t="str">
        <f t="shared" si="97"/>
        <v/>
      </c>
      <c r="Q859" s="19" t="s">
        <v>895</v>
      </c>
    </row>
    <row r="860" spans="2:17" ht="30" customHeight="1" x14ac:dyDescent="0.25">
      <c r="B860" s="62" t="str">
        <f t="shared" si="91"/>
        <v/>
      </c>
      <c r="C860" s="42">
        <v>856</v>
      </c>
      <c r="D860" s="20"/>
      <c r="E860" s="58"/>
      <c r="F860" s="63" t="str">
        <f t="shared" si="92"/>
        <v/>
      </c>
      <c r="G860" s="66" t="str">
        <f>IF(D860="","",IFERROR('Prod 3'!H860/'Prod 3'!$H$3,0))</f>
        <v/>
      </c>
      <c r="H860" s="70" t="str">
        <f>IF(D860="","",'Prod 2'!K860)</f>
        <v/>
      </c>
      <c r="I860" s="77" t="str">
        <f t="shared" si="93"/>
        <v/>
      </c>
      <c r="J860" s="57"/>
      <c r="L860" s="19">
        <v>8.5600000000000004E-7</v>
      </c>
      <c r="M860" s="59">
        <f t="shared" si="94"/>
        <v>0</v>
      </c>
      <c r="N860" s="59">
        <f t="shared" si="95"/>
        <v>0</v>
      </c>
      <c r="O860" s="59">
        <f t="shared" si="96"/>
        <v>0</v>
      </c>
      <c r="P860" s="19" t="str">
        <f t="shared" si="97"/>
        <v/>
      </c>
      <c r="Q860" s="19" t="s">
        <v>896</v>
      </c>
    </row>
    <row r="861" spans="2:17" ht="30" customHeight="1" x14ac:dyDescent="0.25">
      <c r="B861" s="62" t="str">
        <f t="shared" si="91"/>
        <v/>
      </c>
      <c r="C861" s="42">
        <v>857</v>
      </c>
      <c r="D861" s="20"/>
      <c r="E861" s="58"/>
      <c r="F861" s="63" t="str">
        <f t="shared" si="92"/>
        <v/>
      </c>
      <c r="G861" s="66" t="str">
        <f>IF(D861="","",IFERROR('Prod 3'!H861/'Prod 3'!$H$3,0))</f>
        <v/>
      </c>
      <c r="H861" s="70" t="str">
        <f>IF(D861="","",'Prod 2'!K861)</f>
        <v/>
      </c>
      <c r="I861" s="77" t="str">
        <f t="shared" si="93"/>
        <v/>
      </c>
      <c r="J861" s="57"/>
      <c r="L861" s="19">
        <v>8.5700000000000001E-7</v>
      </c>
      <c r="M861" s="59">
        <f t="shared" si="94"/>
        <v>0</v>
      </c>
      <c r="N861" s="59">
        <f t="shared" si="95"/>
        <v>0</v>
      </c>
      <c r="O861" s="59">
        <f t="shared" si="96"/>
        <v>0</v>
      </c>
      <c r="P861" s="19" t="str">
        <f t="shared" si="97"/>
        <v/>
      </c>
      <c r="Q861" s="19" t="s">
        <v>897</v>
      </c>
    </row>
    <row r="862" spans="2:17" ht="30" customHeight="1" x14ac:dyDescent="0.25">
      <c r="B862" s="62" t="str">
        <f t="shared" si="91"/>
        <v/>
      </c>
      <c r="C862" s="42">
        <v>858</v>
      </c>
      <c r="D862" s="20"/>
      <c r="E862" s="58"/>
      <c r="F862" s="63" t="str">
        <f t="shared" si="92"/>
        <v/>
      </c>
      <c r="G862" s="66" t="str">
        <f>IF(D862="","",IFERROR('Prod 3'!H862/'Prod 3'!$H$3,0))</f>
        <v/>
      </c>
      <c r="H862" s="70" t="str">
        <f>IF(D862="","",'Prod 2'!K862)</f>
        <v/>
      </c>
      <c r="I862" s="77" t="str">
        <f t="shared" si="93"/>
        <v/>
      </c>
      <c r="J862" s="57"/>
      <c r="L862" s="19">
        <v>8.5799999999999998E-7</v>
      </c>
      <c r="M862" s="59">
        <f t="shared" si="94"/>
        <v>0</v>
      </c>
      <c r="N862" s="59">
        <f t="shared" si="95"/>
        <v>0</v>
      </c>
      <c r="O862" s="59">
        <f t="shared" si="96"/>
        <v>0</v>
      </c>
      <c r="P862" s="19" t="str">
        <f t="shared" si="97"/>
        <v/>
      </c>
      <c r="Q862" s="19" t="s">
        <v>898</v>
      </c>
    </row>
    <row r="863" spans="2:17" ht="30" customHeight="1" x14ac:dyDescent="0.25">
      <c r="B863" s="62" t="str">
        <f t="shared" si="91"/>
        <v/>
      </c>
      <c r="C863" s="42">
        <v>859</v>
      </c>
      <c r="D863" s="20"/>
      <c r="E863" s="58"/>
      <c r="F863" s="63" t="str">
        <f t="shared" si="92"/>
        <v/>
      </c>
      <c r="G863" s="66" t="str">
        <f>IF(D863="","",IFERROR('Prod 3'!H863/'Prod 3'!$H$3,0))</f>
        <v/>
      </c>
      <c r="H863" s="70" t="str">
        <f>IF(D863="","",'Prod 2'!K863)</f>
        <v/>
      </c>
      <c r="I863" s="77" t="str">
        <f t="shared" si="93"/>
        <v/>
      </c>
      <c r="J863" s="57"/>
      <c r="L863" s="19">
        <v>8.5899999999999995E-7</v>
      </c>
      <c r="M863" s="59">
        <f t="shared" si="94"/>
        <v>0</v>
      </c>
      <c r="N863" s="59">
        <f t="shared" si="95"/>
        <v>0</v>
      </c>
      <c r="O863" s="59">
        <f t="shared" si="96"/>
        <v>0</v>
      </c>
      <c r="P863" s="19" t="str">
        <f t="shared" si="97"/>
        <v/>
      </c>
      <c r="Q863" s="19" t="s">
        <v>899</v>
      </c>
    </row>
    <row r="864" spans="2:17" ht="30" customHeight="1" x14ac:dyDescent="0.25">
      <c r="B864" s="62" t="str">
        <f t="shared" si="91"/>
        <v/>
      </c>
      <c r="C864" s="42">
        <v>860</v>
      </c>
      <c r="D864" s="20"/>
      <c r="E864" s="58"/>
      <c r="F864" s="63" t="str">
        <f t="shared" si="92"/>
        <v/>
      </c>
      <c r="G864" s="66" t="str">
        <f>IF(D864="","",IFERROR('Prod 3'!H864/'Prod 3'!$H$3,0))</f>
        <v/>
      </c>
      <c r="H864" s="70" t="str">
        <f>IF(D864="","",'Prod 2'!K864)</f>
        <v/>
      </c>
      <c r="I864" s="77" t="str">
        <f t="shared" si="93"/>
        <v/>
      </c>
      <c r="J864" s="57"/>
      <c r="L864" s="19">
        <v>8.6000000000000002E-7</v>
      </c>
      <c r="M864" s="59">
        <f t="shared" si="94"/>
        <v>0</v>
      </c>
      <c r="N864" s="59">
        <f t="shared" si="95"/>
        <v>0</v>
      </c>
      <c r="O864" s="59">
        <f t="shared" si="96"/>
        <v>0</v>
      </c>
      <c r="P864" s="19" t="str">
        <f t="shared" si="97"/>
        <v/>
      </c>
      <c r="Q864" s="19" t="s">
        <v>900</v>
      </c>
    </row>
    <row r="865" spans="2:17" ht="30" customHeight="1" x14ac:dyDescent="0.25">
      <c r="B865" s="62" t="str">
        <f t="shared" si="91"/>
        <v/>
      </c>
      <c r="C865" s="42">
        <v>861</v>
      </c>
      <c r="D865" s="20"/>
      <c r="E865" s="58"/>
      <c r="F865" s="63" t="str">
        <f t="shared" si="92"/>
        <v/>
      </c>
      <c r="G865" s="66" t="str">
        <f>IF(D865="","",IFERROR('Prod 3'!H865/'Prod 3'!$H$3,0))</f>
        <v/>
      </c>
      <c r="H865" s="70" t="str">
        <f>IF(D865="","",'Prod 2'!K865)</f>
        <v/>
      </c>
      <c r="I865" s="77" t="str">
        <f t="shared" si="93"/>
        <v/>
      </c>
      <c r="J865" s="57"/>
      <c r="L865" s="19">
        <v>8.6099999999999999E-7</v>
      </c>
      <c r="M865" s="59">
        <f t="shared" si="94"/>
        <v>0</v>
      </c>
      <c r="N865" s="59">
        <f t="shared" si="95"/>
        <v>0</v>
      </c>
      <c r="O865" s="59">
        <f t="shared" si="96"/>
        <v>0</v>
      </c>
      <c r="P865" s="19" t="str">
        <f t="shared" si="97"/>
        <v/>
      </c>
      <c r="Q865" s="19" t="s">
        <v>901</v>
      </c>
    </row>
    <row r="866" spans="2:17" ht="30" customHeight="1" x14ac:dyDescent="0.25">
      <c r="B866" s="62" t="str">
        <f t="shared" si="91"/>
        <v/>
      </c>
      <c r="C866" s="42">
        <v>862</v>
      </c>
      <c r="D866" s="20"/>
      <c r="E866" s="58"/>
      <c r="F866" s="63" t="str">
        <f t="shared" si="92"/>
        <v/>
      </c>
      <c r="G866" s="66" t="str">
        <f>IF(D866="","",IFERROR('Prod 3'!H866/'Prod 3'!$H$3,0))</f>
        <v/>
      </c>
      <c r="H866" s="70" t="str">
        <f>IF(D866="","",'Prod 2'!K866)</f>
        <v/>
      </c>
      <c r="I866" s="77" t="str">
        <f t="shared" si="93"/>
        <v/>
      </c>
      <c r="J866" s="57"/>
      <c r="L866" s="19">
        <v>8.6199999999999996E-7</v>
      </c>
      <c r="M866" s="59">
        <f t="shared" si="94"/>
        <v>0</v>
      </c>
      <c r="N866" s="59">
        <f t="shared" si="95"/>
        <v>0</v>
      </c>
      <c r="O866" s="59">
        <f t="shared" si="96"/>
        <v>0</v>
      </c>
      <c r="P866" s="19" t="str">
        <f t="shared" si="97"/>
        <v/>
      </c>
      <c r="Q866" s="19" t="s">
        <v>902</v>
      </c>
    </row>
    <row r="867" spans="2:17" ht="30" customHeight="1" x14ac:dyDescent="0.25">
      <c r="B867" s="62" t="str">
        <f t="shared" si="91"/>
        <v/>
      </c>
      <c r="C867" s="42">
        <v>863</v>
      </c>
      <c r="D867" s="20"/>
      <c r="E867" s="58"/>
      <c r="F867" s="63" t="str">
        <f t="shared" si="92"/>
        <v/>
      </c>
      <c r="G867" s="66" t="str">
        <f>IF(D867="","",IFERROR('Prod 3'!H867/'Prod 3'!$H$3,0))</f>
        <v/>
      </c>
      <c r="H867" s="70" t="str">
        <f>IF(D867="","",'Prod 2'!K867)</f>
        <v/>
      </c>
      <c r="I867" s="77" t="str">
        <f t="shared" si="93"/>
        <v/>
      </c>
      <c r="J867" s="57"/>
      <c r="L867" s="19">
        <v>8.6300000000000004E-7</v>
      </c>
      <c r="M867" s="59">
        <f t="shared" si="94"/>
        <v>0</v>
      </c>
      <c r="N867" s="59">
        <f t="shared" si="95"/>
        <v>0</v>
      </c>
      <c r="O867" s="59">
        <f t="shared" si="96"/>
        <v>0</v>
      </c>
      <c r="P867" s="19" t="str">
        <f t="shared" si="97"/>
        <v/>
      </c>
      <c r="Q867" s="19" t="s">
        <v>903</v>
      </c>
    </row>
    <row r="868" spans="2:17" ht="30" customHeight="1" x14ac:dyDescent="0.25">
      <c r="B868" s="62" t="str">
        <f t="shared" si="91"/>
        <v/>
      </c>
      <c r="C868" s="42">
        <v>864</v>
      </c>
      <c r="D868" s="20"/>
      <c r="E868" s="58"/>
      <c r="F868" s="63" t="str">
        <f t="shared" si="92"/>
        <v/>
      </c>
      <c r="G868" s="66" t="str">
        <f>IF(D868="","",IFERROR('Prod 3'!H868/'Prod 3'!$H$3,0))</f>
        <v/>
      </c>
      <c r="H868" s="70" t="str">
        <f>IF(D868="","",'Prod 2'!K868)</f>
        <v/>
      </c>
      <c r="I868" s="77" t="str">
        <f t="shared" si="93"/>
        <v/>
      </c>
      <c r="J868" s="57"/>
      <c r="L868" s="19">
        <v>8.6400000000000001E-7</v>
      </c>
      <c r="M868" s="59">
        <f t="shared" si="94"/>
        <v>0</v>
      </c>
      <c r="N868" s="59">
        <f t="shared" si="95"/>
        <v>0</v>
      </c>
      <c r="O868" s="59">
        <f t="shared" si="96"/>
        <v>0</v>
      </c>
      <c r="P868" s="19" t="str">
        <f t="shared" si="97"/>
        <v/>
      </c>
      <c r="Q868" s="19" t="s">
        <v>904</v>
      </c>
    </row>
    <row r="869" spans="2:17" ht="30" customHeight="1" x14ac:dyDescent="0.25">
      <c r="B869" s="62" t="str">
        <f t="shared" si="91"/>
        <v/>
      </c>
      <c r="C869" s="42">
        <v>865</v>
      </c>
      <c r="D869" s="20"/>
      <c r="E869" s="58"/>
      <c r="F869" s="63" t="str">
        <f t="shared" si="92"/>
        <v/>
      </c>
      <c r="G869" s="66" t="str">
        <f>IF(D869="","",IFERROR('Prod 3'!H869/'Prod 3'!$H$3,0))</f>
        <v/>
      </c>
      <c r="H869" s="70" t="str">
        <f>IF(D869="","",'Prod 2'!K869)</f>
        <v/>
      </c>
      <c r="I869" s="77" t="str">
        <f t="shared" si="93"/>
        <v/>
      </c>
      <c r="J869" s="57"/>
      <c r="L869" s="19">
        <v>8.6499999999999998E-7</v>
      </c>
      <c r="M869" s="59">
        <f t="shared" si="94"/>
        <v>0</v>
      </c>
      <c r="N869" s="59">
        <f t="shared" si="95"/>
        <v>0</v>
      </c>
      <c r="O869" s="59">
        <f t="shared" si="96"/>
        <v>0</v>
      </c>
      <c r="P869" s="19" t="str">
        <f t="shared" si="97"/>
        <v/>
      </c>
      <c r="Q869" s="19" t="s">
        <v>905</v>
      </c>
    </row>
    <row r="870" spans="2:17" ht="30" customHeight="1" x14ac:dyDescent="0.25">
      <c r="B870" s="62" t="str">
        <f t="shared" si="91"/>
        <v/>
      </c>
      <c r="C870" s="42">
        <v>866</v>
      </c>
      <c r="D870" s="20"/>
      <c r="E870" s="58"/>
      <c r="F870" s="63" t="str">
        <f t="shared" si="92"/>
        <v/>
      </c>
      <c r="G870" s="66" t="str">
        <f>IF(D870="","",IFERROR('Prod 3'!H870/'Prod 3'!$H$3,0))</f>
        <v/>
      </c>
      <c r="H870" s="70" t="str">
        <f>IF(D870="","",'Prod 2'!K870)</f>
        <v/>
      </c>
      <c r="I870" s="77" t="str">
        <f t="shared" si="93"/>
        <v/>
      </c>
      <c r="J870" s="57"/>
      <c r="L870" s="19">
        <v>8.6600000000000005E-7</v>
      </c>
      <c r="M870" s="59">
        <f t="shared" si="94"/>
        <v>0</v>
      </c>
      <c r="N870" s="59">
        <f t="shared" si="95"/>
        <v>0</v>
      </c>
      <c r="O870" s="59">
        <f t="shared" si="96"/>
        <v>0</v>
      </c>
      <c r="P870" s="19" t="str">
        <f t="shared" si="97"/>
        <v/>
      </c>
      <c r="Q870" s="19" t="s">
        <v>906</v>
      </c>
    </row>
    <row r="871" spans="2:17" ht="30" customHeight="1" x14ac:dyDescent="0.25">
      <c r="B871" s="62" t="str">
        <f t="shared" si="91"/>
        <v/>
      </c>
      <c r="C871" s="42">
        <v>867</v>
      </c>
      <c r="D871" s="20"/>
      <c r="E871" s="58"/>
      <c r="F871" s="63" t="str">
        <f t="shared" si="92"/>
        <v/>
      </c>
      <c r="G871" s="66" t="str">
        <f>IF(D871="","",IFERROR('Prod 3'!H871/'Prod 3'!$H$3,0))</f>
        <v/>
      </c>
      <c r="H871" s="70" t="str">
        <f>IF(D871="","",'Prod 2'!K871)</f>
        <v/>
      </c>
      <c r="I871" s="77" t="str">
        <f t="shared" si="93"/>
        <v/>
      </c>
      <c r="J871" s="57"/>
      <c r="L871" s="19">
        <v>8.6700000000000002E-7</v>
      </c>
      <c r="M871" s="59">
        <f t="shared" si="94"/>
        <v>0</v>
      </c>
      <c r="N871" s="59">
        <f t="shared" si="95"/>
        <v>0</v>
      </c>
      <c r="O871" s="59">
        <f t="shared" si="96"/>
        <v>0</v>
      </c>
      <c r="P871" s="19" t="str">
        <f t="shared" si="97"/>
        <v/>
      </c>
      <c r="Q871" s="19" t="s">
        <v>907</v>
      </c>
    </row>
    <row r="872" spans="2:17" ht="30" customHeight="1" x14ac:dyDescent="0.25">
      <c r="B872" s="62" t="str">
        <f t="shared" si="91"/>
        <v/>
      </c>
      <c r="C872" s="42">
        <v>868</v>
      </c>
      <c r="D872" s="20"/>
      <c r="E872" s="58"/>
      <c r="F872" s="63" t="str">
        <f t="shared" si="92"/>
        <v/>
      </c>
      <c r="G872" s="66" t="str">
        <f>IF(D872="","",IFERROR('Prod 3'!H872/'Prod 3'!$H$3,0))</f>
        <v/>
      </c>
      <c r="H872" s="70" t="str">
        <f>IF(D872="","",'Prod 2'!K872)</f>
        <v/>
      </c>
      <c r="I872" s="77" t="str">
        <f t="shared" si="93"/>
        <v/>
      </c>
      <c r="J872" s="57"/>
      <c r="L872" s="19">
        <v>8.6799999999999999E-7</v>
      </c>
      <c r="M872" s="59">
        <f t="shared" si="94"/>
        <v>0</v>
      </c>
      <c r="N872" s="59">
        <f t="shared" si="95"/>
        <v>0</v>
      </c>
      <c r="O872" s="59">
        <f t="shared" si="96"/>
        <v>0</v>
      </c>
      <c r="P872" s="19" t="str">
        <f t="shared" si="97"/>
        <v/>
      </c>
      <c r="Q872" s="19" t="s">
        <v>908</v>
      </c>
    </row>
    <row r="873" spans="2:17" ht="30" customHeight="1" x14ac:dyDescent="0.25">
      <c r="B873" s="62" t="str">
        <f t="shared" si="91"/>
        <v/>
      </c>
      <c r="C873" s="42">
        <v>869</v>
      </c>
      <c r="D873" s="20"/>
      <c r="E873" s="58"/>
      <c r="F873" s="63" t="str">
        <f t="shared" si="92"/>
        <v/>
      </c>
      <c r="G873" s="66" t="str">
        <f>IF(D873="","",IFERROR('Prod 3'!H873/'Prod 3'!$H$3,0))</f>
        <v/>
      </c>
      <c r="H873" s="70" t="str">
        <f>IF(D873="","",'Prod 2'!K873)</f>
        <v/>
      </c>
      <c r="I873" s="77" t="str">
        <f t="shared" si="93"/>
        <v/>
      </c>
      <c r="J873" s="57"/>
      <c r="L873" s="19">
        <v>8.6899999999999996E-7</v>
      </c>
      <c r="M873" s="59">
        <f t="shared" si="94"/>
        <v>0</v>
      </c>
      <c r="N873" s="59">
        <f t="shared" si="95"/>
        <v>0</v>
      </c>
      <c r="O873" s="59">
        <f t="shared" si="96"/>
        <v>0</v>
      </c>
      <c r="P873" s="19" t="str">
        <f t="shared" si="97"/>
        <v/>
      </c>
      <c r="Q873" s="19" t="s">
        <v>909</v>
      </c>
    </row>
    <row r="874" spans="2:17" ht="30" customHeight="1" x14ac:dyDescent="0.25">
      <c r="B874" s="62" t="str">
        <f t="shared" si="91"/>
        <v/>
      </c>
      <c r="C874" s="42">
        <v>870</v>
      </c>
      <c r="D874" s="20"/>
      <c r="E874" s="58"/>
      <c r="F874" s="63" t="str">
        <f t="shared" si="92"/>
        <v/>
      </c>
      <c r="G874" s="66" t="str">
        <f>IF(D874="","",IFERROR('Prod 3'!H874/'Prod 3'!$H$3,0))</f>
        <v/>
      </c>
      <c r="H874" s="70" t="str">
        <f>IF(D874="","",'Prod 2'!K874)</f>
        <v/>
      </c>
      <c r="I874" s="77" t="str">
        <f t="shared" si="93"/>
        <v/>
      </c>
      <c r="J874" s="57"/>
      <c r="L874" s="19">
        <v>8.7000000000000003E-7</v>
      </c>
      <c r="M874" s="59">
        <f t="shared" si="94"/>
        <v>0</v>
      </c>
      <c r="N874" s="59">
        <f t="shared" si="95"/>
        <v>0</v>
      </c>
      <c r="O874" s="59">
        <f t="shared" si="96"/>
        <v>0</v>
      </c>
      <c r="P874" s="19" t="str">
        <f t="shared" si="97"/>
        <v/>
      </c>
      <c r="Q874" s="19" t="s">
        <v>910</v>
      </c>
    </row>
    <row r="875" spans="2:17" ht="30" customHeight="1" x14ac:dyDescent="0.25">
      <c r="B875" s="62" t="str">
        <f t="shared" si="91"/>
        <v/>
      </c>
      <c r="C875" s="42">
        <v>871</v>
      </c>
      <c r="D875" s="20"/>
      <c r="E875" s="58"/>
      <c r="F875" s="63" t="str">
        <f t="shared" si="92"/>
        <v/>
      </c>
      <c r="G875" s="66" t="str">
        <f>IF(D875="","",IFERROR('Prod 3'!H875/'Prod 3'!$H$3,0))</f>
        <v/>
      </c>
      <c r="H875" s="70" t="str">
        <f>IF(D875="","",'Prod 2'!K875)</f>
        <v/>
      </c>
      <c r="I875" s="77" t="str">
        <f t="shared" si="93"/>
        <v/>
      </c>
      <c r="J875" s="57"/>
      <c r="L875" s="19">
        <v>8.71E-7</v>
      </c>
      <c r="M875" s="59">
        <f t="shared" si="94"/>
        <v>0</v>
      </c>
      <c r="N875" s="59">
        <f t="shared" si="95"/>
        <v>0</v>
      </c>
      <c r="O875" s="59">
        <f t="shared" si="96"/>
        <v>0</v>
      </c>
      <c r="P875" s="19" t="str">
        <f t="shared" si="97"/>
        <v/>
      </c>
      <c r="Q875" s="19" t="s">
        <v>911</v>
      </c>
    </row>
    <row r="876" spans="2:17" ht="30" customHeight="1" x14ac:dyDescent="0.25">
      <c r="B876" s="62" t="str">
        <f t="shared" si="91"/>
        <v/>
      </c>
      <c r="C876" s="42">
        <v>872</v>
      </c>
      <c r="D876" s="20"/>
      <c r="E876" s="58"/>
      <c r="F876" s="63" t="str">
        <f t="shared" si="92"/>
        <v/>
      </c>
      <c r="G876" s="66" t="str">
        <f>IF(D876="","",IFERROR('Prod 3'!H876/'Prod 3'!$H$3,0))</f>
        <v/>
      </c>
      <c r="H876" s="70" t="str">
        <f>IF(D876="","",'Prod 2'!K876)</f>
        <v/>
      </c>
      <c r="I876" s="77" t="str">
        <f t="shared" si="93"/>
        <v/>
      </c>
      <c r="J876" s="57"/>
      <c r="L876" s="19">
        <v>8.7199999999999997E-7</v>
      </c>
      <c r="M876" s="59">
        <f t="shared" si="94"/>
        <v>0</v>
      </c>
      <c r="N876" s="59">
        <f t="shared" si="95"/>
        <v>0</v>
      </c>
      <c r="O876" s="59">
        <f t="shared" si="96"/>
        <v>0</v>
      </c>
      <c r="P876" s="19" t="str">
        <f t="shared" si="97"/>
        <v/>
      </c>
      <c r="Q876" s="19" t="s">
        <v>912</v>
      </c>
    </row>
    <row r="877" spans="2:17" ht="30" customHeight="1" x14ac:dyDescent="0.25">
      <c r="B877" s="62" t="str">
        <f t="shared" si="91"/>
        <v/>
      </c>
      <c r="C877" s="42">
        <v>873</v>
      </c>
      <c r="D877" s="20"/>
      <c r="E877" s="58"/>
      <c r="F877" s="63" t="str">
        <f t="shared" si="92"/>
        <v/>
      </c>
      <c r="G877" s="66" t="str">
        <f>IF(D877="","",IFERROR('Prod 3'!H877/'Prod 3'!$H$3,0))</f>
        <v/>
      </c>
      <c r="H877" s="70" t="str">
        <f>IF(D877="","",'Prod 2'!K877)</f>
        <v/>
      </c>
      <c r="I877" s="77" t="str">
        <f t="shared" si="93"/>
        <v/>
      </c>
      <c r="J877" s="57"/>
      <c r="L877" s="19">
        <v>8.7300000000000005E-7</v>
      </c>
      <c r="M877" s="59">
        <f t="shared" si="94"/>
        <v>0</v>
      </c>
      <c r="N877" s="59">
        <f t="shared" si="95"/>
        <v>0</v>
      </c>
      <c r="O877" s="59">
        <f t="shared" si="96"/>
        <v>0</v>
      </c>
      <c r="P877" s="19" t="str">
        <f t="shared" si="97"/>
        <v/>
      </c>
      <c r="Q877" s="19" t="s">
        <v>913</v>
      </c>
    </row>
    <row r="878" spans="2:17" ht="30" customHeight="1" x14ac:dyDescent="0.25">
      <c r="B878" s="62" t="str">
        <f t="shared" si="91"/>
        <v/>
      </c>
      <c r="C878" s="42">
        <v>874</v>
      </c>
      <c r="D878" s="20"/>
      <c r="E878" s="58"/>
      <c r="F878" s="63" t="str">
        <f t="shared" si="92"/>
        <v/>
      </c>
      <c r="G878" s="66" t="str">
        <f>IF(D878="","",IFERROR('Prod 3'!H878/'Prod 3'!$H$3,0))</f>
        <v/>
      </c>
      <c r="H878" s="70" t="str">
        <f>IF(D878="","",'Prod 2'!K878)</f>
        <v/>
      </c>
      <c r="I878" s="77" t="str">
        <f t="shared" si="93"/>
        <v/>
      </c>
      <c r="J878" s="57"/>
      <c r="L878" s="19">
        <v>8.7400000000000002E-7</v>
      </c>
      <c r="M878" s="59">
        <f t="shared" si="94"/>
        <v>0</v>
      </c>
      <c r="N878" s="59">
        <f t="shared" si="95"/>
        <v>0</v>
      </c>
      <c r="O878" s="59">
        <f t="shared" si="96"/>
        <v>0</v>
      </c>
      <c r="P878" s="19" t="str">
        <f t="shared" si="97"/>
        <v/>
      </c>
      <c r="Q878" s="19" t="s">
        <v>914</v>
      </c>
    </row>
    <row r="879" spans="2:17" ht="30" customHeight="1" x14ac:dyDescent="0.25">
      <c r="B879" s="62" t="str">
        <f t="shared" si="91"/>
        <v/>
      </c>
      <c r="C879" s="42">
        <v>875</v>
      </c>
      <c r="D879" s="20"/>
      <c r="E879" s="58"/>
      <c r="F879" s="63" t="str">
        <f t="shared" si="92"/>
        <v/>
      </c>
      <c r="G879" s="66" t="str">
        <f>IF(D879="","",IFERROR('Prod 3'!H879/'Prod 3'!$H$3,0))</f>
        <v/>
      </c>
      <c r="H879" s="70" t="str">
        <f>IF(D879="","",'Prod 2'!K879)</f>
        <v/>
      </c>
      <c r="I879" s="77" t="str">
        <f t="shared" si="93"/>
        <v/>
      </c>
      <c r="J879" s="57"/>
      <c r="L879" s="19">
        <v>8.7499999999999999E-7</v>
      </c>
      <c r="M879" s="59">
        <f t="shared" si="94"/>
        <v>0</v>
      </c>
      <c r="N879" s="59">
        <f t="shared" si="95"/>
        <v>0</v>
      </c>
      <c r="O879" s="59">
        <f t="shared" si="96"/>
        <v>0</v>
      </c>
      <c r="P879" s="19" t="str">
        <f t="shared" si="97"/>
        <v/>
      </c>
      <c r="Q879" s="19" t="s">
        <v>915</v>
      </c>
    </row>
    <row r="880" spans="2:17" ht="30" customHeight="1" x14ac:dyDescent="0.25">
      <c r="B880" s="62" t="str">
        <f t="shared" si="91"/>
        <v/>
      </c>
      <c r="C880" s="42">
        <v>876</v>
      </c>
      <c r="D880" s="20"/>
      <c r="E880" s="58"/>
      <c r="F880" s="63" t="str">
        <f t="shared" si="92"/>
        <v/>
      </c>
      <c r="G880" s="66" t="str">
        <f>IF(D880="","",IFERROR('Prod 3'!H880/'Prod 3'!$H$3,0))</f>
        <v/>
      </c>
      <c r="H880" s="70" t="str">
        <f>IF(D880="","",'Prod 2'!K880)</f>
        <v/>
      </c>
      <c r="I880" s="77" t="str">
        <f t="shared" si="93"/>
        <v/>
      </c>
      <c r="J880" s="57"/>
      <c r="L880" s="19">
        <v>8.7599999999999996E-7</v>
      </c>
      <c r="M880" s="59">
        <f t="shared" si="94"/>
        <v>0</v>
      </c>
      <c r="N880" s="59">
        <f t="shared" si="95"/>
        <v>0</v>
      </c>
      <c r="O880" s="59">
        <f t="shared" si="96"/>
        <v>0</v>
      </c>
      <c r="P880" s="19" t="str">
        <f t="shared" si="97"/>
        <v/>
      </c>
      <c r="Q880" s="19" t="s">
        <v>916</v>
      </c>
    </row>
    <row r="881" spans="2:17" ht="30" customHeight="1" x14ac:dyDescent="0.25">
      <c r="B881" s="62" t="str">
        <f t="shared" si="91"/>
        <v/>
      </c>
      <c r="C881" s="42">
        <v>877</v>
      </c>
      <c r="D881" s="20"/>
      <c r="E881" s="58"/>
      <c r="F881" s="63" t="str">
        <f t="shared" si="92"/>
        <v/>
      </c>
      <c r="G881" s="66" t="str">
        <f>IF(D881="","",IFERROR('Prod 3'!H881/'Prod 3'!$H$3,0))</f>
        <v/>
      </c>
      <c r="H881" s="70" t="str">
        <f>IF(D881="","",'Prod 2'!K881)</f>
        <v/>
      </c>
      <c r="I881" s="77" t="str">
        <f t="shared" si="93"/>
        <v/>
      </c>
      <c r="J881" s="57"/>
      <c r="L881" s="19">
        <v>8.7700000000000003E-7</v>
      </c>
      <c r="M881" s="59">
        <f t="shared" si="94"/>
        <v>0</v>
      </c>
      <c r="N881" s="59">
        <f t="shared" si="95"/>
        <v>0</v>
      </c>
      <c r="O881" s="59">
        <f t="shared" si="96"/>
        <v>0</v>
      </c>
      <c r="P881" s="19" t="str">
        <f t="shared" si="97"/>
        <v/>
      </c>
      <c r="Q881" s="19" t="s">
        <v>917</v>
      </c>
    </row>
    <row r="882" spans="2:17" ht="30" customHeight="1" x14ac:dyDescent="0.25">
      <c r="B882" s="62" t="str">
        <f t="shared" si="91"/>
        <v/>
      </c>
      <c r="C882" s="42">
        <v>878</v>
      </c>
      <c r="D882" s="20"/>
      <c r="E882" s="58"/>
      <c r="F882" s="63" t="str">
        <f t="shared" si="92"/>
        <v/>
      </c>
      <c r="G882" s="66" t="str">
        <f>IF(D882="","",IFERROR('Prod 3'!H882/'Prod 3'!$H$3,0))</f>
        <v/>
      </c>
      <c r="H882" s="70" t="str">
        <f>IF(D882="","",'Prod 2'!K882)</f>
        <v/>
      </c>
      <c r="I882" s="77" t="str">
        <f t="shared" si="93"/>
        <v/>
      </c>
      <c r="J882" s="57"/>
      <c r="L882" s="19">
        <v>8.78E-7</v>
      </c>
      <c r="M882" s="59">
        <f t="shared" si="94"/>
        <v>0</v>
      </c>
      <c r="N882" s="59">
        <f t="shared" si="95"/>
        <v>0</v>
      </c>
      <c r="O882" s="59">
        <f t="shared" si="96"/>
        <v>0</v>
      </c>
      <c r="P882" s="19" t="str">
        <f t="shared" si="97"/>
        <v/>
      </c>
      <c r="Q882" s="19" t="s">
        <v>918</v>
      </c>
    </row>
    <row r="883" spans="2:17" ht="30" customHeight="1" x14ac:dyDescent="0.25">
      <c r="B883" s="62" t="str">
        <f t="shared" si="91"/>
        <v/>
      </c>
      <c r="C883" s="42">
        <v>879</v>
      </c>
      <c r="D883" s="20"/>
      <c r="E883" s="58"/>
      <c r="F883" s="63" t="str">
        <f t="shared" si="92"/>
        <v/>
      </c>
      <c r="G883" s="66" t="str">
        <f>IF(D883="","",IFERROR('Prod 3'!H883/'Prod 3'!$H$3,0))</f>
        <v/>
      </c>
      <c r="H883" s="70" t="str">
        <f>IF(D883="","",'Prod 2'!K883)</f>
        <v/>
      </c>
      <c r="I883" s="77" t="str">
        <f t="shared" si="93"/>
        <v/>
      </c>
      <c r="J883" s="57"/>
      <c r="L883" s="19">
        <v>8.7899999999999997E-7</v>
      </c>
      <c r="M883" s="59">
        <f t="shared" si="94"/>
        <v>0</v>
      </c>
      <c r="N883" s="59">
        <f t="shared" si="95"/>
        <v>0</v>
      </c>
      <c r="O883" s="59">
        <f t="shared" si="96"/>
        <v>0</v>
      </c>
      <c r="P883" s="19" t="str">
        <f t="shared" si="97"/>
        <v/>
      </c>
      <c r="Q883" s="19" t="s">
        <v>919</v>
      </c>
    </row>
    <row r="884" spans="2:17" ht="30" customHeight="1" x14ac:dyDescent="0.25">
      <c r="B884" s="62" t="str">
        <f t="shared" si="91"/>
        <v/>
      </c>
      <c r="C884" s="42">
        <v>880</v>
      </c>
      <c r="D884" s="20"/>
      <c r="E884" s="58"/>
      <c r="F884" s="63" t="str">
        <f t="shared" si="92"/>
        <v/>
      </c>
      <c r="G884" s="66" t="str">
        <f>IF(D884="","",IFERROR('Prod 3'!H884/'Prod 3'!$H$3,0))</f>
        <v/>
      </c>
      <c r="H884" s="70" t="str">
        <f>IF(D884="","",'Prod 2'!K884)</f>
        <v/>
      </c>
      <c r="I884" s="77" t="str">
        <f t="shared" si="93"/>
        <v/>
      </c>
      <c r="J884" s="57"/>
      <c r="L884" s="19">
        <v>8.8000000000000004E-7</v>
      </c>
      <c r="M884" s="59">
        <f t="shared" si="94"/>
        <v>0</v>
      </c>
      <c r="N884" s="59">
        <f t="shared" si="95"/>
        <v>0</v>
      </c>
      <c r="O884" s="59">
        <f t="shared" si="96"/>
        <v>0</v>
      </c>
      <c r="P884" s="19" t="str">
        <f t="shared" si="97"/>
        <v/>
      </c>
      <c r="Q884" s="19" t="s">
        <v>920</v>
      </c>
    </row>
    <row r="885" spans="2:17" ht="30" customHeight="1" x14ac:dyDescent="0.25">
      <c r="B885" s="62" t="str">
        <f t="shared" si="91"/>
        <v/>
      </c>
      <c r="C885" s="42">
        <v>881</v>
      </c>
      <c r="D885" s="20"/>
      <c r="E885" s="58"/>
      <c r="F885" s="63" t="str">
        <f t="shared" si="92"/>
        <v/>
      </c>
      <c r="G885" s="66" t="str">
        <f>IF(D885="","",IFERROR('Prod 3'!H885/'Prod 3'!$H$3,0))</f>
        <v/>
      </c>
      <c r="H885" s="70" t="str">
        <f>IF(D885="","",'Prod 2'!K885)</f>
        <v/>
      </c>
      <c r="I885" s="77" t="str">
        <f t="shared" si="93"/>
        <v/>
      </c>
      <c r="J885" s="57"/>
      <c r="L885" s="19">
        <v>8.8100000000000001E-7</v>
      </c>
      <c r="M885" s="59">
        <f t="shared" si="94"/>
        <v>0</v>
      </c>
      <c r="N885" s="59">
        <f t="shared" si="95"/>
        <v>0</v>
      </c>
      <c r="O885" s="59">
        <f t="shared" si="96"/>
        <v>0</v>
      </c>
      <c r="P885" s="19" t="str">
        <f t="shared" si="97"/>
        <v/>
      </c>
      <c r="Q885" s="19" t="s">
        <v>921</v>
      </c>
    </row>
    <row r="886" spans="2:17" ht="30" customHeight="1" x14ac:dyDescent="0.25">
      <c r="B886" s="62" t="str">
        <f t="shared" si="91"/>
        <v/>
      </c>
      <c r="C886" s="42">
        <v>882</v>
      </c>
      <c r="D886" s="20"/>
      <c r="E886" s="58"/>
      <c r="F886" s="63" t="str">
        <f t="shared" si="92"/>
        <v/>
      </c>
      <c r="G886" s="66" t="str">
        <f>IF(D886="","",IFERROR('Prod 3'!H886/'Prod 3'!$H$3,0))</f>
        <v/>
      </c>
      <c r="H886" s="70" t="str">
        <f>IF(D886="","",'Prod 2'!K886)</f>
        <v/>
      </c>
      <c r="I886" s="77" t="str">
        <f t="shared" si="93"/>
        <v/>
      </c>
      <c r="J886" s="57"/>
      <c r="L886" s="19">
        <v>8.8199999999999998E-7</v>
      </c>
      <c r="M886" s="59">
        <f t="shared" si="94"/>
        <v>0</v>
      </c>
      <c r="N886" s="59">
        <f t="shared" si="95"/>
        <v>0</v>
      </c>
      <c r="O886" s="59">
        <f t="shared" si="96"/>
        <v>0</v>
      </c>
      <c r="P886" s="19" t="str">
        <f t="shared" si="97"/>
        <v/>
      </c>
      <c r="Q886" s="19" t="s">
        <v>922</v>
      </c>
    </row>
    <row r="887" spans="2:17" ht="30" customHeight="1" x14ac:dyDescent="0.25">
      <c r="B887" s="62" t="str">
        <f t="shared" si="91"/>
        <v/>
      </c>
      <c r="C887" s="42">
        <v>883</v>
      </c>
      <c r="D887" s="20"/>
      <c r="E887" s="58"/>
      <c r="F887" s="63" t="str">
        <f t="shared" si="92"/>
        <v/>
      </c>
      <c r="G887" s="66" t="str">
        <f>IF(D887="","",IFERROR('Prod 3'!H887/'Prod 3'!$H$3,0))</f>
        <v/>
      </c>
      <c r="H887" s="70" t="str">
        <f>IF(D887="","",'Prod 2'!K887)</f>
        <v/>
      </c>
      <c r="I887" s="77" t="str">
        <f t="shared" si="93"/>
        <v/>
      </c>
      <c r="J887" s="57"/>
      <c r="L887" s="19">
        <v>8.8299999999999995E-7</v>
      </c>
      <c r="M887" s="59">
        <f t="shared" si="94"/>
        <v>0</v>
      </c>
      <c r="N887" s="59">
        <f t="shared" si="95"/>
        <v>0</v>
      </c>
      <c r="O887" s="59">
        <f t="shared" si="96"/>
        <v>0</v>
      </c>
      <c r="P887" s="19" t="str">
        <f t="shared" si="97"/>
        <v/>
      </c>
      <c r="Q887" s="19" t="s">
        <v>923</v>
      </c>
    </row>
    <row r="888" spans="2:17" ht="30" customHeight="1" x14ac:dyDescent="0.25">
      <c r="B888" s="62" t="str">
        <f t="shared" si="91"/>
        <v/>
      </c>
      <c r="C888" s="42">
        <v>884</v>
      </c>
      <c r="D888" s="20"/>
      <c r="E888" s="58"/>
      <c r="F888" s="63" t="str">
        <f t="shared" si="92"/>
        <v/>
      </c>
      <c r="G888" s="66" t="str">
        <f>IF(D888="","",IFERROR('Prod 3'!H888/'Prod 3'!$H$3,0))</f>
        <v/>
      </c>
      <c r="H888" s="70" t="str">
        <f>IF(D888="","",'Prod 2'!K888)</f>
        <v/>
      </c>
      <c r="I888" s="77" t="str">
        <f t="shared" si="93"/>
        <v/>
      </c>
      <c r="J888" s="57"/>
      <c r="L888" s="19">
        <v>8.8400000000000003E-7</v>
      </c>
      <c r="M888" s="59">
        <f t="shared" si="94"/>
        <v>0</v>
      </c>
      <c r="N888" s="59">
        <f t="shared" si="95"/>
        <v>0</v>
      </c>
      <c r="O888" s="59">
        <f t="shared" si="96"/>
        <v>0</v>
      </c>
      <c r="P888" s="19" t="str">
        <f t="shared" si="97"/>
        <v/>
      </c>
      <c r="Q888" s="19" t="s">
        <v>924</v>
      </c>
    </row>
    <row r="889" spans="2:17" ht="30" customHeight="1" x14ac:dyDescent="0.25">
      <c r="B889" s="62" t="str">
        <f t="shared" si="91"/>
        <v/>
      </c>
      <c r="C889" s="42">
        <v>885</v>
      </c>
      <c r="D889" s="20"/>
      <c r="E889" s="58"/>
      <c r="F889" s="63" t="str">
        <f t="shared" si="92"/>
        <v/>
      </c>
      <c r="G889" s="66" t="str">
        <f>IF(D889="","",IFERROR('Prod 3'!H889/'Prod 3'!$H$3,0))</f>
        <v/>
      </c>
      <c r="H889" s="70" t="str">
        <f>IF(D889="","",'Prod 2'!K889)</f>
        <v/>
      </c>
      <c r="I889" s="77" t="str">
        <f t="shared" si="93"/>
        <v/>
      </c>
      <c r="J889" s="57"/>
      <c r="L889" s="19">
        <v>8.85E-7</v>
      </c>
      <c r="M889" s="59">
        <f t="shared" si="94"/>
        <v>0</v>
      </c>
      <c r="N889" s="59">
        <f t="shared" si="95"/>
        <v>0</v>
      </c>
      <c r="O889" s="59">
        <f t="shared" si="96"/>
        <v>0</v>
      </c>
      <c r="P889" s="19" t="str">
        <f t="shared" si="97"/>
        <v/>
      </c>
      <c r="Q889" s="19" t="s">
        <v>925</v>
      </c>
    </row>
    <row r="890" spans="2:17" ht="30" customHeight="1" x14ac:dyDescent="0.25">
      <c r="B890" s="62" t="str">
        <f t="shared" si="91"/>
        <v/>
      </c>
      <c r="C890" s="42">
        <v>886</v>
      </c>
      <c r="D890" s="20"/>
      <c r="E890" s="58"/>
      <c r="F890" s="63" t="str">
        <f t="shared" si="92"/>
        <v/>
      </c>
      <c r="G890" s="66" t="str">
        <f>IF(D890="","",IFERROR('Prod 3'!H890/'Prod 3'!$H$3,0))</f>
        <v/>
      </c>
      <c r="H890" s="70" t="str">
        <f>IF(D890="","",'Prod 2'!K890)</f>
        <v/>
      </c>
      <c r="I890" s="77" t="str">
        <f t="shared" si="93"/>
        <v/>
      </c>
      <c r="J890" s="57"/>
      <c r="L890" s="19">
        <v>8.8599999999999997E-7</v>
      </c>
      <c r="M890" s="59">
        <f t="shared" si="94"/>
        <v>0</v>
      </c>
      <c r="N890" s="59">
        <f t="shared" si="95"/>
        <v>0</v>
      </c>
      <c r="O890" s="59">
        <f t="shared" si="96"/>
        <v>0</v>
      </c>
      <c r="P890" s="19" t="str">
        <f t="shared" si="97"/>
        <v/>
      </c>
      <c r="Q890" s="19" t="s">
        <v>926</v>
      </c>
    </row>
    <row r="891" spans="2:17" ht="30" customHeight="1" x14ac:dyDescent="0.25">
      <c r="B891" s="62" t="str">
        <f t="shared" si="91"/>
        <v/>
      </c>
      <c r="C891" s="42">
        <v>887</v>
      </c>
      <c r="D891" s="20"/>
      <c r="E891" s="58"/>
      <c r="F891" s="63" t="str">
        <f t="shared" si="92"/>
        <v/>
      </c>
      <c r="G891" s="66" t="str">
        <f>IF(D891="","",IFERROR('Prod 3'!H891/'Prod 3'!$H$3,0))</f>
        <v/>
      </c>
      <c r="H891" s="70" t="str">
        <f>IF(D891="","",'Prod 2'!K891)</f>
        <v/>
      </c>
      <c r="I891" s="77" t="str">
        <f t="shared" si="93"/>
        <v/>
      </c>
      <c r="J891" s="57"/>
      <c r="L891" s="19">
        <v>8.8700000000000004E-7</v>
      </c>
      <c r="M891" s="59">
        <f t="shared" si="94"/>
        <v>0</v>
      </c>
      <c r="N891" s="59">
        <f t="shared" si="95"/>
        <v>0</v>
      </c>
      <c r="O891" s="59">
        <f t="shared" si="96"/>
        <v>0</v>
      </c>
      <c r="P891" s="19" t="str">
        <f t="shared" si="97"/>
        <v/>
      </c>
      <c r="Q891" s="19" t="s">
        <v>927</v>
      </c>
    </row>
    <row r="892" spans="2:17" ht="30" customHeight="1" x14ac:dyDescent="0.25">
      <c r="B892" s="62" t="str">
        <f t="shared" si="91"/>
        <v/>
      </c>
      <c r="C892" s="42">
        <v>888</v>
      </c>
      <c r="D892" s="20"/>
      <c r="E892" s="58"/>
      <c r="F892" s="63" t="str">
        <f t="shared" si="92"/>
        <v/>
      </c>
      <c r="G892" s="66" t="str">
        <f>IF(D892="","",IFERROR('Prod 3'!H892/'Prod 3'!$H$3,0))</f>
        <v/>
      </c>
      <c r="H892" s="70" t="str">
        <f>IF(D892="","",'Prod 2'!K892)</f>
        <v/>
      </c>
      <c r="I892" s="77" t="str">
        <f t="shared" si="93"/>
        <v/>
      </c>
      <c r="J892" s="57"/>
      <c r="L892" s="19">
        <v>8.8800000000000001E-7</v>
      </c>
      <c r="M892" s="59">
        <f t="shared" si="94"/>
        <v>0</v>
      </c>
      <c r="N892" s="59">
        <f t="shared" si="95"/>
        <v>0</v>
      </c>
      <c r="O892" s="59">
        <f t="shared" si="96"/>
        <v>0</v>
      </c>
      <c r="P892" s="19" t="str">
        <f t="shared" si="97"/>
        <v/>
      </c>
      <c r="Q892" s="19" t="s">
        <v>928</v>
      </c>
    </row>
    <row r="893" spans="2:17" ht="30" customHeight="1" x14ac:dyDescent="0.25">
      <c r="B893" s="62" t="str">
        <f t="shared" si="91"/>
        <v/>
      </c>
      <c r="C893" s="42">
        <v>889</v>
      </c>
      <c r="D893" s="20"/>
      <c r="E893" s="58"/>
      <c r="F893" s="63" t="str">
        <f t="shared" si="92"/>
        <v/>
      </c>
      <c r="G893" s="66" t="str">
        <f>IF(D893="","",IFERROR('Prod 3'!H893/'Prod 3'!$H$3,0))</f>
        <v/>
      </c>
      <c r="H893" s="70" t="str">
        <f>IF(D893="","",'Prod 2'!K893)</f>
        <v/>
      </c>
      <c r="I893" s="77" t="str">
        <f t="shared" si="93"/>
        <v/>
      </c>
      <c r="J893" s="57"/>
      <c r="L893" s="19">
        <v>8.8899999999999998E-7</v>
      </c>
      <c r="M893" s="59">
        <f t="shared" si="94"/>
        <v>0</v>
      </c>
      <c r="N893" s="59">
        <f t="shared" si="95"/>
        <v>0</v>
      </c>
      <c r="O893" s="59">
        <f t="shared" si="96"/>
        <v>0</v>
      </c>
      <c r="P893" s="19" t="str">
        <f t="shared" si="97"/>
        <v/>
      </c>
      <c r="Q893" s="19" t="s">
        <v>929</v>
      </c>
    </row>
    <row r="894" spans="2:17" ht="30" customHeight="1" x14ac:dyDescent="0.25">
      <c r="B894" s="62" t="str">
        <f t="shared" si="91"/>
        <v/>
      </c>
      <c r="C894" s="42">
        <v>890</v>
      </c>
      <c r="D894" s="20"/>
      <c r="E894" s="58"/>
      <c r="F894" s="63" t="str">
        <f t="shared" si="92"/>
        <v/>
      </c>
      <c r="G894" s="66" t="str">
        <f>IF(D894="","",IFERROR('Prod 3'!H894/'Prod 3'!$H$3,0))</f>
        <v/>
      </c>
      <c r="H894" s="70" t="str">
        <f>IF(D894="","",'Prod 2'!K894)</f>
        <v/>
      </c>
      <c r="I894" s="77" t="str">
        <f t="shared" si="93"/>
        <v/>
      </c>
      <c r="J894" s="57"/>
      <c r="L894" s="19">
        <v>8.8999999999999995E-7</v>
      </c>
      <c r="M894" s="59">
        <f t="shared" si="94"/>
        <v>0</v>
      </c>
      <c r="N894" s="59">
        <f t="shared" si="95"/>
        <v>0</v>
      </c>
      <c r="O894" s="59">
        <f t="shared" si="96"/>
        <v>0</v>
      </c>
      <c r="P894" s="19" t="str">
        <f t="shared" si="97"/>
        <v/>
      </c>
      <c r="Q894" s="19" t="s">
        <v>930</v>
      </c>
    </row>
    <row r="895" spans="2:17" ht="30" customHeight="1" x14ac:dyDescent="0.25">
      <c r="B895" s="62" t="str">
        <f t="shared" si="91"/>
        <v/>
      </c>
      <c r="C895" s="42">
        <v>891</v>
      </c>
      <c r="D895" s="20"/>
      <c r="E895" s="58"/>
      <c r="F895" s="63" t="str">
        <f t="shared" si="92"/>
        <v/>
      </c>
      <c r="G895" s="66" t="str">
        <f>IF(D895="","",IFERROR('Prod 3'!H895/'Prod 3'!$H$3,0))</f>
        <v/>
      </c>
      <c r="H895" s="70" t="str">
        <f>IF(D895="","",'Prod 2'!K895)</f>
        <v/>
      </c>
      <c r="I895" s="77" t="str">
        <f t="shared" si="93"/>
        <v/>
      </c>
      <c r="J895" s="57"/>
      <c r="L895" s="19">
        <v>8.9100000000000002E-7</v>
      </c>
      <c r="M895" s="59">
        <f t="shared" si="94"/>
        <v>0</v>
      </c>
      <c r="N895" s="59">
        <f t="shared" si="95"/>
        <v>0</v>
      </c>
      <c r="O895" s="59">
        <f t="shared" si="96"/>
        <v>0</v>
      </c>
      <c r="P895" s="19" t="str">
        <f t="shared" si="97"/>
        <v/>
      </c>
      <c r="Q895" s="19" t="s">
        <v>931</v>
      </c>
    </row>
    <row r="896" spans="2:17" ht="30" customHeight="1" x14ac:dyDescent="0.25">
      <c r="B896" s="62" t="str">
        <f t="shared" si="91"/>
        <v/>
      </c>
      <c r="C896" s="42">
        <v>892</v>
      </c>
      <c r="D896" s="20"/>
      <c r="E896" s="58"/>
      <c r="F896" s="63" t="str">
        <f t="shared" si="92"/>
        <v/>
      </c>
      <c r="G896" s="66" t="str">
        <f>IF(D896="","",IFERROR('Prod 3'!H896/'Prod 3'!$H$3,0))</f>
        <v/>
      </c>
      <c r="H896" s="70" t="str">
        <f>IF(D896="","",'Prod 2'!K896)</f>
        <v/>
      </c>
      <c r="I896" s="77" t="str">
        <f t="shared" si="93"/>
        <v/>
      </c>
      <c r="J896" s="57"/>
      <c r="L896" s="19">
        <v>8.9199999999999999E-7</v>
      </c>
      <c r="M896" s="59">
        <f t="shared" si="94"/>
        <v>0</v>
      </c>
      <c r="N896" s="59">
        <f t="shared" si="95"/>
        <v>0</v>
      </c>
      <c r="O896" s="59">
        <f t="shared" si="96"/>
        <v>0</v>
      </c>
      <c r="P896" s="19" t="str">
        <f t="shared" si="97"/>
        <v/>
      </c>
      <c r="Q896" s="19" t="s">
        <v>932</v>
      </c>
    </row>
    <row r="897" spans="2:17" ht="30" customHeight="1" x14ac:dyDescent="0.25">
      <c r="B897" s="62" t="str">
        <f t="shared" si="91"/>
        <v/>
      </c>
      <c r="C897" s="42">
        <v>893</v>
      </c>
      <c r="D897" s="20"/>
      <c r="E897" s="58"/>
      <c r="F897" s="63" t="str">
        <f t="shared" si="92"/>
        <v/>
      </c>
      <c r="G897" s="66" t="str">
        <f>IF(D897="","",IFERROR('Prod 3'!H897/'Prod 3'!$H$3,0))</f>
        <v/>
      </c>
      <c r="H897" s="70" t="str">
        <f>IF(D897="","",'Prod 2'!K897)</f>
        <v/>
      </c>
      <c r="I897" s="77" t="str">
        <f t="shared" si="93"/>
        <v/>
      </c>
      <c r="J897" s="57"/>
      <c r="L897" s="19">
        <v>8.9299999999999996E-7</v>
      </c>
      <c r="M897" s="59">
        <f t="shared" si="94"/>
        <v>0</v>
      </c>
      <c r="N897" s="59">
        <f t="shared" si="95"/>
        <v>0</v>
      </c>
      <c r="O897" s="59">
        <f t="shared" si="96"/>
        <v>0</v>
      </c>
      <c r="P897" s="19" t="str">
        <f t="shared" si="97"/>
        <v/>
      </c>
      <c r="Q897" s="19" t="s">
        <v>933</v>
      </c>
    </row>
    <row r="898" spans="2:17" ht="30" customHeight="1" x14ac:dyDescent="0.25">
      <c r="B898" s="62" t="str">
        <f t="shared" si="91"/>
        <v/>
      </c>
      <c r="C898" s="42">
        <v>894</v>
      </c>
      <c r="D898" s="20"/>
      <c r="E898" s="58"/>
      <c r="F898" s="63" t="str">
        <f t="shared" si="92"/>
        <v/>
      </c>
      <c r="G898" s="66" t="str">
        <f>IF(D898="","",IFERROR('Prod 3'!H898/'Prod 3'!$H$3,0))</f>
        <v/>
      </c>
      <c r="H898" s="70" t="str">
        <f>IF(D898="","",'Prod 2'!K898)</f>
        <v/>
      </c>
      <c r="I898" s="77" t="str">
        <f t="shared" si="93"/>
        <v/>
      </c>
      <c r="J898" s="57"/>
      <c r="L898" s="19">
        <v>8.9400000000000004E-7</v>
      </c>
      <c r="M898" s="59">
        <f t="shared" si="94"/>
        <v>0</v>
      </c>
      <c r="N898" s="59">
        <f t="shared" si="95"/>
        <v>0</v>
      </c>
      <c r="O898" s="59">
        <f t="shared" si="96"/>
        <v>0</v>
      </c>
      <c r="P898" s="19" t="str">
        <f t="shared" si="97"/>
        <v/>
      </c>
      <c r="Q898" s="19" t="s">
        <v>934</v>
      </c>
    </row>
    <row r="899" spans="2:17" ht="30" customHeight="1" x14ac:dyDescent="0.25">
      <c r="B899" s="62" t="str">
        <f t="shared" si="91"/>
        <v/>
      </c>
      <c r="C899" s="42">
        <v>895</v>
      </c>
      <c r="D899" s="20"/>
      <c r="E899" s="58"/>
      <c r="F899" s="63" t="str">
        <f t="shared" si="92"/>
        <v/>
      </c>
      <c r="G899" s="66" t="str">
        <f>IF(D899="","",IFERROR('Prod 3'!H899/'Prod 3'!$H$3,0))</f>
        <v/>
      </c>
      <c r="H899" s="70" t="str">
        <f>IF(D899="","",'Prod 2'!K899)</f>
        <v/>
      </c>
      <c r="I899" s="77" t="str">
        <f t="shared" si="93"/>
        <v/>
      </c>
      <c r="J899" s="57"/>
      <c r="L899" s="19">
        <v>8.9500000000000001E-7</v>
      </c>
      <c r="M899" s="59">
        <f t="shared" si="94"/>
        <v>0</v>
      </c>
      <c r="N899" s="59">
        <f t="shared" si="95"/>
        <v>0</v>
      </c>
      <c r="O899" s="59">
        <f t="shared" si="96"/>
        <v>0</v>
      </c>
      <c r="P899" s="19" t="str">
        <f t="shared" si="97"/>
        <v/>
      </c>
      <c r="Q899" s="19" t="s">
        <v>935</v>
      </c>
    </row>
    <row r="900" spans="2:17" ht="30" customHeight="1" x14ac:dyDescent="0.25">
      <c r="B900" s="62" t="str">
        <f t="shared" si="91"/>
        <v/>
      </c>
      <c r="C900" s="42">
        <v>896</v>
      </c>
      <c r="D900" s="20"/>
      <c r="E900" s="58"/>
      <c r="F900" s="63" t="str">
        <f t="shared" si="92"/>
        <v/>
      </c>
      <c r="G900" s="66" t="str">
        <f>IF(D900="","",IFERROR('Prod 3'!H900/'Prod 3'!$H$3,0))</f>
        <v/>
      </c>
      <c r="H900" s="70" t="str">
        <f>IF(D900="","",'Prod 2'!K900)</f>
        <v/>
      </c>
      <c r="I900" s="77" t="str">
        <f t="shared" si="93"/>
        <v/>
      </c>
      <c r="J900" s="57"/>
      <c r="L900" s="19">
        <v>8.9599999999999998E-7</v>
      </c>
      <c r="M900" s="59">
        <f t="shared" si="94"/>
        <v>0</v>
      </c>
      <c r="N900" s="59">
        <f t="shared" si="95"/>
        <v>0</v>
      </c>
      <c r="O900" s="59">
        <f t="shared" si="96"/>
        <v>0</v>
      </c>
      <c r="P900" s="19" t="str">
        <f t="shared" si="97"/>
        <v/>
      </c>
      <c r="Q900" s="19" t="s">
        <v>936</v>
      </c>
    </row>
    <row r="901" spans="2:17" ht="30" customHeight="1" x14ac:dyDescent="0.25">
      <c r="B901" s="62" t="str">
        <f t="shared" si="91"/>
        <v/>
      </c>
      <c r="C901" s="42">
        <v>897</v>
      </c>
      <c r="D901" s="20"/>
      <c r="E901" s="58"/>
      <c r="F901" s="63" t="str">
        <f t="shared" si="92"/>
        <v/>
      </c>
      <c r="G901" s="66" t="str">
        <f>IF(D901="","",IFERROR('Prod 3'!H901/'Prod 3'!$H$3,0))</f>
        <v/>
      </c>
      <c r="H901" s="70" t="str">
        <f>IF(D901="","",'Prod 2'!K901)</f>
        <v/>
      </c>
      <c r="I901" s="77" t="str">
        <f t="shared" si="93"/>
        <v/>
      </c>
      <c r="J901" s="57"/>
      <c r="L901" s="19">
        <v>8.9700000000000005E-7</v>
      </c>
      <c r="M901" s="59">
        <f t="shared" si="94"/>
        <v>0</v>
      </c>
      <c r="N901" s="59">
        <f t="shared" si="95"/>
        <v>0</v>
      </c>
      <c r="O901" s="59">
        <f t="shared" si="96"/>
        <v>0</v>
      </c>
      <c r="P901" s="19" t="str">
        <f t="shared" si="97"/>
        <v/>
      </c>
      <c r="Q901" s="19" t="s">
        <v>937</v>
      </c>
    </row>
    <row r="902" spans="2:17" ht="30" customHeight="1" x14ac:dyDescent="0.25">
      <c r="B902" s="62" t="str">
        <f t="shared" ref="B902:B965" si="98">IF(I902="","",I902)</f>
        <v/>
      </c>
      <c r="C902" s="42">
        <v>898</v>
      </c>
      <c r="D902" s="20"/>
      <c r="E902" s="58"/>
      <c r="F902" s="63" t="str">
        <f t="shared" ref="F902:F965" si="99">IF(D902="","",IFERROR(VLOOKUP(D902,$P$5:$Q$1004,2,0),""))</f>
        <v/>
      </c>
      <c r="G902" s="66" t="str">
        <f>IF(D902="","",IFERROR('Prod 3'!H902/'Prod 3'!$H$3,0))</f>
        <v/>
      </c>
      <c r="H902" s="70" t="str">
        <f>IF(D902="","",'Prod 2'!K902)</f>
        <v/>
      </c>
      <c r="I902" s="77" t="str">
        <f t="shared" ref="I902:I965" si="100">IF(D902="","",E902-H902+L902)</f>
        <v/>
      </c>
      <c r="J902" s="57"/>
      <c r="L902" s="19">
        <v>8.9800000000000002E-7</v>
      </c>
      <c r="M902" s="59">
        <f t="shared" ref="M902:M965" si="101">IFERROR(LARGE($I$5:$I$1004,C902),0)</f>
        <v>0</v>
      </c>
      <c r="N902" s="59">
        <f t="shared" ref="N902:N965" si="102">IFERROR(M902,0)</f>
        <v>0</v>
      </c>
      <c r="O902" s="59">
        <f t="shared" ref="O902:O965" si="103">IFERROR(LARGE($N$5:$N$1004,C902),0)</f>
        <v>0</v>
      </c>
      <c r="P902" s="19" t="str">
        <f t="shared" ref="P902:P965" si="104">IFERROR(IF(VLOOKUP(O902,$B$5:$D$1004,3,0)=0,"",(VLOOKUP(O902,$B$5:$D$1004,3,0))),"")</f>
        <v/>
      </c>
      <c r="Q902" s="19" t="s">
        <v>938</v>
      </c>
    </row>
    <row r="903" spans="2:17" ht="30" customHeight="1" x14ac:dyDescent="0.25">
      <c r="B903" s="62" t="str">
        <f t="shared" si="98"/>
        <v/>
      </c>
      <c r="C903" s="42">
        <v>899</v>
      </c>
      <c r="D903" s="20"/>
      <c r="E903" s="58"/>
      <c r="F903" s="63" t="str">
        <f t="shared" si="99"/>
        <v/>
      </c>
      <c r="G903" s="66" t="str">
        <f>IF(D903="","",IFERROR('Prod 3'!H903/'Prod 3'!$H$3,0))</f>
        <v/>
      </c>
      <c r="H903" s="70" t="str">
        <f>IF(D903="","",'Prod 2'!K903)</f>
        <v/>
      </c>
      <c r="I903" s="77" t="str">
        <f t="shared" si="100"/>
        <v/>
      </c>
      <c r="J903" s="57"/>
      <c r="L903" s="19">
        <v>8.9899999999999999E-7</v>
      </c>
      <c r="M903" s="59">
        <f t="shared" si="101"/>
        <v>0</v>
      </c>
      <c r="N903" s="59">
        <f t="shared" si="102"/>
        <v>0</v>
      </c>
      <c r="O903" s="59">
        <f t="shared" si="103"/>
        <v>0</v>
      </c>
      <c r="P903" s="19" t="str">
        <f t="shared" si="104"/>
        <v/>
      </c>
      <c r="Q903" s="19" t="s">
        <v>939</v>
      </c>
    </row>
    <row r="904" spans="2:17" ht="30" customHeight="1" x14ac:dyDescent="0.25">
      <c r="B904" s="62" t="str">
        <f t="shared" si="98"/>
        <v/>
      </c>
      <c r="C904" s="42">
        <v>900</v>
      </c>
      <c r="D904" s="20"/>
      <c r="E904" s="58"/>
      <c r="F904" s="63" t="str">
        <f t="shared" si="99"/>
        <v/>
      </c>
      <c r="G904" s="66" t="str">
        <f>IF(D904="","",IFERROR('Prod 3'!H904/'Prod 3'!$H$3,0))</f>
        <v/>
      </c>
      <c r="H904" s="70" t="str">
        <f>IF(D904="","",'Prod 2'!K904)</f>
        <v/>
      </c>
      <c r="I904" s="77" t="str">
        <f t="shared" si="100"/>
        <v/>
      </c>
      <c r="J904" s="57"/>
      <c r="L904" s="19">
        <v>8.9999999999999996E-7</v>
      </c>
      <c r="M904" s="59">
        <f t="shared" si="101"/>
        <v>0</v>
      </c>
      <c r="N904" s="59">
        <f t="shared" si="102"/>
        <v>0</v>
      </c>
      <c r="O904" s="59">
        <f t="shared" si="103"/>
        <v>0</v>
      </c>
      <c r="P904" s="19" t="str">
        <f t="shared" si="104"/>
        <v/>
      </c>
      <c r="Q904" s="19" t="s">
        <v>940</v>
      </c>
    </row>
    <row r="905" spans="2:17" ht="30" customHeight="1" x14ac:dyDescent="0.25">
      <c r="B905" s="62" t="str">
        <f t="shared" si="98"/>
        <v/>
      </c>
      <c r="C905" s="42">
        <v>901</v>
      </c>
      <c r="D905" s="20"/>
      <c r="E905" s="58"/>
      <c r="F905" s="63" t="str">
        <f t="shared" si="99"/>
        <v/>
      </c>
      <c r="G905" s="66" t="str">
        <f>IF(D905="","",IFERROR('Prod 3'!H905/'Prod 3'!$H$3,0))</f>
        <v/>
      </c>
      <c r="H905" s="70" t="str">
        <f>IF(D905="","",'Prod 2'!K905)</f>
        <v/>
      </c>
      <c r="I905" s="77" t="str">
        <f t="shared" si="100"/>
        <v/>
      </c>
      <c r="J905" s="57"/>
      <c r="L905" s="19">
        <v>9.0100000000000003E-7</v>
      </c>
      <c r="M905" s="59">
        <f t="shared" si="101"/>
        <v>0</v>
      </c>
      <c r="N905" s="59">
        <f t="shared" si="102"/>
        <v>0</v>
      </c>
      <c r="O905" s="59">
        <f t="shared" si="103"/>
        <v>0</v>
      </c>
      <c r="P905" s="19" t="str">
        <f t="shared" si="104"/>
        <v/>
      </c>
      <c r="Q905" s="19" t="s">
        <v>941</v>
      </c>
    </row>
    <row r="906" spans="2:17" ht="30" customHeight="1" x14ac:dyDescent="0.25">
      <c r="B906" s="62" t="str">
        <f t="shared" si="98"/>
        <v/>
      </c>
      <c r="C906" s="42">
        <v>902</v>
      </c>
      <c r="D906" s="20"/>
      <c r="E906" s="58"/>
      <c r="F906" s="63" t="str">
        <f t="shared" si="99"/>
        <v/>
      </c>
      <c r="G906" s="66" t="str">
        <f>IF(D906="","",IFERROR('Prod 3'!H906/'Prod 3'!$H$3,0))</f>
        <v/>
      </c>
      <c r="H906" s="70" t="str">
        <f>IF(D906="","",'Prod 2'!K906)</f>
        <v/>
      </c>
      <c r="I906" s="77" t="str">
        <f t="shared" si="100"/>
        <v/>
      </c>
      <c r="J906" s="57"/>
      <c r="L906" s="19">
        <v>9.02E-7</v>
      </c>
      <c r="M906" s="59">
        <f t="shared" si="101"/>
        <v>0</v>
      </c>
      <c r="N906" s="59">
        <f t="shared" si="102"/>
        <v>0</v>
      </c>
      <c r="O906" s="59">
        <f t="shared" si="103"/>
        <v>0</v>
      </c>
      <c r="P906" s="19" t="str">
        <f t="shared" si="104"/>
        <v/>
      </c>
      <c r="Q906" s="19" t="s">
        <v>942</v>
      </c>
    </row>
    <row r="907" spans="2:17" ht="30" customHeight="1" x14ac:dyDescent="0.25">
      <c r="B907" s="62" t="str">
        <f t="shared" si="98"/>
        <v/>
      </c>
      <c r="C907" s="42">
        <v>903</v>
      </c>
      <c r="D907" s="20"/>
      <c r="E907" s="58"/>
      <c r="F907" s="63" t="str">
        <f t="shared" si="99"/>
        <v/>
      </c>
      <c r="G907" s="66" t="str">
        <f>IF(D907="","",IFERROR('Prod 3'!H907/'Prod 3'!$H$3,0))</f>
        <v/>
      </c>
      <c r="H907" s="70" t="str">
        <f>IF(D907="","",'Prod 2'!K907)</f>
        <v/>
      </c>
      <c r="I907" s="77" t="str">
        <f t="shared" si="100"/>
        <v/>
      </c>
      <c r="J907" s="57"/>
      <c r="L907" s="19">
        <v>9.0299999999999997E-7</v>
      </c>
      <c r="M907" s="59">
        <f t="shared" si="101"/>
        <v>0</v>
      </c>
      <c r="N907" s="59">
        <f t="shared" si="102"/>
        <v>0</v>
      </c>
      <c r="O907" s="59">
        <f t="shared" si="103"/>
        <v>0</v>
      </c>
      <c r="P907" s="19" t="str">
        <f t="shared" si="104"/>
        <v/>
      </c>
      <c r="Q907" s="19" t="s">
        <v>943</v>
      </c>
    </row>
    <row r="908" spans="2:17" ht="30" customHeight="1" x14ac:dyDescent="0.25">
      <c r="B908" s="62" t="str">
        <f t="shared" si="98"/>
        <v/>
      </c>
      <c r="C908" s="42">
        <v>904</v>
      </c>
      <c r="D908" s="20"/>
      <c r="E908" s="58"/>
      <c r="F908" s="63" t="str">
        <f t="shared" si="99"/>
        <v/>
      </c>
      <c r="G908" s="66" t="str">
        <f>IF(D908="","",IFERROR('Prod 3'!H908/'Prod 3'!$H$3,0))</f>
        <v/>
      </c>
      <c r="H908" s="70" t="str">
        <f>IF(D908="","",'Prod 2'!K908)</f>
        <v/>
      </c>
      <c r="I908" s="77" t="str">
        <f t="shared" si="100"/>
        <v/>
      </c>
      <c r="J908" s="57"/>
      <c r="L908" s="19">
        <v>9.0400000000000005E-7</v>
      </c>
      <c r="M908" s="59">
        <f t="shared" si="101"/>
        <v>0</v>
      </c>
      <c r="N908" s="59">
        <f t="shared" si="102"/>
        <v>0</v>
      </c>
      <c r="O908" s="59">
        <f t="shared" si="103"/>
        <v>0</v>
      </c>
      <c r="P908" s="19" t="str">
        <f t="shared" si="104"/>
        <v/>
      </c>
      <c r="Q908" s="19" t="s">
        <v>944</v>
      </c>
    </row>
    <row r="909" spans="2:17" ht="30" customHeight="1" x14ac:dyDescent="0.25">
      <c r="B909" s="62" t="str">
        <f t="shared" si="98"/>
        <v/>
      </c>
      <c r="C909" s="42">
        <v>905</v>
      </c>
      <c r="D909" s="20"/>
      <c r="E909" s="58"/>
      <c r="F909" s="63" t="str">
        <f t="shared" si="99"/>
        <v/>
      </c>
      <c r="G909" s="66" t="str">
        <f>IF(D909="","",IFERROR('Prod 3'!H909/'Prod 3'!$H$3,0))</f>
        <v/>
      </c>
      <c r="H909" s="70" t="str">
        <f>IF(D909="","",'Prod 2'!K909)</f>
        <v/>
      </c>
      <c r="I909" s="77" t="str">
        <f t="shared" si="100"/>
        <v/>
      </c>
      <c r="J909" s="57"/>
      <c r="L909" s="19">
        <v>9.0500000000000002E-7</v>
      </c>
      <c r="M909" s="59">
        <f t="shared" si="101"/>
        <v>0</v>
      </c>
      <c r="N909" s="59">
        <f t="shared" si="102"/>
        <v>0</v>
      </c>
      <c r="O909" s="59">
        <f t="shared" si="103"/>
        <v>0</v>
      </c>
      <c r="P909" s="19" t="str">
        <f t="shared" si="104"/>
        <v/>
      </c>
      <c r="Q909" s="19" t="s">
        <v>945</v>
      </c>
    </row>
    <row r="910" spans="2:17" ht="30" customHeight="1" x14ac:dyDescent="0.25">
      <c r="B910" s="62" t="str">
        <f t="shared" si="98"/>
        <v/>
      </c>
      <c r="C910" s="42">
        <v>906</v>
      </c>
      <c r="D910" s="20"/>
      <c r="E910" s="58"/>
      <c r="F910" s="63" t="str">
        <f t="shared" si="99"/>
        <v/>
      </c>
      <c r="G910" s="66" t="str">
        <f>IF(D910="","",IFERROR('Prod 3'!H910/'Prod 3'!$H$3,0))</f>
        <v/>
      </c>
      <c r="H910" s="70" t="str">
        <f>IF(D910="","",'Prod 2'!K910)</f>
        <v/>
      </c>
      <c r="I910" s="77" t="str">
        <f t="shared" si="100"/>
        <v/>
      </c>
      <c r="J910" s="57"/>
      <c r="L910" s="19">
        <v>9.0599999999999999E-7</v>
      </c>
      <c r="M910" s="59">
        <f t="shared" si="101"/>
        <v>0</v>
      </c>
      <c r="N910" s="59">
        <f t="shared" si="102"/>
        <v>0</v>
      </c>
      <c r="O910" s="59">
        <f t="shared" si="103"/>
        <v>0</v>
      </c>
      <c r="P910" s="19" t="str">
        <f t="shared" si="104"/>
        <v/>
      </c>
      <c r="Q910" s="19" t="s">
        <v>946</v>
      </c>
    </row>
    <row r="911" spans="2:17" ht="30" customHeight="1" x14ac:dyDescent="0.25">
      <c r="B911" s="62" t="str">
        <f t="shared" si="98"/>
        <v/>
      </c>
      <c r="C911" s="42">
        <v>907</v>
      </c>
      <c r="D911" s="20"/>
      <c r="E911" s="58"/>
      <c r="F911" s="63" t="str">
        <f t="shared" si="99"/>
        <v/>
      </c>
      <c r="G911" s="66" t="str">
        <f>IF(D911="","",IFERROR('Prod 3'!H911/'Prod 3'!$H$3,0))</f>
        <v/>
      </c>
      <c r="H911" s="70" t="str">
        <f>IF(D911="","",'Prod 2'!K911)</f>
        <v/>
      </c>
      <c r="I911" s="77" t="str">
        <f t="shared" si="100"/>
        <v/>
      </c>
      <c r="J911" s="57"/>
      <c r="L911" s="19">
        <v>9.0699999999999996E-7</v>
      </c>
      <c r="M911" s="59">
        <f t="shared" si="101"/>
        <v>0</v>
      </c>
      <c r="N911" s="59">
        <f t="shared" si="102"/>
        <v>0</v>
      </c>
      <c r="O911" s="59">
        <f t="shared" si="103"/>
        <v>0</v>
      </c>
      <c r="P911" s="19" t="str">
        <f t="shared" si="104"/>
        <v/>
      </c>
      <c r="Q911" s="19" t="s">
        <v>947</v>
      </c>
    </row>
    <row r="912" spans="2:17" ht="30" customHeight="1" x14ac:dyDescent="0.25">
      <c r="B912" s="62" t="str">
        <f t="shared" si="98"/>
        <v/>
      </c>
      <c r="C912" s="42">
        <v>908</v>
      </c>
      <c r="D912" s="20"/>
      <c r="E912" s="58"/>
      <c r="F912" s="63" t="str">
        <f t="shared" si="99"/>
        <v/>
      </c>
      <c r="G912" s="66" t="str">
        <f>IF(D912="","",IFERROR('Prod 3'!H912/'Prod 3'!$H$3,0))</f>
        <v/>
      </c>
      <c r="H912" s="70" t="str">
        <f>IF(D912="","",'Prod 2'!K912)</f>
        <v/>
      </c>
      <c r="I912" s="77" t="str">
        <f t="shared" si="100"/>
        <v/>
      </c>
      <c r="J912" s="57"/>
      <c r="L912" s="19">
        <v>9.0800000000000003E-7</v>
      </c>
      <c r="M912" s="59">
        <f t="shared" si="101"/>
        <v>0</v>
      </c>
      <c r="N912" s="59">
        <f t="shared" si="102"/>
        <v>0</v>
      </c>
      <c r="O912" s="59">
        <f t="shared" si="103"/>
        <v>0</v>
      </c>
      <c r="P912" s="19" t="str">
        <f t="shared" si="104"/>
        <v/>
      </c>
      <c r="Q912" s="19" t="s">
        <v>948</v>
      </c>
    </row>
    <row r="913" spans="2:17" ht="30" customHeight="1" x14ac:dyDescent="0.25">
      <c r="B913" s="62" t="str">
        <f t="shared" si="98"/>
        <v/>
      </c>
      <c r="C913" s="42">
        <v>909</v>
      </c>
      <c r="D913" s="20"/>
      <c r="E913" s="58"/>
      <c r="F913" s="63" t="str">
        <f t="shared" si="99"/>
        <v/>
      </c>
      <c r="G913" s="66" t="str">
        <f>IF(D913="","",IFERROR('Prod 3'!H913/'Prod 3'!$H$3,0))</f>
        <v/>
      </c>
      <c r="H913" s="70" t="str">
        <f>IF(D913="","",'Prod 2'!K913)</f>
        <v/>
      </c>
      <c r="I913" s="77" t="str">
        <f t="shared" si="100"/>
        <v/>
      </c>
      <c r="J913" s="57"/>
      <c r="L913" s="19">
        <v>9.09E-7</v>
      </c>
      <c r="M913" s="59">
        <f t="shared" si="101"/>
        <v>0</v>
      </c>
      <c r="N913" s="59">
        <f t="shared" si="102"/>
        <v>0</v>
      </c>
      <c r="O913" s="59">
        <f t="shared" si="103"/>
        <v>0</v>
      </c>
      <c r="P913" s="19" t="str">
        <f t="shared" si="104"/>
        <v/>
      </c>
      <c r="Q913" s="19" t="s">
        <v>949</v>
      </c>
    </row>
    <row r="914" spans="2:17" ht="30" customHeight="1" x14ac:dyDescent="0.25">
      <c r="B914" s="62" t="str">
        <f t="shared" si="98"/>
        <v/>
      </c>
      <c r="C914" s="42">
        <v>910</v>
      </c>
      <c r="D914" s="20"/>
      <c r="E914" s="58"/>
      <c r="F914" s="63" t="str">
        <f t="shared" si="99"/>
        <v/>
      </c>
      <c r="G914" s="66" t="str">
        <f>IF(D914="","",IFERROR('Prod 3'!H914/'Prod 3'!$H$3,0))</f>
        <v/>
      </c>
      <c r="H914" s="70" t="str">
        <f>IF(D914="","",'Prod 2'!K914)</f>
        <v/>
      </c>
      <c r="I914" s="77" t="str">
        <f t="shared" si="100"/>
        <v/>
      </c>
      <c r="J914" s="57"/>
      <c r="L914" s="19">
        <v>9.0999999999999997E-7</v>
      </c>
      <c r="M914" s="59">
        <f t="shared" si="101"/>
        <v>0</v>
      </c>
      <c r="N914" s="59">
        <f t="shared" si="102"/>
        <v>0</v>
      </c>
      <c r="O914" s="59">
        <f t="shared" si="103"/>
        <v>0</v>
      </c>
      <c r="P914" s="19" t="str">
        <f t="shared" si="104"/>
        <v/>
      </c>
      <c r="Q914" s="19" t="s">
        <v>950</v>
      </c>
    </row>
    <row r="915" spans="2:17" ht="30" customHeight="1" x14ac:dyDescent="0.25">
      <c r="B915" s="62" t="str">
        <f t="shared" si="98"/>
        <v/>
      </c>
      <c r="C915" s="42">
        <v>911</v>
      </c>
      <c r="D915" s="20"/>
      <c r="E915" s="58"/>
      <c r="F915" s="63" t="str">
        <f t="shared" si="99"/>
        <v/>
      </c>
      <c r="G915" s="66" t="str">
        <f>IF(D915="","",IFERROR('Prod 3'!H915/'Prod 3'!$H$3,0))</f>
        <v/>
      </c>
      <c r="H915" s="70" t="str">
        <f>IF(D915="","",'Prod 2'!K915)</f>
        <v/>
      </c>
      <c r="I915" s="77" t="str">
        <f t="shared" si="100"/>
        <v/>
      </c>
      <c r="J915" s="57"/>
      <c r="L915" s="19">
        <v>9.1100000000000004E-7</v>
      </c>
      <c r="M915" s="59">
        <f t="shared" si="101"/>
        <v>0</v>
      </c>
      <c r="N915" s="59">
        <f t="shared" si="102"/>
        <v>0</v>
      </c>
      <c r="O915" s="59">
        <f t="shared" si="103"/>
        <v>0</v>
      </c>
      <c r="P915" s="19" t="str">
        <f t="shared" si="104"/>
        <v/>
      </c>
      <c r="Q915" s="19" t="s">
        <v>951</v>
      </c>
    </row>
    <row r="916" spans="2:17" ht="30" customHeight="1" x14ac:dyDescent="0.25">
      <c r="B916" s="62" t="str">
        <f t="shared" si="98"/>
        <v/>
      </c>
      <c r="C916" s="42">
        <v>912</v>
      </c>
      <c r="D916" s="20"/>
      <c r="E916" s="58"/>
      <c r="F916" s="63" t="str">
        <f t="shared" si="99"/>
        <v/>
      </c>
      <c r="G916" s="66" t="str">
        <f>IF(D916="","",IFERROR('Prod 3'!H916/'Prod 3'!$H$3,0))</f>
        <v/>
      </c>
      <c r="H916" s="70" t="str">
        <f>IF(D916="","",'Prod 2'!K916)</f>
        <v/>
      </c>
      <c r="I916" s="77" t="str">
        <f t="shared" si="100"/>
        <v/>
      </c>
      <c r="J916" s="57"/>
      <c r="L916" s="19">
        <v>9.1200000000000001E-7</v>
      </c>
      <c r="M916" s="59">
        <f t="shared" si="101"/>
        <v>0</v>
      </c>
      <c r="N916" s="59">
        <f t="shared" si="102"/>
        <v>0</v>
      </c>
      <c r="O916" s="59">
        <f t="shared" si="103"/>
        <v>0</v>
      </c>
      <c r="P916" s="19" t="str">
        <f t="shared" si="104"/>
        <v/>
      </c>
      <c r="Q916" s="19" t="s">
        <v>952</v>
      </c>
    </row>
    <row r="917" spans="2:17" ht="30" customHeight="1" x14ac:dyDescent="0.25">
      <c r="B917" s="62" t="str">
        <f t="shared" si="98"/>
        <v/>
      </c>
      <c r="C917" s="42">
        <v>913</v>
      </c>
      <c r="D917" s="20"/>
      <c r="E917" s="58"/>
      <c r="F917" s="63" t="str">
        <f t="shared" si="99"/>
        <v/>
      </c>
      <c r="G917" s="66" t="str">
        <f>IF(D917="","",IFERROR('Prod 3'!H917/'Prod 3'!$H$3,0))</f>
        <v/>
      </c>
      <c r="H917" s="70" t="str">
        <f>IF(D917="","",'Prod 2'!K917)</f>
        <v/>
      </c>
      <c r="I917" s="77" t="str">
        <f t="shared" si="100"/>
        <v/>
      </c>
      <c r="J917" s="57"/>
      <c r="L917" s="19">
        <v>9.1299999999999998E-7</v>
      </c>
      <c r="M917" s="59">
        <f t="shared" si="101"/>
        <v>0</v>
      </c>
      <c r="N917" s="59">
        <f t="shared" si="102"/>
        <v>0</v>
      </c>
      <c r="O917" s="59">
        <f t="shared" si="103"/>
        <v>0</v>
      </c>
      <c r="P917" s="19" t="str">
        <f t="shared" si="104"/>
        <v/>
      </c>
      <c r="Q917" s="19" t="s">
        <v>953</v>
      </c>
    </row>
    <row r="918" spans="2:17" ht="30" customHeight="1" x14ac:dyDescent="0.25">
      <c r="B918" s="62" t="str">
        <f t="shared" si="98"/>
        <v/>
      </c>
      <c r="C918" s="42">
        <v>914</v>
      </c>
      <c r="D918" s="20"/>
      <c r="E918" s="58"/>
      <c r="F918" s="63" t="str">
        <f t="shared" si="99"/>
        <v/>
      </c>
      <c r="G918" s="66" t="str">
        <f>IF(D918="","",IFERROR('Prod 3'!H918/'Prod 3'!$H$3,0))</f>
        <v/>
      </c>
      <c r="H918" s="70" t="str">
        <f>IF(D918="","",'Prod 2'!K918)</f>
        <v/>
      </c>
      <c r="I918" s="77" t="str">
        <f t="shared" si="100"/>
        <v/>
      </c>
      <c r="J918" s="57"/>
      <c r="L918" s="19">
        <v>9.1399999999999995E-7</v>
      </c>
      <c r="M918" s="59">
        <f t="shared" si="101"/>
        <v>0</v>
      </c>
      <c r="N918" s="59">
        <f t="shared" si="102"/>
        <v>0</v>
      </c>
      <c r="O918" s="59">
        <f t="shared" si="103"/>
        <v>0</v>
      </c>
      <c r="P918" s="19" t="str">
        <f t="shared" si="104"/>
        <v/>
      </c>
      <c r="Q918" s="19" t="s">
        <v>954</v>
      </c>
    </row>
    <row r="919" spans="2:17" ht="30" customHeight="1" x14ac:dyDescent="0.25">
      <c r="B919" s="62" t="str">
        <f t="shared" si="98"/>
        <v/>
      </c>
      <c r="C919" s="42">
        <v>915</v>
      </c>
      <c r="D919" s="20"/>
      <c r="E919" s="58"/>
      <c r="F919" s="63" t="str">
        <f t="shared" si="99"/>
        <v/>
      </c>
      <c r="G919" s="66" t="str">
        <f>IF(D919="","",IFERROR('Prod 3'!H919/'Prod 3'!$H$3,0))</f>
        <v/>
      </c>
      <c r="H919" s="70" t="str">
        <f>IF(D919="","",'Prod 2'!K919)</f>
        <v/>
      </c>
      <c r="I919" s="77" t="str">
        <f t="shared" si="100"/>
        <v/>
      </c>
      <c r="J919" s="57"/>
      <c r="L919" s="19">
        <v>9.1500000000000003E-7</v>
      </c>
      <c r="M919" s="59">
        <f t="shared" si="101"/>
        <v>0</v>
      </c>
      <c r="N919" s="59">
        <f t="shared" si="102"/>
        <v>0</v>
      </c>
      <c r="O919" s="59">
        <f t="shared" si="103"/>
        <v>0</v>
      </c>
      <c r="P919" s="19" t="str">
        <f t="shared" si="104"/>
        <v/>
      </c>
      <c r="Q919" s="19" t="s">
        <v>955</v>
      </c>
    </row>
    <row r="920" spans="2:17" ht="30" customHeight="1" x14ac:dyDescent="0.25">
      <c r="B920" s="62" t="str">
        <f t="shared" si="98"/>
        <v/>
      </c>
      <c r="C920" s="42">
        <v>916</v>
      </c>
      <c r="D920" s="20"/>
      <c r="E920" s="58"/>
      <c r="F920" s="63" t="str">
        <f t="shared" si="99"/>
        <v/>
      </c>
      <c r="G920" s="66" t="str">
        <f>IF(D920="","",IFERROR('Prod 3'!H920/'Prod 3'!$H$3,0))</f>
        <v/>
      </c>
      <c r="H920" s="70" t="str">
        <f>IF(D920="","",'Prod 2'!K920)</f>
        <v/>
      </c>
      <c r="I920" s="77" t="str">
        <f t="shared" si="100"/>
        <v/>
      </c>
      <c r="J920" s="57"/>
      <c r="L920" s="19">
        <v>9.16E-7</v>
      </c>
      <c r="M920" s="59">
        <f t="shared" si="101"/>
        <v>0</v>
      </c>
      <c r="N920" s="59">
        <f t="shared" si="102"/>
        <v>0</v>
      </c>
      <c r="O920" s="59">
        <f t="shared" si="103"/>
        <v>0</v>
      </c>
      <c r="P920" s="19" t="str">
        <f t="shared" si="104"/>
        <v/>
      </c>
      <c r="Q920" s="19" t="s">
        <v>956</v>
      </c>
    </row>
    <row r="921" spans="2:17" ht="30" customHeight="1" x14ac:dyDescent="0.25">
      <c r="B921" s="62" t="str">
        <f t="shared" si="98"/>
        <v/>
      </c>
      <c r="C921" s="42">
        <v>917</v>
      </c>
      <c r="D921" s="20"/>
      <c r="E921" s="58"/>
      <c r="F921" s="63" t="str">
        <f t="shared" si="99"/>
        <v/>
      </c>
      <c r="G921" s="66" t="str">
        <f>IF(D921="","",IFERROR('Prod 3'!H921/'Prod 3'!$H$3,0))</f>
        <v/>
      </c>
      <c r="H921" s="70" t="str">
        <f>IF(D921="","",'Prod 2'!K921)</f>
        <v/>
      </c>
      <c r="I921" s="77" t="str">
        <f t="shared" si="100"/>
        <v/>
      </c>
      <c r="J921" s="57"/>
      <c r="L921" s="19">
        <v>9.1699999999999997E-7</v>
      </c>
      <c r="M921" s="59">
        <f t="shared" si="101"/>
        <v>0</v>
      </c>
      <c r="N921" s="59">
        <f t="shared" si="102"/>
        <v>0</v>
      </c>
      <c r="O921" s="59">
        <f t="shared" si="103"/>
        <v>0</v>
      </c>
      <c r="P921" s="19" t="str">
        <f t="shared" si="104"/>
        <v/>
      </c>
      <c r="Q921" s="19" t="s">
        <v>957</v>
      </c>
    </row>
    <row r="922" spans="2:17" ht="30" customHeight="1" x14ac:dyDescent="0.25">
      <c r="B922" s="62" t="str">
        <f t="shared" si="98"/>
        <v/>
      </c>
      <c r="C922" s="42">
        <v>918</v>
      </c>
      <c r="D922" s="20"/>
      <c r="E922" s="58"/>
      <c r="F922" s="63" t="str">
        <f t="shared" si="99"/>
        <v/>
      </c>
      <c r="G922" s="66" t="str">
        <f>IF(D922="","",IFERROR('Prod 3'!H922/'Prod 3'!$H$3,0))</f>
        <v/>
      </c>
      <c r="H922" s="70" t="str">
        <f>IF(D922="","",'Prod 2'!K922)</f>
        <v/>
      </c>
      <c r="I922" s="77" t="str">
        <f t="shared" si="100"/>
        <v/>
      </c>
      <c r="J922" s="57"/>
      <c r="L922" s="19">
        <v>9.1800000000000004E-7</v>
      </c>
      <c r="M922" s="59">
        <f t="shared" si="101"/>
        <v>0</v>
      </c>
      <c r="N922" s="59">
        <f t="shared" si="102"/>
        <v>0</v>
      </c>
      <c r="O922" s="59">
        <f t="shared" si="103"/>
        <v>0</v>
      </c>
      <c r="P922" s="19" t="str">
        <f t="shared" si="104"/>
        <v/>
      </c>
      <c r="Q922" s="19" t="s">
        <v>958</v>
      </c>
    </row>
    <row r="923" spans="2:17" ht="30" customHeight="1" x14ac:dyDescent="0.25">
      <c r="B923" s="62" t="str">
        <f t="shared" si="98"/>
        <v/>
      </c>
      <c r="C923" s="42">
        <v>919</v>
      </c>
      <c r="D923" s="20"/>
      <c r="E923" s="58"/>
      <c r="F923" s="63" t="str">
        <f t="shared" si="99"/>
        <v/>
      </c>
      <c r="G923" s="66" t="str">
        <f>IF(D923="","",IFERROR('Prod 3'!H923/'Prod 3'!$H$3,0))</f>
        <v/>
      </c>
      <c r="H923" s="70" t="str">
        <f>IF(D923="","",'Prod 2'!K923)</f>
        <v/>
      </c>
      <c r="I923" s="77" t="str">
        <f t="shared" si="100"/>
        <v/>
      </c>
      <c r="J923" s="57"/>
      <c r="L923" s="19">
        <v>9.1900000000000001E-7</v>
      </c>
      <c r="M923" s="59">
        <f t="shared" si="101"/>
        <v>0</v>
      </c>
      <c r="N923" s="59">
        <f t="shared" si="102"/>
        <v>0</v>
      </c>
      <c r="O923" s="59">
        <f t="shared" si="103"/>
        <v>0</v>
      </c>
      <c r="P923" s="19" t="str">
        <f t="shared" si="104"/>
        <v/>
      </c>
      <c r="Q923" s="19" t="s">
        <v>959</v>
      </c>
    </row>
    <row r="924" spans="2:17" ht="30" customHeight="1" x14ac:dyDescent="0.25">
      <c r="B924" s="62" t="str">
        <f t="shared" si="98"/>
        <v/>
      </c>
      <c r="C924" s="42">
        <v>920</v>
      </c>
      <c r="D924" s="20"/>
      <c r="E924" s="58"/>
      <c r="F924" s="63" t="str">
        <f t="shared" si="99"/>
        <v/>
      </c>
      <c r="G924" s="66" t="str">
        <f>IF(D924="","",IFERROR('Prod 3'!H924/'Prod 3'!$H$3,0))</f>
        <v/>
      </c>
      <c r="H924" s="70" t="str">
        <f>IF(D924="","",'Prod 2'!K924)</f>
        <v/>
      </c>
      <c r="I924" s="77" t="str">
        <f t="shared" si="100"/>
        <v/>
      </c>
      <c r="J924" s="57"/>
      <c r="L924" s="19">
        <v>9.1999999999999998E-7</v>
      </c>
      <c r="M924" s="59">
        <f t="shared" si="101"/>
        <v>0</v>
      </c>
      <c r="N924" s="59">
        <f t="shared" si="102"/>
        <v>0</v>
      </c>
      <c r="O924" s="59">
        <f t="shared" si="103"/>
        <v>0</v>
      </c>
      <c r="P924" s="19" t="str">
        <f t="shared" si="104"/>
        <v/>
      </c>
      <c r="Q924" s="19" t="s">
        <v>960</v>
      </c>
    </row>
    <row r="925" spans="2:17" ht="30" customHeight="1" x14ac:dyDescent="0.25">
      <c r="B925" s="62" t="str">
        <f t="shared" si="98"/>
        <v/>
      </c>
      <c r="C925" s="42">
        <v>921</v>
      </c>
      <c r="D925" s="20"/>
      <c r="E925" s="58"/>
      <c r="F925" s="63" t="str">
        <f t="shared" si="99"/>
        <v/>
      </c>
      <c r="G925" s="66" t="str">
        <f>IF(D925="","",IFERROR('Prod 3'!H925/'Prod 3'!$H$3,0))</f>
        <v/>
      </c>
      <c r="H925" s="70" t="str">
        <f>IF(D925="","",'Prod 2'!K925)</f>
        <v/>
      </c>
      <c r="I925" s="77" t="str">
        <f t="shared" si="100"/>
        <v/>
      </c>
      <c r="J925" s="57"/>
      <c r="L925" s="19">
        <v>9.2099999999999995E-7</v>
      </c>
      <c r="M925" s="59">
        <f t="shared" si="101"/>
        <v>0</v>
      </c>
      <c r="N925" s="59">
        <f t="shared" si="102"/>
        <v>0</v>
      </c>
      <c r="O925" s="59">
        <f t="shared" si="103"/>
        <v>0</v>
      </c>
      <c r="P925" s="19" t="str">
        <f t="shared" si="104"/>
        <v/>
      </c>
      <c r="Q925" s="19" t="s">
        <v>961</v>
      </c>
    </row>
    <row r="926" spans="2:17" ht="30" customHeight="1" x14ac:dyDescent="0.25">
      <c r="B926" s="62" t="str">
        <f t="shared" si="98"/>
        <v/>
      </c>
      <c r="C926" s="42">
        <v>922</v>
      </c>
      <c r="D926" s="20"/>
      <c r="E926" s="58"/>
      <c r="F926" s="63" t="str">
        <f t="shared" si="99"/>
        <v/>
      </c>
      <c r="G926" s="66" t="str">
        <f>IF(D926="","",IFERROR('Prod 3'!H926/'Prod 3'!$H$3,0))</f>
        <v/>
      </c>
      <c r="H926" s="70" t="str">
        <f>IF(D926="","",'Prod 2'!K926)</f>
        <v/>
      </c>
      <c r="I926" s="77" t="str">
        <f t="shared" si="100"/>
        <v/>
      </c>
      <c r="J926" s="57"/>
      <c r="L926" s="19">
        <v>9.2200000000000002E-7</v>
      </c>
      <c r="M926" s="59">
        <f t="shared" si="101"/>
        <v>0</v>
      </c>
      <c r="N926" s="59">
        <f t="shared" si="102"/>
        <v>0</v>
      </c>
      <c r="O926" s="59">
        <f t="shared" si="103"/>
        <v>0</v>
      </c>
      <c r="P926" s="19" t="str">
        <f t="shared" si="104"/>
        <v/>
      </c>
      <c r="Q926" s="19" t="s">
        <v>962</v>
      </c>
    </row>
    <row r="927" spans="2:17" ht="30" customHeight="1" x14ac:dyDescent="0.25">
      <c r="B927" s="62" t="str">
        <f t="shared" si="98"/>
        <v/>
      </c>
      <c r="C927" s="42">
        <v>923</v>
      </c>
      <c r="D927" s="20"/>
      <c r="E927" s="58"/>
      <c r="F927" s="63" t="str">
        <f t="shared" si="99"/>
        <v/>
      </c>
      <c r="G927" s="66" t="str">
        <f>IF(D927="","",IFERROR('Prod 3'!H927/'Prod 3'!$H$3,0))</f>
        <v/>
      </c>
      <c r="H927" s="70" t="str">
        <f>IF(D927="","",'Prod 2'!K927)</f>
        <v/>
      </c>
      <c r="I927" s="77" t="str">
        <f t="shared" si="100"/>
        <v/>
      </c>
      <c r="J927" s="57"/>
      <c r="L927" s="19">
        <v>9.2299999999999999E-7</v>
      </c>
      <c r="M927" s="59">
        <f t="shared" si="101"/>
        <v>0</v>
      </c>
      <c r="N927" s="59">
        <f t="shared" si="102"/>
        <v>0</v>
      </c>
      <c r="O927" s="59">
        <f t="shared" si="103"/>
        <v>0</v>
      </c>
      <c r="P927" s="19" t="str">
        <f t="shared" si="104"/>
        <v/>
      </c>
      <c r="Q927" s="19" t="s">
        <v>963</v>
      </c>
    </row>
    <row r="928" spans="2:17" ht="30" customHeight="1" x14ac:dyDescent="0.25">
      <c r="B928" s="62" t="str">
        <f t="shared" si="98"/>
        <v/>
      </c>
      <c r="C928" s="42">
        <v>924</v>
      </c>
      <c r="D928" s="20"/>
      <c r="E928" s="58"/>
      <c r="F928" s="63" t="str">
        <f t="shared" si="99"/>
        <v/>
      </c>
      <c r="G928" s="66" t="str">
        <f>IF(D928="","",IFERROR('Prod 3'!H928/'Prod 3'!$H$3,0))</f>
        <v/>
      </c>
      <c r="H928" s="70" t="str">
        <f>IF(D928="","",'Prod 2'!K928)</f>
        <v/>
      </c>
      <c r="I928" s="77" t="str">
        <f t="shared" si="100"/>
        <v/>
      </c>
      <c r="J928" s="57"/>
      <c r="L928" s="19">
        <v>9.2399999999999996E-7</v>
      </c>
      <c r="M928" s="59">
        <f t="shared" si="101"/>
        <v>0</v>
      </c>
      <c r="N928" s="59">
        <f t="shared" si="102"/>
        <v>0</v>
      </c>
      <c r="O928" s="59">
        <f t="shared" si="103"/>
        <v>0</v>
      </c>
      <c r="P928" s="19" t="str">
        <f t="shared" si="104"/>
        <v/>
      </c>
      <c r="Q928" s="19" t="s">
        <v>964</v>
      </c>
    </row>
    <row r="929" spans="2:17" ht="30" customHeight="1" x14ac:dyDescent="0.25">
      <c r="B929" s="62" t="str">
        <f t="shared" si="98"/>
        <v/>
      </c>
      <c r="C929" s="42">
        <v>925</v>
      </c>
      <c r="D929" s="20"/>
      <c r="E929" s="58"/>
      <c r="F929" s="63" t="str">
        <f t="shared" si="99"/>
        <v/>
      </c>
      <c r="G929" s="66" t="str">
        <f>IF(D929="","",IFERROR('Prod 3'!H929/'Prod 3'!$H$3,0))</f>
        <v/>
      </c>
      <c r="H929" s="70" t="str">
        <f>IF(D929="","",'Prod 2'!K929)</f>
        <v/>
      </c>
      <c r="I929" s="77" t="str">
        <f t="shared" si="100"/>
        <v/>
      </c>
      <c r="J929" s="57"/>
      <c r="L929" s="19">
        <v>9.2500000000000004E-7</v>
      </c>
      <c r="M929" s="59">
        <f t="shared" si="101"/>
        <v>0</v>
      </c>
      <c r="N929" s="59">
        <f t="shared" si="102"/>
        <v>0</v>
      </c>
      <c r="O929" s="59">
        <f t="shared" si="103"/>
        <v>0</v>
      </c>
      <c r="P929" s="19" t="str">
        <f t="shared" si="104"/>
        <v/>
      </c>
      <c r="Q929" s="19" t="s">
        <v>965</v>
      </c>
    </row>
    <row r="930" spans="2:17" ht="30" customHeight="1" x14ac:dyDescent="0.25">
      <c r="B930" s="62" t="str">
        <f t="shared" si="98"/>
        <v/>
      </c>
      <c r="C930" s="42">
        <v>926</v>
      </c>
      <c r="D930" s="20"/>
      <c r="E930" s="58"/>
      <c r="F930" s="63" t="str">
        <f t="shared" si="99"/>
        <v/>
      </c>
      <c r="G930" s="66" t="str">
        <f>IF(D930="","",IFERROR('Prod 3'!H930/'Prod 3'!$H$3,0))</f>
        <v/>
      </c>
      <c r="H930" s="70" t="str">
        <f>IF(D930="","",'Prod 2'!K930)</f>
        <v/>
      </c>
      <c r="I930" s="77" t="str">
        <f t="shared" si="100"/>
        <v/>
      </c>
      <c r="J930" s="57"/>
      <c r="L930" s="19">
        <v>9.2600000000000001E-7</v>
      </c>
      <c r="M930" s="59">
        <f t="shared" si="101"/>
        <v>0</v>
      </c>
      <c r="N930" s="59">
        <f t="shared" si="102"/>
        <v>0</v>
      </c>
      <c r="O930" s="59">
        <f t="shared" si="103"/>
        <v>0</v>
      </c>
      <c r="P930" s="19" t="str">
        <f t="shared" si="104"/>
        <v/>
      </c>
      <c r="Q930" s="19" t="s">
        <v>966</v>
      </c>
    </row>
    <row r="931" spans="2:17" ht="30" customHeight="1" x14ac:dyDescent="0.25">
      <c r="B931" s="62" t="str">
        <f t="shared" si="98"/>
        <v/>
      </c>
      <c r="C931" s="42">
        <v>927</v>
      </c>
      <c r="D931" s="20"/>
      <c r="E931" s="58"/>
      <c r="F931" s="63" t="str">
        <f t="shared" si="99"/>
        <v/>
      </c>
      <c r="G931" s="66" t="str">
        <f>IF(D931="","",IFERROR('Prod 3'!H931/'Prod 3'!$H$3,0))</f>
        <v/>
      </c>
      <c r="H931" s="70" t="str">
        <f>IF(D931="","",'Prod 2'!K931)</f>
        <v/>
      </c>
      <c r="I931" s="77" t="str">
        <f t="shared" si="100"/>
        <v/>
      </c>
      <c r="J931" s="57"/>
      <c r="L931" s="19">
        <v>9.2699999999999998E-7</v>
      </c>
      <c r="M931" s="59">
        <f t="shared" si="101"/>
        <v>0</v>
      </c>
      <c r="N931" s="59">
        <f t="shared" si="102"/>
        <v>0</v>
      </c>
      <c r="O931" s="59">
        <f t="shared" si="103"/>
        <v>0</v>
      </c>
      <c r="P931" s="19" t="str">
        <f t="shared" si="104"/>
        <v/>
      </c>
      <c r="Q931" s="19" t="s">
        <v>967</v>
      </c>
    </row>
    <row r="932" spans="2:17" ht="30" customHeight="1" x14ac:dyDescent="0.25">
      <c r="B932" s="62" t="str">
        <f t="shared" si="98"/>
        <v/>
      </c>
      <c r="C932" s="42">
        <v>928</v>
      </c>
      <c r="D932" s="20"/>
      <c r="E932" s="58"/>
      <c r="F932" s="63" t="str">
        <f t="shared" si="99"/>
        <v/>
      </c>
      <c r="G932" s="66" t="str">
        <f>IF(D932="","",IFERROR('Prod 3'!H932/'Prod 3'!$H$3,0))</f>
        <v/>
      </c>
      <c r="H932" s="70" t="str">
        <f>IF(D932="","",'Prod 2'!K932)</f>
        <v/>
      </c>
      <c r="I932" s="77" t="str">
        <f t="shared" si="100"/>
        <v/>
      </c>
      <c r="J932" s="57"/>
      <c r="L932" s="19">
        <v>9.2800000000000005E-7</v>
      </c>
      <c r="M932" s="59">
        <f t="shared" si="101"/>
        <v>0</v>
      </c>
      <c r="N932" s="59">
        <f t="shared" si="102"/>
        <v>0</v>
      </c>
      <c r="O932" s="59">
        <f t="shared" si="103"/>
        <v>0</v>
      </c>
      <c r="P932" s="19" t="str">
        <f t="shared" si="104"/>
        <v/>
      </c>
      <c r="Q932" s="19" t="s">
        <v>968</v>
      </c>
    </row>
    <row r="933" spans="2:17" ht="30" customHeight="1" x14ac:dyDescent="0.25">
      <c r="B933" s="62" t="str">
        <f t="shared" si="98"/>
        <v/>
      </c>
      <c r="C933" s="42">
        <v>929</v>
      </c>
      <c r="D933" s="20"/>
      <c r="E933" s="58"/>
      <c r="F933" s="63" t="str">
        <f t="shared" si="99"/>
        <v/>
      </c>
      <c r="G933" s="66" t="str">
        <f>IF(D933="","",IFERROR('Prod 3'!H933/'Prod 3'!$H$3,0))</f>
        <v/>
      </c>
      <c r="H933" s="70" t="str">
        <f>IF(D933="","",'Prod 2'!K933)</f>
        <v/>
      </c>
      <c r="I933" s="77" t="str">
        <f t="shared" si="100"/>
        <v/>
      </c>
      <c r="J933" s="57"/>
      <c r="L933" s="19">
        <v>9.2900000000000002E-7</v>
      </c>
      <c r="M933" s="59">
        <f t="shared" si="101"/>
        <v>0</v>
      </c>
      <c r="N933" s="59">
        <f t="shared" si="102"/>
        <v>0</v>
      </c>
      <c r="O933" s="59">
        <f t="shared" si="103"/>
        <v>0</v>
      </c>
      <c r="P933" s="19" t="str">
        <f t="shared" si="104"/>
        <v/>
      </c>
      <c r="Q933" s="19" t="s">
        <v>969</v>
      </c>
    </row>
    <row r="934" spans="2:17" ht="30" customHeight="1" x14ac:dyDescent="0.25">
      <c r="B934" s="62" t="str">
        <f t="shared" si="98"/>
        <v/>
      </c>
      <c r="C934" s="42">
        <v>930</v>
      </c>
      <c r="D934" s="20"/>
      <c r="E934" s="58"/>
      <c r="F934" s="63" t="str">
        <f t="shared" si="99"/>
        <v/>
      </c>
      <c r="G934" s="66" t="str">
        <f>IF(D934="","",IFERROR('Prod 3'!H934/'Prod 3'!$H$3,0))</f>
        <v/>
      </c>
      <c r="H934" s="70" t="str">
        <f>IF(D934="","",'Prod 2'!K934)</f>
        <v/>
      </c>
      <c r="I934" s="77" t="str">
        <f t="shared" si="100"/>
        <v/>
      </c>
      <c r="J934" s="57"/>
      <c r="L934" s="19">
        <v>9.2999999999999999E-7</v>
      </c>
      <c r="M934" s="59">
        <f t="shared" si="101"/>
        <v>0</v>
      </c>
      <c r="N934" s="59">
        <f t="shared" si="102"/>
        <v>0</v>
      </c>
      <c r="O934" s="59">
        <f t="shared" si="103"/>
        <v>0</v>
      </c>
      <c r="P934" s="19" t="str">
        <f t="shared" si="104"/>
        <v/>
      </c>
      <c r="Q934" s="19" t="s">
        <v>970</v>
      </c>
    </row>
    <row r="935" spans="2:17" ht="30" customHeight="1" x14ac:dyDescent="0.25">
      <c r="B935" s="62" t="str">
        <f t="shared" si="98"/>
        <v/>
      </c>
      <c r="C935" s="42">
        <v>931</v>
      </c>
      <c r="D935" s="20"/>
      <c r="E935" s="58"/>
      <c r="F935" s="63" t="str">
        <f t="shared" si="99"/>
        <v/>
      </c>
      <c r="G935" s="66" t="str">
        <f>IF(D935="","",IFERROR('Prod 3'!H935/'Prod 3'!$H$3,0))</f>
        <v/>
      </c>
      <c r="H935" s="70" t="str">
        <f>IF(D935="","",'Prod 2'!K935)</f>
        <v/>
      </c>
      <c r="I935" s="77" t="str">
        <f t="shared" si="100"/>
        <v/>
      </c>
      <c r="J935" s="57"/>
      <c r="L935" s="19">
        <v>9.3099999999999996E-7</v>
      </c>
      <c r="M935" s="59">
        <f t="shared" si="101"/>
        <v>0</v>
      </c>
      <c r="N935" s="59">
        <f t="shared" si="102"/>
        <v>0</v>
      </c>
      <c r="O935" s="59">
        <f t="shared" si="103"/>
        <v>0</v>
      </c>
      <c r="P935" s="19" t="str">
        <f t="shared" si="104"/>
        <v/>
      </c>
      <c r="Q935" s="19" t="s">
        <v>971</v>
      </c>
    </row>
    <row r="936" spans="2:17" ht="30" customHeight="1" x14ac:dyDescent="0.25">
      <c r="B936" s="62" t="str">
        <f t="shared" si="98"/>
        <v/>
      </c>
      <c r="C936" s="42">
        <v>932</v>
      </c>
      <c r="D936" s="20"/>
      <c r="E936" s="58"/>
      <c r="F936" s="63" t="str">
        <f t="shared" si="99"/>
        <v/>
      </c>
      <c r="G936" s="66" t="str">
        <f>IF(D936="","",IFERROR('Prod 3'!H936/'Prod 3'!$H$3,0))</f>
        <v/>
      </c>
      <c r="H936" s="70" t="str">
        <f>IF(D936="","",'Prod 2'!K936)</f>
        <v/>
      </c>
      <c r="I936" s="77" t="str">
        <f t="shared" si="100"/>
        <v/>
      </c>
      <c r="J936" s="57"/>
      <c r="L936" s="19">
        <v>9.3200000000000003E-7</v>
      </c>
      <c r="M936" s="59">
        <f t="shared" si="101"/>
        <v>0</v>
      </c>
      <c r="N936" s="59">
        <f t="shared" si="102"/>
        <v>0</v>
      </c>
      <c r="O936" s="59">
        <f t="shared" si="103"/>
        <v>0</v>
      </c>
      <c r="P936" s="19" t="str">
        <f t="shared" si="104"/>
        <v/>
      </c>
      <c r="Q936" s="19" t="s">
        <v>972</v>
      </c>
    </row>
    <row r="937" spans="2:17" ht="30" customHeight="1" x14ac:dyDescent="0.25">
      <c r="B937" s="62" t="str">
        <f t="shared" si="98"/>
        <v/>
      </c>
      <c r="C937" s="42">
        <v>933</v>
      </c>
      <c r="D937" s="20"/>
      <c r="E937" s="58"/>
      <c r="F937" s="63" t="str">
        <f t="shared" si="99"/>
        <v/>
      </c>
      <c r="G937" s="66" t="str">
        <f>IF(D937="","",IFERROR('Prod 3'!H937/'Prod 3'!$H$3,0))</f>
        <v/>
      </c>
      <c r="H937" s="70" t="str">
        <f>IF(D937="","",'Prod 2'!K937)</f>
        <v/>
      </c>
      <c r="I937" s="77" t="str">
        <f t="shared" si="100"/>
        <v/>
      </c>
      <c r="J937" s="57"/>
      <c r="L937" s="19">
        <v>9.33E-7</v>
      </c>
      <c r="M937" s="59">
        <f t="shared" si="101"/>
        <v>0</v>
      </c>
      <c r="N937" s="59">
        <f t="shared" si="102"/>
        <v>0</v>
      </c>
      <c r="O937" s="59">
        <f t="shared" si="103"/>
        <v>0</v>
      </c>
      <c r="P937" s="19" t="str">
        <f t="shared" si="104"/>
        <v/>
      </c>
      <c r="Q937" s="19" t="s">
        <v>973</v>
      </c>
    </row>
    <row r="938" spans="2:17" ht="30" customHeight="1" x14ac:dyDescent="0.25">
      <c r="B938" s="62" t="str">
        <f t="shared" si="98"/>
        <v/>
      </c>
      <c r="C938" s="42">
        <v>934</v>
      </c>
      <c r="D938" s="20"/>
      <c r="E938" s="58"/>
      <c r="F938" s="63" t="str">
        <f t="shared" si="99"/>
        <v/>
      </c>
      <c r="G938" s="66" t="str">
        <f>IF(D938="","",IFERROR('Prod 3'!H938/'Prod 3'!$H$3,0))</f>
        <v/>
      </c>
      <c r="H938" s="70" t="str">
        <f>IF(D938="","",'Prod 2'!K938)</f>
        <v/>
      </c>
      <c r="I938" s="77" t="str">
        <f t="shared" si="100"/>
        <v/>
      </c>
      <c r="J938" s="57"/>
      <c r="L938" s="19">
        <v>9.3399999999999997E-7</v>
      </c>
      <c r="M938" s="59">
        <f t="shared" si="101"/>
        <v>0</v>
      </c>
      <c r="N938" s="59">
        <f t="shared" si="102"/>
        <v>0</v>
      </c>
      <c r="O938" s="59">
        <f t="shared" si="103"/>
        <v>0</v>
      </c>
      <c r="P938" s="19" t="str">
        <f t="shared" si="104"/>
        <v/>
      </c>
      <c r="Q938" s="19" t="s">
        <v>974</v>
      </c>
    </row>
    <row r="939" spans="2:17" ht="30" customHeight="1" x14ac:dyDescent="0.25">
      <c r="B939" s="62" t="str">
        <f t="shared" si="98"/>
        <v/>
      </c>
      <c r="C939" s="42">
        <v>935</v>
      </c>
      <c r="D939" s="20"/>
      <c r="E939" s="58"/>
      <c r="F939" s="63" t="str">
        <f t="shared" si="99"/>
        <v/>
      </c>
      <c r="G939" s="66" t="str">
        <f>IF(D939="","",IFERROR('Prod 3'!H939/'Prod 3'!$H$3,0))</f>
        <v/>
      </c>
      <c r="H939" s="70" t="str">
        <f>IF(D939="","",'Prod 2'!K939)</f>
        <v/>
      </c>
      <c r="I939" s="77" t="str">
        <f t="shared" si="100"/>
        <v/>
      </c>
      <c r="J939" s="57"/>
      <c r="L939" s="19">
        <v>9.3500000000000005E-7</v>
      </c>
      <c r="M939" s="59">
        <f t="shared" si="101"/>
        <v>0</v>
      </c>
      <c r="N939" s="59">
        <f t="shared" si="102"/>
        <v>0</v>
      </c>
      <c r="O939" s="59">
        <f t="shared" si="103"/>
        <v>0</v>
      </c>
      <c r="P939" s="19" t="str">
        <f t="shared" si="104"/>
        <v/>
      </c>
      <c r="Q939" s="19" t="s">
        <v>975</v>
      </c>
    </row>
    <row r="940" spans="2:17" ht="30" customHeight="1" x14ac:dyDescent="0.25">
      <c r="B940" s="62" t="str">
        <f t="shared" si="98"/>
        <v/>
      </c>
      <c r="C940" s="42">
        <v>936</v>
      </c>
      <c r="D940" s="20"/>
      <c r="E940" s="58"/>
      <c r="F940" s="63" t="str">
        <f t="shared" si="99"/>
        <v/>
      </c>
      <c r="G940" s="66" t="str">
        <f>IF(D940="","",IFERROR('Prod 3'!H940/'Prod 3'!$H$3,0))</f>
        <v/>
      </c>
      <c r="H940" s="70" t="str">
        <f>IF(D940="","",'Prod 2'!K940)</f>
        <v/>
      </c>
      <c r="I940" s="77" t="str">
        <f t="shared" si="100"/>
        <v/>
      </c>
      <c r="J940" s="57"/>
      <c r="L940" s="19">
        <v>9.3600000000000002E-7</v>
      </c>
      <c r="M940" s="59">
        <f t="shared" si="101"/>
        <v>0</v>
      </c>
      <c r="N940" s="59">
        <f t="shared" si="102"/>
        <v>0</v>
      </c>
      <c r="O940" s="59">
        <f t="shared" si="103"/>
        <v>0</v>
      </c>
      <c r="P940" s="19" t="str">
        <f t="shared" si="104"/>
        <v/>
      </c>
      <c r="Q940" s="19" t="s">
        <v>976</v>
      </c>
    </row>
    <row r="941" spans="2:17" ht="30" customHeight="1" x14ac:dyDescent="0.25">
      <c r="B941" s="62" t="str">
        <f t="shared" si="98"/>
        <v/>
      </c>
      <c r="C941" s="42">
        <v>937</v>
      </c>
      <c r="D941" s="20"/>
      <c r="E941" s="58"/>
      <c r="F941" s="63" t="str">
        <f t="shared" si="99"/>
        <v/>
      </c>
      <c r="G941" s="66" t="str">
        <f>IF(D941="","",IFERROR('Prod 3'!H941/'Prod 3'!$H$3,0))</f>
        <v/>
      </c>
      <c r="H941" s="70" t="str">
        <f>IF(D941="","",'Prod 2'!K941)</f>
        <v/>
      </c>
      <c r="I941" s="77" t="str">
        <f t="shared" si="100"/>
        <v/>
      </c>
      <c r="J941" s="57"/>
      <c r="L941" s="19">
        <v>9.3699999999999999E-7</v>
      </c>
      <c r="M941" s="59">
        <f t="shared" si="101"/>
        <v>0</v>
      </c>
      <c r="N941" s="59">
        <f t="shared" si="102"/>
        <v>0</v>
      </c>
      <c r="O941" s="59">
        <f t="shared" si="103"/>
        <v>0</v>
      </c>
      <c r="P941" s="19" t="str">
        <f t="shared" si="104"/>
        <v/>
      </c>
      <c r="Q941" s="19" t="s">
        <v>977</v>
      </c>
    </row>
    <row r="942" spans="2:17" ht="30" customHeight="1" x14ac:dyDescent="0.25">
      <c r="B942" s="62" t="str">
        <f t="shared" si="98"/>
        <v/>
      </c>
      <c r="C942" s="42">
        <v>938</v>
      </c>
      <c r="D942" s="20"/>
      <c r="E942" s="58"/>
      <c r="F942" s="63" t="str">
        <f t="shared" si="99"/>
        <v/>
      </c>
      <c r="G942" s="66" t="str">
        <f>IF(D942="","",IFERROR('Prod 3'!H942/'Prod 3'!$H$3,0))</f>
        <v/>
      </c>
      <c r="H942" s="70" t="str">
        <f>IF(D942="","",'Prod 2'!K942)</f>
        <v/>
      </c>
      <c r="I942" s="77" t="str">
        <f t="shared" si="100"/>
        <v/>
      </c>
      <c r="J942" s="57"/>
      <c r="L942" s="19">
        <v>9.3799999999999996E-7</v>
      </c>
      <c r="M942" s="59">
        <f t="shared" si="101"/>
        <v>0</v>
      </c>
      <c r="N942" s="59">
        <f t="shared" si="102"/>
        <v>0</v>
      </c>
      <c r="O942" s="59">
        <f t="shared" si="103"/>
        <v>0</v>
      </c>
      <c r="P942" s="19" t="str">
        <f t="shared" si="104"/>
        <v/>
      </c>
      <c r="Q942" s="19" t="s">
        <v>978</v>
      </c>
    </row>
    <row r="943" spans="2:17" ht="30" customHeight="1" x14ac:dyDescent="0.25">
      <c r="B943" s="62" t="str">
        <f t="shared" si="98"/>
        <v/>
      </c>
      <c r="C943" s="42">
        <v>939</v>
      </c>
      <c r="D943" s="20"/>
      <c r="E943" s="58"/>
      <c r="F943" s="63" t="str">
        <f t="shared" si="99"/>
        <v/>
      </c>
      <c r="G943" s="66" t="str">
        <f>IF(D943="","",IFERROR('Prod 3'!H943/'Prod 3'!$H$3,0))</f>
        <v/>
      </c>
      <c r="H943" s="70" t="str">
        <f>IF(D943="","",'Prod 2'!K943)</f>
        <v/>
      </c>
      <c r="I943" s="77" t="str">
        <f t="shared" si="100"/>
        <v/>
      </c>
      <c r="J943" s="57"/>
      <c r="L943" s="19">
        <v>9.3900000000000003E-7</v>
      </c>
      <c r="M943" s="59">
        <f t="shared" si="101"/>
        <v>0</v>
      </c>
      <c r="N943" s="59">
        <f t="shared" si="102"/>
        <v>0</v>
      </c>
      <c r="O943" s="59">
        <f t="shared" si="103"/>
        <v>0</v>
      </c>
      <c r="P943" s="19" t="str">
        <f t="shared" si="104"/>
        <v/>
      </c>
      <c r="Q943" s="19" t="s">
        <v>979</v>
      </c>
    </row>
    <row r="944" spans="2:17" ht="30" customHeight="1" x14ac:dyDescent="0.25">
      <c r="B944" s="62" t="str">
        <f t="shared" si="98"/>
        <v/>
      </c>
      <c r="C944" s="42">
        <v>940</v>
      </c>
      <c r="D944" s="20"/>
      <c r="E944" s="58"/>
      <c r="F944" s="63" t="str">
        <f t="shared" si="99"/>
        <v/>
      </c>
      <c r="G944" s="66" t="str">
        <f>IF(D944="","",IFERROR('Prod 3'!H944/'Prod 3'!$H$3,0))</f>
        <v/>
      </c>
      <c r="H944" s="70" t="str">
        <f>IF(D944="","",'Prod 2'!K944)</f>
        <v/>
      </c>
      <c r="I944" s="77" t="str">
        <f t="shared" si="100"/>
        <v/>
      </c>
      <c r="J944" s="57"/>
      <c r="L944" s="19">
        <v>9.4E-7</v>
      </c>
      <c r="M944" s="59">
        <f t="shared" si="101"/>
        <v>0</v>
      </c>
      <c r="N944" s="59">
        <f t="shared" si="102"/>
        <v>0</v>
      </c>
      <c r="O944" s="59">
        <f t="shared" si="103"/>
        <v>0</v>
      </c>
      <c r="P944" s="19" t="str">
        <f t="shared" si="104"/>
        <v/>
      </c>
      <c r="Q944" s="19" t="s">
        <v>980</v>
      </c>
    </row>
    <row r="945" spans="2:17" ht="30" customHeight="1" x14ac:dyDescent="0.25">
      <c r="B945" s="62" t="str">
        <f t="shared" si="98"/>
        <v/>
      </c>
      <c r="C945" s="42">
        <v>941</v>
      </c>
      <c r="D945" s="20"/>
      <c r="E945" s="58"/>
      <c r="F945" s="63" t="str">
        <f t="shared" si="99"/>
        <v/>
      </c>
      <c r="G945" s="66" t="str">
        <f>IF(D945="","",IFERROR('Prod 3'!H945/'Prod 3'!$H$3,0))</f>
        <v/>
      </c>
      <c r="H945" s="70" t="str">
        <f>IF(D945="","",'Prod 2'!K945)</f>
        <v/>
      </c>
      <c r="I945" s="77" t="str">
        <f t="shared" si="100"/>
        <v/>
      </c>
      <c r="J945" s="57"/>
      <c r="L945" s="19">
        <v>9.4099999999999997E-7</v>
      </c>
      <c r="M945" s="59">
        <f t="shared" si="101"/>
        <v>0</v>
      </c>
      <c r="N945" s="59">
        <f t="shared" si="102"/>
        <v>0</v>
      </c>
      <c r="O945" s="59">
        <f t="shared" si="103"/>
        <v>0</v>
      </c>
      <c r="P945" s="19" t="str">
        <f t="shared" si="104"/>
        <v/>
      </c>
      <c r="Q945" s="19" t="s">
        <v>981</v>
      </c>
    </row>
    <row r="946" spans="2:17" ht="30" customHeight="1" x14ac:dyDescent="0.25">
      <c r="B946" s="62" t="str">
        <f t="shared" si="98"/>
        <v/>
      </c>
      <c r="C946" s="42">
        <v>942</v>
      </c>
      <c r="D946" s="20"/>
      <c r="E946" s="58"/>
      <c r="F946" s="63" t="str">
        <f t="shared" si="99"/>
        <v/>
      </c>
      <c r="G946" s="66" t="str">
        <f>IF(D946="","",IFERROR('Prod 3'!H946/'Prod 3'!$H$3,0))</f>
        <v/>
      </c>
      <c r="H946" s="70" t="str">
        <f>IF(D946="","",'Prod 2'!K946)</f>
        <v/>
      </c>
      <c r="I946" s="77" t="str">
        <f t="shared" si="100"/>
        <v/>
      </c>
      <c r="J946" s="57"/>
      <c r="L946" s="19">
        <v>9.4200000000000004E-7</v>
      </c>
      <c r="M946" s="59">
        <f t="shared" si="101"/>
        <v>0</v>
      </c>
      <c r="N946" s="59">
        <f t="shared" si="102"/>
        <v>0</v>
      </c>
      <c r="O946" s="59">
        <f t="shared" si="103"/>
        <v>0</v>
      </c>
      <c r="P946" s="19" t="str">
        <f t="shared" si="104"/>
        <v/>
      </c>
      <c r="Q946" s="19" t="s">
        <v>982</v>
      </c>
    </row>
    <row r="947" spans="2:17" ht="30" customHeight="1" x14ac:dyDescent="0.25">
      <c r="B947" s="62" t="str">
        <f t="shared" si="98"/>
        <v/>
      </c>
      <c r="C947" s="42">
        <v>943</v>
      </c>
      <c r="D947" s="20"/>
      <c r="E947" s="58"/>
      <c r="F947" s="63" t="str">
        <f t="shared" si="99"/>
        <v/>
      </c>
      <c r="G947" s="66" t="str">
        <f>IF(D947="","",IFERROR('Prod 3'!H947/'Prod 3'!$H$3,0))</f>
        <v/>
      </c>
      <c r="H947" s="70" t="str">
        <f>IF(D947="","",'Prod 2'!K947)</f>
        <v/>
      </c>
      <c r="I947" s="77" t="str">
        <f t="shared" si="100"/>
        <v/>
      </c>
      <c r="J947" s="57"/>
      <c r="L947" s="19">
        <v>9.4300000000000001E-7</v>
      </c>
      <c r="M947" s="59">
        <f t="shared" si="101"/>
        <v>0</v>
      </c>
      <c r="N947" s="59">
        <f t="shared" si="102"/>
        <v>0</v>
      </c>
      <c r="O947" s="59">
        <f t="shared" si="103"/>
        <v>0</v>
      </c>
      <c r="P947" s="19" t="str">
        <f t="shared" si="104"/>
        <v/>
      </c>
      <c r="Q947" s="19" t="s">
        <v>983</v>
      </c>
    </row>
    <row r="948" spans="2:17" ht="30" customHeight="1" x14ac:dyDescent="0.25">
      <c r="B948" s="62" t="str">
        <f t="shared" si="98"/>
        <v/>
      </c>
      <c r="C948" s="42">
        <v>944</v>
      </c>
      <c r="D948" s="20"/>
      <c r="E948" s="58"/>
      <c r="F948" s="63" t="str">
        <f t="shared" si="99"/>
        <v/>
      </c>
      <c r="G948" s="66" t="str">
        <f>IF(D948="","",IFERROR('Prod 3'!H948/'Prod 3'!$H$3,0))</f>
        <v/>
      </c>
      <c r="H948" s="70" t="str">
        <f>IF(D948="","",'Prod 2'!K948)</f>
        <v/>
      </c>
      <c r="I948" s="77" t="str">
        <f t="shared" si="100"/>
        <v/>
      </c>
      <c r="J948" s="57"/>
      <c r="L948" s="19">
        <v>9.4399999999999998E-7</v>
      </c>
      <c r="M948" s="59">
        <f t="shared" si="101"/>
        <v>0</v>
      </c>
      <c r="N948" s="59">
        <f t="shared" si="102"/>
        <v>0</v>
      </c>
      <c r="O948" s="59">
        <f t="shared" si="103"/>
        <v>0</v>
      </c>
      <c r="P948" s="19" t="str">
        <f t="shared" si="104"/>
        <v/>
      </c>
      <c r="Q948" s="19" t="s">
        <v>984</v>
      </c>
    </row>
    <row r="949" spans="2:17" ht="30" customHeight="1" x14ac:dyDescent="0.25">
      <c r="B949" s="62" t="str">
        <f t="shared" si="98"/>
        <v/>
      </c>
      <c r="C949" s="42">
        <v>945</v>
      </c>
      <c r="D949" s="20"/>
      <c r="E949" s="58"/>
      <c r="F949" s="63" t="str">
        <f t="shared" si="99"/>
        <v/>
      </c>
      <c r="G949" s="66" t="str">
        <f>IF(D949="","",IFERROR('Prod 3'!H949/'Prod 3'!$H$3,0))</f>
        <v/>
      </c>
      <c r="H949" s="70" t="str">
        <f>IF(D949="","",'Prod 2'!K949)</f>
        <v/>
      </c>
      <c r="I949" s="77" t="str">
        <f t="shared" si="100"/>
        <v/>
      </c>
      <c r="J949" s="57"/>
      <c r="L949" s="19">
        <v>9.4499999999999995E-7</v>
      </c>
      <c r="M949" s="59">
        <f t="shared" si="101"/>
        <v>0</v>
      </c>
      <c r="N949" s="59">
        <f t="shared" si="102"/>
        <v>0</v>
      </c>
      <c r="O949" s="59">
        <f t="shared" si="103"/>
        <v>0</v>
      </c>
      <c r="P949" s="19" t="str">
        <f t="shared" si="104"/>
        <v/>
      </c>
      <c r="Q949" s="19" t="s">
        <v>985</v>
      </c>
    </row>
    <row r="950" spans="2:17" ht="30" customHeight="1" x14ac:dyDescent="0.25">
      <c r="B950" s="62" t="str">
        <f t="shared" si="98"/>
        <v/>
      </c>
      <c r="C950" s="42">
        <v>946</v>
      </c>
      <c r="D950" s="20"/>
      <c r="E950" s="58"/>
      <c r="F950" s="63" t="str">
        <f t="shared" si="99"/>
        <v/>
      </c>
      <c r="G950" s="66" t="str">
        <f>IF(D950="","",IFERROR('Prod 3'!H950/'Prod 3'!$H$3,0))</f>
        <v/>
      </c>
      <c r="H950" s="70" t="str">
        <f>IF(D950="","",'Prod 2'!K950)</f>
        <v/>
      </c>
      <c r="I950" s="77" t="str">
        <f t="shared" si="100"/>
        <v/>
      </c>
      <c r="J950" s="57"/>
      <c r="L950" s="19">
        <v>9.4600000000000003E-7</v>
      </c>
      <c r="M950" s="59">
        <f t="shared" si="101"/>
        <v>0</v>
      </c>
      <c r="N950" s="59">
        <f t="shared" si="102"/>
        <v>0</v>
      </c>
      <c r="O950" s="59">
        <f t="shared" si="103"/>
        <v>0</v>
      </c>
      <c r="P950" s="19" t="str">
        <f t="shared" si="104"/>
        <v/>
      </c>
      <c r="Q950" s="19" t="s">
        <v>986</v>
      </c>
    </row>
    <row r="951" spans="2:17" ht="30" customHeight="1" x14ac:dyDescent="0.25">
      <c r="B951" s="62" t="str">
        <f t="shared" si="98"/>
        <v/>
      </c>
      <c r="C951" s="42">
        <v>947</v>
      </c>
      <c r="D951" s="20"/>
      <c r="E951" s="58"/>
      <c r="F951" s="63" t="str">
        <f t="shared" si="99"/>
        <v/>
      </c>
      <c r="G951" s="66" t="str">
        <f>IF(D951="","",IFERROR('Prod 3'!H951/'Prod 3'!$H$3,0))</f>
        <v/>
      </c>
      <c r="H951" s="70" t="str">
        <f>IF(D951="","",'Prod 2'!K951)</f>
        <v/>
      </c>
      <c r="I951" s="77" t="str">
        <f t="shared" si="100"/>
        <v/>
      </c>
      <c r="J951" s="57"/>
      <c r="L951" s="19">
        <v>9.47E-7</v>
      </c>
      <c r="M951" s="59">
        <f t="shared" si="101"/>
        <v>0</v>
      </c>
      <c r="N951" s="59">
        <f t="shared" si="102"/>
        <v>0</v>
      </c>
      <c r="O951" s="59">
        <f t="shared" si="103"/>
        <v>0</v>
      </c>
      <c r="P951" s="19" t="str">
        <f t="shared" si="104"/>
        <v/>
      </c>
      <c r="Q951" s="19" t="s">
        <v>987</v>
      </c>
    </row>
    <row r="952" spans="2:17" ht="30" customHeight="1" x14ac:dyDescent="0.25">
      <c r="B952" s="62" t="str">
        <f t="shared" si="98"/>
        <v/>
      </c>
      <c r="C952" s="42">
        <v>948</v>
      </c>
      <c r="D952" s="20"/>
      <c r="E952" s="58"/>
      <c r="F952" s="63" t="str">
        <f t="shared" si="99"/>
        <v/>
      </c>
      <c r="G952" s="66" t="str">
        <f>IF(D952="","",IFERROR('Prod 3'!H952/'Prod 3'!$H$3,0))</f>
        <v/>
      </c>
      <c r="H952" s="70" t="str">
        <f>IF(D952="","",'Prod 2'!K952)</f>
        <v/>
      </c>
      <c r="I952" s="77" t="str">
        <f t="shared" si="100"/>
        <v/>
      </c>
      <c r="J952" s="57"/>
      <c r="L952" s="19">
        <v>9.4799999999999997E-7</v>
      </c>
      <c r="M952" s="59">
        <f t="shared" si="101"/>
        <v>0</v>
      </c>
      <c r="N952" s="59">
        <f t="shared" si="102"/>
        <v>0</v>
      </c>
      <c r="O952" s="59">
        <f t="shared" si="103"/>
        <v>0</v>
      </c>
      <c r="P952" s="19" t="str">
        <f t="shared" si="104"/>
        <v/>
      </c>
      <c r="Q952" s="19" t="s">
        <v>988</v>
      </c>
    </row>
    <row r="953" spans="2:17" ht="30" customHeight="1" x14ac:dyDescent="0.25">
      <c r="B953" s="62" t="str">
        <f t="shared" si="98"/>
        <v/>
      </c>
      <c r="C953" s="42">
        <v>949</v>
      </c>
      <c r="D953" s="20"/>
      <c r="E953" s="58"/>
      <c r="F953" s="63" t="str">
        <f t="shared" si="99"/>
        <v/>
      </c>
      <c r="G953" s="66" t="str">
        <f>IF(D953="","",IFERROR('Prod 3'!H953/'Prod 3'!$H$3,0))</f>
        <v/>
      </c>
      <c r="H953" s="70" t="str">
        <f>IF(D953="","",'Prod 2'!K953)</f>
        <v/>
      </c>
      <c r="I953" s="77" t="str">
        <f t="shared" si="100"/>
        <v/>
      </c>
      <c r="J953" s="57"/>
      <c r="L953" s="19">
        <v>9.4900000000000004E-7</v>
      </c>
      <c r="M953" s="59">
        <f t="shared" si="101"/>
        <v>0</v>
      </c>
      <c r="N953" s="59">
        <f t="shared" si="102"/>
        <v>0</v>
      </c>
      <c r="O953" s="59">
        <f t="shared" si="103"/>
        <v>0</v>
      </c>
      <c r="P953" s="19" t="str">
        <f t="shared" si="104"/>
        <v/>
      </c>
      <c r="Q953" s="19" t="s">
        <v>989</v>
      </c>
    </row>
    <row r="954" spans="2:17" ht="30" customHeight="1" x14ac:dyDescent="0.25">
      <c r="B954" s="62" t="str">
        <f t="shared" si="98"/>
        <v/>
      </c>
      <c r="C954" s="42">
        <v>950</v>
      </c>
      <c r="D954" s="20"/>
      <c r="E954" s="58"/>
      <c r="F954" s="63" t="str">
        <f t="shared" si="99"/>
        <v/>
      </c>
      <c r="G954" s="66" t="str">
        <f>IF(D954="","",IFERROR('Prod 3'!H954/'Prod 3'!$H$3,0))</f>
        <v/>
      </c>
      <c r="H954" s="70" t="str">
        <f>IF(D954="","",'Prod 2'!K954)</f>
        <v/>
      </c>
      <c r="I954" s="77" t="str">
        <f t="shared" si="100"/>
        <v/>
      </c>
      <c r="J954" s="57"/>
      <c r="L954" s="19">
        <v>9.5000000000000001E-7</v>
      </c>
      <c r="M954" s="59">
        <f t="shared" si="101"/>
        <v>0</v>
      </c>
      <c r="N954" s="59">
        <f t="shared" si="102"/>
        <v>0</v>
      </c>
      <c r="O954" s="59">
        <f t="shared" si="103"/>
        <v>0</v>
      </c>
      <c r="P954" s="19" t="str">
        <f t="shared" si="104"/>
        <v/>
      </c>
      <c r="Q954" s="19" t="s">
        <v>990</v>
      </c>
    </row>
    <row r="955" spans="2:17" ht="30" customHeight="1" x14ac:dyDescent="0.25">
      <c r="B955" s="62" t="str">
        <f t="shared" si="98"/>
        <v/>
      </c>
      <c r="C955" s="42">
        <v>951</v>
      </c>
      <c r="D955" s="20"/>
      <c r="E955" s="58"/>
      <c r="F955" s="63" t="str">
        <f t="shared" si="99"/>
        <v/>
      </c>
      <c r="G955" s="66" t="str">
        <f>IF(D955="","",IFERROR('Prod 3'!H955/'Prod 3'!$H$3,0))</f>
        <v/>
      </c>
      <c r="H955" s="70" t="str">
        <f>IF(D955="","",'Prod 2'!K955)</f>
        <v/>
      </c>
      <c r="I955" s="77" t="str">
        <f t="shared" si="100"/>
        <v/>
      </c>
      <c r="J955" s="57"/>
      <c r="L955" s="19">
        <v>9.5099999999999998E-7</v>
      </c>
      <c r="M955" s="59">
        <f t="shared" si="101"/>
        <v>0</v>
      </c>
      <c r="N955" s="59">
        <f t="shared" si="102"/>
        <v>0</v>
      </c>
      <c r="O955" s="59">
        <f t="shared" si="103"/>
        <v>0</v>
      </c>
      <c r="P955" s="19" t="str">
        <f t="shared" si="104"/>
        <v/>
      </c>
      <c r="Q955" s="19" t="s">
        <v>991</v>
      </c>
    </row>
    <row r="956" spans="2:17" ht="30" customHeight="1" x14ac:dyDescent="0.25">
      <c r="B956" s="62" t="str">
        <f t="shared" si="98"/>
        <v/>
      </c>
      <c r="C956" s="42">
        <v>952</v>
      </c>
      <c r="D956" s="20"/>
      <c r="E956" s="58"/>
      <c r="F956" s="63" t="str">
        <f t="shared" si="99"/>
        <v/>
      </c>
      <c r="G956" s="66" t="str">
        <f>IF(D956="","",IFERROR('Prod 3'!H956/'Prod 3'!$H$3,0))</f>
        <v/>
      </c>
      <c r="H956" s="70" t="str">
        <f>IF(D956="","",'Prod 2'!K956)</f>
        <v/>
      </c>
      <c r="I956" s="77" t="str">
        <f t="shared" si="100"/>
        <v/>
      </c>
      <c r="J956" s="57"/>
      <c r="L956" s="19">
        <v>9.5199999999999995E-7</v>
      </c>
      <c r="M956" s="59">
        <f t="shared" si="101"/>
        <v>0</v>
      </c>
      <c r="N956" s="59">
        <f t="shared" si="102"/>
        <v>0</v>
      </c>
      <c r="O956" s="59">
        <f t="shared" si="103"/>
        <v>0</v>
      </c>
      <c r="P956" s="19" t="str">
        <f t="shared" si="104"/>
        <v/>
      </c>
      <c r="Q956" s="19" t="s">
        <v>992</v>
      </c>
    </row>
    <row r="957" spans="2:17" ht="30" customHeight="1" x14ac:dyDescent="0.25">
      <c r="B957" s="62" t="str">
        <f t="shared" si="98"/>
        <v/>
      </c>
      <c r="C957" s="42">
        <v>953</v>
      </c>
      <c r="D957" s="20"/>
      <c r="E957" s="58"/>
      <c r="F957" s="63" t="str">
        <f t="shared" si="99"/>
        <v/>
      </c>
      <c r="G957" s="66" t="str">
        <f>IF(D957="","",IFERROR('Prod 3'!H957/'Prod 3'!$H$3,0))</f>
        <v/>
      </c>
      <c r="H957" s="70" t="str">
        <f>IF(D957="","",'Prod 2'!K957)</f>
        <v/>
      </c>
      <c r="I957" s="77" t="str">
        <f t="shared" si="100"/>
        <v/>
      </c>
      <c r="J957" s="57"/>
      <c r="L957" s="19">
        <v>9.5300000000000002E-7</v>
      </c>
      <c r="M957" s="59">
        <f t="shared" si="101"/>
        <v>0</v>
      </c>
      <c r="N957" s="59">
        <f t="shared" si="102"/>
        <v>0</v>
      </c>
      <c r="O957" s="59">
        <f t="shared" si="103"/>
        <v>0</v>
      </c>
      <c r="P957" s="19" t="str">
        <f t="shared" si="104"/>
        <v/>
      </c>
      <c r="Q957" s="19" t="s">
        <v>993</v>
      </c>
    </row>
    <row r="958" spans="2:17" ht="30" customHeight="1" x14ac:dyDescent="0.25">
      <c r="B958" s="62" t="str">
        <f t="shared" si="98"/>
        <v/>
      </c>
      <c r="C958" s="42">
        <v>954</v>
      </c>
      <c r="D958" s="20"/>
      <c r="E958" s="58"/>
      <c r="F958" s="63" t="str">
        <f t="shared" si="99"/>
        <v/>
      </c>
      <c r="G958" s="66" t="str">
        <f>IF(D958="","",IFERROR('Prod 3'!H958/'Prod 3'!$H$3,0))</f>
        <v/>
      </c>
      <c r="H958" s="70" t="str">
        <f>IF(D958="","",'Prod 2'!K958)</f>
        <v/>
      </c>
      <c r="I958" s="77" t="str">
        <f t="shared" si="100"/>
        <v/>
      </c>
      <c r="J958" s="57"/>
      <c r="L958" s="19">
        <v>9.540000000000001E-7</v>
      </c>
      <c r="M958" s="59">
        <f t="shared" si="101"/>
        <v>0</v>
      </c>
      <c r="N958" s="59">
        <f t="shared" si="102"/>
        <v>0</v>
      </c>
      <c r="O958" s="59">
        <f t="shared" si="103"/>
        <v>0</v>
      </c>
      <c r="P958" s="19" t="str">
        <f t="shared" si="104"/>
        <v/>
      </c>
      <c r="Q958" s="19" t="s">
        <v>994</v>
      </c>
    </row>
    <row r="959" spans="2:17" ht="30" customHeight="1" x14ac:dyDescent="0.25">
      <c r="B959" s="62" t="str">
        <f t="shared" si="98"/>
        <v/>
      </c>
      <c r="C959" s="42">
        <v>955</v>
      </c>
      <c r="D959" s="20"/>
      <c r="E959" s="58"/>
      <c r="F959" s="63" t="str">
        <f t="shared" si="99"/>
        <v/>
      </c>
      <c r="G959" s="66" t="str">
        <f>IF(D959="","",IFERROR('Prod 3'!H959/'Prod 3'!$H$3,0))</f>
        <v/>
      </c>
      <c r="H959" s="70" t="str">
        <f>IF(D959="","",'Prod 2'!K959)</f>
        <v/>
      </c>
      <c r="I959" s="77" t="str">
        <f t="shared" si="100"/>
        <v/>
      </c>
      <c r="J959" s="57"/>
      <c r="L959" s="19">
        <v>9.5499999999999996E-7</v>
      </c>
      <c r="M959" s="59">
        <f t="shared" si="101"/>
        <v>0</v>
      </c>
      <c r="N959" s="59">
        <f t="shared" si="102"/>
        <v>0</v>
      </c>
      <c r="O959" s="59">
        <f t="shared" si="103"/>
        <v>0</v>
      </c>
      <c r="P959" s="19" t="str">
        <f t="shared" si="104"/>
        <v/>
      </c>
      <c r="Q959" s="19" t="s">
        <v>995</v>
      </c>
    </row>
    <row r="960" spans="2:17" ht="30" customHeight="1" x14ac:dyDescent="0.25">
      <c r="B960" s="62" t="str">
        <f t="shared" si="98"/>
        <v/>
      </c>
      <c r="C960" s="42">
        <v>956</v>
      </c>
      <c r="D960" s="20"/>
      <c r="E960" s="58"/>
      <c r="F960" s="63" t="str">
        <f t="shared" si="99"/>
        <v/>
      </c>
      <c r="G960" s="66" t="str">
        <f>IF(D960="","",IFERROR('Prod 3'!H960/'Prod 3'!$H$3,0))</f>
        <v/>
      </c>
      <c r="H960" s="70" t="str">
        <f>IF(D960="","",'Prod 2'!K960)</f>
        <v/>
      </c>
      <c r="I960" s="77" t="str">
        <f t="shared" si="100"/>
        <v/>
      </c>
      <c r="J960" s="57"/>
      <c r="L960" s="19">
        <v>9.5600000000000004E-7</v>
      </c>
      <c r="M960" s="59">
        <f t="shared" si="101"/>
        <v>0</v>
      </c>
      <c r="N960" s="59">
        <f t="shared" si="102"/>
        <v>0</v>
      </c>
      <c r="O960" s="59">
        <f t="shared" si="103"/>
        <v>0</v>
      </c>
      <c r="P960" s="19" t="str">
        <f t="shared" si="104"/>
        <v/>
      </c>
      <c r="Q960" s="19" t="s">
        <v>996</v>
      </c>
    </row>
    <row r="961" spans="2:17" ht="30" customHeight="1" x14ac:dyDescent="0.25">
      <c r="B961" s="62" t="str">
        <f t="shared" si="98"/>
        <v/>
      </c>
      <c r="C961" s="42">
        <v>957</v>
      </c>
      <c r="D961" s="20"/>
      <c r="E961" s="58"/>
      <c r="F961" s="63" t="str">
        <f t="shared" si="99"/>
        <v/>
      </c>
      <c r="G961" s="66" t="str">
        <f>IF(D961="","",IFERROR('Prod 3'!H961/'Prod 3'!$H$3,0))</f>
        <v/>
      </c>
      <c r="H961" s="70" t="str">
        <f>IF(D961="","",'Prod 2'!K961)</f>
        <v/>
      </c>
      <c r="I961" s="77" t="str">
        <f t="shared" si="100"/>
        <v/>
      </c>
      <c r="J961" s="57"/>
      <c r="L961" s="19">
        <v>9.569999999999999E-7</v>
      </c>
      <c r="M961" s="59">
        <f t="shared" si="101"/>
        <v>0</v>
      </c>
      <c r="N961" s="59">
        <f t="shared" si="102"/>
        <v>0</v>
      </c>
      <c r="O961" s="59">
        <f t="shared" si="103"/>
        <v>0</v>
      </c>
      <c r="P961" s="19" t="str">
        <f t="shared" si="104"/>
        <v/>
      </c>
      <c r="Q961" s="19" t="s">
        <v>997</v>
      </c>
    </row>
    <row r="962" spans="2:17" ht="30" customHeight="1" x14ac:dyDescent="0.25">
      <c r="B962" s="62" t="str">
        <f t="shared" si="98"/>
        <v/>
      </c>
      <c r="C962" s="42">
        <v>958</v>
      </c>
      <c r="D962" s="20"/>
      <c r="E962" s="58"/>
      <c r="F962" s="63" t="str">
        <f t="shared" si="99"/>
        <v/>
      </c>
      <c r="G962" s="66" t="str">
        <f>IF(D962="","",IFERROR('Prod 3'!H962/'Prod 3'!$H$3,0))</f>
        <v/>
      </c>
      <c r="H962" s="70" t="str">
        <f>IF(D962="","",'Prod 2'!K962)</f>
        <v/>
      </c>
      <c r="I962" s="77" t="str">
        <f t="shared" si="100"/>
        <v/>
      </c>
      <c r="J962" s="57"/>
      <c r="L962" s="19">
        <v>9.5799999999999998E-7</v>
      </c>
      <c r="M962" s="59">
        <f t="shared" si="101"/>
        <v>0</v>
      </c>
      <c r="N962" s="59">
        <f t="shared" si="102"/>
        <v>0</v>
      </c>
      <c r="O962" s="59">
        <f t="shared" si="103"/>
        <v>0</v>
      </c>
      <c r="P962" s="19" t="str">
        <f t="shared" si="104"/>
        <v/>
      </c>
      <c r="Q962" s="19" t="s">
        <v>998</v>
      </c>
    </row>
    <row r="963" spans="2:17" ht="30" customHeight="1" x14ac:dyDescent="0.25">
      <c r="B963" s="62" t="str">
        <f t="shared" si="98"/>
        <v/>
      </c>
      <c r="C963" s="42">
        <v>959</v>
      </c>
      <c r="D963" s="20"/>
      <c r="E963" s="58"/>
      <c r="F963" s="63" t="str">
        <f t="shared" si="99"/>
        <v/>
      </c>
      <c r="G963" s="66" t="str">
        <f>IF(D963="","",IFERROR('Prod 3'!H963/'Prod 3'!$H$3,0))</f>
        <v/>
      </c>
      <c r="H963" s="70" t="str">
        <f>IF(D963="","",'Prod 2'!K963)</f>
        <v/>
      </c>
      <c r="I963" s="77" t="str">
        <f t="shared" si="100"/>
        <v/>
      </c>
      <c r="J963" s="57"/>
      <c r="L963" s="19">
        <v>9.5900000000000005E-7</v>
      </c>
      <c r="M963" s="59">
        <f t="shared" si="101"/>
        <v>0</v>
      </c>
      <c r="N963" s="59">
        <f t="shared" si="102"/>
        <v>0</v>
      </c>
      <c r="O963" s="59">
        <f t="shared" si="103"/>
        <v>0</v>
      </c>
      <c r="P963" s="19" t="str">
        <f t="shared" si="104"/>
        <v/>
      </c>
      <c r="Q963" s="19" t="s">
        <v>999</v>
      </c>
    </row>
    <row r="964" spans="2:17" ht="30" customHeight="1" x14ac:dyDescent="0.25">
      <c r="B964" s="62" t="str">
        <f t="shared" si="98"/>
        <v/>
      </c>
      <c r="C964" s="42">
        <v>960</v>
      </c>
      <c r="D964" s="20"/>
      <c r="E964" s="58"/>
      <c r="F964" s="63" t="str">
        <f t="shared" si="99"/>
        <v/>
      </c>
      <c r="G964" s="66" t="str">
        <f>IF(D964="","",IFERROR('Prod 3'!H964/'Prod 3'!$H$3,0))</f>
        <v/>
      </c>
      <c r="H964" s="70" t="str">
        <f>IF(D964="","",'Prod 2'!K964)</f>
        <v/>
      </c>
      <c r="I964" s="77" t="str">
        <f t="shared" si="100"/>
        <v/>
      </c>
      <c r="J964" s="57"/>
      <c r="L964" s="19">
        <v>9.5999999999999991E-7</v>
      </c>
      <c r="M964" s="59">
        <f t="shared" si="101"/>
        <v>0</v>
      </c>
      <c r="N964" s="59">
        <f t="shared" si="102"/>
        <v>0</v>
      </c>
      <c r="O964" s="59">
        <f t="shared" si="103"/>
        <v>0</v>
      </c>
      <c r="P964" s="19" t="str">
        <f t="shared" si="104"/>
        <v/>
      </c>
      <c r="Q964" s="19" t="s">
        <v>1000</v>
      </c>
    </row>
    <row r="965" spans="2:17" ht="30" customHeight="1" x14ac:dyDescent="0.25">
      <c r="B965" s="62" t="str">
        <f t="shared" si="98"/>
        <v/>
      </c>
      <c r="C965" s="42">
        <v>961</v>
      </c>
      <c r="D965" s="20"/>
      <c r="E965" s="58"/>
      <c r="F965" s="63" t="str">
        <f t="shared" si="99"/>
        <v/>
      </c>
      <c r="G965" s="66" t="str">
        <f>IF(D965="","",IFERROR('Prod 3'!H965/'Prod 3'!$H$3,0))</f>
        <v/>
      </c>
      <c r="H965" s="70" t="str">
        <f>IF(D965="","",'Prod 2'!K965)</f>
        <v/>
      </c>
      <c r="I965" s="77" t="str">
        <f t="shared" si="100"/>
        <v/>
      </c>
      <c r="J965" s="57"/>
      <c r="L965" s="19">
        <v>9.6099999999999999E-7</v>
      </c>
      <c r="M965" s="59">
        <f t="shared" si="101"/>
        <v>0</v>
      </c>
      <c r="N965" s="59">
        <f t="shared" si="102"/>
        <v>0</v>
      </c>
      <c r="O965" s="59">
        <f t="shared" si="103"/>
        <v>0</v>
      </c>
      <c r="P965" s="19" t="str">
        <f t="shared" si="104"/>
        <v/>
      </c>
      <c r="Q965" s="19" t="s">
        <v>1001</v>
      </c>
    </row>
    <row r="966" spans="2:17" ht="30" customHeight="1" x14ac:dyDescent="0.25">
      <c r="B966" s="62" t="str">
        <f t="shared" ref="B966:B1004" si="105">IF(I966="","",I966)</f>
        <v/>
      </c>
      <c r="C966" s="42">
        <v>962</v>
      </c>
      <c r="D966" s="20"/>
      <c r="E966" s="58"/>
      <c r="F966" s="63" t="str">
        <f t="shared" ref="F966:F1004" si="106">IF(D966="","",IFERROR(VLOOKUP(D966,$P$5:$Q$1004,2,0),""))</f>
        <v/>
      </c>
      <c r="G966" s="66" t="str">
        <f>IF(D966="","",IFERROR('Prod 3'!H966/'Prod 3'!$H$3,0))</f>
        <v/>
      </c>
      <c r="H966" s="70" t="str">
        <f>IF(D966="","",'Prod 2'!K966)</f>
        <v/>
      </c>
      <c r="I966" s="77" t="str">
        <f t="shared" ref="I966:I1004" si="107">IF(D966="","",E966-H966+L966)</f>
        <v/>
      </c>
      <c r="J966" s="57"/>
      <c r="L966" s="19">
        <v>9.6200000000000006E-7</v>
      </c>
      <c r="M966" s="59">
        <f t="shared" ref="M966:M1004" si="108">IFERROR(LARGE($I$5:$I$1004,C966),0)</f>
        <v>0</v>
      </c>
      <c r="N966" s="59">
        <f t="shared" ref="N966:N1004" si="109">IFERROR(M966,0)</f>
        <v>0</v>
      </c>
      <c r="O966" s="59">
        <f t="shared" ref="O966:O1004" si="110">IFERROR(LARGE($N$5:$N$1004,C966),0)</f>
        <v>0</v>
      </c>
      <c r="P966" s="19" t="str">
        <f t="shared" ref="P966:P1004" si="111">IFERROR(IF(VLOOKUP(O966,$B$5:$D$1004,3,0)=0,"",(VLOOKUP(O966,$B$5:$D$1004,3,0))),"")</f>
        <v/>
      </c>
      <c r="Q966" s="19" t="s">
        <v>1002</v>
      </c>
    </row>
    <row r="967" spans="2:17" ht="30" customHeight="1" x14ac:dyDescent="0.25">
      <c r="B967" s="62" t="str">
        <f t="shared" si="105"/>
        <v/>
      </c>
      <c r="C967" s="42">
        <v>963</v>
      </c>
      <c r="D967" s="20"/>
      <c r="E967" s="58"/>
      <c r="F967" s="63" t="str">
        <f t="shared" si="106"/>
        <v/>
      </c>
      <c r="G967" s="66" t="str">
        <f>IF(D967="","",IFERROR('Prod 3'!H967/'Prod 3'!$H$3,0))</f>
        <v/>
      </c>
      <c r="H967" s="70" t="str">
        <f>IF(D967="","",'Prod 2'!K967)</f>
        <v/>
      </c>
      <c r="I967" s="77" t="str">
        <f t="shared" si="107"/>
        <v/>
      </c>
      <c r="J967" s="57"/>
      <c r="L967" s="19">
        <v>9.6299999999999993E-7</v>
      </c>
      <c r="M967" s="59">
        <f t="shared" si="108"/>
        <v>0</v>
      </c>
      <c r="N967" s="59">
        <f t="shared" si="109"/>
        <v>0</v>
      </c>
      <c r="O967" s="59">
        <f t="shared" si="110"/>
        <v>0</v>
      </c>
      <c r="P967" s="19" t="str">
        <f t="shared" si="111"/>
        <v/>
      </c>
      <c r="Q967" s="19" t="s">
        <v>1003</v>
      </c>
    </row>
    <row r="968" spans="2:17" ht="30" customHeight="1" x14ac:dyDescent="0.25">
      <c r="B968" s="62" t="str">
        <f t="shared" si="105"/>
        <v/>
      </c>
      <c r="C968" s="42">
        <v>964</v>
      </c>
      <c r="D968" s="20"/>
      <c r="E968" s="58"/>
      <c r="F968" s="63" t="str">
        <f t="shared" si="106"/>
        <v/>
      </c>
      <c r="G968" s="66" t="str">
        <f>IF(D968="","",IFERROR('Prod 3'!H968/'Prod 3'!$H$3,0))</f>
        <v/>
      </c>
      <c r="H968" s="70" t="str">
        <f>IF(D968="","",'Prod 2'!K968)</f>
        <v/>
      </c>
      <c r="I968" s="77" t="str">
        <f t="shared" si="107"/>
        <v/>
      </c>
      <c r="J968" s="57"/>
      <c r="L968" s="19">
        <v>9.64E-7</v>
      </c>
      <c r="M968" s="59">
        <f t="shared" si="108"/>
        <v>0</v>
      </c>
      <c r="N968" s="59">
        <f t="shared" si="109"/>
        <v>0</v>
      </c>
      <c r="O968" s="59">
        <f t="shared" si="110"/>
        <v>0</v>
      </c>
      <c r="P968" s="19" t="str">
        <f t="shared" si="111"/>
        <v/>
      </c>
      <c r="Q968" s="19" t="s">
        <v>1004</v>
      </c>
    </row>
    <row r="969" spans="2:17" ht="30" customHeight="1" x14ac:dyDescent="0.25">
      <c r="B969" s="62" t="str">
        <f t="shared" si="105"/>
        <v/>
      </c>
      <c r="C969" s="42">
        <v>965</v>
      </c>
      <c r="D969" s="20"/>
      <c r="E969" s="58"/>
      <c r="F969" s="63" t="str">
        <f t="shared" si="106"/>
        <v/>
      </c>
      <c r="G969" s="66" t="str">
        <f>IF(D969="","",IFERROR('Prod 3'!H969/'Prod 3'!$H$3,0))</f>
        <v/>
      </c>
      <c r="H969" s="70" t="str">
        <f>IF(D969="","",'Prod 2'!K969)</f>
        <v/>
      </c>
      <c r="I969" s="77" t="str">
        <f t="shared" si="107"/>
        <v/>
      </c>
      <c r="J969" s="57"/>
      <c r="L969" s="19">
        <v>9.6500000000000008E-7</v>
      </c>
      <c r="M969" s="59">
        <f t="shared" si="108"/>
        <v>0</v>
      </c>
      <c r="N969" s="59">
        <f t="shared" si="109"/>
        <v>0</v>
      </c>
      <c r="O969" s="59">
        <f t="shared" si="110"/>
        <v>0</v>
      </c>
      <c r="P969" s="19" t="str">
        <f t="shared" si="111"/>
        <v/>
      </c>
      <c r="Q969" s="19" t="s">
        <v>1005</v>
      </c>
    </row>
    <row r="970" spans="2:17" ht="30" customHeight="1" x14ac:dyDescent="0.25">
      <c r="B970" s="62" t="str">
        <f t="shared" si="105"/>
        <v/>
      </c>
      <c r="C970" s="42">
        <v>966</v>
      </c>
      <c r="D970" s="20"/>
      <c r="E970" s="58"/>
      <c r="F970" s="63" t="str">
        <f t="shared" si="106"/>
        <v/>
      </c>
      <c r="G970" s="66" t="str">
        <f>IF(D970="","",IFERROR('Prod 3'!H970/'Prod 3'!$H$3,0))</f>
        <v/>
      </c>
      <c r="H970" s="70" t="str">
        <f>IF(D970="","",'Prod 2'!K970)</f>
        <v/>
      </c>
      <c r="I970" s="77" t="str">
        <f t="shared" si="107"/>
        <v/>
      </c>
      <c r="J970" s="57"/>
      <c r="L970" s="19">
        <v>9.6599999999999994E-7</v>
      </c>
      <c r="M970" s="59">
        <f t="shared" si="108"/>
        <v>0</v>
      </c>
      <c r="N970" s="59">
        <f t="shared" si="109"/>
        <v>0</v>
      </c>
      <c r="O970" s="59">
        <f t="shared" si="110"/>
        <v>0</v>
      </c>
      <c r="P970" s="19" t="str">
        <f t="shared" si="111"/>
        <v/>
      </c>
      <c r="Q970" s="19" t="s">
        <v>1006</v>
      </c>
    </row>
    <row r="971" spans="2:17" ht="30" customHeight="1" x14ac:dyDescent="0.25">
      <c r="B971" s="62" t="str">
        <f t="shared" si="105"/>
        <v/>
      </c>
      <c r="C971" s="42">
        <v>967</v>
      </c>
      <c r="D971" s="20"/>
      <c r="E971" s="58"/>
      <c r="F971" s="63" t="str">
        <f t="shared" si="106"/>
        <v/>
      </c>
      <c r="G971" s="66" t="str">
        <f>IF(D971="","",IFERROR('Prod 3'!H971/'Prod 3'!$H$3,0))</f>
        <v/>
      </c>
      <c r="H971" s="70" t="str">
        <f>IF(D971="","",'Prod 2'!K971)</f>
        <v/>
      </c>
      <c r="I971" s="77" t="str">
        <f t="shared" si="107"/>
        <v/>
      </c>
      <c r="J971" s="57"/>
      <c r="L971" s="19">
        <v>9.6700000000000002E-7</v>
      </c>
      <c r="M971" s="59">
        <f t="shared" si="108"/>
        <v>0</v>
      </c>
      <c r="N971" s="59">
        <f t="shared" si="109"/>
        <v>0</v>
      </c>
      <c r="O971" s="59">
        <f t="shared" si="110"/>
        <v>0</v>
      </c>
      <c r="P971" s="19" t="str">
        <f t="shared" si="111"/>
        <v/>
      </c>
      <c r="Q971" s="19" t="s">
        <v>1007</v>
      </c>
    </row>
    <row r="972" spans="2:17" ht="30" customHeight="1" x14ac:dyDescent="0.25">
      <c r="B972" s="62" t="str">
        <f t="shared" si="105"/>
        <v/>
      </c>
      <c r="C972" s="42">
        <v>968</v>
      </c>
      <c r="D972" s="20"/>
      <c r="E972" s="58"/>
      <c r="F972" s="63" t="str">
        <f t="shared" si="106"/>
        <v/>
      </c>
      <c r="G972" s="66" t="str">
        <f>IF(D972="","",IFERROR('Prod 3'!H972/'Prod 3'!$H$3,0))</f>
        <v/>
      </c>
      <c r="H972" s="70" t="str">
        <f>IF(D972="","",'Prod 2'!K972)</f>
        <v/>
      </c>
      <c r="I972" s="77" t="str">
        <f t="shared" si="107"/>
        <v/>
      </c>
      <c r="J972" s="57"/>
      <c r="L972" s="19">
        <v>9.6800000000000009E-7</v>
      </c>
      <c r="M972" s="59">
        <f t="shared" si="108"/>
        <v>0</v>
      </c>
      <c r="N972" s="59">
        <f t="shared" si="109"/>
        <v>0</v>
      </c>
      <c r="O972" s="59">
        <f t="shared" si="110"/>
        <v>0</v>
      </c>
      <c r="P972" s="19" t="str">
        <f t="shared" si="111"/>
        <v/>
      </c>
      <c r="Q972" s="19" t="s">
        <v>1008</v>
      </c>
    </row>
    <row r="973" spans="2:17" ht="30" customHeight="1" x14ac:dyDescent="0.25">
      <c r="B973" s="62" t="str">
        <f t="shared" si="105"/>
        <v/>
      </c>
      <c r="C973" s="42">
        <v>969</v>
      </c>
      <c r="D973" s="20"/>
      <c r="E973" s="58"/>
      <c r="F973" s="63" t="str">
        <f t="shared" si="106"/>
        <v/>
      </c>
      <c r="G973" s="66" t="str">
        <f>IF(D973="","",IFERROR('Prod 3'!H973/'Prod 3'!$H$3,0))</f>
        <v/>
      </c>
      <c r="H973" s="70" t="str">
        <f>IF(D973="","",'Prod 2'!K973)</f>
        <v/>
      </c>
      <c r="I973" s="77" t="str">
        <f t="shared" si="107"/>
        <v/>
      </c>
      <c r="J973" s="57"/>
      <c r="L973" s="19">
        <v>9.6899999999999996E-7</v>
      </c>
      <c r="M973" s="59">
        <f t="shared" si="108"/>
        <v>0</v>
      </c>
      <c r="N973" s="59">
        <f t="shared" si="109"/>
        <v>0</v>
      </c>
      <c r="O973" s="59">
        <f t="shared" si="110"/>
        <v>0</v>
      </c>
      <c r="P973" s="19" t="str">
        <f t="shared" si="111"/>
        <v/>
      </c>
      <c r="Q973" s="19" t="s">
        <v>1009</v>
      </c>
    </row>
    <row r="974" spans="2:17" ht="30" customHeight="1" x14ac:dyDescent="0.25">
      <c r="B974" s="62" t="str">
        <f t="shared" si="105"/>
        <v/>
      </c>
      <c r="C974" s="42">
        <v>970</v>
      </c>
      <c r="D974" s="20"/>
      <c r="E974" s="58"/>
      <c r="F974" s="63" t="str">
        <f t="shared" si="106"/>
        <v/>
      </c>
      <c r="G974" s="66" t="str">
        <f>IF(D974="","",IFERROR('Prod 3'!H974/'Prod 3'!$H$3,0))</f>
        <v/>
      </c>
      <c r="H974" s="70" t="str">
        <f>IF(D974="","",'Prod 2'!K974)</f>
        <v/>
      </c>
      <c r="I974" s="77" t="str">
        <f t="shared" si="107"/>
        <v/>
      </c>
      <c r="J974" s="57"/>
      <c r="L974" s="19">
        <v>9.7000000000000003E-7</v>
      </c>
      <c r="M974" s="59">
        <f t="shared" si="108"/>
        <v>0</v>
      </c>
      <c r="N974" s="59">
        <f t="shared" si="109"/>
        <v>0</v>
      </c>
      <c r="O974" s="59">
        <f t="shared" si="110"/>
        <v>0</v>
      </c>
      <c r="P974" s="19" t="str">
        <f t="shared" si="111"/>
        <v/>
      </c>
      <c r="Q974" s="19" t="s">
        <v>1010</v>
      </c>
    </row>
    <row r="975" spans="2:17" ht="30" customHeight="1" x14ac:dyDescent="0.25">
      <c r="B975" s="62" t="str">
        <f t="shared" si="105"/>
        <v/>
      </c>
      <c r="C975" s="42">
        <v>971</v>
      </c>
      <c r="D975" s="20"/>
      <c r="E975" s="58"/>
      <c r="F975" s="63" t="str">
        <f t="shared" si="106"/>
        <v/>
      </c>
      <c r="G975" s="66" t="str">
        <f>IF(D975="","",IFERROR('Prod 3'!H975/'Prod 3'!$H$3,0))</f>
        <v/>
      </c>
      <c r="H975" s="70" t="str">
        <f>IF(D975="","",'Prod 2'!K975)</f>
        <v/>
      </c>
      <c r="I975" s="77" t="str">
        <f t="shared" si="107"/>
        <v/>
      </c>
      <c r="J975" s="57"/>
      <c r="L975" s="19">
        <v>9.7100000000000011E-7</v>
      </c>
      <c r="M975" s="59">
        <f t="shared" si="108"/>
        <v>0</v>
      </c>
      <c r="N975" s="59">
        <f t="shared" si="109"/>
        <v>0</v>
      </c>
      <c r="O975" s="59">
        <f t="shared" si="110"/>
        <v>0</v>
      </c>
      <c r="P975" s="19" t="str">
        <f t="shared" si="111"/>
        <v/>
      </c>
      <c r="Q975" s="19" t="s">
        <v>1011</v>
      </c>
    </row>
    <row r="976" spans="2:17" ht="30" customHeight="1" x14ac:dyDescent="0.25">
      <c r="B976" s="62" t="str">
        <f t="shared" si="105"/>
        <v/>
      </c>
      <c r="C976" s="42">
        <v>972</v>
      </c>
      <c r="D976" s="20"/>
      <c r="E976" s="58"/>
      <c r="F976" s="63" t="str">
        <f t="shared" si="106"/>
        <v/>
      </c>
      <c r="G976" s="66" t="str">
        <f>IF(D976="","",IFERROR('Prod 3'!H976/'Prod 3'!$H$3,0))</f>
        <v/>
      </c>
      <c r="H976" s="70" t="str">
        <f>IF(D976="","",'Prod 2'!K976)</f>
        <v/>
      </c>
      <c r="I976" s="77" t="str">
        <f t="shared" si="107"/>
        <v/>
      </c>
      <c r="J976" s="57"/>
      <c r="L976" s="19">
        <v>9.7199999999999997E-7</v>
      </c>
      <c r="M976" s="59">
        <f t="shared" si="108"/>
        <v>0</v>
      </c>
      <c r="N976" s="59">
        <f t="shared" si="109"/>
        <v>0</v>
      </c>
      <c r="O976" s="59">
        <f t="shared" si="110"/>
        <v>0</v>
      </c>
      <c r="P976" s="19" t="str">
        <f t="shared" si="111"/>
        <v/>
      </c>
      <c r="Q976" s="19" t="s">
        <v>1012</v>
      </c>
    </row>
    <row r="977" spans="2:17" ht="30" customHeight="1" x14ac:dyDescent="0.25">
      <c r="B977" s="62" t="str">
        <f t="shared" si="105"/>
        <v/>
      </c>
      <c r="C977" s="42">
        <v>973</v>
      </c>
      <c r="D977" s="20"/>
      <c r="E977" s="58"/>
      <c r="F977" s="63" t="str">
        <f t="shared" si="106"/>
        <v/>
      </c>
      <c r="G977" s="66" t="str">
        <f>IF(D977="","",IFERROR('Prod 3'!H977/'Prod 3'!$H$3,0))</f>
        <v/>
      </c>
      <c r="H977" s="70" t="str">
        <f>IF(D977="","",'Prod 2'!K977)</f>
        <v/>
      </c>
      <c r="I977" s="77" t="str">
        <f t="shared" si="107"/>
        <v/>
      </c>
      <c r="J977" s="57"/>
      <c r="L977" s="19">
        <v>9.7300000000000004E-7</v>
      </c>
      <c r="M977" s="59">
        <f t="shared" si="108"/>
        <v>0</v>
      </c>
      <c r="N977" s="59">
        <f t="shared" si="109"/>
        <v>0</v>
      </c>
      <c r="O977" s="59">
        <f t="shared" si="110"/>
        <v>0</v>
      </c>
      <c r="P977" s="19" t="str">
        <f t="shared" si="111"/>
        <v/>
      </c>
      <c r="Q977" s="19" t="s">
        <v>1013</v>
      </c>
    </row>
    <row r="978" spans="2:17" ht="30" customHeight="1" x14ac:dyDescent="0.25">
      <c r="B978" s="62" t="str">
        <f t="shared" si="105"/>
        <v/>
      </c>
      <c r="C978" s="42">
        <v>974</v>
      </c>
      <c r="D978" s="20"/>
      <c r="E978" s="58"/>
      <c r="F978" s="63" t="str">
        <f t="shared" si="106"/>
        <v/>
      </c>
      <c r="G978" s="66" t="str">
        <f>IF(D978="","",IFERROR('Prod 3'!H978/'Prod 3'!$H$3,0))</f>
        <v/>
      </c>
      <c r="H978" s="70" t="str">
        <f>IF(D978="","",'Prod 2'!K978)</f>
        <v/>
      </c>
      <c r="I978" s="77" t="str">
        <f t="shared" si="107"/>
        <v/>
      </c>
      <c r="J978" s="57"/>
      <c r="L978" s="19">
        <v>9.7399999999999991E-7</v>
      </c>
      <c r="M978" s="59">
        <f t="shared" si="108"/>
        <v>0</v>
      </c>
      <c r="N978" s="59">
        <f t="shared" si="109"/>
        <v>0</v>
      </c>
      <c r="O978" s="59">
        <f t="shared" si="110"/>
        <v>0</v>
      </c>
      <c r="P978" s="19" t="str">
        <f t="shared" si="111"/>
        <v/>
      </c>
      <c r="Q978" s="19" t="s">
        <v>1014</v>
      </c>
    </row>
    <row r="979" spans="2:17" ht="30" customHeight="1" x14ac:dyDescent="0.25">
      <c r="B979" s="62" t="str">
        <f t="shared" si="105"/>
        <v/>
      </c>
      <c r="C979" s="42">
        <v>975</v>
      </c>
      <c r="D979" s="20"/>
      <c r="E979" s="58"/>
      <c r="F979" s="63" t="str">
        <f t="shared" si="106"/>
        <v/>
      </c>
      <c r="G979" s="66" t="str">
        <f>IF(D979="","",IFERROR('Prod 3'!H979/'Prod 3'!$H$3,0))</f>
        <v/>
      </c>
      <c r="H979" s="70" t="str">
        <f>IF(D979="","",'Prod 2'!K979)</f>
        <v/>
      </c>
      <c r="I979" s="77" t="str">
        <f t="shared" si="107"/>
        <v/>
      </c>
      <c r="J979" s="57"/>
      <c r="L979" s="19">
        <v>9.7499999999999998E-7</v>
      </c>
      <c r="M979" s="59">
        <f t="shared" si="108"/>
        <v>0</v>
      </c>
      <c r="N979" s="59">
        <f t="shared" si="109"/>
        <v>0</v>
      </c>
      <c r="O979" s="59">
        <f t="shared" si="110"/>
        <v>0</v>
      </c>
      <c r="P979" s="19" t="str">
        <f t="shared" si="111"/>
        <v/>
      </c>
      <c r="Q979" s="19" t="s">
        <v>1015</v>
      </c>
    </row>
    <row r="980" spans="2:17" ht="30" customHeight="1" x14ac:dyDescent="0.25">
      <c r="B980" s="62" t="str">
        <f t="shared" si="105"/>
        <v/>
      </c>
      <c r="C980" s="42">
        <v>976</v>
      </c>
      <c r="D980" s="20"/>
      <c r="E980" s="58"/>
      <c r="F980" s="63" t="str">
        <f t="shared" si="106"/>
        <v/>
      </c>
      <c r="G980" s="66" t="str">
        <f>IF(D980="","",IFERROR('Prod 3'!H980/'Prod 3'!$H$3,0))</f>
        <v/>
      </c>
      <c r="H980" s="70" t="str">
        <f>IF(D980="","",'Prod 2'!K980)</f>
        <v/>
      </c>
      <c r="I980" s="77" t="str">
        <f t="shared" si="107"/>
        <v/>
      </c>
      <c r="J980" s="57"/>
      <c r="L980" s="19">
        <v>9.7600000000000006E-7</v>
      </c>
      <c r="M980" s="59">
        <f t="shared" si="108"/>
        <v>0</v>
      </c>
      <c r="N980" s="59">
        <f t="shared" si="109"/>
        <v>0</v>
      </c>
      <c r="O980" s="59">
        <f t="shared" si="110"/>
        <v>0</v>
      </c>
      <c r="P980" s="19" t="str">
        <f t="shared" si="111"/>
        <v/>
      </c>
      <c r="Q980" s="19" t="s">
        <v>1016</v>
      </c>
    </row>
    <row r="981" spans="2:17" ht="30" customHeight="1" x14ac:dyDescent="0.25">
      <c r="B981" s="62" t="str">
        <f t="shared" si="105"/>
        <v/>
      </c>
      <c r="C981" s="42">
        <v>977</v>
      </c>
      <c r="D981" s="20"/>
      <c r="E981" s="58"/>
      <c r="F981" s="63" t="str">
        <f t="shared" si="106"/>
        <v/>
      </c>
      <c r="G981" s="66" t="str">
        <f>IF(D981="","",IFERROR('Prod 3'!H981/'Prod 3'!$H$3,0))</f>
        <v/>
      </c>
      <c r="H981" s="70" t="str">
        <f>IF(D981="","",'Prod 2'!K981)</f>
        <v/>
      </c>
      <c r="I981" s="77" t="str">
        <f t="shared" si="107"/>
        <v/>
      </c>
      <c r="J981" s="57"/>
      <c r="L981" s="19">
        <v>9.7699999999999992E-7</v>
      </c>
      <c r="M981" s="59">
        <f t="shared" si="108"/>
        <v>0</v>
      </c>
      <c r="N981" s="59">
        <f t="shared" si="109"/>
        <v>0</v>
      </c>
      <c r="O981" s="59">
        <f t="shared" si="110"/>
        <v>0</v>
      </c>
      <c r="P981" s="19" t="str">
        <f t="shared" si="111"/>
        <v/>
      </c>
      <c r="Q981" s="19" t="s">
        <v>1017</v>
      </c>
    </row>
    <row r="982" spans="2:17" ht="30" customHeight="1" x14ac:dyDescent="0.25">
      <c r="B982" s="62" t="str">
        <f t="shared" si="105"/>
        <v/>
      </c>
      <c r="C982" s="42">
        <v>978</v>
      </c>
      <c r="D982" s="20"/>
      <c r="E982" s="58"/>
      <c r="F982" s="63" t="str">
        <f t="shared" si="106"/>
        <v/>
      </c>
      <c r="G982" s="66" t="str">
        <f>IF(D982="","",IFERROR('Prod 3'!H982/'Prod 3'!$H$3,0))</f>
        <v/>
      </c>
      <c r="H982" s="70" t="str">
        <f>IF(D982="","",'Prod 2'!K982)</f>
        <v/>
      </c>
      <c r="I982" s="77" t="str">
        <f t="shared" si="107"/>
        <v/>
      </c>
      <c r="J982" s="57"/>
      <c r="L982" s="19">
        <v>9.78E-7</v>
      </c>
      <c r="M982" s="59">
        <f t="shared" si="108"/>
        <v>0</v>
      </c>
      <c r="N982" s="59">
        <f t="shared" si="109"/>
        <v>0</v>
      </c>
      <c r="O982" s="59">
        <f t="shared" si="110"/>
        <v>0</v>
      </c>
      <c r="P982" s="19" t="str">
        <f t="shared" si="111"/>
        <v/>
      </c>
      <c r="Q982" s="19" t="s">
        <v>1018</v>
      </c>
    </row>
    <row r="983" spans="2:17" ht="30" customHeight="1" x14ac:dyDescent="0.25">
      <c r="B983" s="62" t="str">
        <f t="shared" si="105"/>
        <v/>
      </c>
      <c r="C983" s="42">
        <v>979</v>
      </c>
      <c r="D983" s="20"/>
      <c r="E983" s="58"/>
      <c r="F983" s="63" t="str">
        <f t="shared" si="106"/>
        <v/>
      </c>
      <c r="G983" s="66" t="str">
        <f>IF(D983="","",IFERROR('Prod 3'!H983/'Prod 3'!$H$3,0))</f>
        <v/>
      </c>
      <c r="H983" s="70" t="str">
        <f>IF(D983="","",'Prod 2'!K983)</f>
        <v/>
      </c>
      <c r="I983" s="77" t="str">
        <f t="shared" si="107"/>
        <v/>
      </c>
      <c r="J983" s="57"/>
      <c r="L983" s="19">
        <v>9.7900000000000007E-7</v>
      </c>
      <c r="M983" s="59">
        <f t="shared" si="108"/>
        <v>0</v>
      </c>
      <c r="N983" s="59">
        <f t="shared" si="109"/>
        <v>0</v>
      </c>
      <c r="O983" s="59">
        <f t="shared" si="110"/>
        <v>0</v>
      </c>
      <c r="P983" s="19" t="str">
        <f t="shared" si="111"/>
        <v/>
      </c>
      <c r="Q983" s="19" t="s">
        <v>1019</v>
      </c>
    </row>
    <row r="984" spans="2:17" ht="30" customHeight="1" x14ac:dyDescent="0.25">
      <c r="B984" s="62" t="str">
        <f t="shared" si="105"/>
        <v/>
      </c>
      <c r="C984" s="42">
        <v>980</v>
      </c>
      <c r="D984" s="20"/>
      <c r="E984" s="58"/>
      <c r="F984" s="63" t="str">
        <f t="shared" si="106"/>
        <v/>
      </c>
      <c r="G984" s="66" t="str">
        <f>IF(D984="","",IFERROR('Prod 3'!H984/'Prod 3'!$H$3,0))</f>
        <v/>
      </c>
      <c r="H984" s="70" t="str">
        <f>IF(D984="","",'Prod 2'!K984)</f>
        <v/>
      </c>
      <c r="I984" s="77" t="str">
        <f t="shared" si="107"/>
        <v/>
      </c>
      <c r="J984" s="57"/>
      <c r="L984" s="19">
        <v>9.7999999999999993E-7</v>
      </c>
      <c r="M984" s="59">
        <f t="shared" si="108"/>
        <v>0</v>
      </c>
      <c r="N984" s="59">
        <f t="shared" si="109"/>
        <v>0</v>
      </c>
      <c r="O984" s="59">
        <f t="shared" si="110"/>
        <v>0</v>
      </c>
      <c r="P984" s="19" t="str">
        <f t="shared" si="111"/>
        <v/>
      </c>
      <c r="Q984" s="19" t="s">
        <v>1020</v>
      </c>
    </row>
    <row r="985" spans="2:17" ht="30" customHeight="1" x14ac:dyDescent="0.25">
      <c r="B985" s="62" t="str">
        <f t="shared" si="105"/>
        <v/>
      </c>
      <c r="C985" s="42">
        <v>981</v>
      </c>
      <c r="D985" s="20"/>
      <c r="E985" s="58"/>
      <c r="F985" s="63" t="str">
        <f t="shared" si="106"/>
        <v/>
      </c>
      <c r="G985" s="66" t="str">
        <f>IF(D985="","",IFERROR('Prod 3'!H985/'Prod 3'!$H$3,0))</f>
        <v/>
      </c>
      <c r="H985" s="70" t="str">
        <f>IF(D985="","",'Prod 2'!K985)</f>
        <v/>
      </c>
      <c r="I985" s="77" t="str">
        <f t="shared" si="107"/>
        <v/>
      </c>
      <c r="J985" s="57"/>
      <c r="L985" s="19">
        <v>9.8100000000000001E-7</v>
      </c>
      <c r="M985" s="59">
        <f t="shared" si="108"/>
        <v>0</v>
      </c>
      <c r="N985" s="59">
        <f t="shared" si="109"/>
        <v>0</v>
      </c>
      <c r="O985" s="59">
        <f t="shared" si="110"/>
        <v>0</v>
      </c>
      <c r="P985" s="19" t="str">
        <f t="shared" si="111"/>
        <v/>
      </c>
      <c r="Q985" s="19" t="s">
        <v>1021</v>
      </c>
    </row>
    <row r="986" spans="2:17" ht="30" customHeight="1" x14ac:dyDescent="0.25">
      <c r="B986" s="62" t="str">
        <f t="shared" si="105"/>
        <v/>
      </c>
      <c r="C986" s="42">
        <v>982</v>
      </c>
      <c r="D986" s="20"/>
      <c r="E986" s="58"/>
      <c r="F986" s="63" t="str">
        <f t="shared" si="106"/>
        <v/>
      </c>
      <c r="G986" s="66" t="str">
        <f>IF(D986="","",IFERROR('Prod 3'!H986/'Prod 3'!$H$3,0))</f>
        <v/>
      </c>
      <c r="H986" s="70" t="str">
        <f>IF(D986="","",'Prod 2'!K986)</f>
        <v/>
      </c>
      <c r="I986" s="77" t="str">
        <f t="shared" si="107"/>
        <v/>
      </c>
      <c r="J986" s="57"/>
      <c r="L986" s="19">
        <v>9.8200000000000008E-7</v>
      </c>
      <c r="M986" s="59">
        <f t="shared" si="108"/>
        <v>0</v>
      </c>
      <c r="N986" s="59">
        <f t="shared" si="109"/>
        <v>0</v>
      </c>
      <c r="O986" s="59">
        <f t="shared" si="110"/>
        <v>0</v>
      </c>
      <c r="P986" s="19" t="str">
        <f t="shared" si="111"/>
        <v/>
      </c>
      <c r="Q986" s="19" t="s">
        <v>1022</v>
      </c>
    </row>
    <row r="987" spans="2:17" ht="30" customHeight="1" x14ac:dyDescent="0.25">
      <c r="B987" s="62" t="str">
        <f t="shared" si="105"/>
        <v/>
      </c>
      <c r="C987" s="42">
        <v>983</v>
      </c>
      <c r="D987" s="20"/>
      <c r="E987" s="58"/>
      <c r="F987" s="63" t="str">
        <f t="shared" si="106"/>
        <v/>
      </c>
      <c r="G987" s="66" t="str">
        <f>IF(D987="","",IFERROR('Prod 3'!H987/'Prod 3'!$H$3,0))</f>
        <v/>
      </c>
      <c r="H987" s="70" t="str">
        <f>IF(D987="","",'Prod 2'!K987)</f>
        <v/>
      </c>
      <c r="I987" s="77" t="str">
        <f t="shared" si="107"/>
        <v/>
      </c>
      <c r="J987" s="57"/>
      <c r="L987" s="19">
        <v>9.8299999999999995E-7</v>
      </c>
      <c r="M987" s="59">
        <f t="shared" si="108"/>
        <v>0</v>
      </c>
      <c r="N987" s="59">
        <f t="shared" si="109"/>
        <v>0</v>
      </c>
      <c r="O987" s="59">
        <f t="shared" si="110"/>
        <v>0</v>
      </c>
      <c r="P987" s="19" t="str">
        <f t="shared" si="111"/>
        <v/>
      </c>
      <c r="Q987" s="19" t="s">
        <v>1023</v>
      </c>
    </row>
    <row r="988" spans="2:17" ht="30" customHeight="1" x14ac:dyDescent="0.25">
      <c r="B988" s="62" t="str">
        <f t="shared" si="105"/>
        <v/>
      </c>
      <c r="C988" s="42">
        <v>984</v>
      </c>
      <c r="D988" s="20"/>
      <c r="E988" s="58"/>
      <c r="F988" s="63" t="str">
        <f t="shared" si="106"/>
        <v/>
      </c>
      <c r="G988" s="66" t="str">
        <f>IF(D988="","",IFERROR('Prod 3'!H988/'Prod 3'!$H$3,0))</f>
        <v/>
      </c>
      <c r="H988" s="70" t="str">
        <f>IF(D988="","",'Prod 2'!K988)</f>
        <v/>
      </c>
      <c r="I988" s="77" t="str">
        <f t="shared" si="107"/>
        <v/>
      </c>
      <c r="J988" s="57"/>
      <c r="L988" s="19">
        <v>9.8400000000000002E-7</v>
      </c>
      <c r="M988" s="59">
        <f t="shared" si="108"/>
        <v>0</v>
      </c>
      <c r="N988" s="59">
        <f t="shared" si="109"/>
        <v>0</v>
      </c>
      <c r="O988" s="59">
        <f t="shared" si="110"/>
        <v>0</v>
      </c>
      <c r="P988" s="19" t="str">
        <f t="shared" si="111"/>
        <v/>
      </c>
      <c r="Q988" s="19" t="s">
        <v>1024</v>
      </c>
    </row>
    <row r="989" spans="2:17" ht="30" customHeight="1" x14ac:dyDescent="0.25">
      <c r="B989" s="62" t="str">
        <f t="shared" si="105"/>
        <v/>
      </c>
      <c r="C989" s="42">
        <v>985</v>
      </c>
      <c r="D989" s="20"/>
      <c r="E989" s="58"/>
      <c r="F989" s="63" t="str">
        <f t="shared" si="106"/>
        <v/>
      </c>
      <c r="G989" s="66" t="str">
        <f>IF(D989="","",IFERROR('Prod 3'!H989/'Prod 3'!$H$3,0))</f>
        <v/>
      </c>
      <c r="H989" s="70" t="str">
        <f>IF(D989="","",'Prod 2'!K989)</f>
        <v/>
      </c>
      <c r="I989" s="77" t="str">
        <f t="shared" si="107"/>
        <v/>
      </c>
      <c r="J989" s="57"/>
      <c r="L989" s="19">
        <v>9.850000000000001E-7</v>
      </c>
      <c r="M989" s="59">
        <f t="shared" si="108"/>
        <v>0</v>
      </c>
      <c r="N989" s="59">
        <f t="shared" si="109"/>
        <v>0</v>
      </c>
      <c r="O989" s="59">
        <f t="shared" si="110"/>
        <v>0</v>
      </c>
      <c r="P989" s="19" t="str">
        <f t="shared" si="111"/>
        <v/>
      </c>
      <c r="Q989" s="19" t="s">
        <v>1025</v>
      </c>
    </row>
    <row r="990" spans="2:17" ht="30" customHeight="1" x14ac:dyDescent="0.25">
      <c r="B990" s="62" t="str">
        <f t="shared" si="105"/>
        <v/>
      </c>
      <c r="C990" s="42">
        <v>986</v>
      </c>
      <c r="D990" s="20"/>
      <c r="E990" s="58"/>
      <c r="F990" s="63" t="str">
        <f t="shared" si="106"/>
        <v/>
      </c>
      <c r="G990" s="66" t="str">
        <f>IF(D990="","",IFERROR('Prod 3'!H990/'Prod 3'!$H$3,0))</f>
        <v/>
      </c>
      <c r="H990" s="70" t="str">
        <f>IF(D990="","",'Prod 2'!K990)</f>
        <v/>
      </c>
      <c r="I990" s="77" t="str">
        <f t="shared" si="107"/>
        <v/>
      </c>
      <c r="J990" s="57"/>
      <c r="L990" s="19">
        <v>9.8599999999999996E-7</v>
      </c>
      <c r="M990" s="59">
        <f t="shared" si="108"/>
        <v>0</v>
      </c>
      <c r="N990" s="59">
        <f t="shared" si="109"/>
        <v>0</v>
      </c>
      <c r="O990" s="59">
        <f t="shared" si="110"/>
        <v>0</v>
      </c>
      <c r="P990" s="19" t="str">
        <f t="shared" si="111"/>
        <v/>
      </c>
      <c r="Q990" s="19" t="s">
        <v>1026</v>
      </c>
    </row>
    <row r="991" spans="2:17" ht="30" customHeight="1" x14ac:dyDescent="0.25">
      <c r="B991" s="62" t="str">
        <f t="shared" si="105"/>
        <v/>
      </c>
      <c r="C991" s="42">
        <v>987</v>
      </c>
      <c r="D991" s="20"/>
      <c r="E991" s="58"/>
      <c r="F991" s="63" t="str">
        <f t="shared" si="106"/>
        <v/>
      </c>
      <c r="G991" s="66" t="str">
        <f>IF(D991="","",IFERROR('Prod 3'!H991/'Prod 3'!$H$3,0))</f>
        <v/>
      </c>
      <c r="H991" s="70" t="str">
        <f>IF(D991="","",'Prod 2'!K991)</f>
        <v/>
      </c>
      <c r="I991" s="77" t="str">
        <f t="shared" si="107"/>
        <v/>
      </c>
      <c r="J991" s="57"/>
      <c r="L991" s="19">
        <v>9.8700000000000004E-7</v>
      </c>
      <c r="M991" s="59">
        <f t="shared" si="108"/>
        <v>0</v>
      </c>
      <c r="N991" s="59">
        <f t="shared" si="109"/>
        <v>0</v>
      </c>
      <c r="O991" s="59">
        <f t="shared" si="110"/>
        <v>0</v>
      </c>
      <c r="P991" s="19" t="str">
        <f t="shared" si="111"/>
        <v/>
      </c>
      <c r="Q991" s="19" t="s">
        <v>1027</v>
      </c>
    </row>
    <row r="992" spans="2:17" ht="30" customHeight="1" x14ac:dyDescent="0.25">
      <c r="B992" s="62" t="str">
        <f t="shared" si="105"/>
        <v/>
      </c>
      <c r="C992" s="42">
        <v>988</v>
      </c>
      <c r="D992" s="20"/>
      <c r="E992" s="58"/>
      <c r="F992" s="63" t="str">
        <f t="shared" si="106"/>
        <v/>
      </c>
      <c r="G992" s="66" t="str">
        <f>IF(D992="","",IFERROR('Prod 3'!H992/'Prod 3'!$H$3,0))</f>
        <v/>
      </c>
      <c r="H992" s="70" t="str">
        <f>IF(D992="","",'Prod 2'!K992)</f>
        <v/>
      </c>
      <c r="I992" s="77" t="str">
        <f t="shared" si="107"/>
        <v/>
      </c>
      <c r="J992" s="57"/>
      <c r="L992" s="19">
        <v>9.879999999999999E-7</v>
      </c>
      <c r="M992" s="59">
        <f t="shared" si="108"/>
        <v>0</v>
      </c>
      <c r="N992" s="59">
        <f t="shared" si="109"/>
        <v>0</v>
      </c>
      <c r="O992" s="59">
        <f t="shared" si="110"/>
        <v>0</v>
      </c>
      <c r="P992" s="19" t="str">
        <f t="shared" si="111"/>
        <v/>
      </c>
      <c r="Q992" s="19" t="s">
        <v>1028</v>
      </c>
    </row>
    <row r="993" spans="2:17" ht="30" customHeight="1" x14ac:dyDescent="0.25">
      <c r="B993" s="62" t="str">
        <f t="shared" si="105"/>
        <v/>
      </c>
      <c r="C993" s="42">
        <v>989</v>
      </c>
      <c r="D993" s="20"/>
      <c r="E993" s="58"/>
      <c r="F993" s="63" t="str">
        <f t="shared" si="106"/>
        <v/>
      </c>
      <c r="G993" s="66" t="str">
        <f>IF(D993="","",IFERROR('Prod 3'!H993/'Prod 3'!$H$3,0))</f>
        <v/>
      </c>
      <c r="H993" s="70" t="str">
        <f>IF(D993="","",'Prod 2'!K993)</f>
        <v/>
      </c>
      <c r="I993" s="77" t="str">
        <f t="shared" si="107"/>
        <v/>
      </c>
      <c r="J993" s="57"/>
      <c r="L993" s="19">
        <v>9.8899999999999998E-7</v>
      </c>
      <c r="M993" s="59">
        <f t="shared" si="108"/>
        <v>0</v>
      </c>
      <c r="N993" s="59">
        <f t="shared" si="109"/>
        <v>0</v>
      </c>
      <c r="O993" s="59">
        <f t="shared" si="110"/>
        <v>0</v>
      </c>
      <c r="P993" s="19" t="str">
        <f t="shared" si="111"/>
        <v/>
      </c>
      <c r="Q993" s="19" t="s">
        <v>1029</v>
      </c>
    </row>
    <row r="994" spans="2:17" ht="30" customHeight="1" x14ac:dyDescent="0.25">
      <c r="B994" s="62" t="str">
        <f t="shared" si="105"/>
        <v/>
      </c>
      <c r="C994" s="42">
        <v>990</v>
      </c>
      <c r="D994" s="20"/>
      <c r="E994" s="58"/>
      <c r="F994" s="63" t="str">
        <f t="shared" si="106"/>
        <v/>
      </c>
      <c r="G994" s="66" t="str">
        <f>IF(D994="","",IFERROR('Prod 3'!H994/'Prod 3'!$H$3,0))</f>
        <v/>
      </c>
      <c r="H994" s="70" t="str">
        <f>IF(D994="","",'Prod 2'!K994)</f>
        <v/>
      </c>
      <c r="I994" s="77" t="str">
        <f t="shared" si="107"/>
        <v/>
      </c>
      <c r="J994" s="57"/>
      <c r="L994" s="19">
        <v>9.9000000000000005E-7</v>
      </c>
      <c r="M994" s="59">
        <f t="shared" si="108"/>
        <v>0</v>
      </c>
      <c r="N994" s="59">
        <f t="shared" si="109"/>
        <v>0</v>
      </c>
      <c r="O994" s="59">
        <f t="shared" si="110"/>
        <v>0</v>
      </c>
      <c r="P994" s="19" t="str">
        <f t="shared" si="111"/>
        <v/>
      </c>
      <c r="Q994" s="19" t="s">
        <v>1030</v>
      </c>
    </row>
    <row r="995" spans="2:17" ht="30" customHeight="1" x14ac:dyDescent="0.25">
      <c r="B995" s="62" t="str">
        <f t="shared" si="105"/>
        <v/>
      </c>
      <c r="C995" s="42">
        <v>991</v>
      </c>
      <c r="D995" s="20"/>
      <c r="E995" s="58"/>
      <c r="F995" s="63" t="str">
        <f t="shared" si="106"/>
        <v/>
      </c>
      <c r="G995" s="66" t="str">
        <f>IF(D995="","",IFERROR('Prod 3'!H995/'Prod 3'!$H$3,0))</f>
        <v/>
      </c>
      <c r="H995" s="70" t="str">
        <f>IF(D995="","",'Prod 2'!K995)</f>
        <v/>
      </c>
      <c r="I995" s="77" t="str">
        <f t="shared" si="107"/>
        <v/>
      </c>
      <c r="J995" s="57"/>
      <c r="L995" s="19">
        <v>9.9099999999999991E-7</v>
      </c>
      <c r="M995" s="59">
        <f t="shared" si="108"/>
        <v>0</v>
      </c>
      <c r="N995" s="59">
        <f t="shared" si="109"/>
        <v>0</v>
      </c>
      <c r="O995" s="59">
        <f t="shared" si="110"/>
        <v>0</v>
      </c>
      <c r="P995" s="19" t="str">
        <f t="shared" si="111"/>
        <v/>
      </c>
      <c r="Q995" s="19" t="s">
        <v>1031</v>
      </c>
    </row>
    <row r="996" spans="2:17" ht="30" customHeight="1" x14ac:dyDescent="0.25">
      <c r="B996" s="62" t="str">
        <f t="shared" si="105"/>
        <v/>
      </c>
      <c r="C996" s="42">
        <v>992</v>
      </c>
      <c r="D996" s="20"/>
      <c r="E996" s="58"/>
      <c r="F996" s="63" t="str">
        <f t="shared" si="106"/>
        <v/>
      </c>
      <c r="G996" s="66" t="str">
        <f>IF(D996="","",IFERROR('Prod 3'!H996/'Prod 3'!$H$3,0))</f>
        <v/>
      </c>
      <c r="H996" s="70" t="str">
        <f>IF(D996="","",'Prod 2'!K996)</f>
        <v/>
      </c>
      <c r="I996" s="77" t="str">
        <f t="shared" si="107"/>
        <v/>
      </c>
      <c r="J996" s="57"/>
      <c r="L996" s="19">
        <v>9.9199999999999999E-7</v>
      </c>
      <c r="M996" s="59">
        <f t="shared" si="108"/>
        <v>0</v>
      </c>
      <c r="N996" s="59">
        <f t="shared" si="109"/>
        <v>0</v>
      </c>
      <c r="O996" s="59">
        <f t="shared" si="110"/>
        <v>0</v>
      </c>
      <c r="P996" s="19" t="str">
        <f t="shared" si="111"/>
        <v/>
      </c>
      <c r="Q996" s="19" t="s">
        <v>1032</v>
      </c>
    </row>
    <row r="997" spans="2:17" ht="30" customHeight="1" x14ac:dyDescent="0.25">
      <c r="B997" s="62" t="str">
        <f t="shared" si="105"/>
        <v/>
      </c>
      <c r="C997" s="42">
        <v>993</v>
      </c>
      <c r="D997" s="20"/>
      <c r="E997" s="58"/>
      <c r="F997" s="63" t="str">
        <f t="shared" si="106"/>
        <v/>
      </c>
      <c r="G997" s="66" t="str">
        <f>IF(D997="","",IFERROR('Prod 3'!H997/'Prod 3'!$H$3,0))</f>
        <v/>
      </c>
      <c r="H997" s="70" t="str">
        <f>IF(D997="","",'Prod 2'!K997)</f>
        <v/>
      </c>
      <c r="I997" s="77" t="str">
        <f t="shared" si="107"/>
        <v/>
      </c>
      <c r="J997" s="57"/>
      <c r="L997" s="19">
        <v>9.9300000000000006E-7</v>
      </c>
      <c r="M997" s="59">
        <f t="shared" si="108"/>
        <v>0</v>
      </c>
      <c r="N997" s="59">
        <f t="shared" si="109"/>
        <v>0</v>
      </c>
      <c r="O997" s="59">
        <f t="shared" si="110"/>
        <v>0</v>
      </c>
      <c r="P997" s="19" t="str">
        <f t="shared" si="111"/>
        <v/>
      </c>
      <c r="Q997" s="19" t="s">
        <v>1033</v>
      </c>
    </row>
    <row r="998" spans="2:17" ht="30" customHeight="1" x14ac:dyDescent="0.25">
      <c r="B998" s="62" t="str">
        <f t="shared" si="105"/>
        <v/>
      </c>
      <c r="C998" s="42">
        <v>994</v>
      </c>
      <c r="D998" s="20"/>
      <c r="E998" s="58"/>
      <c r="F998" s="63" t="str">
        <f t="shared" si="106"/>
        <v/>
      </c>
      <c r="G998" s="66" t="str">
        <f>IF(D998="","",IFERROR('Prod 3'!H998/'Prod 3'!$H$3,0))</f>
        <v/>
      </c>
      <c r="H998" s="70" t="str">
        <f>IF(D998="","",'Prod 2'!K998)</f>
        <v/>
      </c>
      <c r="I998" s="77" t="str">
        <f t="shared" si="107"/>
        <v/>
      </c>
      <c r="J998" s="57"/>
      <c r="L998" s="19">
        <v>9.9399999999999993E-7</v>
      </c>
      <c r="M998" s="59">
        <f t="shared" si="108"/>
        <v>0</v>
      </c>
      <c r="N998" s="59">
        <f t="shared" si="109"/>
        <v>0</v>
      </c>
      <c r="O998" s="59">
        <f t="shared" si="110"/>
        <v>0</v>
      </c>
      <c r="P998" s="19" t="str">
        <f t="shared" si="111"/>
        <v/>
      </c>
      <c r="Q998" s="19" t="s">
        <v>1034</v>
      </c>
    </row>
    <row r="999" spans="2:17" ht="30" customHeight="1" x14ac:dyDescent="0.25">
      <c r="B999" s="62" t="str">
        <f t="shared" si="105"/>
        <v/>
      </c>
      <c r="C999" s="42">
        <v>995</v>
      </c>
      <c r="D999" s="20"/>
      <c r="E999" s="58"/>
      <c r="F999" s="63" t="str">
        <f t="shared" si="106"/>
        <v/>
      </c>
      <c r="G999" s="66" t="str">
        <f>IF(D999="","",IFERROR('Prod 3'!H999/'Prod 3'!$H$3,0))</f>
        <v/>
      </c>
      <c r="H999" s="70" t="str">
        <f>IF(D999="","",'Prod 2'!K999)</f>
        <v/>
      </c>
      <c r="I999" s="77" t="str">
        <f t="shared" si="107"/>
        <v/>
      </c>
      <c r="J999" s="57"/>
      <c r="L999" s="19">
        <v>9.95E-7</v>
      </c>
      <c r="M999" s="59">
        <f t="shared" si="108"/>
        <v>0</v>
      </c>
      <c r="N999" s="59">
        <f t="shared" si="109"/>
        <v>0</v>
      </c>
      <c r="O999" s="59">
        <f t="shared" si="110"/>
        <v>0</v>
      </c>
      <c r="P999" s="19" t="str">
        <f t="shared" si="111"/>
        <v/>
      </c>
      <c r="Q999" s="19" t="s">
        <v>1035</v>
      </c>
    </row>
    <row r="1000" spans="2:17" ht="30" customHeight="1" x14ac:dyDescent="0.25">
      <c r="B1000" s="62" t="str">
        <f t="shared" si="105"/>
        <v/>
      </c>
      <c r="C1000" s="42">
        <v>996</v>
      </c>
      <c r="D1000" s="20"/>
      <c r="E1000" s="58"/>
      <c r="F1000" s="63" t="str">
        <f t="shared" si="106"/>
        <v/>
      </c>
      <c r="G1000" s="66" t="str">
        <f>IF(D1000="","",IFERROR('Prod 3'!H1000/'Prod 3'!$H$3,0))</f>
        <v/>
      </c>
      <c r="H1000" s="70" t="str">
        <f>IF(D1000="","",'Prod 2'!K1000)</f>
        <v/>
      </c>
      <c r="I1000" s="77" t="str">
        <f t="shared" si="107"/>
        <v/>
      </c>
      <c r="J1000" s="57"/>
      <c r="L1000" s="19">
        <v>9.9600000000000008E-7</v>
      </c>
      <c r="M1000" s="59">
        <f t="shared" si="108"/>
        <v>0</v>
      </c>
      <c r="N1000" s="59">
        <f t="shared" si="109"/>
        <v>0</v>
      </c>
      <c r="O1000" s="59">
        <f t="shared" si="110"/>
        <v>0</v>
      </c>
      <c r="P1000" s="19" t="str">
        <f t="shared" si="111"/>
        <v/>
      </c>
      <c r="Q1000" s="19" t="s">
        <v>1036</v>
      </c>
    </row>
    <row r="1001" spans="2:17" ht="30" customHeight="1" x14ac:dyDescent="0.25">
      <c r="B1001" s="62" t="str">
        <f t="shared" si="105"/>
        <v/>
      </c>
      <c r="C1001" s="42">
        <v>997</v>
      </c>
      <c r="D1001" s="20"/>
      <c r="E1001" s="58"/>
      <c r="F1001" s="63" t="str">
        <f t="shared" si="106"/>
        <v/>
      </c>
      <c r="G1001" s="66" t="str">
        <f>IF(D1001="","",IFERROR('Prod 3'!H1001/'Prod 3'!$H$3,0))</f>
        <v/>
      </c>
      <c r="H1001" s="70" t="str">
        <f>IF(D1001="","",'Prod 2'!K1001)</f>
        <v/>
      </c>
      <c r="I1001" s="77" t="str">
        <f t="shared" si="107"/>
        <v/>
      </c>
      <c r="J1001" s="57"/>
      <c r="L1001" s="19">
        <v>9.9699999999999994E-7</v>
      </c>
      <c r="M1001" s="59">
        <f t="shared" si="108"/>
        <v>0</v>
      </c>
      <c r="N1001" s="59">
        <f t="shared" si="109"/>
        <v>0</v>
      </c>
      <c r="O1001" s="59">
        <f t="shared" si="110"/>
        <v>0</v>
      </c>
      <c r="P1001" s="19" t="str">
        <f t="shared" si="111"/>
        <v/>
      </c>
      <c r="Q1001" s="19" t="s">
        <v>1037</v>
      </c>
    </row>
    <row r="1002" spans="2:17" ht="30" customHeight="1" x14ac:dyDescent="0.25">
      <c r="B1002" s="62" t="str">
        <f t="shared" si="105"/>
        <v/>
      </c>
      <c r="C1002" s="42">
        <v>998</v>
      </c>
      <c r="D1002" s="20"/>
      <c r="E1002" s="58"/>
      <c r="F1002" s="63" t="str">
        <f t="shared" si="106"/>
        <v/>
      </c>
      <c r="G1002" s="66" t="str">
        <f>IF(D1002="","",IFERROR('Prod 3'!H1002/'Prod 3'!$H$3,0))</f>
        <v/>
      </c>
      <c r="H1002" s="70" t="str">
        <f>IF(D1002="","",'Prod 2'!K1002)</f>
        <v/>
      </c>
      <c r="I1002" s="77" t="str">
        <f t="shared" si="107"/>
        <v/>
      </c>
      <c r="J1002" s="57"/>
      <c r="L1002" s="19">
        <v>9.9800000000000002E-7</v>
      </c>
      <c r="M1002" s="59">
        <f t="shared" si="108"/>
        <v>0</v>
      </c>
      <c r="N1002" s="59">
        <f t="shared" si="109"/>
        <v>0</v>
      </c>
      <c r="O1002" s="59">
        <f t="shared" si="110"/>
        <v>0</v>
      </c>
      <c r="P1002" s="19" t="str">
        <f t="shared" si="111"/>
        <v/>
      </c>
      <c r="Q1002" s="19" t="s">
        <v>1038</v>
      </c>
    </row>
    <row r="1003" spans="2:17" ht="30" customHeight="1" x14ac:dyDescent="0.25">
      <c r="B1003" s="62" t="str">
        <f t="shared" si="105"/>
        <v/>
      </c>
      <c r="C1003" s="42">
        <v>999</v>
      </c>
      <c r="D1003" s="20"/>
      <c r="E1003" s="58"/>
      <c r="F1003" s="63" t="str">
        <f t="shared" si="106"/>
        <v/>
      </c>
      <c r="G1003" s="66" t="str">
        <f>IF(D1003="","",IFERROR('Prod 3'!H1003/'Prod 3'!$H$3,0))</f>
        <v/>
      </c>
      <c r="H1003" s="70" t="str">
        <f>IF(D1003="","",'Prod 2'!K1003)</f>
        <v/>
      </c>
      <c r="I1003" s="77" t="str">
        <f t="shared" si="107"/>
        <v/>
      </c>
      <c r="J1003" s="57"/>
      <c r="L1003" s="19">
        <v>9.9900000000000009E-7</v>
      </c>
      <c r="M1003" s="59">
        <f t="shared" si="108"/>
        <v>0</v>
      </c>
      <c r="N1003" s="59">
        <f t="shared" si="109"/>
        <v>0</v>
      </c>
      <c r="O1003" s="59">
        <f t="shared" si="110"/>
        <v>0</v>
      </c>
      <c r="P1003" s="19" t="str">
        <f t="shared" si="111"/>
        <v/>
      </c>
      <c r="Q1003" s="19" t="s">
        <v>1039</v>
      </c>
    </row>
    <row r="1004" spans="2:17" ht="30" customHeight="1" x14ac:dyDescent="0.25">
      <c r="B1004" s="62" t="str">
        <f t="shared" si="105"/>
        <v/>
      </c>
      <c r="C1004" s="42">
        <v>1000</v>
      </c>
      <c r="D1004" s="20"/>
      <c r="E1004" s="58"/>
      <c r="F1004" s="63" t="str">
        <f t="shared" si="106"/>
        <v/>
      </c>
      <c r="G1004" s="66" t="str">
        <f>IF(D1004="","",IFERROR('Prod 3'!H1004/'Prod 3'!$H$3,0))</f>
        <v/>
      </c>
      <c r="H1004" s="70" t="str">
        <f>IF(D1004="","",'Prod 2'!K1004)</f>
        <v/>
      </c>
      <c r="I1004" s="77" t="str">
        <f t="shared" si="107"/>
        <v/>
      </c>
      <c r="J1004" s="57"/>
      <c r="L1004" s="19">
        <v>9.9999999999999995E-7</v>
      </c>
      <c r="M1004" s="59">
        <f t="shared" si="108"/>
        <v>0</v>
      </c>
      <c r="N1004" s="59">
        <f t="shared" si="109"/>
        <v>0</v>
      </c>
      <c r="O1004" s="59">
        <f t="shared" si="110"/>
        <v>0</v>
      </c>
      <c r="P1004" s="19" t="str">
        <f t="shared" si="111"/>
        <v/>
      </c>
      <c r="Q1004" s="19" t="s">
        <v>1040</v>
      </c>
    </row>
  </sheetData>
  <sheetProtection sheet="1" objects="1" scenarios="1" selectLockedCells="1" sort="0" autoFilter="0"/>
  <autoFilter ref="C4:J4" xr:uid="{00000000-0009-0000-0000-00000A000000}"/>
  <phoneticPr fontId="22" type="noConversion"/>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4" id="{6B0B4F60-764F-4F67-BEDD-BFADE6EEE3EF}">
            <x14:iconSet iconSet="3Triangles">
              <x14:cfvo type="percent">
                <xm:f>0</xm:f>
              </x14:cfvo>
              <x14:cfvo type="percent">
                <xm:f>33</xm:f>
              </x14:cfvo>
              <x14:cfvo type="percent">
                <xm:f>67</xm:f>
              </x14:cfvo>
            </x14:iconSet>
          </x14:cfRule>
          <xm:sqref>E5:E1004</xm:sqref>
        </x14:conditionalFormatting>
        <x14:conditionalFormatting xmlns:xm="http://schemas.microsoft.com/office/excel/2006/main">
          <x14:cfRule type="iconSet" priority="2" id="{5CBB3B05-EA1A-46EF-8DD6-2CCD946E11DF}">
            <x14:iconSet iconSet="3Stars">
              <x14:cfvo type="percent">
                <xm:f>0</xm:f>
              </x14:cfvo>
              <x14:cfvo type="percent">
                <xm:f>33</xm:f>
              </x14:cfvo>
              <x14:cfvo type="percent">
                <xm:f>67</xm:f>
              </x14:cfvo>
            </x14:iconSet>
          </x14:cfRule>
          <xm:sqref>G5:G1004</xm:sqref>
        </x14:conditionalFormatting>
        <x14:conditionalFormatting xmlns:xm="http://schemas.microsoft.com/office/excel/2006/main">
          <x14:cfRule type="iconSet" priority="1" id="{F1281F03-430C-435C-AA00-2DA32E555F16}">
            <x14:iconSet iconSet="3Triangles">
              <x14:cfvo type="percent">
                <xm:f>0</xm:f>
              </x14:cfvo>
              <x14:cfvo type="percent">
                <xm:f>33</xm:f>
              </x14:cfvo>
              <x14:cfvo type="percent">
                <xm:f>67</xm:f>
              </x14:cfvo>
            </x14:iconSet>
          </x14:cfRule>
          <xm:sqref>I5:I1004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2"/>
  <dimension ref="C1:P1004"/>
  <sheetViews>
    <sheetView showGridLines="0" showRowColHeaders="0" workbookViewId="0">
      <pane ySplit="4" topLeftCell="A5" activePane="bottomLeft" state="frozen"/>
      <selection activeCell="D6" sqref="D6"/>
      <selection pane="bottomLeft" activeCell="H6" sqref="H6"/>
    </sheetView>
  </sheetViews>
  <sheetFormatPr defaultRowHeight="30" customHeight="1" x14ac:dyDescent="0.25"/>
  <cols>
    <col min="1" max="2" width="1.7109375" style="19" customWidth="1"/>
    <col min="3" max="3" width="6.7109375" style="19" customWidth="1"/>
    <col min="4" max="4" width="35.7109375" style="19" customWidth="1"/>
    <col min="5" max="5" width="15.7109375" style="19" customWidth="1"/>
    <col min="6" max="11" width="20.7109375" style="19" customWidth="1"/>
    <col min="12" max="12" width="9.140625" style="19"/>
    <col min="13" max="16" width="13.7109375" style="19" hidden="1" customWidth="1"/>
    <col min="17" max="18" width="13.7109375" style="19" customWidth="1"/>
    <col min="19" max="16384" width="9.140625" style="19"/>
  </cols>
  <sheetData>
    <row r="1" spans="3:16" s="1" customFormat="1" ht="35.1" customHeight="1" x14ac:dyDescent="0.25"/>
    <row r="2" spans="3:16" s="3" customFormat="1" ht="30" customHeight="1" x14ac:dyDescent="0.25"/>
    <row r="3" spans="3:16" ht="69.95" customHeight="1" thickBot="1" x14ac:dyDescent="0.3">
      <c r="C3" s="40"/>
      <c r="D3" s="40"/>
      <c r="E3" s="40"/>
      <c r="F3" s="40"/>
      <c r="G3" s="40"/>
      <c r="H3" s="40"/>
    </row>
    <row r="4" spans="3:16" ht="30" customHeight="1" x14ac:dyDescent="0.25">
      <c r="C4" s="45" t="s">
        <v>22</v>
      </c>
      <c r="D4" s="46" t="s">
        <v>39</v>
      </c>
      <c r="E4" s="46" t="s">
        <v>1047</v>
      </c>
      <c r="F4" s="46" t="s">
        <v>1051</v>
      </c>
      <c r="G4" s="46" t="s">
        <v>1042</v>
      </c>
      <c r="H4" s="56" t="s">
        <v>1043</v>
      </c>
      <c r="I4" s="56" t="s">
        <v>1044</v>
      </c>
      <c r="J4" s="56" t="s">
        <v>1045</v>
      </c>
      <c r="K4" s="43" t="s">
        <v>1046</v>
      </c>
      <c r="M4" s="19" t="s">
        <v>1052</v>
      </c>
      <c r="N4" s="19" t="s">
        <v>1053</v>
      </c>
      <c r="O4" s="19" t="s">
        <v>1054</v>
      </c>
      <c r="P4" s="19" t="s">
        <v>1055</v>
      </c>
    </row>
    <row r="5" spans="3:16" ht="30" customHeight="1" x14ac:dyDescent="0.25">
      <c r="C5" s="44">
        <v>1</v>
      </c>
      <c r="D5" s="67" t="str">
        <f>IF('Prod 1'!D5="","",'Prod 1'!D5)</f>
        <v>Produto A</v>
      </c>
      <c r="E5" s="64" t="s">
        <v>1050</v>
      </c>
      <c r="F5" s="58"/>
      <c r="G5" s="65">
        <v>3.5000000000000003E-2</v>
      </c>
      <c r="H5" s="65">
        <v>2.7E-2</v>
      </c>
      <c r="I5" s="58">
        <v>35</v>
      </c>
      <c r="J5" s="58">
        <v>10</v>
      </c>
      <c r="K5" s="131">
        <f>IF(E5="","",IF(E5="Produção",SUM(I5:J5)+SUM(O5:P5),F5))</f>
        <v>55.54</v>
      </c>
      <c r="M5" s="68">
        <f>IFERROR(IF(D5="","",100%),0)</f>
        <v>1</v>
      </c>
      <c r="N5" s="59">
        <f>IF('Prod 1'!E5="","",'Prod 1'!E5)</f>
        <v>170</v>
      </c>
      <c r="O5" s="59">
        <f>IFERROR(IF(D5="","",N5*G5),0)</f>
        <v>5.95</v>
      </c>
      <c r="P5" s="59">
        <f>IFERROR(IF(D5="","",N5*H5),0)</f>
        <v>4.59</v>
      </c>
    </row>
    <row r="6" spans="3:16" ht="30" customHeight="1" x14ac:dyDescent="0.25">
      <c r="C6" s="42">
        <v>2</v>
      </c>
      <c r="D6" s="67" t="str">
        <f>IF('Prod 1'!D6="","",'Prod 1'!D6)</f>
        <v>Produto B</v>
      </c>
      <c r="E6" s="64" t="s">
        <v>1050</v>
      </c>
      <c r="F6" s="58"/>
      <c r="G6" s="65">
        <v>3.5000000000000003E-2</v>
      </c>
      <c r="H6" s="65">
        <v>2.7E-2</v>
      </c>
      <c r="I6" s="58">
        <v>70</v>
      </c>
      <c r="J6" s="58">
        <v>30</v>
      </c>
      <c r="K6" s="132">
        <f t="shared" ref="K6:K69" si="0">IF(E6="","",IF(E6="Produção",SUM(I6:J6)+SUM(O6:P6),F6))</f>
        <v>115.5</v>
      </c>
      <c r="M6" s="68">
        <f t="shared" ref="M6:M69" si="1">IFERROR(IF(D6="","",100%),0)</f>
        <v>1</v>
      </c>
      <c r="N6" s="59">
        <f>IF('Prod 1'!E6="","",'Prod 1'!E6)</f>
        <v>250</v>
      </c>
      <c r="O6" s="59">
        <f t="shared" ref="O6:O69" si="2">IFERROR(IF(D6="","",N6*G6),0)</f>
        <v>8.75</v>
      </c>
      <c r="P6" s="59">
        <f t="shared" ref="P6:P69" si="3">IFERROR(IF(D6="","",N6*H6),0)</f>
        <v>6.75</v>
      </c>
    </row>
    <row r="7" spans="3:16" ht="30" customHeight="1" x14ac:dyDescent="0.25">
      <c r="C7" s="42">
        <v>3</v>
      </c>
      <c r="D7" s="67" t="str">
        <f>IF('Prod 1'!D7="","",'Prod 1'!D7)</f>
        <v>Produto C</v>
      </c>
      <c r="E7" s="64" t="s">
        <v>1048</v>
      </c>
      <c r="F7" s="58">
        <v>120</v>
      </c>
      <c r="G7" s="65"/>
      <c r="H7" s="65"/>
      <c r="I7" s="58"/>
      <c r="J7" s="58"/>
      <c r="K7" s="132">
        <f t="shared" si="0"/>
        <v>120</v>
      </c>
      <c r="M7" s="68">
        <f t="shared" si="1"/>
        <v>1</v>
      </c>
      <c r="N7" s="59">
        <f>IF('Prod 1'!E7="","",'Prod 1'!E7)</f>
        <v>350</v>
      </c>
      <c r="O7" s="59">
        <f t="shared" si="2"/>
        <v>0</v>
      </c>
      <c r="P7" s="59">
        <f t="shared" si="3"/>
        <v>0</v>
      </c>
    </row>
    <row r="8" spans="3:16" ht="30" customHeight="1" x14ac:dyDescent="0.25">
      <c r="C8" s="42">
        <v>4</v>
      </c>
      <c r="D8" s="67" t="str">
        <f>IF('Prod 1'!D8="","",'Prod 1'!D8)</f>
        <v>Produto D</v>
      </c>
      <c r="E8" s="64" t="s">
        <v>1050</v>
      </c>
      <c r="F8" s="58"/>
      <c r="G8" s="65">
        <v>0.1</v>
      </c>
      <c r="H8" s="65">
        <v>0.05</v>
      </c>
      <c r="I8" s="58">
        <v>170</v>
      </c>
      <c r="J8" s="58">
        <v>50</v>
      </c>
      <c r="K8" s="132">
        <f t="shared" si="0"/>
        <v>292</v>
      </c>
      <c r="M8" s="68">
        <f t="shared" si="1"/>
        <v>1</v>
      </c>
      <c r="N8" s="59">
        <f>IF('Prod 1'!E8="","",'Prod 1'!E8)</f>
        <v>480</v>
      </c>
      <c r="O8" s="59">
        <f t="shared" si="2"/>
        <v>48</v>
      </c>
      <c r="P8" s="59">
        <f t="shared" si="3"/>
        <v>24</v>
      </c>
    </row>
    <row r="9" spans="3:16" ht="30" customHeight="1" x14ac:dyDescent="0.25">
      <c r="C9" s="42">
        <v>5</v>
      </c>
      <c r="D9" s="67" t="str">
        <f>IF('Prod 1'!D9="","",'Prod 1'!D9)</f>
        <v>Produto E</v>
      </c>
      <c r="E9" s="64" t="s">
        <v>1049</v>
      </c>
      <c r="F9" s="58">
        <v>350</v>
      </c>
      <c r="G9" s="65"/>
      <c r="H9" s="65"/>
      <c r="I9" s="58"/>
      <c r="J9" s="58"/>
      <c r="K9" s="132">
        <f t="shared" si="0"/>
        <v>350</v>
      </c>
      <c r="M9" s="68">
        <f t="shared" si="1"/>
        <v>1</v>
      </c>
      <c r="N9" s="59">
        <f>IF('Prod 1'!E9="","",'Prod 1'!E9)</f>
        <v>450</v>
      </c>
      <c r="O9" s="59">
        <f t="shared" si="2"/>
        <v>0</v>
      </c>
      <c r="P9" s="59">
        <f t="shared" si="3"/>
        <v>0</v>
      </c>
    </row>
    <row r="10" spans="3:16" ht="30" customHeight="1" x14ac:dyDescent="0.25">
      <c r="C10" s="42">
        <v>6</v>
      </c>
      <c r="D10" s="67" t="str">
        <f>IF('Prod 1'!D10="","",'Prod 1'!D10)</f>
        <v/>
      </c>
      <c r="E10" s="64"/>
      <c r="F10" s="58"/>
      <c r="G10" s="65"/>
      <c r="H10" s="65"/>
      <c r="I10" s="58"/>
      <c r="J10" s="58"/>
      <c r="K10" s="132" t="str">
        <f t="shared" si="0"/>
        <v/>
      </c>
      <c r="M10" s="68" t="str">
        <f t="shared" si="1"/>
        <v/>
      </c>
      <c r="N10" s="59" t="str">
        <f>IF('Prod 1'!E10="","",'Prod 1'!E10)</f>
        <v/>
      </c>
      <c r="O10" s="59" t="str">
        <f t="shared" si="2"/>
        <v/>
      </c>
      <c r="P10" s="59" t="str">
        <f t="shared" si="3"/>
        <v/>
      </c>
    </row>
    <row r="11" spans="3:16" ht="30" customHeight="1" x14ac:dyDescent="0.25">
      <c r="C11" s="42">
        <v>7</v>
      </c>
      <c r="D11" s="67" t="str">
        <f>IF('Prod 1'!D11="","",'Prod 1'!D11)</f>
        <v/>
      </c>
      <c r="E11" s="64"/>
      <c r="F11" s="58"/>
      <c r="G11" s="65"/>
      <c r="H11" s="65"/>
      <c r="I11" s="58"/>
      <c r="J11" s="58"/>
      <c r="K11" s="132" t="str">
        <f t="shared" si="0"/>
        <v/>
      </c>
      <c r="M11" s="68" t="str">
        <f t="shared" si="1"/>
        <v/>
      </c>
      <c r="N11" s="59" t="str">
        <f>IF('Prod 1'!E11="","",'Prod 1'!E11)</f>
        <v/>
      </c>
      <c r="O11" s="59" t="str">
        <f t="shared" si="2"/>
        <v/>
      </c>
      <c r="P11" s="59" t="str">
        <f t="shared" si="3"/>
        <v/>
      </c>
    </row>
    <row r="12" spans="3:16" ht="30" customHeight="1" x14ac:dyDescent="0.25">
      <c r="C12" s="42">
        <v>8</v>
      </c>
      <c r="D12" s="67" t="str">
        <f>IF('Prod 1'!D12="","",'Prod 1'!D12)</f>
        <v/>
      </c>
      <c r="E12" s="64"/>
      <c r="F12" s="58"/>
      <c r="G12" s="65"/>
      <c r="H12" s="65"/>
      <c r="I12" s="58"/>
      <c r="J12" s="58"/>
      <c r="K12" s="132" t="str">
        <f t="shared" si="0"/>
        <v/>
      </c>
      <c r="M12" s="68" t="str">
        <f t="shared" si="1"/>
        <v/>
      </c>
      <c r="N12" s="59" t="str">
        <f>IF('Prod 1'!E12="","",'Prod 1'!E12)</f>
        <v/>
      </c>
      <c r="O12" s="59" t="str">
        <f t="shared" si="2"/>
        <v/>
      </c>
      <c r="P12" s="59" t="str">
        <f t="shared" si="3"/>
        <v/>
      </c>
    </row>
    <row r="13" spans="3:16" ht="30" customHeight="1" x14ac:dyDescent="0.25">
      <c r="C13" s="42">
        <v>9</v>
      </c>
      <c r="D13" s="67" t="str">
        <f>IF('Prod 1'!D13="","",'Prod 1'!D13)</f>
        <v/>
      </c>
      <c r="E13" s="64"/>
      <c r="F13" s="58"/>
      <c r="G13" s="65"/>
      <c r="H13" s="65"/>
      <c r="I13" s="58"/>
      <c r="J13" s="58"/>
      <c r="K13" s="132" t="str">
        <f t="shared" si="0"/>
        <v/>
      </c>
      <c r="M13" s="68" t="str">
        <f t="shared" si="1"/>
        <v/>
      </c>
      <c r="N13" s="59" t="str">
        <f>IF('Prod 1'!E13="","",'Prod 1'!E13)</f>
        <v/>
      </c>
      <c r="O13" s="59" t="str">
        <f t="shared" si="2"/>
        <v/>
      </c>
      <c r="P13" s="59" t="str">
        <f t="shared" si="3"/>
        <v/>
      </c>
    </row>
    <row r="14" spans="3:16" ht="30" customHeight="1" x14ac:dyDescent="0.25">
      <c r="C14" s="42">
        <v>10</v>
      </c>
      <c r="D14" s="67" t="str">
        <f>IF('Prod 1'!D14="","",'Prod 1'!D14)</f>
        <v/>
      </c>
      <c r="E14" s="64"/>
      <c r="F14" s="58"/>
      <c r="G14" s="65"/>
      <c r="H14" s="65"/>
      <c r="I14" s="58"/>
      <c r="J14" s="58"/>
      <c r="K14" s="132" t="str">
        <f t="shared" si="0"/>
        <v/>
      </c>
      <c r="M14" s="68" t="str">
        <f t="shared" si="1"/>
        <v/>
      </c>
      <c r="N14" s="59" t="str">
        <f>IF('Prod 1'!E14="","",'Prod 1'!E14)</f>
        <v/>
      </c>
      <c r="O14" s="59" t="str">
        <f t="shared" si="2"/>
        <v/>
      </c>
      <c r="P14" s="59" t="str">
        <f t="shared" si="3"/>
        <v/>
      </c>
    </row>
    <row r="15" spans="3:16" ht="30" customHeight="1" x14ac:dyDescent="0.25">
      <c r="C15" s="42">
        <v>11</v>
      </c>
      <c r="D15" s="67" t="str">
        <f>IF('Prod 1'!D15="","",'Prod 1'!D15)</f>
        <v/>
      </c>
      <c r="E15" s="64"/>
      <c r="F15" s="58"/>
      <c r="G15" s="65"/>
      <c r="H15" s="65"/>
      <c r="I15" s="58"/>
      <c r="J15" s="58"/>
      <c r="K15" s="132" t="str">
        <f t="shared" si="0"/>
        <v/>
      </c>
      <c r="M15" s="68" t="str">
        <f t="shared" si="1"/>
        <v/>
      </c>
      <c r="N15" s="59" t="str">
        <f>IF('Prod 1'!E15="","",'Prod 1'!E15)</f>
        <v/>
      </c>
      <c r="O15" s="59" t="str">
        <f t="shared" si="2"/>
        <v/>
      </c>
      <c r="P15" s="59" t="str">
        <f t="shared" si="3"/>
        <v/>
      </c>
    </row>
    <row r="16" spans="3:16" ht="30" customHeight="1" x14ac:dyDescent="0.25">
      <c r="C16" s="42">
        <v>12</v>
      </c>
      <c r="D16" s="67" t="str">
        <f>IF('Prod 1'!D16="","",'Prod 1'!D16)</f>
        <v/>
      </c>
      <c r="E16" s="64"/>
      <c r="F16" s="58"/>
      <c r="G16" s="65"/>
      <c r="H16" s="65"/>
      <c r="I16" s="58"/>
      <c r="J16" s="58"/>
      <c r="K16" s="132" t="str">
        <f t="shared" si="0"/>
        <v/>
      </c>
      <c r="M16" s="68" t="str">
        <f t="shared" si="1"/>
        <v/>
      </c>
      <c r="N16" s="59" t="str">
        <f>IF('Prod 1'!E16="","",'Prod 1'!E16)</f>
        <v/>
      </c>
      <c r="O16" s="59" t="str">
        <f t="shared" si="2"/>
        <v/>
      </c>
      <c r="P16" s="59" t="str">
        <f t="shared" si="3"/>
        <v/>
      </c>
    </row>
    <row r="17" spans="3:16" ht="30" customHeight="1" x14ac:dyDescent="0.25">
      <c r="C17" s="42">
        <v>13</v>
      </c>
      <c r="D17" s="67" t="str">
        <f>IF('Prod 1'!D17="","",'Prod 1'!D17)</f>
        <v/>
      </c>
      <c r="E17" s="64"/>
      <c r="F17" s="58"/>
      <c r="G17" s="65"/>
      <c r="H17" s="65"/>
      <c r="I17" s="58"/>
      <c r="J17" s="58"/>
      <c r="K17" s="132" t="str">
        <f t="shared" si="0"/>
        <v/>
      </c>
      <c r="M17" s="68" t="str">
        <f t="shared" si="1"/>
        <v/>
      </c>
      <c r="N17" s="59" t="str">
        <f>IF('Prod 1'!E17="","",'Prod 1'!E17)</f>
        <v/>
      </c>
      <c r="O17" s="59" t="str">
        <f t="shared" si="2"/>
        <v/>
      </c>
      <c r="P17" s="59" t="str">
        <f t="shared" si="3"/>
        <v/>
      </c>
    </row>
    <row r="18" spans="3:16" ht="30" customHeight="1" x14ac:dyDescent="0.25">
      <c r="C18" s="42">
        <v>14</v>
      </c>
      <c r="D18" s="67" t="str">
        <f>IF('Prod 1'!D18="","",'Prod 1'!D18)</f>
        <v/>
      </c>
      <c r="E18" s="64"/>
      <c r="F18" s="58"/>
      <c r="G18" s="65"/>
      <c r="H18" s="65"/>
      <c r="I18" s="58"/>
      <c r="J18" s="58"/>
      <c r="K18" s="132" t="str">
        <f t="shared" si="0"/>
        <v/>
      </c>
      <c r="M18" s="68" t="str">
        <f t="shared" si="1"/>
        <v/>
      </c>
      <c r="N18" s="59" t="str">
        <f>IF('Prod 1'!E18="","",'Prod 1'!E18)</f>
        <v/>
      </c>
      <c r="O18" s="59" t="str">
        <f t="shared" si="2"/>
        <v/>
      </c>
      <c r="P18" s="59" t="str">
        <f t="shared" si="3"/>
        <v/>
      </c>
    </row>
    <row r="19" spans="3:16" ht="30" customHeight="1" x14ac:dyDescent="0.25">
      <c r="C19" s="42">
        <v>15</v>
      </c>
      <c r="D19" s="67" t="str">
        <f>IF('Prod 1'!D19="","",'Prod 1'!D19)</f>
        <v/>
      </c>
      <c r="E19" s="64"/>
      <c r="F19" s="58"/>
      <c r="G19" s="65"/>
      <c r="H19" s="65"/>
      <c r="I19" s="58"/>
      <c r="J19" s="58"/>
      <c r="K19" s="132" t="str">
        <f t="shared" si="0"/>
        <v/>
      </c>
      <c r="M19" s="68" t="str">
        <f t="shared" si="1"/>
        <v/>
      </c>
      <c r="N19" s="59" t="str">
        <f>IF('Prod 1'!E19="","",'Prod 1'!E19)</f>
        <v/>
      </c>
      <c r="O19" s="59" t="str">
        <f t="shared" si="2"/>
        <v/>
      </c>
      <c r="P19" s="59" t="str">
        <f t="shared" si="3"/>
        <v/>
      </c>
    </row>
    <row r="20" spans="3:16" ht="30" customHeight="1" x14ac:dyDescent="0.25">
      <c r="C20" s="42">
        <v>16</v>
      </c>
      <c r="D20" s="67" t="str">
        <f>IF('Prod 1'!D20="","",'Prod 1'!D20)</f>
        <v/>
      </c>
      <c r="E20" s="64"/>
      <c r="F20" s="58"/>
      <c r="G20" s="65"/>
      <c r="H20" s="65"/>
      <c r="I20" s="58"/>
      <c r="J20" s="58"/>
      <c r="K20" s="132" t="str">
        <f t="shared" si="0"/>
        <v/>
      </c>
      <c r="M20" s="68" t="str">
        <f t="shared" si="1"/>
        <v/>
      </c>
      <c r="N20" s="59" t="str">
        <f>IF('Prod 1'!E20="","",'Prod 1'!E20)</f>
        <v/>
      </c>
      <c r="O20" s="59" t="str">
        <f t="shared" si="2"/>
        <v/>
      </c>
      <c r="P20" s="59" t="str">
        <f t="shared" si="3"/>
        <v/>
      </c>
    </row>
    <row r="21" spans="3:16" ht="30" customHeight="1" x14ac:dyDescent="0.25">
      <c r="C21" s="42">
        <v>17</v>
      </c>
      <c r="D21" s="67" t="str">
        <f>IF('Prod 1'!D21="","",'Prod 1'!D21)</f>
        <v/>
      </c>
      <c r="E21" s="64"/>
      <c r="F21" s="58"/>
      <c r="G21" s="65"/>
      <c r="H21" s="65"/>
      <c r="I21" s="58"/>
      <c r="J21" s="58"/>
      <c r="K21" s="132" t="str">
        <f t="shared" si="0"/>
        <v/>
      </c>
      <c r="M21" s="68" t="str">
        <f t="shared" si="1"/>
        <v/>
      </c>
      <c r="N21" s="59" t="str">
        <f>IF('Prod 1'!E21="","",'Prod 1'!E21)</f>
        <v/>
      </c>
      <c r="O21" s="59" t="str">
        <f t="shared" si="2"/>
        <v/>
      </c>
      <c r="P21" s="59" t="str">
        <f t="shared" si="3"/>
        <v/>
      </c>
    </row>
    <row r="22" spans="3:16" ht="30" customHeight="1" x14ac:dyDescent="0.25">
      <c r="C22" s="42">
        <v>18</v>
      </c>
      <c r="D22" s="67" t="str">
        <f>IF('Prod 1'!D22="","",'Prod 1'!D22)</f>
        <v/>
      </c>
      <c r="E22" s="64"/>
      <c r="F22" s="58"/>
      <c r="G22" s="65"/>
      <c r="H22" s="65"/>
      <c r="I22" s="58"/>
      <c r="J22" s="58"/>
      <c r="K22" s="132" t="str">
        <f t="shared" si="0"/>
        <v/>
      </c>
      <c r="M22" s="68" t="str">
        <f t="shared" si="1"/>
        <v/>
      </c>
      <c r="N22" s="59" t="str">
        <f>IF('Prod 1'!E22="","",'Prod 1'!E22)</f>
        <v/>
      </c>
      <c r="O22" s="59" t="str">
        <f t="shared" si="2"/>
        <v/>
      </c>
      <c r="P22" s="59" t="str">
        <f t="shared" si="3"/>
        <v/>
      </c>
    </row>
    <row r="23" spans="3:16" ht="30" customHeight="1" x14ac:dyDescent="0.25">
      <c r="C23" s="42">
        <v>19</v>
      </c>
      <c r="D23" s="67" t="str">
        <f>IF('Prod 1'!D23="","",'Prod 1'!D23)</f>
        <v/>
      </c>
      <c r="E23" s="64"/>
      <c r="F23" s="58"/>
      <c r="G23" s="65"/>
      <c r="H23" s="65"/>
      <c r="I23" s="58"/>
      <c r="J23" s="58"/>
      <c r="K23" s="132" t="str">
        <f t="shared" si="0"/>
        <v/>
      </c>
      <c r="M23" s="68" t="str">
        <f t="shared" si="1"/>
        <v/>
      </c>
      <c r="N23" s="59" t="str">
        <f>IF('Prod 1'!E23="","",'Prod 1'!E23)</f>
        <v/>
      </c>
      <c r="O23" s="59" t="str">
        <f t="shared" si="2"/>
        <v/>
      </c>
      <c r="P23" s="59" t="str">
        <f t="shared" si="3"/>
        <v/>
      </c>
    </row>
    <row r="24" spans="3:16" ht="30" customHeight="1" x14ac:dyDescent="0.25">
      <c r="C24" s="42">
        <v>20</v>
      </c>
      <c r="D24" s="67" t="str">
        <f>IF('Prod 1'!D24="","",'Prod 1'!D24)</f>
        <v/>
      </c>
      <c r="E24" s="64"/>
      <c r="F24" s="58"/>
      <c r="G24" s="65"/>
      <c r="H24" s="65"/>
      <c r="I24" s="58"/>
      <c r="J24" s="58"/>
      <c r="K24" s="132" t="str">
        <f t="shared" si="0"/>
        <v/>
      </c>
      <c r="M24" s="68" t="str">
        <f t="shared" si="1"/>
        <v/>
      </c>
      <c r="N24" s="59" t="str">
        <f>IF('Prod 1'!E24="","",'Prod 1'!E24)</f>
        <v/>
      </c>
      <c r="O24" s="59" t="str">
        <f t="shared" si="2"/>
        <v/>
      </c>
      <c r="P24" s="59" t="str">
        <f t="shared" si="3"/>
        <v/>
      </c>
    </row>
    <row r="25" spans="3:16" ht="30" customHeight="1" x14ac:dyDescent="0.25">
      <c r="C25" s="42">
        <v>21</v>
      </c>
      <c r="D25" s="67" t="str">
        <f>IF('Prod 1'!D25="","",'Prod 1'!D25)</f>
        <v/>
      </c>
      <c r="E25" s="64"/>
      <c r="F25" s="58"/>
      <c r="G25" s="65"/>
      <c r="H25" s="65"/>
      <c r="I25" s="58"/>
      <c r="J25" s="58"/>
      <c r="K25" s="132" t="str">
        <f t="shared" si="0"/>
        <v/>
      </c>
      <c r="M25" s="68" t="str">
        <f t="shared" si="1"/>
        <v/>
      </c>
      <c r="N25" s="59" t="str">
        <f>IF('Prod 1'!E25="","",'Prod 1'!E25)</f>
        <v/>
      </c>
      <c r="O25" s="59" t="str">
        <f t="shared" si="2"/>
        <v/>
      </c>
      <c r="P25" s="59" t="str">
        <f t="shared" si="3"/>
        <v/>
      </c>
    </row>
    <row r="26" spans="3:16" ht="30" customHeight="1" x14ac:dyDescent="0.25">
      <c r="C26" s="42">
        <v>22</v>
      </c>
      <c r="D26" s="67" t="str">
        <f>IF('Prod 1'!D26="","",'Prod 1'!D26)</f>
        <v/>
      </c>
      <c r="E26" s="64"/>
      <c r="F26" s="58"/>
      <c r="G26" s="65"/>
      <c r="H26" s="65"/>
      <c r="I26" s="58"/>
      <c r="J26" s="58"/>
      <c r="K26" s="132" t="str">
        <f t="shared" si="0"/>
        <v/>
      </c>
      <c r="M26" s="68" t="str">
        <f t="shared" si="1"/>
        <v/>
      </c>
      <c r="N26" s="59" t="str">
        <f>IF('Prod 1'!E26="","",'Prod 1'!E26)</f>
        <v/>
      </c>
      <c r="O26" s="59" t="str">
        <f t="shared" si="2"/>
        <v/>
      </c>
      <c r="P26" s="59" t="str">
        <f t="shared" si="3"/>
        <v/>
      </c>
    </row>
    <row r="27" spans="3:16" ht="30" customHeight="1" x14ac:dyDescent="0.25">
      <c r="C27" s="42">
        <v>23</v>
      </c>
      <c r="D27" s="67" t="str">
        <f>IF('Prod 1'!D27="","",'Prod 1'!D27)</f>
        <v/>
      </c>
      <c r="E27" s="64"/>
      <c r="F27" s="58"/>
      <c r="G27" s="65"/>
      <c r="H27" s="65"/>
      <c r="I27" s="58"/>
      <c r="J27" s="58"/>
      <c r="K27" s="132" t="str">
        <f t="shared" si="0"/>
        <v/>
      </c>
      <c r="M27" s="68" t="str">
        <f t="shared" si="1"/>
        <v/>
      </c>
      <c r="N27" s="59" t="str">
        <f>IF('Prod 1'!E27="","",'Prod 1'!E27)</f>
        <v/>
      </c>
      <c r="O27" s="59" t="str">
        <f t="shared" si="2"/>
        <v/>
      </c>
      <c r="P27" s="59" t="str">
        <f t="shared" si="3"/>
        <v/>
      </c>
    </row>
    <row r="28" spans="3:16" ht="30" customHeight="1" x14ac:dyDescent="0.25">
      <c r="C28" s="42">
        <v>24</v>
      </c>
      <c r="D28" s="67" t="str">
        <f>IF('Prod 1'!D28="","",'Prod 1'!D28)</f>
        <v/>
      </c>
      <c r="E28" s="64"/>
      <c r="F28" s="58"/>
      <c r="G28" s="65"/>
      <c r="H28" s="65"/>
      <c r="I28" s="58"/>
      <c r="J28" s="58"/>
      <c r="K28" s="132" t="str">
        <f t="shared" si="0"/>
        <v/>
      </c>
      <c r="M28" s="68" t="str">
        <f t="shared" si="1"/>
        <v/>
      </c>
      <c r="N28" s="59" t="str">
        <f>IF('Prod 1'!E28="","",'Prod 1'!E28)</f>
        <v/>
      </c>
      <c r="O28" s="59" t="str">
        <f t="shared" si="2"/>
        <v/>
      </c>
      <c r="P28" s="59" t="str">
        <f t="shared" si="3"/>
        <v/>
      </c>
    </row>
    <row r="29" spans="3:16" ht="30" customHeight="1" x14ac:dyDescent="0.25">
      <c r="C29" s="42">
        <v>25</v>
      </c>
      <c r="D29" s="67" t="str">
        <f>IF('Prod 1'!D29="","",'Prod 1'!D29)</f>
        <v/>
      </c>
      <c r="E29" s="64"/>
      <c r="F29" s="58"/>
      <c r="G29" s="65"/>
      <c r="H29" s="65"/>
      <c r="I29" s="58"/>
      <c r="J29" s="58"/>
      <c r="K29" s="132" t="str">
        <f t="shared" si="0"/>
        <v/>
      </c>
      <c r="M29" s="68" t="str">
        <f t="shared" si="1"/>
        <v/>
      </c>
      <c r="N29" s="59" t="str">
        <f>IF('Prod 1'!E29="","",'Prod 1'!E29)</f>
        <v/>
      </c>
      <c r="O29" s="59" t="str">
        <f t="shared" si="2"/>
        <v/>
      </c>
      <c r="P29" s="59" t="str">
        <f t="shared" si="3"/>
        <v/>
      </c>
    </row>
    <row r="30" spans="3:16" ht="30" customHeight="1" x14ac:dyDescent="0.25">
      <c r="C30" s="42">
        <v>26</v>
      </c>
      <c r="D30" s="67" t="str">
        <f>IF('Prod 1'!D30="","",'Prod 1'!D30)</f>
        <v/>
      </c>
      <c r="E30" s="64"/>
      <c r="F30" s="58"/>
      <c r="G30" s="65"/>
      <c r="H30" s="65"/>
      <c r="I30" s="58"/>
      <c r="J30" s="58"/>
      <c r="K30" s="132" t="str">
        <f t="shared" si="0"/>
        <v/>
      </c>
      <c r="M30" s="68" t="str">
        <f t="shared" si="1"/>
        <v/>
      </c>
      <c r="N30" s="59" t="str">
        <f>IF('Prod 1'!E30="","",'Prod 1'!E30)</f>
        <v/>
      </c>
      <c r="O30" s="59" t="str">
        <f t="shared" si="2"/>
        <v/>
      </c>
      <c r="P30" s="59" t="str">
        <f t="shared" si="3"/>
        <v/>
      </c>
    </row>
    <row r="31" spans="3:16" ht="30" customHeight="1" x14ac:dyDescent="0.25">
      <c r="C31" s="42">
        <v>27</v>
      </c>
      <c r="D31" s="67" t="str">
        <f>IF('Prod 1'!D31="","",'Prod 1'!D31)</f>
        <v/>
      </c>
      <c r="E31" s="64"/>
      <c r="F31" s="58"/>
      <c r="G31" s="65"/>
      <c r="H31" s="65"/>
      <c r="I31" s="58"/>
      <c r="J31" s="58"/>
      <c r="K31" s="132" t="str">
        <f t="shared" si="0"/>
        <v/>
      </c>
      <c r="M31" s="68" t="str">
        <f t="shared" si="1"/>
        <v/>
      </c>
      <c r="N31" s="59" t="str">
        <f>IF('Prod 1'!E31="","",'Prod 1'!E31)</f>
        <v/>
      </c>
      <c r="O31" s="59" t="str">
        <f t="shared" si="2"/>
        <v/>
      </c>
      <c r="P31" s="59" t="str">
        <f t="shared" si="3"/>
        <v/>
      </c>
    </row>
    <row r="32" spans="3:16" ht="30" customHeight="1" x14ac:dyDescent="0.25">
      <c r="C32" s="42">
        <v>28</v>
      </c>
      <c r="D32" s="67" t="str">
        <f>IF('Prod 1'!D32="","",'Prod 1'!D32)</f>
        <v/>
      </c>
      <c r="E32" s="64"/>
      <c r="F32" s="58"/>
      <c r="G32" s="65"/>
      <c r="H32" s="65"/>
      <c r="I32" s="58"/>
      <c r="J32" s="58"/>
      <c r="K32" s="132" t="str">
        <f t="shared" si="0"/>
        <v/>
      </c>
      <c r="M32" s="68" t="str">
        <f t="shared" si="1"/>
        <v/>
      </c>
      <c r="N32" s="59" t="str">
        <f>IF('Prod 1'!E32="","",'Prod 1'!E32)</f>
        <v/>
      </c>
      <c r="O32" s="59" t="str">
        <f t="shared" si="2"/>
        <v/>
      </c>
      <c r="P32" s="59" t="str">
        <f t="shared" si="3"/>
        <v/>
      </c>
    </row>
    <row r="33" spans="3:16" ht="30" customHeight="1" x14ac:dyDescent="0.25">
      <c r="C33" s="42">
        <v>29</v>
      </c>
      <c r="D33" s="67" t="str">
        <f>IF('Prod 1'!D33="","",'Prod 1'!D33)</f>
        <v/>
      </c>
      <c r="E33" s="64"/>
      <c r="F33" s="58"/>
      <c r="G33" s="65"/>
      <c r="H33" s="65"/>
      <c r="I33" s="58"/>
      <c r="J33" s="58"/>
      <c r="K33" s="132" t="str">
        <f t="shared" si="0"/>
        <v/>
      </c>
      <c r="M33" s="68" t="str">
        <f t="shared" si="1"/>
        <v/>
      </c>
      <c r="N33" s="59" t="str">
        <f>IF('Prod 1'!E33="","",'Prod 1'!E33)</f>
        <v/>
      </c>
      <c r="O33" s="59" t="str">
        <f t="shared" si="2"/>
        <v/>
      </c>
      <c r="P33" s="59" t="str">
        <f t="shared" si="3"/>
        <v/>
      </c>
    </row>
    <row r="34" spans="3:16" ht="30" customHeight="1" x14ac:dyDescent="0.25">
      <c r="C34" s="42">
        <v>30</v>
      </c>
      <c r="D34" s="67" t="str">
        <f>IF('Prod 1'!D34="","",'Prod 1'!D34)</f>
        <v/>
      </c>
      <c r="E34" s="64"/>
      <c r="F34" s="58"/>
      <c r="G34" s="65"/>
      <c r="H34" s="65"/>
      <c r="I34" s="58"/>
      <c r="J34" s="58"/>
      <c r="K34" s="132" t="str">
        <f t="shared" si="0"/>
        <v/>
      </c>
      <c r="M34" s="68" t="str">
        <f t="shared" si="1"/>
        <v/>
      </c>
      <c r="N34" s="59" t="str">
        <f>IF('Prod 1'!E34="","",'Prod 1'!E34)</f>
        <v/>
      </c>
      <c r="O34" s="59" t="str">
        <f t="shared" si="2"/>
        <v/>
      </c>
      <c r="P34" s="59" t="str">
        <f t="shared" si="3"/>
        <v/>
      </c>
    </row>
    <row r="35" spans="3:16" ht="30" customHeight="1" x14ac:dyDescent="0.25">
      <c r="C35" s="42">
        <v>31</v>
      </c>
      <c r="D35" s="67" t="str">
        <f>IF('Prod 1'!D35="","",'Prod 1'!D35)</f>
        <v/>
      </c>
      <c r="E35" s="64"/>
      <c r="F35" s="58"/>
      <c r="G35" s="65"/>
      <c r="H35" s="65"/>
      <c r="I35" s="58"/>
      <c r="J35" s="58"/>
      <c r="K35" s="132" t="str">
        <f t="shared" si="0"/>
        <v/>
      </c>
      <c r="M35" s="68" t="str">
        <f t="shared" si="1"/>
        <v/>
      </c>
      <c r="N35" s="59" t="str">
        <f>IF('Prod 1'!E35="","",'Prod 1'!E35)</f>
        <v/>
      </c>
      <c r="O35" s="59" t="str">
        <f t="shared" si="2"/>
        <v/>
      </c>
      <c r="P35" s="59" t="str">
        <f t="shared" si="3"/>
        <v/>
      </c>
    </row>
    <row r="36" spans="3:16" ht="30" customHeight="1" x14ac:dyDescent="0.25">
      <c r="C36" s="42">
        <v>32</v>
      </c>
      <c r="D36" s="67" t="str">
        <f>IF('Prod 1'!D36="","",'Prod 1'!D36)</f>
        <v/>
      </c>
      <c r="E36" s="64"/>
      <c r="F36" s="58"/>
      <c r="G36" s="65"/>
      <c r="H36" s="65"/>
      <c r="I36" s="58"/>
      <c r="J36" s="58"/>
      <c r="K36" s="132" t="str">
        <f t="shared" si="0"/>
        <v/>
      </c>
      <c r="M36" s="68" t="str">
        <f t="shared" si="1"/>
        <v/>
      </c>
      <c r="N36" s="59" t="str">
        <f>IF('Prod 1'!E36="","",'Prod 1'!E36)</f>
        <v/>
      </c>
      <c r="O36" s="59" t="str">
        <f t="shared" si="2"/>
        <v/>
      </c>
      <c r="P36" s="59" t="str">
        <f t="shared" si="3"/>
        <v/>
      </c>
    </row>
    <row r="37" spans="3:16" ht="30" customHeight="1" x14ac:dyDescent="0.25">
      <c r="C37" s="42">
        <v>33</v>
      </c>
      <c r="D37" s="67" t="str">
        <f>IF('Prod 1'!D37="","",'Prod 1'!D37)</f>
        <v/>
      </c>
      <c r="E37" s="64"/>
      <c r="F37" s="58"/>
      <c r="G37" s="65"/>
      <c r="H37" s="65"/>
      <c r="I37" s="58"/>
      <c r="J37" s="58"/>
      <c r="K37" s="132" t="str">
        <f t="shared" si="0"/>
        <v/>
      </c>
      <c r="M37" s="68" t="str">
        <f t="shared" si="1"/>
        <v/>
      </c>
      <c r="N37" s="59" t="str">
        <f>IF('Prod 1'!E37="","",'Prod 1'!E37)</f>
        <v/>
      </c>
      <c r="O37" s="59" t="str">
        <f t="shared" si="2"/>
        <v/>
      </c>
      <c r="P37" s="59" t="str">
        <f t="shared" si="3"/>
        <v/>
      </c>
    </row>
    <row r="38" spans="3:16" ht="30" customHeight="1" x14ac:dyDescent="0.25">
      <c r="C38" s="42">
        <v>34</v>
      </c>
      <c r="D38" s="67" t="str">
        <f>IF('Prod 1'!D38="","",'Prod 1'!D38)</f>
        <v/>
      </c>
      <c r="E38" s="64"/>
      <c r="F38" s="58"/>
      <c r="G38" s="65"/>
      <c r="H38" s="65"/>
      <c r="I38" s="58"/>
      <c r="J38" s="58"/>
      <c r="K38" s="132" t="str">
        <f t="shared" si="0"/>
        <v/>
      </c>
      <c r="M38" s="68" t="str">
        <f t="shared" si="1"/>
        <v/>
      </c>
      <c r="N38" s="59" t="str">
        <f>IF('Prod 1'!E38="","",'Prod 1'!E38)</f>
        <v/>
      </c>
      <c r="O38" s="59" t="str">
        <f t="shared" si="2"/>
        <v/>
      </c>
      <c r="P38" s="59" t="str">
        <f t="shared" si="3"/>
        <v/>
      </c>
    </row>
    <row r="39" spans="3:16" ht="30" customHeight="1" x14ac:dyDescent="0.25">
      <c r="C39" s="42">
        <v>35</v>
      </c>
      <c r="D39" s="67" t="str">
        <f>IF('Prod 1'!D39="","",'Prod 1'!D39)</f>
        <v/>
      </c>
      <c r="E39" s="64"/>
      <c r="F39" s="58"/>
      <c r="G39" s="65"/>
      <c r="H39" s="65"/>
      <c r="I39" s="58"/>
      <c r="J39" s="58"/>
      <c r="K39" s="132" t="str">
        <f t="shared" si="0"/>
        <v/>
      </c>
      <c r="M39" s="68" t="str">
        <f t="shared" si="1"/>
        <v/>
      </c>
      <c r="N39" s="59" t="str">
        <f>IF('Prod 1'!E39="","",'Prod 1'!E39)</f>
        <v/>
      </c>
      <c r="O39" s="59" t="str">
        <f t="shared" si="2"/>
        <v/>
      </c>
      <c r="P39" s="59" t="str">
        <f t="shared" si="3"/>
        <v/>
      </c>
    </row>
    <row r="40" spans="3:16" ht="30" customHeight="1" x14ac:dyDescent="0.25">
      <c r="C40" s="42">
        <v>36</v>
      </c>
      <c r="D40" s="67" t="str">
        <f>IF('Prod 1'!D40="","",'Prod 1'!D40)</f>
        <v/>
      </c>
      <c r="E40" s="64"/>
      <c r="F40" s="58"/>
      <c r="G40" s="65"/>
      <c r="H40" s="65"/>
      <c r="I40" s="58"/>
      <c r="J40" s="58"/>
      <c r="K40" s="132" t="str">
        <f t="shared" si="0"/>
        <v/>
      </c>
      <c r="M40" s="68" t="str">
        <f t="shared" si="1"/>
        <v/>
      </c>
      <c r="N40" s="59" t="str">
        <f>IF('Prod 1'!E40="","",'Prod 1'!E40)</f>
        <v/>
      </c>
      <c r="O40" s="59" t="str">
        <f t="shared" si="2"/>
        <v/>
      </c>
      <c r="P40" s="59" t="str">
        <f t="shared" si="3"/>
        <v/>
      </c>
    </row>
    <row r="41" spans="3:16" ht="30" customHeight="1" x14ac:dyDescent="0.25">
      <c r="C41" s="42">
        <v>37</v>
      </c>
      <c r="D41" s="67" t="str">
        <f>IF('Prod 1'!D41="","",'Prod 1'!D41)</f>
        <v/>
      </c>
      <c r="E41" s="64"/>
      <c r="F41" s="58"/>
      <c r="G41" s="65"/>
      <c r="H41" s="65"/>
      <c r="I41" s="58"/>
      <c r="J41" s="58"/>
      <c r="K41" s="132" t="str">
        <f t="shared" si="0"/>
        <v/>
      </c>
      <c r="M41" s="68" t="str">
        <f t="shared" si="1"/>
        <v/>
      </c>
      <c r="N41" s="59" t="str">
        <f>IF('Prod 1'!E41="","",'Prod 1'!E41)</f>
        <v/>
      </c>
      <c r="O41" s="59" t="str">
        <f t="shared" si="2"/>
        <v/>
      </c>
      <c r="P41" s="59" t="str">
        <f t="shared" si="3"/>
        <v/>
      </c>
    </row>
    <row r="42" spans="3:16" ht="30" customHeight="1" x14ac:dyDescent="0.25">
      <c r="C42" s="42">
        <v>38</v>
      </c>
      <c r="D42" s="67" t="str">
        <f>IF('Prod 1'!D42="","",'Prod 1'!D42)</f>
        <v/>
      </c>
      <c r="E42" s="64"/>
      <c r="F42" s="58"/>
      <c r="G42" s="65"/>
      <c r="H42" s="65"/>
      <c r="I42" s="58"/>
      <c r="J42" s="58"/>
      <c r="K42" s="132" t="str">
        <f t="shared" si="0"/>
        <v/>
      </c>
      <c r="M42" s="68" t="str">
        <f t="shared" si="1"/>
        <v/>
      </c>
      <c r="N42" s="59" t="str">
        <f>IF('Prod 1'!E42="","",'Prod 1'!E42)</f>
        <v/>
      </c>
      <c r="O42" s="59" t="str">
        <f t="shared" si="2"/>
        <v/>
      </c>
      <c r="P42" s="59" t="str">
        <f t="shared" si="3"/>
        <v/>
      </c>
    </row>
    <row r="43" spans="3:16" ht="30" customHeight="1" x14ac:dyDescent="0.25">
      <c r="C43" s="42">
        <v>39</v>
      </c>
      <c r="D43" s="67" t="str">
        <f>IF('Prod 1'!D43="","",'Prod 1'!D43)</f>
        <v/>
      </c>
      <c r="E43" s="64"/>
      <c r="F43" s="58"/>
      <c r="G43" s="65"/>
      <c r="H43" s="65"/>
      <c r="I43" s="58"/>
      <c r="J43" s="58"/>
      <c r="K43" s="132" t="str">
        <f t="shared" si="0"/>
        <v/>
      </c>
      <c r="M43" s="68" t="str">
        <f t="shared" si="1"/>
        <v/>
      </c>
      <c r="N43" s="59" t="str">
        <f>IF('Prod 1'!E43="","",'Prod 1'!E43)</f>
        <v/>
      </c>
      <c r="O43" s="59" t="str">
        <f t="shared" si="2"/>
        <v/>
      </c>
      <c r="P43" s="59" t="str">
        <f t="shared" si="3"/>
        <v/>
      </c>
    </row>
    <row r="44" spans="3:16" ht="30" customHeight="1" x14ac:dyDescent="0.25">
      <c r="C44" s="42">
        <v>40</v>
      </c>
      <c r="D44" s="67" t="str">
        <f>IF('Prod 1'!D44="","",'Prod 1'!D44)</f>
        <v/>
      </c>
      <c r="E44" s="64"/>
      <c r="F44" s="58"/>
      <c r="G44" s="65"/>
      <c r="H44" s="65"/>
      <c r="I44" s="58"/>
      <c r="J44" s="58"/>
      <c r="K44" s="132" t="str">
        <f t="shared" si="0"/>
        <v/>
      </c>
      <c r="M44" s="68" t="str">
        <f t="shared" si="1"/>
        <v/>
      </c>
      <c r="N44" s="59" t="str">
        <f>IF('Prod 1'!E44="","",'Prod 1'!E44)</f>
        <v/>
      </c>
      <c r="O44" s="59" t="str">
        <f t="shared" si="2"/>
        <v/>
      </c>
      <c r="P44" s="59" t="str">
        <f t="shared" si="3"/>
        <v/>
      </c>
    </row>
    <row r="45" spans="3:16" ht="30" customHeight="1" x14ac:dyDescent="0.25">
      <c r="C45" s="42">
        <v>41</v>
      </c>
      <c r="D45" s="67" t="str">
        <f>IF('Prod 1'!D45="","",'Prod 1'!D45)</f>
        <v/>
      </c>
      <c r="E45" s="64"/>
      <c r="F45" s="58"/>
      <c r="G45" s="65"/>
      <c r="H45" s="65"/>
      <c r="I45" s="58"/>
      <c r="J45" s="58"/>
      <c r="K45" s="132" t="str">
        <f t="shared" si="0"/>
        <v/>
      </c>
      <c r="M45" s="68" t="str">
        <f t="shared" si="1"/>
        <v/>
      </c>
      <c r="N45" s="59" t="str">
        <f>IF('Prod 1'!E45="","",'Prod 1'!E45)</f>
        <v/>
      </c>
      <c r="O45" s="59" t="str">
        <f t="shared" si="2"/>
        <v/>
      </c>
      <c r="P45" s="59" t="str">
        <f t="shared" si="3"/>
        <v/>
      </c>
    </row>
    <row r="46" spans="3:16" ht="30" customHeight="1" x14ac:dyDescent="0.25">
      <c r="C46" s="42">
        <v>42</v>
      </c>
      <c r="D46" s="67" t="str">
        <f>IF('Prod 1'!D46="","",'Prod 1'!D46)</f>
        <v/>
      </c>
      <c r="E46" s="64"/>
      <c r="F46" s="58"/>
      <c r="G46" s="65"/>
      <c r="H46" s="65"/>
      <c r="I46" s="58"/>
      <c r="J46" s="58"/>
      <c r="K46" s="132" t="str">
        <f t="shared" si="0"/>
        <v/>
      </c>
      <c r="M46" s="68" t="str">
        <f t="shared" si="1"/>
        <v/>
      </c>
      <c r="N46" s="59" t="str">
        <f>IF('Prod 1'!E46="","",'Prod 1'!E46)</f>
        <v/>
      </c>
      <c r="O46" s="59" t="str">
        <f t="shared" si="2"/>
        <v/>
      </c>
      <c r="P46" s="59" t="str">
        <f t="shared" si="3"/>
        <v/>
      </c>
    </row>
    <row r="47" spans="3:16" ht="30" customHeight="1" x14ac:dyDescent="0.25">
      <c r="C47" s="42">
        <v>43</v>
      </c>
      <c r="D47" s="67" t="str">
        <f>IF('Prod 1'!D47="","",'Prod 1'!D47)</f>
        <v/>
      </c>
      <c r="E47" s="64"/>
      <c r="F47" s="58"/>
      <c r="G47" s="65"/>
      <c r="H47" s="65"/>
      <c r="I47" s="58"/>
      <c r="J47" s="58"/>
      <c r="K47" s="132" t="str">
        <f t="shared" si="0"/>
        <v/>
      </c>
      <c r="M47" s="68" t="str">
        <f t="shared" si="1"/>
        <v/>
      </c>
      <c r="N47" s="59" t="str">
        <f>IF('Prod 1'!E47="","",'Prod 1'!E47)</f>
        <v/>
      </c>
      <c r="O47" s="59" t="str">
        <f t="shared" si="2"/>
        <v/>
      </c>
      <c r="P47" s="59" t="str">
        <f t="shared" si="3"/>
        <v/>
      </c>
    </row>
    <row r="48" spans="3:16" ht="30" customHeight="1" x14ac:dyDescent="0.25">
      <c r="C48" s="42">
        <v>44</v>
      </c>
      <c r="D48" s="67" t="str">
        <f>IF('Prod 1'!D48="","",'Prod 1'!D48)</f>
        <v/>
      </c>
      <c r="E48" s="64"/>
      <c r="F48" s="58"/>
      <c r="G48" s="65"/>
      <c r="H48" s="65"/>
      <c r="I48" s="58"/>
      <c r="J48" s="58"/>
      <c r="K48" s="132" t="str">
        <f t="shared" si="0"/>
        <v/>
      </c>
      <c r="M48" s="68" t="str">
        <f t="shared" si="1"/>
        <v/>
      </c>
      <c r="N48" s="59" t="str">
        <f>IF('Prod 1'!E48="","",'Prod 1'!E48)</f>
        <v/>
      </c>
      <c r="O48" s="59" t="str">
        <f t="shared" si="2"/>
        <v/>
      </c>
      <c r="P48" s="59" t="str">
        <f t="shared" si="3"/>
        <v/>
      </c>
    </row>
    <row r="49" spans="3:16" ht="30" customHeight="1" x14ac:dyDescent="0.25">
      <c r="C49" s="42">
        <v>45</v>
      </c>
      <c r="D49" s="67" t="str">
        <f>IF('Prod 1'!D49="","",'Prod 1'!D49)</f>
        <v/>
      </c>
      <c r="E49" s="64"/>
      <c r="F49" s="58"/>
      <c r="G49" s="65"/>
      <c r="H49" s="65"/>
      <c r="I49" s="58"/>
      <c r="J49" s="58"/>
      <c r="K49" s="132" t="str">
        <f t="shared" si="0"/>
        <v/>
      </c>
      <c r="M49" s="68" t="str">
        <f t="shared" si="1"/>
        <v/>
      </c>
      <c r="N49" s="59" t="str">
        <f>IF('Prod 1'!E49="","",'Prod 1'!E49)</f>
        <v/>
      </c>
      <c r="O49" s="59" t="str">
        <f t="shared" si="2"/>
        <v/>
      </c>
      <c r="P49" s="59" t="str">
        <f t="shared" si="3"/>
        <v/>
      </c>
    </row>
    <row r="50" spans="3:16" ht="30" customHeight="1" x14ac:dyDescent="0.25">
      <c r="C50" s="42">
        <v>46</v>
      </c>
      <c r="D50" s="67" t="str">
        <f>IF('Prod 1'!D50="","",'Prod 1'!D50)</f>
        <v/>
      </c>
      <c r="E50" s="64"/>
      <c r="F50" s="58"/>
      <c r="G50" s="65"/>
      <c r="H50" s="65"/>
      <c r="I50" s="58"/>
      <c r="J50" s="58"/>
      <c r="K50" s="132" t="str">
        <f t="shared" si="0"/>
        <v/>
      </c>
      <c r="M50" s="68" t="str">
        <f t="shared" si="1"/>
        <v/>
      </c>
      <c r="N50" s="59" t="str">
        <f>IF('Prod 1'!E50="","",'Prod 1'!E50)</f>
        <v/>
      </c>
      <c r="O50" s="59" t="str">
        <f t="shared" si="2"/>
        <v/>
      </c>
      <c r="P50" s="59" t="str">
        <f t="shared" si="3"/>
        <v/>
      </c>
    </row>
    <row r="51" spans="3:16" ht="30" customHeight="1" x14ac:dyDescent="0.25">
      <c r="C51" s="42">
        <v>47</v>
      </c>
      <c r="D51" s="67" t="str">
        <f>IF('Prod 1'!D51="","",'Prod 1'!D51)</f>
        <v/>
      </c>
      <c r="E51" s="64"/>
      <c r="F51" s="58"/>
      <c r="G51" s="65"/>
      <c r="H51" s="65"/>
      <c r="I51" s="58"/>
      <c r="J51" s="58"/>
      <c r="K51" s="132" t="str">
        <f t="shared" si="0"/>
        <v/>
      </c>
      <c r="M51" s="68" t="str">
        <f t="shared" si="1"/>
        <v/>
      </c>
      <c r="N51" s="59" t="str">
        <f>IF('Prod 1'!E51="","",'Prod 1'!E51)</f>
        <v/>
      </c>
      <c r="O51" s="59" t="str">
        <f t="shared" si="2"/>
        <v/>
      </c>
      <c r="P51" s="59" t="str">
        <f t="shared" si="3"/>
        <v/>
      </c>
    </row>
    <row r="52" spans="3:16" ht="30" customHeight="1" x14ac:dyDescent="0.25">
      <c r="C52" s="42">
        <v>48</v>
      </c>
      <c r="D52" s="67" t="str">
        <f>IF('Prod 1'!D52="","",'Prod 1'!D52)</f>
        <v/>
      </c>
      <c r="E52" s="64"/>
      <c r="F52" s="58"/>
      <c r="G52" s="65"/>
      <c r="H52" s="65"/>
      <c r="I52" s="58"/>
      <c r="J52" s="58"/>
      <c r="K52" s="132" t="str">
        <f t="shared" si="0"/>
        <v/>
      </c>
      <c r="M52" s="68" t="str">
        <f t="shared" si="1"/>
        <v/>
      </c>
      <c r="N52" s="59" t="str">
        <f>IF('Prod 1'!E52="","",'Prod 1'!E52)</f>
        <v/>
      </c>
      <c r="O52" s="59" t="str">
        <f t="shared" si="2"/>
        <v/>
      </c>
      <c r="P52" s="59" t="str">
        <f t="shared" si="3"/>
        <v/>
      </c>
    </row>
    <row r="53" spans="3:16" ht="30" customHeight="1" x14ac:dyDescent="0.25">
      <c r="C53" s="42">
        <v>49</v>
      </c>
      <c r="D53" s="67" t="str">
        <f>IF('Prod 1'!D53="","",'Prod 1'!D53)</f>
        <v/>
      </c>
      <c r="E53" s="64"/>
      <c r="F53" s="58"/>
      <c r="G53" s="65"/>
      <c r="H53" s="65"/>
      <c r="I53" s="58"/>
      <c r="J53" s="58"/>
      <c r="K53" s="132" t="str">
        <f t="shared" si="0"/>
        <v/>
      </c>
      <c r="M53" s="68" t="str">
        <f t="shared" si="1"/>
        <v/>
      </c>
      <c r="N53" s="59" t="str">
        <f>IF('Prod 1'!E53="","",'Prod 1'!E53)</f>
        <v/>
      </c>
      <c r="O53" s="59" t="str">
        <f t="shared" si="2"/>
        <v/>
      </c>
      <c r="P53" s="59" t="str">
        <f t="shared" si="3"/>
        <v/>
      </c>
    </row>
    <row r="54" spans="3:16" ht="30" customHeight="1" x14ac:dyDescent="0.25">
      <c r="C54" s="42">
        <v>50</v>
      </c>
      <c r="D54" s="67" t="str">
        <f>IF('Prod 1'!D54="","",'Prod 1'!D54)</f>
        <v/>
      </c>
      <c r="E54" s="64"/>
      <c r="F54" s="58"/>
      <c r="G54" s="65"/>
      <c r="H54" s="65"/>
      <c r="I54" s="58"/>
      <c r="J54" s="58"/>
      <c r="K54" s="132" t="str">
        <f t="shared" si="0"/>
        <v/>
      </c>
      <c r="M54" s="68" t="str">
        <f t="shared" si="1"/>
        <v/>
      </c>
      <c r="N54" s="59" t="str">
        <f>IF('Prod 1'!E54="","",'Prod 1'!E54)</f>
        <v/>
      </c>
      <c r="O54" s="59" t="str">
        <f t="shared" si="2"/>
        <v/>
      </c>
      <c r="P54" s="59" t="str">
        <f t="shared" si="3"/>
        <v/>
      </c>
    </row>
    <row r="55" spans="3:16" ht="30" customHeight="1" x14ac:dyDescent="0.25">
      <c r="C55" s="42">
        <v>51</v>
      </c>
      <c r="D55" s="67" t="str">
        <f>IF('Prod 1'!D55="","",'Prod 1'!D55)</f>
        <v/>
      </c>
      <c r="E55" s="64"/>
      <c r="F55" s="58"/>
      <c r="G55" s="65"/>
      <c r="H55" s="65"/>
      <c r="I55" s="58"/>
      <c r="J55" s="58"/>
      <c r="K55" s="132" t="str">
        <f t="shared" si="0"/>
        <v/>
      </c>
      <c r="M55" s="68" t="str">
        <f t="shared" si="1"/>
        <v/>
      </c>
      <c r="N55" s="59" t="str">
        <f>IF('Prod 1'!E55="","",'Prod 1'!E55)</f>
        <v/>
      </c>
      <c r="O55" s="59" t="str">
        <f t="shared" si="2"/>
        <v/>
      </c>
      <c r="P55" s="59" t="str">
        <f t="shared" si="3"/>
        <v/>
      </c>
    </row>
    <row r="56" spans="3:16" ht="30" customHeight="1" x14ac:dyDescent="0.25">
      <c r="C56" s="42">
        <v>52</v>
      </c>
      <c r="D56" s="67" t="str">
        <f>IF('Prod 1'!D56="","",'Prod 1'!D56)</f>
        <v/>
      </c>
      <c r="E56" s="64"/>
      <c r="F56" s="58"/>
      <c r="G56" s="65"/>
      <c r="H56" s="65"/>
      <c r="I56" s="58"/>
      <c r="J56" s="58"/>
      <c r="K56" s="132" t="str">
        <f t="shared" si="0"/>
        <v/>
      </c>
      <c r="M56" s="68" t="str">
        <f t="shared" si="1"/>
        <v/>
      </c>
      <c r="N56" s="59" t="str">
        <f>IF('Prod 1'!E56="","",'Prod 1'!E56)</f>
        <v/>
      </c>
      <c r="O56" s="59" t="str">
        <f t="shared" si="2"/>
        <v/>
      </c>
      <c r="P56" s="59" t="str">
        <f t="shared" si="3"/>
        <v/>
      </c>
    </row>
    <row r="57" spans="3:16" ht="30" customHeight="1" x14ac:dyDescent="0.25">
      <c r="C57" s="42">
        <v>53</v>
      </c>
      <c r="D57" s="67" t="str">
        <f>IF('Prod 1'!D57="","",'Prod 1'!D57)</f>
        <v/>
      </c>
      <c r="E57" s="64"/>
      <c r="F57" s="58"/>
      <c r="G57" s="65"/>
      <c r="H57" s="65"/>
      <c r="I57" s="58"/>
      <c r="J57" s="58"/>
      <c r="K57" s="132" t="str">
        <f t="shared" si="0"/>
        <v/>
      </c>
      <c r="M57" s="68" t="str">
        <f t="shared" si="1"/>
        <v/>
      </c>
      <c r="N57" s="59" t="str">
        <f>IF('Prod 1'!E57="","",'Prod 1'!E57)</f>
        <v/>
      </c>
      <c r="O57" s="59" t="str">
        <f t="shared" si="2"/>
        <v/>
      </c>
      <c r="P57" s="59" t="str">
        <f t="shared" si="3"/>
        <v/>
      </c>
    </row>
    <row r="58" spans="3:16" ht="30" customHeight="1" x14ac:dyDescent="0.25">
      <c r="C58" s="42">
        <v>54</v>
      </c>
      <c r="D58" s="67" t="str">
        <f>IF('Prod 1'!D58="","",'Prod 1'!D58)</f>
        <v/>
      </c>
      <c r="E58" s="64"/>
      <c r="F58" s="58"/>
      <c r="G58" s="65"/>
      <c r="H58" s="65"/>
      <c r="I58" s="58"/>
      <c r="J58" s="58"/>
      <c r="K58" s="132" t="str">
        <f t="shared" si="0"/>
        <v/>
      </c>
      <c r="M58" s="68" t="str">
        <f t="shared" si="1"/>
        <v/>
      </c>
      <c r="N58" s="59" t="str">
        <f>IF('Prod 1'!E58="","",'Prod 1'!E58)</f>
        <v/>
      </c>
      <c r="O58" s="59" t="str">
        <f t="shared" si="2"/>
        <v/>
      </c>
      <c r="P58" s="59" t="str">
        <f t="shared" si="3"/>
        <v/>
      </c>
    </row>
    <row r="59" spans="3:16" ht="30" customHeight="1" x14ac:dyDescent="0.25">
      <c r="C59" s="42">
        <v>55</v>
      </c>
      <c r="D59" s="67" t="str">
        <f>IF('Prod 1'!D59="","",'Prod 1'!D59)</f>
        <v/>
      </c>
      <c r="E59" s="64"/>
      <c r="F59" s="58"/>
      <c r="G59" s="65"/>
      <c r="H59" s="65"/>
      <c r="I59" s="58"/>
      <c r="J59" s="58"/>
      <c r="K59" s="132" t="str">
        <f t="shared" si="0"/>
        <v/>
      </c>
      <c r="M59" s="68" t="str">
        <f t="shared" si="1"/>
        <v/>
      </c>
      <c r="N59" s="59" t="str">
        <f>IF('Prod 1'!E59="","",'Prod 1'!E59)</f>
        <v/>
      </c>
      <c r="O59" s="59" t="str">
        <f t="shared" si="2"/>
        <v/>
      </c>
      <c r="P59" s="59" t="str">
        <f t="shared" si="3"/>
        <v/>
      </c>
    </row>
    <row r="60" spans="3:16" ht="30" customHeight="1" x14ac:dyDescent="0.25">
      <c r="C60" s="42">
        <v>56</v>
      </c>
      <c r="D60" s="67" t="str">
        <f>IF('Prod 1'!D60="","",'Prod 1'!D60)</f>
        <v/>
      </c>
      <c r="E60" s="64"/>
      <c r="F60" s="58"/>
      <c r="G60" s="65"/>
      <c r="H60" s="65"/>
      <c r="I60" s="58"/>
      <c r="J60" s="58"/>
      <c r="K60" s="132" t="str">
        <f t="shared" si="0"/>
        <v/>
      </c>
      <c r="M60" s="68" t="str">
        <f t="shared" si="1"/>
        <v/>
      </c>
      <c r="N60" s="59" t="str">
        <f>IF('Prod 1'!E60="","",'Prod 1'!E60)</f>
        <v/>
      </c>
      <c r="O60" s="59" t="str">
        <f t="shared" si="2"/>
        <v/>
      </c>
      <c r="P60" s="59" t="str">
        <f t="shared" si="3"/>
        <v/>
      </c>
    </row>
    <row r="61" spans="3:16" ht="30" customHeight="1" x14ac:dyDescent="0.25">
      <c r="C61" s="42">
        <v>57</v>
      </c>
      <c r="D61" s="67" t="str">
        <f>IF('Prod 1'!D61="","",'Prod 1'!D61)</f>
        <v/>
      </c>
      <c r="E61" s="64"/>
      <c r="F61" s="58"/>
      <c r="G61" s="65"/>
      <c r="H61" s="65"/>
      <c r="I61" s="58"/>
      <c r="J61" s="58"/>
      <c r="K61" s="132" t="str">
        <f t="shared" si="0"/>
        <v/>
      </c>
      <c r="M61" s="68" t="str">
        <f t="shared" si="1"/>
        <v/>
      </c>
      <c r="N61" s="59" t="str">
        <f>IF('Prod 1'!E61="","",'Prod 1'!E61)</f>
        <v/>
      </c>
      <c r="O61" s="59" t="str">
        <f t="shared" si="2"/>
        <v/>
      </c>
      <c r="P61" s="59" t="str">
        <f t="shared" si="3"/>
        <v/>
      </c>
    </row>
    <row r="62" spans="3:16" ht="30" customHeight="1" x14ac:dyDescent="0.25">
      <c r="C62" s="42">
        <v>58</v>
      </c>
      <c r="D62" s="67" t="str">
        <f>IF('Prod 1'!D62="","",'Prod 1'!D62)</f>
        <v/>
      </c>
      <c r="E62" s="64"/>
      <c r="F62" s="58"/>
      <c r="G62" s="65"/>
      <c r="H62" s="65"/>
      <c r="I62" s="58"/>
      <c r="J62" s="58"/>
      <c r="K62" s="132" t="str">
        <f t="shared" si="0"/>
        <v/>
      </c>
      <c r="M62" s="68" t="str">
        <f t="shared" si="1"/>
        <v/>
      </c>
      <c r="N62" s="59" t="str">
        <f>IF('Prod 1'!E62="","",'Prod 1'!E62)</f>
        <v/>
      </c>
      <c r="O62" s="59" t="str">
        <f t="shared" si="2"/>
        <v/>
      </c>
      <c r="P62" s="59" t="str">
        <f t="shared" si="3"/>
        <v/>
      </c>
    </row>
    <row r="63" spans="3:16" ht="30" customHeight="1" x14ac:dyDescent="0.25">
      <c r="C63" s="42">
        <v>59</v>
      </c>
      <c r="D63" s="67" t="str">
        <f>IF('Prod 1'!D63="","",'Prod 1'!D63)</f>
        <v/>
      </c>
      <c r="E63" s="64"/>
      <c r="F63" s="58"/>
      <c r="G63" s="65"/>
      <c r="H63" s="65"/>
      <c r="I63" s="58"/>
      <c r="J63" s="58"/>
      <c r="K63" s="132" t="str">
        <f t="shared" si="0"/>
        <v/>
      </c>
      <c r="M63" s="68" t="str">
        <f t="shared" si="1"/>
        <v/>
      </c>
      <c r="N63" s="59" t="str">
        <f>IF('Prod 1'!E63="","",'Prod 1'!E63)</f>
        <v/>
      </c>
      <c r="O63" s="59" t="str">
        <f t="shared" si="2"/>
        <v/>
      </c>
      <c r="P63" s="59" t="str">
        <f t="shared" si="3"/>
        <v/>
      </c>
    </row>
    <row r="64" spans="3:16" ht="30" customHeight="1" x14ac:dyDescent="0.25">
      <c r="C64" s="42">
        <v>60</v>
      </c>
      <c r="D64" s="67" t="str">
        <f>IF('Prod 1'!D64="","",'Prod 1'!D64)</f>
        <v/>
      </c>
      <c r="E64" s="64"/>
      <c r="F64" s="58"/>
      <c r="G64" s="65"/>
      <c r="H64" s="65"/>
      <c r="I64" s="58"/>
      <c r="J64" s="58"/>
      <c r="K64" s="132" t="str">
        <f t="shared" si="0"/>
        <v/>
      </c>
      <c r="M64" s="68" t="str">
        <f t="shared" si="1"/>
        <v/>
      </c>
      <c r="N64" s="59" t="str">
        <f>IF('Prod 1'!E64="","",'Prod 1'!E64)</f>
        <v/>
      </c>
      <c r="O64" s="59" t="str">
        <f t="shared" si="2"/>
        <v/>
      </c>
      <c r="P64" s="59" t="str">
        <f t="shared" si="3"/>
        <v/>
      </c>
    </row>
    <row r="65" spans="3:16" ht="30" customHeight="1" x14ac:dyDescent="0.25">
      <c r="C65" s="42">
        <v>61</v>
      </c>
      <c r="D65" s="67" t="str">
        <f>IF('Prod 1'!D65="","",'Prod 1'!D65)</f>
        <v/>
      </c>
      <c r="E65" s="64"/>
      <c r="F65" s="58"/>
      <c r="G65" s="65"/>
      <c r="H65" s="65"/>
      <c r="I65" s="58"/>
      <c r="J65" s="58"/>
      <c r="K65" s="132" t="str">
        <f t="shared" si="0"/>
        <v/>
      </c>
      <c r="M65" s="68" t="str">
        <f t="shared" si="1"/>
        <v/>
      </c>
      <c r="N65" s="59" t="str">
        <f>IF('Prod 1'!E65="","",'Prod 1'!E65)</f>
        <v/>
      </c>
      <c r="O65" s="59" t="str">
        <f t="shared" si="2"/>
        <v/>
      </c>
      <c r="P65" s="59" t="str">
        <f t="shared" si="3"/>
        <v/>
      </c>
    </row>
    <row r="66" spans="3:16" ht="30" customHeight="1" x14ac:dyDescent="0.25">
      <c r="C66" s="42">
        <v>62</v>
      </c>
      <c r="D66" s="67" t="str">
        <f>IF('Prod 1'!D66="","",'Prod 1'!D66)</f>
        <v/>
      </c>
      <c r="E66" s="64"/>
      <c r="F66" s="58"/>
      <c r="G66" s="65"/>
      <c r="H66" s="65"/>
      <c r="I66" s="58"/>
      <c r="J66" s="58"/>
      <c r="K66" s="132" t="str">
        <f t="shared" si="0"/>
        <v/>
      </c>
      <c r="M66" s="68" t="str">
        <f t="shared" si="1"/>
        <v/>
      </c>
      <c r="N66" s="59" t="str">
        <f>IF('Prod 1'!E66="","",'Prod 1'!E66)</f>
        <v/>
      </c>
      <c r="O66" s="59" t="str">
        <f t="shared" si="2"/>
        <v/>
      </c>
      <c r="P66" s="59" t="str">
        <f t="shared" si="3"/>
        <v/>
      </c>
    </row>
    <row r="67" spans="3:16" ht="30" customHeight="1" x14ac:dyDescent="0.25">
      <c r="C67" s="42">
        <v>63</v>
      </c>
      <c r="D67" s="67" t="str">
        <f>IF('Prod 1'!D67="","",'Prod 1'!D67)</f>
        <v/>
      </c>
      <c r="E67" s="64"/>
      <c r="F67" s="58"/>
      <c r="G67" s="65"/>
      <c r="H67" s="65"/>
      <c r="I67" s="58"/>
      <c r="J67" s="58"/>
      <c r="K67" s="132" t="str">
        <f t="shared" si="0"/>
        <v/>
      </c>
      <c r="M67" s="68" t="str">
        <f t="shared" si="1"/>
        <v/>
      </c>
      <c r="N67" s="59" t="str">
        <f>IF('Prod 1'!E67="","",'Prod 1'!E67)</f>
        <v/>
      </c>
      <c r="O67" s="59" t="str">
        <f t="shared" si="2"/>
        <v/>
      </c>
      <c r="P67" s="59" t="str">
        <f t="shared" si="3"/>
        <v/>
      </c>
    </row>
    <row r="68" spans="3:16" ht="30" customHeight="1" x14ac:dyDescent="0.25">
      <c r="C68" s="42">
        <v>64</v>
      </c>
      <c r="D68" s="67" t="str">
        <f>IF('Prod 1'!D68="","",'Prod 1'!D68)</f>
        <v/>
      </c>
      <c r="E68" s="64"/>
      <c r="F68" s="58"/>
      <c r="G68" s="65"/>
      <c r="H68" s="65"/>
      <c r="I68" s="58"/>
      <c r="J68" s="58"/>
      <c r="K68" s="132" t="str">
        <f t="shared" si="0"/>
        <v/>
      </c>
      <c r="M68" s="68" t="str">
        <f t="shared" si="1"/>
        <v/>
      </c>
      <c r="N68" s="59" t="str">
        <f>IF('Prod 1'!E68="","",'Prod 1'!E68)</f>
        <v/>
      </c>
      <c r="O68" s="59" t="str">
        <f t="shared" si="2"/>
        <v/>
      </c>
      <c r="P68" s="59" t="str">
        <f t="shared" si="3"/>
        <v/>
      </c>
    </row>
    <row r="69" spans="3:16" ht="30" customHeight="1" x14ac:dyDescent="0.25">
      <c r="C69" s="42">
        <v>65</v>
      </c>
      <c r="D69" s="67" t="str">
        <f>IF('Prod 1'!D69="","",'Prod 1'!D69)</f>
        <v/>
      </c>
      <c r="E69" s="64"/>
      <c r="F69" s="58"/>
      <c r="G69" s="65"/>
      <c r="H69" s="65"/>
      <c r="I69" s="58"/>
      <c r="J69" s="58"/>
      <c r="K69" s="132" t="str">
        <f t="shared" si="0"/>
        <v/>
      </c>
      <c r="M69" s="68" t="str">
        <f t="shared" si="1"/>
        <v/>
      </c>
      <c r="N69" s="59" t="str">
        <f>IF('Prod 1'!E69="","",'Prod 1'!E69)</f>
        <v/>
      </c>
      <c r="O69" s="59" t="str">
        <f t="shared" si="2"/>
        <v/>
      </c>
      <c r="P69" s="59" t="str">
        <f t="shared" si="3"/>
        <v/>
      </c>
    </row>
    <row r="70" spans="3:16" ht="30" customHeight="1" x14ac:dyDescent="0.25">
      <c r="C70" s="42">
        <v>66</v>
      </c>
      <c r="D70" s="67" t="str">
        <f>IF('Prod 1'!D70="","",'Prod 1'!D70)</f>
        <v/>
      </c>
      <c r="E70" s="64"/>
      <c r="F70" s="58"/>
      <c r="G70" s="65"/>
      <c r="H70" s="65"/>
      <c r="I70" s="58"/>
      <c r="J70" s="58"/>
      <c r="K70" s="132" t="str">
        <f t="shared" ref="K70:K133" si="4">IF(E70="","",IF(E70="Produção",SUM(I70:J70)+SUM(O70:P70),F70))</f>
        <v/>
      </c>
      <c r="M70" s="68" t="str">
        <f t="shared" ref="M70:M133" si="5">IFERROR(IF(D70="","",100%),0)</f>
        <v/>
      </c>
      <c r="N70" s="59" t="str">
        <f>IF('Prod 1'!E70="","",'Prod 1'!E70)</f>
        <v/>
      </c>
      <c r="O70" s="59" t="str">
        <f t="shared" ref="O70:O133" si="6">IFERROR(IF(D70="","",N70*G70),0)</f>
        <v/>
      </c>
      <c r="P70" s="59" t="str">
        <f t="shared" ref="P70:P133" si="7">IFERROR(IF(D70="","",N70*H70),0)</f>
        <v/>
      </c>
    </row>
    <row r="71" spans="3:16" ht="30" customHeight="1" x14ac:dyDescent="0.25">
      <c r="C71" s="42">
        <v>67</v>
      </c>
      <c r="D71" s="67" t="str">
        <f>IF('Prod 1'!D71="","",'Prod 1'!D71)</f>
        <v/>
      </c>
      <c r="E71" s="64"/>
      <c r="F71" s="58"/>
      <c r="G71" s="65"/>
      <c r="H71" s="65"/>
      <c r="I71" s="58"/>
      <c r="J71" s="58"/>
      <c r="K71" s="132" t="str">
        <f t="shared" si="4"/>
        <v/>
      </c>
      <c r="M71" s="68" t="str">
        <f t="shared" si="5"/>
        <v/>
      </c>
      <c r="N71" s="59" t="str">
        <f>IF('Prod 1'!E71="","",'Prod 1'!E71)</f>
        <v/>
      </c>
      <c r="O71" s="59" t="str">
        <f t="shared" si="6"/>
        <v/>
      </c>
      <c r="P71" s="59" t="str">
        <f t="shared" si="7"/>
        <v/>
      </c>
    </row>
    <row r="72" spans="3:16" ht="30" customHeight="1" x14ac:dyDescent="0.25">
      <c r="C72" s="42">
        <v>68</v>
      </c>
      <c r="D72" s="67" t="str">
        <f>IF('Prod 1'!D72="","",'Prod 1'!D72)</f>
        <v/>
      </c>
      <c r="E72" s="64"/>
      <c r="F72" s="58"/>
      <c r="G72" s="65"/>
      <c r="H72" s="65"/>
      <c r="I72" s="58"/>
      <c r="J72" s="58"/>
      <c r="K72" s="132" t="str">
        <f t="shared" si="4"/>
        <v/>
      </c>
      <c r="M72" s="68" t="str">
        <f t="shared" si="5"/>
        <v/>
      </c>
      <c r="N72" s="59" t="str">
        <f>IF('Prod 1'!E72="","",'Prod 1'!E72)</f>
        <v/>
      </c>
      <c r="O72" s="59" t="str">
        <f t="shared" si="6"/>
        <v/>
      </c>
      <c r="P72" s="59" t="str">
        <f t="shared" si="7"/>
        <v/>
      </c>
    </row>
    <row r="73" spans="3:16" ht="30" customHeight="1" x14ac:dyDescent="0.25">
      <c r="C73" s="42">
        <v>69</v>
      </c>
      <c r="D73" s="67" t="str">
        <f>IF('Prod 1'!D73="","",'Prod 1'!D73)</f>
        <v/>
      </c>
      <c r="E73" s="64"/>
      <c r="F73" s="58"/>
      <c r="G73" s="65"/>
      <c r="H73" s="65"/>
      <c r="I73" s="58"/>
      <c r="J73" s="58"/>
      <c r="K73" s="132" t="str">
        <f t="shared" si="4"/>
        <v/>
      </c>
      <c r="M73" s="68" t="str">
        <f t="shared" si="5"/>
        <v/>
      </c>
      <c r="N73" s="59" t="str">
        <f>IF('Prod 1'!E73="","",'Prod 1'!E73)</f>
        <v/>
      </c>
      <c r="O73" s="59" t="str">
        <f t="shared" si="6"/>
        <v/>
      </c>
      <c r="P73" s="59" t="str">
        <f t="shared" si="7"/>
        <v/>
      </c>
    </row>
    <row r="74" spans="3:16" ht="30" customHeight="1" x14ac:dyDescent="0.25">
      <c r="C74" s="42">
        <v>70</v>
      </c>
      <c r="D74" s="67" t="str">
        <f>IF('Prod 1'!D74="","",'Prod 1'!D74)</f>
        <v/>
      </c>
      <c r="E74" s="64"/>
      <c r="F74" s="58"/>
      <c r="G74" s="65"/>
      <c r="H74" s="65"/>
      <c r="I74" s="58"/>
      <c r="J74" s="58"/>
      <c r="K74" s="132" t="str">
        <f t="shared" si="4"/>
        <v/>
      </c>
      <c r="M74" s="68" t="str">
        <f t="shared" si="5"/>
        <v/>
      </c>
      <c r="N74" s="59" t="str">
        <f>IF('Prod 1'!E74="","",'Prod 1'!E74)</f>
        <v/>
      </c>
      <c r="O74" s="59" t="str">
        <f t="shared" si="6"/>
        <v/>
      </c>
      <c r="P74" s="59" t="str">
        <f t="shared" si="7"/>
        <v/>
      </c>
    </row>
    <row r="75" spans="3:16" ht="30" customHeight="1" x14ac:dyDescent="0.25">
      <c r="C75" s="42">
        <v>71</v>
      </c>
      <c r="D75" s="67" t="str">
        <f>IF('Prod 1'!D75="","",'Prod 1'!D75)</f>
        <v/>
      </c>
      <c r="E75" s="64"/>
      <c r="F75" s="58"/>
      <c r="G75" s="65"/>
      <c r="H75" s="65"/>
      <c r="I75" s="58"/>
      <c r="J75" s="58"/>
      <c r="K75" s="132" t="str">
        <f t="shared" si="4"/>
        <v/>
      </c>
      <c r="M75" s="68" t="str">
        <f t="shared" si="5"/>
        <v/>
      </c>
      <c r="N75" s="59" t="str">
        <f>IF('Prod 1'!E75="","",'Prod 1'!E75)</f>
        <v/>
      </c>
      <c r="O75" s="59" t="str">
        <f t="shared" si="6"/>
        <v/>
      </c>
      <c r="P75" s="59" t="str">
        <f t="shared" si="7"/>
        <v/>
      </c>
    </row>
    <row r="76" spans="3:16" ht="30" customHeight="1" x14ac:dyDescent="0.25">
      <c r="C76" s="42">
        <v>72</v>
      </c>
      <c r="D76" s="67" t="str">
        <f>IF('Prod 1'!D76="","",'Prod 1'!D76)</f>
        <v/>
      </c>
      <c r="E76" s="64"/>
      <c r="F76" s="58"/>
      <c r="G76" s="65"/>
      <c r="H76" s="65"/>
      <c r="I76" s="58"/>
      <c r="J76" s="58"/>
      <c r="K76" s="132" t="str">
        <f t="shared" si="4"/>
        <v/>
      </c>
      <c r="M76" s="68" t="str">
        <f t="shared" si="5"/>
        <v/>
      </c>
      <c r="N76" s="59" t="str">
        <f>IF('Prod 1'!E76="","",'Prod 1'!E76)</f>
        <v/>
      </c>
      <c r="O76" s="59" t="str">
        <f t="shared" si="6"/>
        <v/>
      </c>
      <c r="P76" s="59" t="str">
        <f t="shared" si="7"/>
        <v/>
      </c>
    </row>
    <row r="77" spans="3:16" ht="30" customHeight="1" x14ac:dyDescent="0.25">
      <c r="C77" s="42">
        <v>73</v>
      </c>
      <c r="D77" s="67" t="str">
        <f>IF('Prod 1'!D77="","",'Prod 1'!D77)</f>
        <v/>
      </c>
      <c r="E77" s="64"/>
      <c r="F77" s="58"/>
      <c r="G77" s="65"/>
      <c r="H77" s="65"/>
      <c r="I77" s="58"/>
      <c r="J77" s="58"/>
      <c r="K77" s="132" t="str">
        <f t="shared" si="4"/>
        <v/>
      </c>
      <c r="M77" s="68" t="str">
        <f t="shared" si="5"/>
        <v/>
      </c>
      <c r="N77" s="59" t="str">
        <f>IF('Prod 1'!E77="","",'Prod 1'!E77)</f>
        <v/>
      </c>
      <c r="O77" s="59" t="str">
        <f t="shared" si="6"/>
        <v/>
      </c>
      <c r="P77" s="59" t="str">
        <f t="shared" si="7"/>
        <v/>
      </c>
    </row>
    <row r="78" spans="3:16" ht="30" customHeight="1" x14ac:dyDescent="0.25">
      <c r="C78" s="42">
        <v>74</v>
      </c>
      <c r="D78" s="67" t="str">
        <f>IF('Prod 1'!D78="","",'Prod 1'!D78)</f>
        <v/>
      </c>
      <c r="E78" s="64"/>
      <c r="F78" s="58"/>
      <c r="G78" s="65"/>
      <c r="H78" s="65"/>
      <c r="I78" s="58"/>
      <c r="J78" s="58"/>
      <c r="K78" s="132" t="str">
        <f t="shared" si="4"/>
        <v/>
      </c>
      <c r="M78" s="68" t="str">
        <f t="shared" si="5"/>
        <v/>
      </c>
      <c r="N78" s="59" t="str">
        <f>IF('Prod 1'!E78="","",'Prod 1'!E78)</f>
        <v/>
      </c>
      <c r="O78" s="59" t="str">
        <f t="shared" si="6"/>
        <v/>
      </c>
      <c r="P78" s="59" t="str">
        <f t="shared" si="7"/>
        <v/>
      </c>
    </row>
    <row r="79" spans="3:16" ht="30" customHeight="1" x14ac:dyDescent="0.25">
      <c r="C79" s="42">
        <v>75</v>
      </c>
      <c r="D79" s="67" t="str">
        <f>IF('Prod 1'!D79="","",'Prod 1'!D79)</f>
        <v/>
      </c>
      <c r="E79" s="64"/>
      <c r="F79" s="58"/>
      <c r="G79" s="65"/>
      <c r="H79" s="65"/>
      <c r="I79" s="58"/>
      <c r="J79" s="58"/>
      <c r="K79" s="132" t="str">
        <f t="shared" si="4"/>
        <v/>
      </c>
      <c r="M79" s="68" t="str">
        <f t="shared" si="5"/>
        <v/>
      </c>
      <c r="N79" s="59" t="str">
        <f>IF('Prod 1'!E79="","",'Prod 1'!E79)</f>
        <v/>
      </c>
      <c r="O79" s="59" t="str">
        <f t="shared" si="6"/>
        <v/>
      </c>
      <c r="P79" s="59" t="str">
        <f t="shared" si="7"/>
        <v/>
      </c>
    </row>
    <row r="80" spans="3:16" ht="30" customHeight="1" x14ac:dyDescent="0.25">
      <c r="C80" s="42">
        <v>76</v>
      </c>
      <c r="D80" s="67" t="str">
        <f>IF('Prod 1'!D80="","",'Prod 1'!D80)</f>
        <v/>
      </c>
      <c r="E80" s="64"/>
      <c r="F80" s="58"/>
      <c r="G80" s="65"/>
      <c r="H80" s="65"/>
      <c r="I80" s="58"/>
      <c r="J80" s="58"/>
      <c r="K80" s="132" t="str">
        <f t="shared" si="4"/>
        <v/>
      </c>
      <c r="M80" s="68" t="str">
        <f t="shared" si="5"/>
        <v/>
      </c>
      <c r="N80" s="59" t="str">
        <f>IF('Prod 1'!E80="","",'Prod 1'!E80)</f>
        <v/>
      </c>
      <c r="O80" s="59" t="str">
        <f t="shared" si="6"/>
        <v/>
      </c>
      <c r="P80" s="59" t="str">
        <f t="shared" si="7"/>
        <v/>
      </c>
    </row>
    <row r="81" spans="3:16" ht="30" customHeight="1" x14ac:dyDescent="0.25">
      <c r="C81" s="42">
        <v>77</v>
      </c>
      <c r="D81" s="67" t="str">
        <f>IF('Prod 1'!D81="","",'Prod 1'!D81)</f>
        <v/>
      </c>
      <c r="E81" s="64"/>
      <c r="F81" s="58"/>
      <c r="G81" s="65"/>
      <c r="H81" s="65"/>
      <c r="I81" s="58"/>
      <c r="J81" s="58"/>
      <c r="K81" s="132" t="str">
        <f t="shared" si="4"/>
        <v/>
      </c>
      <c r="M81" s="68" t="str">
        <f t="shared" si="5"/>
        <v/>
      </c>
      <c r="N81" s="59" t="str">
        <f>IF('Prod 1'!E81="","",'Prod 1'!E81)</f>
        <v/>
      </c>
      <c r="O81" s="59" t="str">
        <f t="shared" si="6"/>
        <v/>
      </c>
      <c r="P81" s="59" t="str">
        <f t="shared" si="7"/>
        <v/>
      </c>
    </row>
    <row r="82" spans="3:16" ht="30" customHeight="1" x14ac:dyDescent="0.25">
      <c r="C82" s="42">
        <v>78</v>
      </c>
      <c r="D82" s="67" t="str">
        <f>IF('Prod 1'!D82="","",'Prod 1'!D82)</f>
        <v/>
      </c>
      <c r="E82" s="64"/>
      <c r="F82" s="58"/>
      <c r="G82" s="65"/>
      <c r="H82" s="65"/>
      <c r="I82" s="58"/>
      <c r="J82" s="58"/>
      <c r="K82" s="132" t="str">
        <f t="shared" si="4"/>
        <v/>
      </c>
      <c r="M82" s="68" t="str">
        <f t="shared" si="5"/>
        <v/>
      </c>
      <c r="N82" s="59" t="str">
        <f>IF('Prod 1'!E82="","",'Prod 1'!E82)</f>
        <v/>
      </c>
      <c r="O82" s="59" t="str">
        <f t="shared" si="6"/>
        <v/>
      </c>
      <c r="P82" s="59" t="str">
        <f t="shared" si="7"/>
        <v/>
      </c>
    </row>
    <row r="83" spans="3:16" ht="30" customHeight="1" x14ac:dyDescent="0.25">
      <c r="C83" s="42">
        <v>79</v>
      </c>
      <c r="D83" s="67" t="str">
        <f>IF('Prod 1'!D83="","",'Prod 1'!D83)</f>
        <v/>
      </c>
      <c r="E83" s="64"/>
      <c r="F83" s="58"/>
      <c r="G83" s="65"/>
      <c r="H83" s="65"/>
      <c r="I83" s="58"/>
      <c r="J83" s="58"/>
      <c r="K83" s="132" t="str">
        <f t="shared" si="4"/>
        <v/>
      </c>
      <c r="M83" s="68" t="str">
        <f t="shared" si="5"/>
        <v/>
      </c>
      <c r="N83" s="59" t="str">
        <f>IF('Prod 1'!E83="","",'Prod 1'!E83)</f>
        <v/>
      </c>
      <c r="O83" s="59" t="str">
        <f t="shared" si="6"/>
        <v/>
      </c>
      <c r="P83" s="59" t="str">
        <f t="shared" si="7"/>
        <v/>
      </c>
    </row>
    <row r="84" spans="3:16" ht="30" customHeight="1" x14ac:dyDescent="0.25">
      <c r="C84" s="42">
        <v>80</v>
      </c>
      <c r="D84" s="67" t="str">
        <f>IF('Prod 1'!D84="","",'Prod 1'!D84)</f>
        <v/>
      </c>
      <c r="E84" s="64"/>
      <c r="F84" s="58"/>
      <c r="G84" s="65"/>
      <c r="H84" s="65"/>
      <c r="I84" s="58"/>
      <c r="J84" s="58"/>
      <c r="K84" s="132" t="str">
        <f t="shared" si="4"/>
        <v/>
      </c>
      <c r="M84" s="68" t="str">
        <f t="shared" si="5"/>
        <v/>
      </c>
      <c r="N84" s="59" t="str">
        <f>IF('Prod 1'!E84="","",'Prod 1'!E84)</f>
        <v/>
      </c>
      <c r="O84" s="59" t="str">
        <f t="shared" si="6"/>
        <v/>
      </c>
      <c r="P84" s="59" t="str">
        <f t="shared" si="7"/>
        <v/>
      </c>
    </row>
    <row r="85" spans="3:16" ht="30" customHeight="1" x14ac:dyDescent="0.25">
      <c r="C85" s="42">
        <v>81</v>
      </c>
      <c r="D85" s="67" t="str">
        <f>IF('Prod 1'!D85="","",'Prod 1'!D85)</f>
        <v/>
      </c>
      <c r="E85" s="64"/>
      <c r="F85" s="58"/>
      <c r="G85" s="65"/>
      <c r="H85" s="65"/>
      <c r="I85" s="58"/>
      <c r="J85" s="58"/>
      <c r="K85" s="132" t="str">
        <f t="shared" si="4"/>
        <v/>
      </c>
      <c r="M85" s="68" t="str">
        <f t="shared" si="5"/>
        <v/>
      </c>
      <c r="N85" s="59" t="str">
        <f>IF('Prod 1'!E85="","",'Prod 1'!E85)</f>
        <v/>
      </c>
      <c r="O85" s="59" t="str">
        <f t="shared" si="6"/>
        <v/>
      </c>
      <c r="P85" s="59" t="str">
        <f t="shared" si="7"/>
        <v/>
      </c>
    </row>
    <row r="86" spans="3:16" ht="30" customHeight="1" x14ac:dyDescent="0.25">
      <c r="C86" s="42">
        <v>82</v>
      </c>
      <c r="D86" s="67" t="str">
        <f>IF('Prod 1'!D86="","",'Prod 1'!D86)</f>
        <v/>
      </c>
      <c r="E86" s="64"/>
      <c r="F86" s="58"/>
      <c r="G86" s="65"/>
      <c r="H86" s="65"/>
      <c r="I86" s="58"/>
      <c r="J86" s="58"/>
      <c r="K86" s="132" t="str">
        <f t="shared" si="4"/>
        <v/>
      </c>
      <c r="M86" s="68" t="str">
        <f t="shared" si="5"/>
        <v/>
      </c>
      <c r="N86" s="59" t="str">
        <f>IF('Prod 1'!E86="","",'Prod 1'!E86)</f>
        <v/>
      </c>
      <c r="O86" s="59" t="str">
        <f t="shared" si="6"/>
        <v/>
      </c>
      <c r="P86" s="59" t="str">
        <f t="shared" si="7"/>
        <v/>
      </c>
    </row>
    <row r="87" spans="3:16" ht="30" customHeight="1" x14ac:dyDescent="0.25">
      <c r="C87" s="42">
        <v>83</v>
      </c>
      <c r="D87" s="67" t="str">
        <f>IF('Prod 1'!D87="","",'Prod 1'!D87)</f>
        <v/>
      </c>
      <c r="E87" s="64"/>
      <c r="F87" s="58"/>
      <c r="G87" s="65"/>
      <c r="H87" s="65"/>
      <c r="I87" s="58"/>
      <c r="J87" s="58"/>
      <c r="K87" s="132" t="str">
        <f t="shared" si="4"/>
        <v/>
      </c>
      <c r="M87" s="68" t="str">
        <f t="shared" si="5"/>
        <v/>
      </c>
      <c r="N87" s="59" t="str">
        <f>IF('Prod 1'!E87="","",'Prod 1'!E87)</f>
        <v/>
      </c>
      <c r="O87" s="59" t="str">
        <f t="shared" si="6"/>
        <v/>
      </c>
      <c r="P87" s="59" t="str">
        <f t="shared" si="7"/>
        <v/>
      </c>
    </row>
    <row r="88" spans="3:16" ht="30" customHeight="1" x14ac:dyDescent="0.25">
      <c r="C88" s="42">
        <v>84</v>
      </c>
      <c r="D88" s="67" t="str">
        <f>IF('Prod 1'!D88="","",'Prod 1'!D88)</f>
        <v/>
      </c>
      <c r="E88" s="64"/>
      <c r="F88" s="58"/>
      <c r="G88" s="65"/>
      <c r="H88" s="65"/>
      <c r="I88" s="58"/>
      <c r="J88" s="58"/>
      <c r="K88" s="132" t="str">
        <f t="shared" si="4"/>
        <v/>
      </c>
      <c r="M88" s="68" t="str">
        <f t="shared" si="5"/>
        <v/>
      </c>
      <c r="N88" s="59" t="str">
        <f>IF('Prod 1'!E88="","",'Prod 1'!E88)</f>
        <v/>
      </c>
      <c r="O88" s="59" t="str">
        <f t="shared" si="6"/>
        <v/>
      </c>
      <c r="P88" s="59" t="str">
        <f t="shared" si="7"/>
        <v/>
      </c>
    </row>
    <row r="89" spans="3:16" ht="30" customHeight="1" x14ac:dyDescent="0.25">
      <c r="C89" s="42">
        <v>85</v>
      </c>
      <c r="D89" s="67" t="str">
        <f>IF('Prod 1'!D89="","",'Prod 1'!D89)</f>
        <v/>
      </c>
      <c r="E89" s="64"/>
      <c r="F89" s="58"/>
      <c r="G89" s="65"/>
      <c r="H89" s="65"/>
      <c r="I89" s="58"/>
      <c r="J89" s="58"/>
      <c r="K89" s="132" t="str">
        <f t="shared" si="4"/>
        <v/>
      </c>
      <c r="M89" s="68" t="str">
        <f t="shared" si="5"/>
        <v/>
      </c>
      <c r="N89" s="59" t="str">
        <f>IF('Prod 1'!E89="","",'Prod 1'!E89)</f>
        <v/>
      </c>
      <c r="O89" s="59" t="str">
        <f t="shared" si="6"/>
        <v/>
      </c>
      <c r="P89" s="59" t="str">
        <f t="shared" si="7"/>
        <v/>
      </c>
    </row>
    <row r="90" spans="3:16" ht="30" customHeight="1" x14ac:dyDescent="0.25">
      <c r="C90" s="42">
        <v>86</v>
      </c>
      <c r="D90" s="67" t="str">
        <f>IF('Prod 1'!D90="","",'Prod 1'!D90)</f>
        <v/>
      </c>
      <c r="E90" s="64"/>
      <c r="F90" s="58"/>
      <c r="G90" s="65"/>
      <c r="H90" s="65"/>
      <c r="I90" s="58"/>
      <c r="J90" s="58"/>
      <c r="K90" s="132" t="str">
        <f t="shared" si="4"/>
        <v/>
      </c>
      <c r="M90" s="68" t="str">
        <f t="shared" si="5"/>
        <v/>
      </c>
      <c r="N90" s="59" t="str">
        <f>IF('Prod 1'!E90="","",'Prod 1'!E90)</f>
        <v/>
      </c>
      <c r="O90" s="59" t="str">
        <f t="shared" si="6"/>
        <v/>
      </c>
      <c r="P90" s="59" t="str">
        <f t="shared" si="7"/>
        <v/>
      </c>
    </row>
    <row r="91" spans="3:16" ht="30" customHeight="1" x14ac:dyDescent="0.25">
      <c r="C91" s="42">
        <v>87</v>
      </c>
      <c r="D91" s="67" t="str">
        <f>IF('Prod 1'!D91="","",'Prod 1'!D91)</f>
        <v/>
      </c>
      <c r="E91" s="64"/>
      <c r="F91" s="58"/>
      <c r="G91" s="65"/>
      <c r="H91" s="65"/>
      <c r="I91" s="58"/>
      <c r="J91" s="58"/>
      <c r="K91" s="132" t="str">
        <f t="shared" si="4"/>
        <v/>
      </c>
      <c r="M91" s="68" t="str">
        <f t="shared" si="5"/>
        <v/>
      </c>
      <c r="N91" s="59" t="str">
        <f>IF('Prod 1'!E91="","",'Prod 1'!E91)</f>
        <v/>
      </c>
      <c r="O91" s="59" t="str">
        <f t="shared" si="6"/>
        <v/>
      </c>
      <c r="P91" s="59" t="str">
        <f t="shared" si="7"/>
        <v/>
      </c>
    </row>
    <row r="92" spans="3:16" ht="30" customHeight="1" x14ac:dyDescent="0.25">
      <c r="C92" s="42">
        <v>88</v>
      </c>
      <c r="D92" s="67" t="str">
        <f>IF('Prod 1'!D92="","",'Prod 1'!D92)</f>
        <v/>
      </c>
      <c r="E92" s="64"/>
      <c r="F92" s="58"/>
      <c r="G92" s="65"/>
      <c r="H92" s="65"/>
      <c r="I92" s="58"/>
      <c r="J92" s="58"/>
      <c r="K92" s="132" t="str">
        <f t="shared" si="4"/>
        <v/>
      </c>
      <c r="M92" s="68" t="str">
        <f t="shared" si="5"/>
        <v/>
      </c>
      <c r="N92" s="59" t="str">
        <f>IF('Prod 1'!E92="","",'Prod 1'!E92)</f>
        <v/>
      </c>
      <c r="O92" s="59" t="str">
        <f t="shared" si="6"/>
        <v/>
      </c>
      <c r="P92" s="59" t="str">
        <f t="shared" si="7"/>
        <v/>
      </c>
    </row>
    <row r="93" spans="3:16" ht="30" customHeight="1" x14ac:dyDescent="0.25">
      <c r="C93" s="42">
        <v>89</v>
      </c>
      <c r="D93" s="67" t="str">
        <f>IF('Prod 1'!D93="","",'Prod 1'!D93)</f>
        <v/>
      </c>
      <c r="E93" s="64"/>
      <c r="F93" s="58"/>
      <c r="G93" s="65"/>
      <c r="H93" s="65"/>
      <c r="I93" s="58"/>
      <c r="J93" s="58"/>
      <c r="K93" s="132" t="str">
        <f t="shared" si="4"/>
        <v/>
      </c>
      <c r="M93" s="68" t="str">
        <f t="shared" si="5"/>
        <v/>
      </c>
      <c r="N93" s="59" t="str">
        <f>IF('Prod 1'!E93="","",'Prod 1'!E93)</f>
        <v/>
      </c>
      <c r="O93" s="59" t="str">
        <f t="shared" si="6"/>
        <v/>
      </c>
      <c r="P93" s="59" t="str">
        <f t="shared" si="7"/>
        <v/>
      </c>
    </row>
    <row r="94" spans="3:16" ht="30" customHeight="1" x14ac:dyDescent="0.25">
      <c r="C94" s="42">
        <v>90</v>
      </c>
      <c r="D94" s="67" t="str">
        <f>IF('Prod 1'!D94="","",'Prod 1'!D94)</f>
        <v/>
      </c>
      <c r="E94" s="64"/>
      <c r="F94" s="58"/>
      <c r="G94" s="65"/>
      <c r="H94" s="65"/>
      <c r="I94" s="58"/>
      <c r="J94" s="58"/>
      <c r="K94" s="132" t="str">
        <f t="shared" si="4"/>
        <v/>
      </c>
      <c r="M94" s="68" t="str">
        <f t="shared" si="5"/>
        <v/>
      </c>
      <c r="N94" s="59" t="str">
        <f>IF('Prod 1'!E94="","",'Prod 1'!E94)</f>
        <v/>
      </c>
      <c r="O94" s="59" t="str">
        <f t="shared" si="6"/>
        <v/>
      </c>
      <c r="P94" s="59" t="str">
        <f t="shared" si="7"/>
        <v/>
      </c>
    </row>
    <row r="95" spans="3:16" ht="30" customHeight="1" x14ac:dyDescent="0.25">
      <c r="C95" s="42">
        <v>91</v>
      </c>
      <c r="D95" s="67" t="str">
        <f>IF('Prod 1'!D95="","",'Prod 1'!D95)</f>
        <v/>
      </c>
      <c r="E95" s="64"/>
      <c r="F95" s="58"/>
      <c r="G95" s="65"/>
      <c r="H95" s="65"/>
      <c r="I95" s="58"/>
      <c r="J95" s="58"/>
      <c r="K95" s="132" t="str">
        <f t="shared" si="4"/>
        <v/>
      </c>
      <c r="M95" s="68" t="str">
        <f t="shared" si="5"/>
        <v/>
      </c>
      <c r="N95" s="59" t="str">
        <f>IF('Prod 1'!E95="","",'Prod 1'!E95)</f>
        <v/>
      </c>
      <c r="O95" s="59" t="str">
        <f t="shared" si="6"/>
        <v/>
      </c>
      <c r="P95" s="59" t="str">
        <f t="shared" si="7"/>
        <v/>
      </c>
    </row>
    <row r="96" spans="3:16" ht="30" customHeight="1" x14ac:dyDescent="0.25">
      <c r="C96" s="42">
        <v>92</v>
      </c>
      <c r="D96" s="67" t="str">
        <f>IF('Prod 1'!D96="","",'Prod 1'!D96)</f>
        <v/>
      </c>
      <c r="E96" s="64"/>
      <c r="F96" s="58"/>
      <c r="G96" s="65"/>
      <c r="H96" s="65"/>
      <c r="I96" s="58"/>
      <c r="J96" s="58"/>
      <c r="K96" s="132" t="str">
        <f t="shared" si="4"/>
        <v/>
      </c>
      <c r="M96" s="68" t="str">
        <f t="shared" si="5"/>
        <v/>
      </c>
      <c r="N96" s="59" t="str">
        <f>IF('Prod 1'!E96="","",'Prod 1'!E96)</f>
        <v/>
      </c>
      <c r="O96" s="59" t="str">
        <f t="shared" si="6"/>
        <v/>
      </c>
      <c r="P96" s="59" t="str">
        <f t="shared" si="7"/>
        <v/>
      </c>
    </row>
    <row r="97" spans="3:16" ht="30" customHeight="1" x14ac:dyDescent="0.25">
      <c r="C97" s="42">
        <v>93</v>
      </c>
      <c r="D97" s="67" t="str">
        <f>IF('Prod 1'!D97="","",'Prod 1'!D97)</f>
        <v/>
      </c>
      <c r="E97" s="64"/>
      <c r="F97" s="58"/>
      <c r="G97" s="65"/>
      <c r="H97" s="65"/>
      <c r="I97" s="58"/>
      <c r="J97" s="58"/>
      <c r="K97" s="132" t="str">
        <f t="shared" si="4"/>
        <v/>
      </c>
      <c r="M97" s="68" t="str">
        <f t="shared" si="5"/>
        <v/>
      </c>
      <c r="N97" s="59" t="str">
        <f>IF('Prod 1'!E97="","",'Prod 1'!E97)</f>
        <v/>
      </c>
      <c r="O97" s="59" t="str">
        <f t="shared" si="6"/>
        <v/>
      </c>
      <c r="P97" s="59" t="str">
        <f t="shared" si="7"/>
        <v/>
      </c>
    </row>
    <row r="98" spans="3:16" ht="30" customHeight="1" x14ac:dyDescent="0.25">
      <c r="C98" s="42">
        <v>94</v>
      </c>
      <c r="D98" s="67" t="str">
        <f>IF('Prod 1'!D98="","",'Prod 1'!D98)</f>
        <v/>
      </c>
      <c r="E98" s="64"/>
      <c r="F98" s="58"/>
      <c r="G98" s="65"/>
      <c r="H98" s="65"/>
      <c r="I98" s="58"/>
      <c r="J98" s="58"/>
      <c r="K98" s="132" t="str">
        <f t="shared" si="4"/>
        <v/>
      </c>
      <c r="M98" s="68" t="str">
        <f t="shared" si="5"/>
        <v/>
      </c>
      <c r="N98" s="59" t="str">
        <f>IF('Prod 1'!E98="","",'Prod 1'!E98)</f>
        <v/>
      </c>
      <c r="O98" s="59" t="str">
        <f t="shared" si="6"/>
        <v/>
      </c>
      <c r="P98" s="59" t="str">
        <f t="shared" si="7"/>
        <v/>
      </c>
    </row>
    <row r="99" spans="3:16" ht="30" customHeight="1" x14ac:dyDescent="0.25">
      <c r="C99" s="42">
        <v>95</v>
      </c>
      <c r="D99" s="67" t="str">
        <f>IF('Prod 1'!D99="","",'Prod 1'!D99)</f>
        <v/>
      </c>
      <c r="E99" s="64"/>
      <c r="F99" s="58"/>
      <c r="G99" s="65"/>
      <c r="H99" s="65"/>
      <c r="I99" s="58"/>
      <c r="J99" s="58"/>
      <c r="K99" s="132" t="str">
        <f t="shared" si="4"/>
        <v/>
      </c>
      <c r="M99" s="68" t="str">
        <f t="shared" si="5"/>
        <v/>
      </c>
      <c r="N99" s="59" t="str">
        <f>IF('Prod 1'!E99="","",'Prod 1'!E99)</f>
        <v/>
      </c>
      <c r="O99" s="59" t="str">
        <f t="shared" si="6"/>
        <v/>
      </c>
      <c r="P99" s="59" t="str">
        <f t="shared" si="7"/>
        <v/>
      </c>
    </row>
    <row r="100" spans="3:16" ht="30" customHeight="1" x14ac:dyDescent="0.25">
      <c r="C100" s="42">
        <v>96</v>
      </c>
      <c r="D100" s="67" t="str">
        <f>IF('Prod 1'!D100="","",'Prod 1'!D100)</f>
        <v/>
      </c>
      <c r="E100" s="64"/>
      <c r="F100" s="58"/>
      <c r="G100" s="65"/>
      <c r="H100" s="65"/>
      <c r="I100" s="58"/>
      <c r="J100" s="58"/>
      <c r="K100" s="132" t="str">
        <f t="shared" si="4"/>
        <v/>
      </c>
      <c r="M100" s="68" t="str">
        <f t="shared" si="5"/>
        <v/>
      </c>
      <c r="N100" s="59" t="str">
        <f>IF('Prod 1'!E100="","",'Prod 1'!E100)</f>
        <v/>
      </c>
      <c r="O100" s="59" t="str">
        <f t="shared" si="6"/>
        <v/>
      </c>
      <c r="P100" s="59" t="str">
        <f t="shared" si="7"/>
        <v/>
      </c>
    </row>
    <row r="101" spans="3:16" ht="30" customHeight="1" x14ac:dyDescent="0.25">
      <c r="C101" s="42">
        <v>97</v>
      </c>
      <c r="D101" s="67" t="str">
        <f>IF('Prod 1'!D101="","",'Prod 1'!D101)</f>
        <v/>
      </c>
      <c r="E101" s="64"/>
      <c r="F101" s="58"/>
      <c r="G101" s="65"/>
      <c r="H101" s="65"/>
      <c r="I101" s="58"/>
      <c r="J101" s="58"/>
      <c r="K101" s="132" t="str">
        <f t="shared" si="4"/>
        <v/>
      </c>
      <c r="M101" s="68" t="str">
        <f t="shared" si="5"/>
        <v/>
      </c>
      <c r="N101" s="59" t="str">
        <f>IF('Prod 1'!E101="","",'Prod 1'!E101)</f>
        <v/>
      </c>
      <c r="O101" s="59" t="str">
        <f t="shared" si="6"/>
        <v/>
      </c>
      <c r="P101" s="59" t="str">
        <f t="shared" si="7"/>
        <v/>
      </c>
    </row>
    <row r="102" spans="3:16" ht="30" customHeight="1" x14ac:dyDescent="0.25">
      <c r="C102" s="42">
        <v>98</v>
      </c>
      <c r="D102" s="67" t="str">
        <f>IF('Prod 1'!D102="","",'Prod 1'!D102)</f>
        <v/>
      </c>
      <c r="E102" s="64"/>
      <c r="F102" s="58"/>
      <c r="G102" s="65"/>
      <c r="H102" s="65"/>
      <c r="I102" s="58"/>
      <c r="J102" s="58"/>
      <c r="K102" s="132" t="str">
        <f t="shared" si="4"/>
        <v/>
      </c>
      <c r="M102" s="68" t="str">
        <f t="shared" si="5"/>
        <v/>
      </c>
      <c r="N102" s="59" t="str">
        <f>IF('Prod 1'!E102="","",'Prod 1'!E102)</f>
        <v/>
      </c>
      <c r="O102" s="59" t="str">
        <f t="shared" si="6"/>
        <v/>
      </c>
      <c r="P102" s="59" t="str">
        <f t="shared" si="7"/>
        <v/>
      </c>
    </row>
    <row r="103" spans="3:16" ht="30" customHeight="1" x14ac:dyDescent="0.25">
      <c r="C103" s="42">
        <v>99</v>
      </c>
      <c r="D103" s="67" t="str">
        <f>IF('Prod 1'!D103="","",'Prod 1'!D103)</f>
        <v/>
      </c>
      <c r="E103" s="64"/>
      <c r="F103" s="58"/>
      <c r="G103" s="65"/>
      <c r="H103" s="65"/>
      <c r="I103" s="58"/>
      <c r="J103" s="58"/>
      <c r="K103" s="132" t="str">
        <f t="shared" si="4"/>
        <v/>
      </c>
      <c r="M103" s="68" t="str">
        <f t="shared" si="5"/>
        <v/>
      </c>
      <c r="N103" s="59" t="str">
        <f>IF('Prod 1'!E103="","",'Prod 1'!E103)</f>
        <v/>
      </c>
      <c r="O103" s="59" t="str">
        <f t="shared" si="6"/>
        <v/>
      </c>
      <c r="P103" s="59" t="str">
        <f t="shared" si="7"/>
        <v/>
      </c>
    </row>
    <row r="104" spans="3:16" ht="30" customHeight="1" x14ac:dyDescent="0.25">
      <c r="C104" s="42">
        <v>100</v>
      </c>
      <c r="D104" s="67" t="str">
        <f>IF('Prod 1'!D104="","",'Prod 1'!D104)</f>
        <v/>
      </c>
      <c r="E104" s="64"/>
      <c r="F104" s="58"/>
      <c r="G104" s="65"/>
      <c r="H104" s="65"/>
      <c r="I104" s="58"/>
      <c r="J104" s="58"/>
      <c r="K104" s="132" t="str">
        <f t="shared" si="4"/>
        <v/>
      </c>
      <c r="M104" s="68" t="str">
        <f t="shared" si="5"/>
        <v/>
      </c>
      <c r="N104" s="59" t="str">
        <f>IF('Prod 1'!E104="","",'Prod 1'!E104)</f>
        <v/>
      </c>
      <c r="O104" s="59" t="str">
        <f t="shared" si="6"/>
        <v/>
      </c>
      <c r="P104" s="59" t="str">
        <f t="shared" si="7"/>
        <v/>
      </c>
    </row>
    <row r="105" spans="3:16" ht="30" customHeight="1" x14ac:dyDescent="0.25">
      <c r="C105" s="42">
        <v>101</v>
      </c>
      <c r="D105" s="67" t="str">
        <f>IF('Prod 1'!D105="","",'Prod 1'!D105)</f>
        <v/>
      </c>
      <c r="E105" s="64"/>
      <c r="F105" s="58"/>
      <c r="G105" s="65"/>
      <c r="H105" s="65"/>
      <c r="I105" s="58"/>
      <c r="J105" s="58"/>
      <c r="K105" s="132" t="str">
        <f t="shared" si="4"/>
        <v/>
      </c>
      <c r="M105" s="68" t="str">
        <f t="shared" si="5"/>
        <v/>
      </c>
      <c r="N105" s="59" t="str">
        <f>IF('Prod 1'!E105="","",'Prod 1'!E105)</f>
        <v/>
      </c>
      <c r="O105" s="59" t="str">
        <f t="shared" si="6"/>
        <v/>
      </c>
      <c r="P105" s="59" t="str">
        <f t="shared" si="7"/>
        <v/>
      </c>
    </row>
    <row r="106" spans="3:16" ht="30" customHeight="1" x14ac:dyDescent="0.25">
      <c r="C106" s="42">
        <v>102</v>
      </c>
      <c r="D106" s="67" t="str">
        <f>IF('Prod 1'!D106="","",'Prod 1'!D106)</f>
        <v/>
      </c>
      <c r="E106" s="64"/>
      <c r="F106" s="58"/>
      <c r="G106" s="65"/>
      <c r="H106" s="65"/>
      <c r="I106" s="58"/>
      <c r="J106" s="58"/>
      <c r="K106" s="132" t="str">
        <f t="shared" si="4"/>
        <v/>
      </c>
      <c r="M106" s="68" t="str">
        <f t="shared" si="5"/>
        <v/>
      </c>
      <c r="N106" s="59" t="str">
        <f>IF('Prod 1'!E106="","",'Prod 1'!E106)</f>
        <v/>
      </c>
      <c r="O106" s="59" t="str">
        <f t="shared" si="6"/>
        <v/>
      </c>
      <c r="P106" s="59" t="str">
        <f t="shared" si="7"/>
        <v/>
      </c>
    </row>
    <row r="107" spans="3:16" ht="30" customHeight="1" x14ac:dyDescent="0.25">
      <c r="C107" s="42">
        <v>103</v>
      </c>
      <c r="D107" s="67" t="str">
        <f>IF('Prod 1'!D107="","",'Prod 1'!D107)</f>
        <v/>
      </c>
      <c r="E107" s="64"/>
      <c r="F107" s="58"/>
      <c r="G107" s="65"/>
      <c r="H107" s="65"/>
      <c r="I107" s="58"/>
      <c r="J107" s="58"/>
      <c r="K107" s="132" t="str">
        <f t="shared" si="4"/>
        <v/>
      </c>
      <c r="M107" s="68" t="str">
        <f t="shared" si="5"/>
        <v/>
      </c>
      <c r="N107" s="59" t="str">
        <f>IF('Prod 1'!E107="","",'Prod 1'!E107)</f>
        <v/>
      </c>
      <c r="O107" s="59" t="str">
        <f t="shared" si="6"/>
        <v/>
      </c>
      <c r="P107" s="59" t="str">
        <f t="shared" si="7"/>
        <v/>
      </c>
    </row>
    <row r="108" spans="3:16" ht="30" customHeight="1" x14ac:dyDescent="0.25">
      <c r="C108" s="42">
        <v>104</v>
      </c>
      <c r="D108" s="67" t="str">
        <f>IF('Prod 1'!D108="","",'Prod 1'!D108)</f>
        <v/>
      </c>
      <c r="E108" s="64"/>
      <c r="F108" s="58"/>
      <c r="G108" s="65"/>
      <c r="H108" s="65"/>
      <c r="I108" s="58"/>
      <c r="J108" s="58"/>
      <c r="K108" s="132" t="str">
        <f t="shared" si="4"/>
        <v/>
      </c>
      <c r="M108" s="68" t="str">
        <f t="shared" si="5"/>
        <v/>
      </c>
      <c r="N108" s="59" t="str">
        <f>IF('Prod 1'!E108="","",'Prod 1'!E108)</f>
        <v/>
      </c>
      <c r="O108" s="59" t="str">
        <f t="shared" si="6"/>
        <v/>
      </c>
      <c r="P108" s="59" t="str">
        <f t="shared" si="7"/>
        <v/>
      </c>
    </row>
    <row r="109" spans="3:16" ht="30" customHeight="1" x14ac:dyDescent="0.25">
      <c r="C109" s="42">
        <v>105</v>
      </c>
      <c r="D109" s="67" t="str">
        <f>IF('Prod 1'!D109="","",'Prod 1'!D109)</f>
        <v/>
      </c>
      <c r="E109" s="64"/>
      <c r="F109" s="58"/>
      <c r="G109" s="65"/>
      <c r="H109" s="65"/>
      <c r="I109" s="58"/>
      <c r="J109" s="58"/>
      <c r="K109" s="132" t="str">
        <f t="shared" si="4"/>
        <v/>
      </c>
      <c r="M109" s="68" t="str">
        <f t="shared" si="5"/>
        <v/>
      </c>
      <c r="N109" s="59" t="str">
        <f>IF('Prod 1'!E109="","",'Prod 1'!E109)</f>
        <v/>
      </c>
      <c r="O109" s="59" t="str">
        <f t="shared" si="6"/>
        <v/>
      </c>
      <c r="P109" s="59" t="str">
        <f t="shared" si="7"/>
        <v/>
      </c>
    </row>
    <row r="110" spans="3:16" ht="30" customHeight="1" x14ac:dyDescent="0.25">
      <c r="C110" s="42">
        <v>106</v>
      </c>
      <c r="D110" s="67" t="str">
        <f>IF('Prod 1'!D110="","",'Prod 1'!D110)</f>
        <v/>
      </c>
      <c r="E110" s="64"/>
      <c r="F110" s="58"/>
      <c r="G110" s="65"/>
      <c r="H110" s="65"/>
      <c r="I110" s="58"/>
      <c r="J110" s="58"/>
      <c r="K110" s="132" t="str">
        <f t="shared" si="4"/>
        <v/>
      </c>
      <c r="M110" s="68" t="str">
        <f t="shared" si="5"/>
        <v/>
      </c>
      <c r="N110" s="59" t="str">
        <f>IF('Prod 1'!E110="","",'Prod 1'!E110)</f>
        <v/>
      </c>
      <c r="O110" s="59" t="str">
        <f t="shared" si="6"/>
        <v/>
      </c>
      <c r="P110" s="59" t="str">
        <f t="shared" si="7"/>
        <v/>
      </c>
    </row>
    <row r="111" spans="3:16" ht="30" customHeight="1" x14ac:dyDescent="0.25">
      <c r="C111" s="42">
        <v>107</v>
      </c>
      <c r="D111" s="67" t="str">
        <f>IF('Prod 1'!D111="","",'Prod 1'!D111)</f>
        <v/>
      </c>
      <c r="E111" s="64"/>
      <c r="F111" s="58"/>
      <c r="G111" s="65"/>
      <c r="H111" s="65"/>
      <c r="I111" s="58"/>
      <c r="J111" s="58"/>
      <c r="K111" s="132" t="str">
        <f t="shared" si="4"/>
        <v/>
      </c>
      <c r="M111" s="68" t="str">
        <f t="shared" si="5"/>
        <v/>
      </c>
      <c r="N111" s="59" t="str">
        <f>IF('Prod 1'!E111="","",'Prod 1'!E111)</f>
        <v/>
      </c>
      <c r="O111" s="59" t="str">
        <f t="shared" si="6"/>
        <v/>
      </c>
      <c r="P111" s="59" t="str">
        <f t="shared" si="7"/>
        <v/>
      </c>
    </row>
    <row r="112" spans="3:16" ht="30" customHeight="1" x14ac:dyDescent="0.25">
      <c r="C112" s="42">
        <v>108</v>
      </c>
      <c r="D112" s="67" t="str">
        <f>IF('Prod 1'!D112="","",'Prod 1'!D112)</f>
        <v/>
      </c>
      <c r="E112" s="64"/>
      <c r="F112" s="58"/>
      <c r="G112" s="65"/>
      <c r="H112" s="65"/>
      <c r="I112" s="58"/>
      <c r="J112" s="58"/>
      <c r="K112" s="132" t="str">
        <f t="shared" si="4"/>
        <v/>
      </c>
      <c r="M112" s="68" t="str">
        <f t="shared" si="5"/>
        <v/>
      </c>
      <c r="N112" s="59" t="str">
        <f>IF('Prod 1'!E112="","",'Prod 1'!E112)</f>
        <v/>
      </c>
      <c r="O112" s="59" t="str">
        <f t="shared" si="6"/>
        <v/>
      </c>
      <c r="P112" s="59" t="str">
        <f t="shared" si="7"/>
        <v/>
      </c>
    </row>
    <row r="113" spans="3:16" ht="30" customHeight="1" x14ac:dyDescent="0.25">
      <c r="C113" s="42">
        <v>109</v>
      </c>
      <c r="D113" s="67" t="str">
        <f>IF('Prod 1'!D113="","",'Prod 1'!D113)</f>
        <v/>
      </c>
      <c r="E113" s="64"/>
      <c r="F113" s="58"/>
      <c r="G113" s="65"/>
      <c r="H113" s="65"/>
      <c r="I113" s="58"/>
      <c r="J113" s="58"/>
      <c r="K113" s="132" t="str">
        <f t="shared" si="4"/>
        <v/>
      </c>
      <c r="M113" s="68" t="str">
        <f t="shared" si="5"/>
        <v/>
      </c>
      <c r="N113" s="59" t="str">
        <f>IF('Prod 1'!E113="","",'Prod 1'!E113)</f>
        <v/>
      </c>
      <c r="O113" s="59" t="str">
        <f t="shared" si="6"/>
        <v/>
      </c>
      <c r="P113" s="59" t="str">
        <f t="shared" si="7"/>
        <v/>
      </c>
    </row>
    <row r="114" spans="3:16" ht="30" customHeight="1" x14ac:dyDescent="0.25">
      <c r="C114" s="42">
        <v>110</v>
      </c>
      <c r="D114" s="67" t="str">
        <f>IF('Prod 1'!D114="","",'Prod 1'!D114)</f>
        <v/>
      </c>
      <c r="E114" s="64"/>
      <c r="F114" s="58"/>
      <c r="G114" s="65"/>
      <c r="H114" s="65"/>
      <c r="I114" s="58"/>
      <c r="J114" s="58"/>
      <c r="K114" s="132" t="str">
        <f t="shared" si="4"/>
        <v/>
      </c>
      <c r="M114" s="68" t="str">
        <f t="shared" si="5"/>
        <v/>
      </c>
      <c r="N114" s="59" t="str">
        <f>IF('Prod 1'!E114="","",'Prod 1'!E114)</f>
        <v/>
      </c>
      <c r="O114" s="59" t="str">
        <f t="shared" si="6"/>
        <v/>
      </c>
      <c r="P114" s="59" t="str">
        <f t="shared" si="7"/>
        <v/>
      </c>
    </row>
    <row r="115" spans="3:16" ht="30" customHeight="1" x14ac:dyDescent="0.25">
      <c r="C115" s="42">
        <v>111</v>
      </c>
      <c r="D115" s="67" t="str">
        <f>IF('Prod 1'!D115="","",'Prod 1'!D115)</f>
        <v/>
      </c>
      <c r="E115" s="64"/>
      <c r="F115" s="58"/>
      <c r="G115" s="65"/>
      <c r="H115" s="65"/>
      <c r="I115" s="58"/>
      <c r="J115" s="58"/>
      <c r="K115" s="132" t="str">
        <f t="shared" si="4"/>
        <v/>
      </c>
      <c r="M115" s="68" t="str">
        <f t="shared" si="5"/>
        <v/>
      </c>
      <c r="N115" s="59" t="str">
        <f>IF('Prod 1'!E115="","",'Prod 1'!E115)</f>
        <v/>
      </c>
      <c r="O115" s="59" t="str">
        <f t="shared" si="6"/>
        <v/>
      </c>
      <c r="P115" s="59" t="str">
        <f t="shared" si="7"/>
        <v/>
      </c>
    </row>
    <row r="116" spans="3:16" ht="30" customHeight="1" x14ac:dyDescent="0.25">
      <c r="C116" s="42">
        <v>112</v>
      </c>
      <c r="D116" s="67" t="str">
        <f>IF('Prod 1'!D116="","",'Prod 1'!D116)</f>
        <v/>
      </c>
      <c r="E116" s="64"/>
      <c r="F116" s="58"/>
      <c r="G116" s="65"/>
      <c r="H116" s="65"/>
      <c r="I116" s="58"/>
      <c r="J116" s="58"/>
      <c r="K116" s="132" t="str">
        <f t="shared" si="4"/>
        <v/>
      </c>
      <c r="M116" s="68" t="str">
        <f t="shared" si="5"/>
        <v/>
      </c>
      <c r="N116" s="59" t="str">
        <f>IF('Prod 1'!E116="","",'Prod 1'!E116)</f>
        <v/>
      </c>
      <c r="O116" s="59" t="str">
        <f t="shared" si="6"/>
        <v/>
      </c>
      <c r="P116" s="59" t="str">
        <f t="shared" si="7"/>
        <v/>
      </c>
    </row>
    <row r="117" spans="3:16" ht="30" customHeight="1" x14ac:dyDescent="0.25">
      <c r="C117" s="42">
        <v>113</v>
      </c>
      <c r="D117" s="67" t="str">
        <f>IF('Prod 1'!D117="","",'Prod 1'!D117)</f>
        <v/>
      </c>
      <c r="E117" s="64"/>
      <c r="F117" s="58"/>
      <c r="G117" s="65"/>
      <c r="H117" s="65"/>
      <c r="I117" s="58"/>
      <c r="J117" s="58"/>
      <c r="K117" s="132" t="str">
        <f t="shared" si="4"/>
        <v/>
      </c>
      <c r="M117" s="68" t="str">
        <f t="shared" si="5"/>
        <v/>
      </c>
      <c r="N117" s="59" t="str">
        <f>IF('Prod 1'!E117="","",'Prod 1'!E117)</f>
        <v/>
      </c>
      <c r="O117" s="59" t="str">
        <f t="shared" si="6"/>
        <v/>
      </c>
      <c r="P117" s="59" t="str">
        <f t="shared" si="7"/>
        <v/>
      </c>
    </row>
    <row r="118" spans="3:16" ht="30" customHeight="1" x14ac:dyDescent="0.25">
      <c r="C118" s="42">
        <v>114</v>
      </c>
      <c r="D118" s="67" t="str">
        <f>IF('Prod 1'!D118="","",'Prod 1'!D118)</f>
        <v/>
      </c>
      <c r="E118" s="64"/>
      <c r="F118" s="58"/>
      <c r="G118" s="65"/>
      <c r="H118" s="65"/>
      <c r="I118" s="58"/>
      <c r="J118" s="58"/>
      <c r="K118" s="132" t="str">
        <f t="shared" si="4"/>
        <v/>
      </c>
      <c r="M118" s="68" t="str">
        <f t="shared" si="5"/>
        <v/>
      </c>
      <c r="N118" s="59" t="str">
        <f>IF('Prod 1'!E118="","",'Prod 1'!E118)</f>
        <v/>
      </c>
      <c r="O118" s="59" t="str">
        <f t="shared" si="6"/>
        <v/>
      </c>
      <c r="P118" s="59" t="str">
        <f t="shared" si="7"/>
        <v/>
      </c>
    </row>
    <row r="119" spans="3:16" ht="30" customHeight="1" x14ac:dyDescent="0.25">
      <c r="C119" s="42">
        <v>115</v>
      </c>
      <c r="D119" s="67" t="str">
        <f>IF('Prod 1'!D119="","",'Prod 1'!D119)</f>
        <v/>
      </c>
      <c r="E119" s="64"/>
      <c r="F119" s="58"/>
      <c r="G119" s="65"/>
      <c r="H119" s="65"/>
      <c r="I119" s="58"/>
      <c r="J119" s="58"/>
      <c r="K119" s="132" t="str">
        <f t="shared" si="4"/>
        <v/>
      </c>
      <c r="M119" s="68" t="str">
        <f t="shared" si="5"/>
        <v/>
      </c>
      <c r="N119" s="59" t="str">
        <f>IF('Prod 1'!E119="","",'Prod 1'!E119)</f>
        <v/>
      </c>
      <c r="O119" s="59" t="str">
        <f t="shared" si="6"/>
        <v/>
      </c>
      <c r="P119" s="59" t="str">
        <f t="shared" si="7"/>
        <v/>
      </c>
    </row>
    <row r="120" spans="3:16" ht="30" customHeight="1" x14ac:dyDescent="0.25">
      <c r="C120" s="42">
        <v>116</v>
      </c>
      <c r="D120" s="67" t="str">
        <f>IF('Prod 1'!D120="","",'Prod 1'!D120)</f>
        <v/>
      </c>
      <c r="E120" s="64"/>
      <c r="F120" s="58"/>
      <c r="G120" s="65"/>
      <c r="H120" s="65"/>
      <c r="I120" s="58"/>
      <c r="J120" s="58"/>
      <c r="K120" s="132" t="str">
        <f t="shared" si="4"/>
        <v/>
      </c>
      <c r="M120" s="68" t="str">
        <f t="shared" si="5"/>
        <v/>
      </c>
      <c r="N120" s="59" t="str">
        <f>IF('Prod 1'!E120="","",'Prod 1'!E120)</f>
        <v/>
      </c>
      <c r="O120" s="59" t="str">
        <f t="shared" si="6"/>
        <v/>
      </c>
      <c r="P120" s="59" t="str">
        <f t="shared" si="7"/>
        <v/>
      </c>
    </row>
    <row r="121" spans="3:16" ht="30" customHeight="1" x14ac:dyDescent="0.25">
      <c r="C121" s="42">
        <v>117</v>
      </c>
      <c r="D121" s="67" t="str">
        <f>IF('Prod 1'!D121="","",'Prod 1'!D121)</f>
        <v/>
      </c>
      <c r="E121" s="64"/>
      <c r="F121" s="58"/>
      <c r="G121" s="65"/>
      <c r="H121" s="65"/>
      <c r="I121" s="58"/>
      <c r="J121" s="58"/>
      <c r="K121" s="132" t="str">
        <f t="shared" si="4"/>
        <v/>
      </c>
      <c r="M121" s="68" t="str">
        <f t="shared" si="5"/>
        <v/>
      </c>
      <c r="N121" s="59" t="str">
        <f>IF('Prod 1'!E121="","",'Prod 1'!E121)</f>
        <v/>
      </c>
      <c r="O121" s="59" t="str">
        <f t="shared" si="6"/>
        <v/>
      </c>
      <c r="P121" s="59" t="str">
        <f t="shared" si="7"/>
        <v/>
      </c>
    </row>
    <row r="122" spans="3:16" ht="30" customHeight="1" x14ac:dyDescent="0.25">
      <c r="C122" s="42">
        <v>118</v>
      </c>
      <c r="D122" s="67" t="str">
        <f>IF('Prod 1'!D122="","",'Prod 1'!D122)</f>
        <v/>
      </c>
      <c r="E122" s="64"/>
      <c r="F122" s="58"/>
      <c r="G122" s="65"/>
      <c r="H122" s="65"/>
      <c r="I122" s="58"/>
      <c r="J122" s="58"/>
      <c r="K122" s="132" t="str">
        <f t="shared" si="4"/>
        <v/>
      </c>
      <c r="M122" s="68" t="str">
        <f t="shared" si="5"/>
        <v/>
      </c>
      <c r="N122" s="59" t="str">
        <f>IF('Prod 1'!E122="","",'Prod 1'!E122)</f>
        <v/>
      </c>
      <c r="O122" s="59" t="str">
        <f t="shared" si="6"/>
        <v/>
      </c>
      <c r="P122" s="59" t="str">
        <f t="shared" si="7"/>
        <v/>
      </c>
    </row>
    <row r="123" spans="3:16" ht="30" customHeight="1" x14ac:dyDescent="0.25">
      <c r="C123" s="42">
        <v>119</v>
      </c>
      <c r="D123" s="67" t="str">
        <f>IF('Prod 1'!D123="","",'Prod 1'!D123)</f>
        <v/>
      </c>
      <c r="E123" s="64"/>
      <c r="F123" s="58"/>
      <c r="G123" s="65"/>
      <c r="H123" s="65"/>
      <c r="I123" s="58"/>
      <c r="J123" s="58"/>
      <c r="K123" s="132" t="str">
        <f t="shared" si="4"/>
        <v/>
      </c>
      <c r="M123" s="68" t="str">
        <f t="shared" si="5"/>
        <v/>
      </c>
      <c r="N123" s="59" t="str">
        <f>IF('Prod 1'!E123="","",'Prod 1'!E123)</f>
        <v/>
      </c>
      <c r="O123" s="59" t="str">
        <f t="shared" si="6"/>
        <v/>
      </c>
      <c r="P123" s="59" t="str">
        <f t="shared" si="7"/>
        <v/>
      </c>
    </row>
    <row r="124" spans="3:16" ht="30" customHeight="1" x14ac:dyDescent="0.25">
      <c r="C124" s="42">
        <v>120</v>
      </c>
      <c r="D124" s="67" t="str">
        <f>IF('Prod 1'!D124="","",'Prod 1'!D124)</f>
        <v/>
      </c>
      <c r="E124" s="64"/>
      <c r="F124" s="58"/>
      <c r="G124" s="65"/>
      <c r="H124" s="65"/>
      <c r="I124" s="58"/>
      <c r="J124" s="58"/>
      <c r="K124" s="132" t="str">
        <f t="shared" si="4"/>
        <v/>
      </c>
      <c r="M124" s="68" t="str">
        <f t="shared" si="5"/>
        <v/>
      </c>
      <c r="N124" s="59" t="str">
        <f>IF('Prod 1'!E124="","",'Prod 1'!E124)</f>
        <v/>
      </c>
      <c r="O124" s="59" t="str">
        <f t="shared" si="6"/>
        <v/>
      </c>
      <c r="P124" s="59" t="str">
        <f t="shared" si="7"/>
        <v/>
      </c>
    </row>
    <row r="125" spans="3:16" ht="30" customHeight="1" x14ac:dyDescent="0.25">
      <c r="C125" s="42">
        <v>121</v>
      </c>
      <c r="D125" s="67" t="str">
        <f>IF('Prod 1'!D125="","",'Prod 1'!D125)</f>
        <v/>
      </c>
      <c r="E125" s="64"/>
      <c r="F125" s="58"/>
      <c r="G125" s="65"/>
      <c r="H125" s="65"/>
      <c r="I125" s="58"/>
      <c r="J125" s="58"/>
      <c r="K125" s="132" t="str">
        <f t="shared" si="4"/>
        <v/>
      </c>
      <c r="M125" s="68" t="str">
        <f t="shared" si="5"/>
        <v/>
      </c>
      <c r="N125" s="59" t="str">
        <f>IF('Prod 1'!E125="","",'Prod 1'!E125)</f>
        <v/>
      </c>
      <c r="O125" s="59" t="str">
        <f t="shared" si="6"/>
        <v/>
      </c>
      <c r="P125" s="59" t="str">
        <f t="shared" si="7"/>
        <v/>
      </c>
    </row>
    <row r="126" spans="3:16" ht="30" customHeight="1" x14ac:dyDescent="0.25">
      <c r="C126" s="42">
        <v>122</v>
      </c>
      <c r="D126" s="67" t="str">
        <f>IF('Prod 1'!D126="","",'Prod 1'!D126)</f>
        <v/>
      </c>
      <c r="E126" s="64"/>
      <c r="F126" s="58"/>
      <c r="G126" s="65"/>
      <c r="H126" s="65"/>
      <c r="I126" s="58"/>
      <c r="J126" s="58"/>
      <c r="K126" s="132" t="str">
        <f t="shared" si="4"/>
        <v/>
      </c>
      <c r="M126" s="68" t="str">
        <f t="shared" si="5"/>
        <v/>
      </c>
      <c r="N126" s="59" t="str">
        <f>IF('Prod 1'!E126="","",'Prod 1'!E126)</f>
        <v/>
      </c>
      <c r="O126" s="59" t="str">
        <f t="shared" si="6"/>
        <v/>
      </c>
      <c r="P126" s="59" t="str">
        <f t="shared" si="7"/>
        <v/>
      </c>
    </row>
    <row r="127" spans="3:16" ht="30" customHeight="1" x14ac:dyDescent="0.25">
      <c r="C127" s="42">
        <v>123</v>
      </c>
      <c r="D127" s="67" t="str">
        <f>IF('Prod 1'!D127="","",'Prod 1'!D127)</f>
        <v/>
      </c>
      <c r="E127" s="64"/>
      <c r="F127" s="58"/>
      <c r="G127" s="65"/>
      <c r="H127" s="65"/>
      <c r="I127" s="58"/>
      <c r="J127" s="58"/>
      <c r="K127" s="132" t="str">
        <f t="shared" si="4"/>
        <v/>
      </c>
      <c r="M127" s="68" t="str">
        <f t="shared" si="5"/>
        <v/>
      </c>
      <c r="N127" s="59" t="str">
        <f>IF('Prod 1'!E127="","",'Prod 1'!E127)</f>
        <v/>
      </c>
      <c r="O127" s="59" t="str">
        <f t="shared" si="6"/>
        <v/>
      </c>
      <c r="P127" s="59" t="str">
        <f t="shared" si="7"/>
        <v/>
      </c>
    </row>
    <row r="128" spans="3:16" ht="30" customHeight="1" x14ac:dyDescent="0.25">
      <c r="C128" s="42">
        <v>124</v>
      </c>
      <c r="D128" s="67" t="str">
        <f>IF('Prod 1'!D128="","",'Prod 1'!D128)</f>
        <v/>
      </c>
      <c r="E128" s="64"/>
      <c r="F128" s="58"/>
      <c r="G128" s="65"/>
      <c r="H128" s="65"/>
      <c r="I128" s="58"/>
      <c r="J128" s="58"/>
      <c r="K128" s="132" t="str">
        <f t="shared" si="4"/>
        <v/>
      </c>
      <c r="M128" s="68" t="str">
        <f t="shared" si="5"/>
        <v/>
      </c>
      <c r="N128" s="59" t="str">
        <f>IF('Prod 1'!E128="","",'Prod 1'!E128)</f>
        <v/>
      </c>
      <c r="O128" s="59" t="str">
        <f t="shared" si="6"/>
        <v/>
      </c>
      <c r="P128" s="59" t="str">
        <f t="shared" si="7"/>
        <v/>
      </c>
    </row>
    <row r="129" spans="3:16" ht="30" customHeight="1" x14ac:dyDescent="0.25">
      <c r="C129" s="42">
        <v>125</v>
      </c>
      <c r="D129" s="67" t="str">
        <f>IF('Prod 1'!D129="","",'Prod 1'!D129)</f>
        <v/>
      </c>
      <c r="E129" s="64"/>
      <c r="F129" s="58"/>
      <c r="G129" s="65"/>
      <c r="H129" s="65"/>
      <c r="I129" s="58"/>
      <c r="J129" s="58"/>
      <c r="K129" s="132" t="str">
        <f t="shared" si="4"/>
        <v/>
      </c>
      <c r="M129" s="68" t="str">
        <f t="shared" si="5"/>
        <v/>
      </c>
      <c r="N129" s="59" t="str">
        <f>IF('Prod 1'!E129="","",'Prod 1'!E129)</f>
        <v/>
      </c>
      <c r="O129" s="59" t="str">
        <f t="shared" si="6"/>
        <v/>
      </c>
      <c r="P129" s="59" t="str">
        <f t="shared" si="7"/>
        <v/>
      </c>
    </row>
    <row r="130" spans="3:16" ht="30" customHeight="1" x14ac:dyDescent="0.25">
      <c r="C130" s="42">
        <v>126</v>
      </c>
      <c r="D130" s="67" t="str">
        <f>IF('Prod 1'!D130="","",'Prod 1'!D130)</f>
        <v/>
      </c>
      <c r="E130" s="64"/>
      <c r="F130" s="58"/>
      <c r="G130" s="65"/>
      <c r="H130" s="65"/>
      <c r="I130" s="58"/>
      <c r="J130" s="58"/>
      <c r="K130" s="132" t="str">
        <f t="shared" si="4"/>
        <v/>
      </c>
      <c r="M130" s="68" t="str">
        <f t="shared" si="5"/>
        <v/>
      </c>
      <c r="N130" s="59" t="str">
        <f>IF('Prod 1'!E130="","",'Prod 1'!E130)</f>
        <v/>
      </c>
      <c r="O130" s="59" t="str">
        <f t="shared" si="6"/>
        <v/>
      </c>
      <c r="P130" s="59" t="str">
        <f t="shared" si="7"/>
        <v/>
      </c>
    </row>
    <row r="131" spans="3:16" ht="30" customHeight="1" x14ac:dyDescent="0.25">
      <c r="C131" s="42">
        <v>127</v>
      </c>
      <c r="D131" s="67" t="str">
        <f>IF('Prod 1'!D131="","",'Prod 1'!D131)</f>
        <v/>
      </c>
      <c r="E131" s="64"/>
      <c r="F131" s="58"/>
      <c r="G131" s="65"/>
      <c r="H131" s="65"/>
      <c r="I131" s="58"/>
      <c r="J131" s="58"/>
      <c r="K131" s="132" t="str">
        <f t="shared" si="4"/>
        <v/>
      </c>
      <c r="M131" s="68" t="str">
        <f t="shared" si="5"/>
        <v/>
      </c>
      <c r="N131" s="59" t="str">
        <f>IF('Prod 1'!E131="","",'Prod 1'!E131)</f>
        <v/>
      </c>
      <c r="O131" s="59" t="str">
        <f t="shared" si="6"/>
        <v/>
      </c>
      <c r="P131" s="59" t="str">
        <f t="shared" si="7"/>
        <v/>
      </c>
    </row>
    <row r="132" spans="3:16" ht="30" customHeight="1" x14ac:dyDescent="0.25">
      <c r="C132" s="42">
        <v>128</v>
      </c>
      <c r="D132" s="67" t="str">
        <f>IF('Prod 1'!D132="","",'Prod 1'!D132)</f>
        <v/>
      </c>
      <c r="E132" s="64"/>
      <c r="F132" s="58"/>
      <c r="G132" s="65"/>
      <c r="H132" s="65"/>
      <c r="I132" s="58"/>
      <c r="J132" s="58"/>
      <c r="K132" s="132" t="str">
        <f t="shared" si="4"/>
        <v/>
      </c>
      <c r="M132" s="68" t="str">
        <f t="shared" si="5"/>
        <v/>
      </c>
      <c r="N132" s="59" t="str">
        <f>IF('Prod 1'!E132="","",'Prod 1'!E132)</f>
        <v/>
      </c>
      <c r="O132" s="59" t="str">
        <f t="shared" si="6"/>
        <v/>
      </c>
      <c r="P132" s="59" t="str">
        <f t="shared" si="7"/>
        <v/>
      </c>
    </row>
    <row r="133" spans="3:16" ht="30" customHeight="1" x14ac:dyDescent="0.25">
      <c r="C133" s="42">
        <v>129</v>
      </c>
      <c r="D133" s="67" t="str">
        <f>IF('Prod 1'!D133="","",'Prod 1'!D133)</f>
        <v/>
      </c>
      <c r="E133" s="64"/>
      <c r="F133" s="58"/>
      <c r="G133" s="65"/>
      <c r="H133" s="65"/>
      <c r="I133" s="58"/>
      <c r="J133" s="58"/>
      <c r="K133" s="132" t="str">
        <f t="shared" si="4"/>
        <v/>
      </c>
      <c r="M133" s="68" t="str">
        <f t="shared" si="5"/>
        <v/>
      </c>
      <c r="N133" s="59" t="str">
        <f>IF('Prod 1'!E133="","",'Prod 1'!E133)</f>
        <v/>
      </c>
      <c r="O133" s="59" t="str">
        <f t="shared" si="6"/>
        <v/>
      </c>
      <c r="P133" s="59" t="str">
        <f t="shared" si="7"/>
        <v/>
      </c>
    </row>
    <row r="134" spans="3:16" ht="30" customHeight="1" x14ac:dyDescent="0.25">
      <c r="C134" s="42">
        <v>130</v>
      </c>
      <c r="D134" s="67" t="str">
        <f>IF('Prod 1'!D134="","",'Prod 1'!D134)</f>
        <v/>
      </c>
      <c r="E134" s="64"/>
      <c r="F134" s="58"/>
      <c r="G134" s="65"/>
      <c r="H134" s="65"/>
      <c r="I134" s="58"/>
      <c r="J134" s="58"/>
      <c r="K134" s="132" t="str">
        <f t="shared" ref="K134:K197" si="8">IF(E134="","",IF(E134="Produção",SUM(I134:J134)+SUM(O134:P134),F134))</f>
        <v/>
      </c>
      <c r="M134" s="68" t="str">
        <f t="shared" ref="M134:M197" si="9">IFERROR(IF(D134="","",100%),0)</f>
        <v/>
      </c>
      <c r="N134" s="59" t="str">
        <f>IF('Prod 1'!E134="","",'Prod 1'!E134)</f>
        <v/>
      </c>
      <c r="O134" s="59" t="str">
        <f t="shared" ref="O134:O197" si="10">IFERROR(IF(D134="","",N134*G134),0)</f>
        <v/>
      </c>
      <c r="P134" s="59" t="str">
        <f t="shared" ref="P134:P197" si="11">IFERROR(IF(D134="","",N134*H134),0)</f>
        <v/>
      </c>
    </row>
    <row r="135" spans="3:16" ht="30" customHeight="1" x14ac:dyDescent="0.25">
      <c r="C135" s="42">
        <v>131</v>
      </c>
      <c r="D135" s="67" t="str">
        <f>IF('Prod 1'!D135="","",'Prod 1'!D135)</f>
        <v/>
      </c>
      <c r="E135" s="64"/>
      <c r="F135" s="58"/>
      <c r="G135" s="65"/>
      <c r="H135" s="65"/>
      <c r="I135" s="58"/>
      <c r="J135" s="58"/>
      <c r="K135" s="132" t="str">
        <f t="shared" si="8"/>
        <v/>
      </c>
      <c r="M135" s="68" t="str">
        <f t="shared" si="9"/>
        <v/>
      </c>
      <c r="N135" s="59" t="str">
        <f>IF('Prod 1'!E135="","",'Prod 1'!E135)</f>
        <v/>
      </c>
      <c r="O135" s="59" t="str">
        <f t="shared" si="10"/>
        <v/>
      </c>
      <c r="P135" s="59" t="str">
        <f t="shared" si="11"/>
        <v/>
      </c>
    </row>
    <row r="136" spans="3:16" ht="30" customHeight="1" x14ac:dyDescent="0.25">
      <c r="C136" s="42">
        <v>132</v>
      </c>
      <c r="D136" s="67" t="str">
        <f>IF('Prod 1'!D136="","",'Prod 1'!D136)</f>
        <v/>
      </c>
      <c r="E136" s="64"/>
      <c r="F136" s="58"/>
      <c r="G136" s="65"/>
      <c r="H136" s="65"/>
      <c r="I136" s="58"/>
      <c r="J136" s="58"/>
      <c r="K136" s="132" t="str">
        <f t="shared" si="8"/>
        <v/>
      </c>
      <c r="M136" s="68" t="str">
        <f t="shared" si="9"/>
        <v/>
      </c>
      <c r="N136" s="59" t="str">
        <f>IF('Prod 1'!E136="","",'Prod 1'!E136)</f>
        <v/>
      </c>
      <c r="O136" s="59" t="str">
        <f t="shared" si="10"/>
        <v/>
      </c>
      <c r="P136" s="59" t="str">
        <f t="shared" si="11"/>
        <v/>
      </c>
    </row>
    <row r="137" spans="3:16" ht="30" customHeight="1" x14ac:dyDescent="0.25">
      <c r="C137" s="42">
        <v>133</v>
      </c>
      <c r="D137" s="67" t="str">
        <f>IF('Prod 1'!D137="","",'Prod 1'!D137)</f>
        <v/>
      </c>
      <c r="E137" s="64"/>
      <c r="F137" s="58"/>
      <c r="G137" s="65"/>
      <c r="H137" s="65"/>
      <c r="I137" s="58"/>
      <c r="J137" s="58"/>
      <c r="K137" s="132" t="str">
        <f t="shared" si="8"/>
        <v/>
      </c>
      <c r="M137" s="68" t="str">
        <f t="shared" si="9"/>
        <v/>
      </c>
      <c r="N137" s="59" t="str">
        <f>IF('Prod 1'!E137="","",'Prod 1'!E137)</f>
        <v/>
      </c>
      <c r="O137" s="59" t="str">
        <f t="shared" si="10"/>
        <v/>
      </c>
      <c r="P137" s="59" t="str">
        <f t="shared" si="11"/>
        <v/>
      </c>
    </row>
    <row r="138" spans="3:16" ht="30" customHeight="1" x14ac:dyDescent="0.25">
      <c r="C138" s="42">
        <v>134</v>
      </c>
      <c r="D138" s="67" t="str">
        <f>IF('Prod 1'!D138="","",'Prod 1'!D138)</f>
        <v/>
      </c>
      <c r="E138" s="64"/>
      <c r="F138" s="58"/>
      <c r="G138" s="65"/>
      <c r="H138" s="65"/>
      <c r="I138" s="58"/>
      <c r="J138" s="58"/>
      <c r="K138" s="132" t="str">
        <f t="shared" si="8"/>
        <v/>
      </c>
      <c r="M138" s="68" t="str">
        <f t="shared" si="9"/>
        <v/>
      </c>
      <c r="N138" s="59" t="str">
        <f>IF('Prod 1'!E138="","",'Prod 1'!E138)</f>
        <v/>
      </c>
      <c r="O138" s="59" t="str">
        <f t="shared" si="10"/>
        <v/>
      </c>
      <c r="P138" s="59" t="str">
        <f t="shared" si="11"/>
        <v/>
      </c>
    </row>
    <row r="139" spans="3:16" ht="30" customHeight="1" x14ac:dyDescent="0.25">
      <c r="C139" s="42">
        <v>135</v>
      </c>
      <c r="D139" s="67" t="str">
        <f>IF('Prod 1'!D139="","",'Prod 1'!D139)</f>
        <v/>
      </c>
      <c r="E139" s="64"/>
      <c r="F139" s="58"/>
      <c r="G139" s="65"/>
      <c r="H139" s="65"/>
      <c r="I139" s="58"/>
      <c r="J139" s="58"/>
      <c r="K139" s="132" t="str">
        <f t="shared" si="8"/>
        <v/>
      </c>
      <c r="M139" s="68" t="str">
        <f t="shared" si="9"/>
        <v/>
      </c>
      <c r="N139" s="59" t="str">
        <f>IF('Prod 1'!E139="","",'Prod 1'!E139)</f>
        <v/>
      </c>
      <c r="O139" s="59" t="str">
        <f t="shared" si="10"/>
        <v/>
      </c>
      <c r="P139" s="59" t="str">
        <f t="shared" si="11"/>
        <v/>
      </c>
    </row>
    <row r="140" spans="3:16" ht="30" customHeight="1" x14ac:dyDescent="0.25">
      <c r="C140" s="42">
        <v>136</v>
      </c>
      <c r="D140" s="67" t="str">
        <f>IF('Prod 1'!D140="","",'Prod 1'!D140)</f>
        <v/>
      </c>
      <c r="E140" s="64"/>
      <c r="F140" s="58"/>
      <c r="G140" s="65"/>
      <c r="H140" s="65"/>
      <c r="I140" s="58"/>
      <c r="J140" s="58"/>
      <c r="K140" s="132" t="str">
        <f t="shared" si="8"/>
        <v/>
      </c>
      <c r="M140" s="68" t="str">
        <f t="shared" si="9"/>
        <v/>
      </c>
      <c r="N140" s="59" t="str">
        <f>IF('Prod 1'!E140="","",'Prod 1'!E140)</f>
        <v/>
      </c>
      <c r="O140" s="59" t="str">
        <f t="shared" si="10"/>
        <v/>
      </c>
      <c r="P140" s="59" t="str">
        <f t="shared" si="11"/>
        <v/>
      </c>
    </row>
    <row r="141" spans="3:16" ht="30" customHeight="1" x14ac:dyDescent="0.25">
      <c r="C141" s="42">
        <v>137</v>
      </c>
      <c r="D141" s="67" t="str">
        <f>IF('Prod 1'!D141="","",'Prod 1'!D141)</f>
        <v/>
      </c>
      <c r="E141" s="64"/>
      <c r="F141" s="58"/>
      <c r="G141" s="65"/>
      <c r="H141" s="65"/>
      <c r="I141" s="58"/>
      <c r="J141" s="58"/>
      <c r="K141" s="132" t="str">
        <f t="shared" si="8"/>
        <v/>
      </c>
      <c r="M141" s="68" t="str">
        <f t="shared" si="9"/>
        <v/>
      </c>
      <c r="N141" s="59" t="str">
        <f>IF('Prod 1'!E141="","",'Prod 1'!E141)</f>
        <v/>
      </c>
      <c r="O141" s="59" t="str">
        <f t="shared" si="10"/>
        <v/>
      </c>
      <c r="P141" s="59" t="str">
        <f t="shared" si="11"/>
        <v/>
      </c>
    </row>
    <row r="142" spans="3:16" ht="30" customHeight="1" x14ac:dyDescent="0.25">
      <c r="C142" s="42">
        <v>138</v>
      </c>
      <c r="D142" s="67" t="str">
        <f>IF('Prod 1'!D142="","",'Prod 1'!D142)</f>
        <v/>
      </c>
      <c r="E142" s="64"/>
      <c r="F142" s="58"/>
      <c r="G142" s="65"/>
      <c r="H142" s="65"/>
      <c r="I142" s="58"/>
      <c r="J142" s="58"/>
      <c r="K142" s="132" t="str">
        <f t="shared" si="8"/>
        <v/>
      </c>
      <c r="M142" s="68" t="str">
        <f t="shared" si="9"/>
        <v/>
      </c>
      <c r="N142" s="59" t="str">
        <f>IF('Prod 1'!E142="","",'Prod 1'!E142)</f>
        <v/>
      </c>
      <c r="O142" s="59" t="str">
        <f t="shared" si="10"/>
        <v/>
      </c>
      <c r="P142" s="59" t="str">
        <f t="shared" si="11"/>
        <v/>
      </c>
    </row>
    <row r="143" spans="3:16" ht="30" customHeight="1" x14ac:dyDescent="0.25">
      <c r="C143" s="42">
        <v>139</v>
      </c>
      <c r="D143" s="67" t="str">
        <f>IF('Prod 1'!D143="","",'Prod 1'!D143)</f>
        <v/>
      </c>
      <c r="E143" s="64"/>
      <c r="F143" s="58"/>
      <c r="G143" s="65"/>
      <c r="H143" s="65"/>
      <c r="I143" s="58"/>
      <c r="J143" s="58"/>
      <c r="K143" s="132" t="str">
        <f t="shared" si="8"/>
        <v/>
      </c>
      <c r="M143" s="68" t="str">
        <f t="shared" si="9"/>
        <v/>
      </c>
      <c r="N143" s="59" t="str">
        <f>IF('Prod 1'!E143="","",'Prod 1'!E143)</f>
        <v/>
      </c>
      <c r="O143" s="59" t="str">
        <f t="shared" si="10"/>
        <v/>
      </c>
      <c r="P143" s="59" t="str">
        <f t="shared" si="11"/>
        <v/>
      </c>
    </row>
    <row r="144" spans="3:16" ht="30" customHeight="1" x14ac:dyDescent="0.25">
      <c r="C144" s="42">
        <v>140</v>
      </c>
      <c r="D144" s="67" t="str">
        <f>IF('Prod 1'!D144="","",'Prod 1'!D144)</f>
        <v/>
      </c>
      <c r="E144" s="64"/>
      <c r="F144" s="58"/>
      <c r="G144" s="65"/>
      <c r="H144" s="65"/>
      <c r="I144" s="58"/>
      <c r="J144" s="58"/>
      <c r="K144" s="132" t="str">
        <f t="shared" si="8"/>
        <v/>
      </c>
      <c r="M144" s="68" t="str">
        <f t="shared" si="9"/>
        <v/>
      </c>
      <c r="N144" s="59" t="str">
        <f>IF('Prod 1'!E144="","",'Prod 1'!E144)</f>
        <v/>
      </c>
      <c r="O144" s="59" t="str">
        <f t="shared" si="10"/>
        <v/>
      </c>
      <c r="P144" s="59" t="str">
        <f t="shared" si="11"/>
        <v/>
      </c>
    </row>
    <row r="145" spans="3:16" ht="30" customHeight="1" x14ac:dyDescent="0.25">
      <c r="C145" s="42">
        <v>141</v>
      </c>
      <c r="D145" s="67" t="str">
        <f>IF('Prod 1'!D145="","",'Prod 1'!D145)</f>
        <v/>
      </c>
      <c r="E145" s="64"/>
      <c r="F145" s="58"/>
      <c r="G145" s="65"/>
      <c r="H145" s="65"/>
      <c r="I145" s="58"/>
      <c r="J145" s="58"/>
      <c r="K145" s="132" t="str">
        <f t="shared" si="8"/>
        <v/>
      </c>
      <c r="M145" s="68" t="str">
        <f t="shared" si="9"/>
        <v/>
      </c>
      <c r="N145" s="59" t="str">
        <f>IF('Prod 1'!E145="","",'Prod 1'!E145)</f>
        <v/>
      </c>
      <c r="O145" s="59" t="str">
        <f t="shared" si="10"/>
        <v/>
      </c>
      <c r="P145" s="59" t="str">
        <f t="shared" si="11"/>
        <v/>
      </c>
    </row>
    <row r="146" spans="3:16" ht="30" customHeight="1" x14ac:dyDescent="0.25">
      <c r="C146" s="42">
        <v>142</v>
      </c>
      <c r="D146" s="67" t="str">
        <f>IF('Prod 1'!D146="","",'Prod 1'!D146)</f>
        <v/>
      </c>
      <c r="E146" s="64"/>
      <c r="F146" s="58"/>
      <c r="G146" s="65"/>
      <c r="H146" s="65"/>
      <c r="I146" s="58"/>
      <c r="J146" s="58"/>
      <c r="K146" s="132" t="str">
        <f t="shared" si="8"/>
        <v/>
      </c>
      <c r="M146" s="68" t="str">
        <f t="shared" si="9"/>
        <v/>
      </c>
      <c r="N146" s="59" t="str">
        <f>IF('Prod 1'!E146="","",'Prod 1'!E146)</f>
        <v/>
      </c>
      <c r="O146" s="59" t="str">
        <f t="shared" si="10"/>
        <v/>
      </c>
      <c r="P146" s="59" t="str">
        <f t="shared" si="11"/>
        <v/>
      </c>
    </row>
    <row r="147" spans="3:16" ht="30" customHeight="1" x14ac:dyDescent="0.25">
      <c r="C147" s="42">
        <v>143</v>
      </c>
      <c r="D147" s="67" t="str">
        <f>IF('Prod 1'!D147="","",'Prod 1'!D147)</f>
        <v/>
      </c>
      <c r="E147" s="64"/>
      <c r="F147" s="58"/>
      <c r="G147" s="65"/>
      <c r="H147" s="65"/>
      <c r="I147" s="58"/>
      <c r="J147" s="58"/>
      <c r="K147" s="132" t="str">
        <f t="shared" si="8"/>
        <v/>
      </c>
      <c r="M147" s="68" t="str">
        <f t="shared" si="9"/>
        <v/>
      </c>
      <c r="N147" s="59" t="str">
        <f>IF('Prod 1'!E147="","",'Prod 1'!E147)</f>
        <v/>
      </c>
      <c r="O147" s="59" t="str">
        <f t="shared" si="10"/>
        <v/>
      </c>
      <c r="P147" s="59" t="str">
        <f t="shared" si="11"/>
        <v/>
      </c>
    </row>
    <row r="148" spans="3:16" ht="30" customHeight="1" x14ac:dyDescent="0.25">
      <c r="C148" s="42">
        <v>144</v>
      </c>
      <c r="D148" s="67" t="str">
        <f>IF('Prod 1'!D148="","",'Prod 1'!D148)</f>
        <v/>
      </c>
      <c r="E148" s="64"/>
      <c r="F148" s="58"/>
      <c r="G148" s="65"/>
      <c r="H148" s="65"/>
      <c r="I148" s="58"/>
      <c r="J148" s="58"/>
      <c r="K148" s="132" t="str">
        <f t="shared" si="8"/>
        <v/>
      </c>
      <c r="M148" s="68" t="str">
        <f t="shared" si="9"/>
        <v/>
      </c>
      <c r="N148" s="59" t="str">
        <f>IF('Prod 1'!E148="","",'Prod 1'!E148)</f>
        <v/>
      </c>
      <c r="O148" s="59" t="str">
        <f t="shared" si="10"/>
        <v/>
      </c>
      <c r="P148" s="59" t="str">
        <f t="shared" si="11"/>
        <v/>
      </c>
    </row>
    <row r="149" spans="3:16" ht="30" customHeight="1" x14ac:dyDescent="0.25">
      <c r="C149" s="42">
        <v>145</v>
      </c>
      <c r="D149" s="67" t="str">
        <f>IF('Prod 1'!D149="","",'Prod 1'!D149)</f>
        <v/>
      </c>
      <c r="E149" s="64"/>
      <c r="F149" s="58"/>
      <c r="G149" s="65"/>
      <c r="H149" s="65"/>
      <c r="I149" s="58"/>
      <c r="J149" s="58"/>
      <c r="K149" s="132" t="str">
        <f t="shared" si="8"/>
        <v/>
      </c>
      <c r="M149" s="68" t="str">
        <f t="shared" si="9"/>
        <v/>
      </c>
      <c r="N149" s="59" t="str">
        <f>IF('Prod 1'!E149="","",'Prod 1'!E149)</f>
        <v/>
      </c>
      <c r="O149" s="59" t="str">
        <f t="shared" si="10"/>
        <v/>
      </c>
      <c r="P149" s="59" t="str">
        <f t="shared" si="11"/>
        <v/>
      </c>
    </row>
    <row r="150" spans="3:16" ht="30" customHeight="1" x14ac:dyDescent="0.25">
      <c r="C150" s="42">
        <v>146</v>
      </c>
      <c r="D150" s="67" t="str">
        <f>IF('Prod 1'!D150="","",'Prod 1'!D150)</f>
        <v/>
      </c>
      <c r="E150" s="64"/>
      <c r="F150" s="58"/>
      <c r="G150" s="65"/>
      <c r="H150" s="65"/>
      <c r="I150" s="58"/>
      <c r="J150" s="58"/>
      <c r="K150" s="132" t="str">
        <f t="shared" si="8"/>
        <v/>
      </c>
      <c r="M150" s="68" t="str">
        <f t="shared" si="9"/>
        <v/>
      </c>
      <c r="N150" s="59" t="str">
        <f>IF('Prod 1'!E150="","",'Prod 1'!E150)</f>
        <v/>
      </c>
      <c r="O150" s="59" t="str">
        <f t="shared" si="10"/>
        <v/>
      </c>
      <c r="P150" s="59" t="str">
        <f t="shared" si="11"/>
        <v/>
      </c>
    </row>
    <row r="151" spans="3:16" ht="30" customHeight="1" x14ac:dyDescent="0.25">
      <c r="C151" s="42">
        <v>147</v>
      </c>
      <c r="D151" s="67" t="str">
        <f>IF('Prod 1'!D151="","",'Prod 1'!D151)</f>
        <v/>
      </c>
      <c r="E151" s="64"/>
      <c r="F151" s="58"/>
      <c r="G151" s="65"/>
      <c r="H151" s="65"/>
      <c r="I151" s="58"/>
      <c r="J151" s="58"/>
      <c r="K151" s="132" t="str">
        <f t="shared" si="8"/>
        <v/>
      </c>
      <c r="M151" s="68" t="str">
        <f t="shared" si="9"/>
        <v/>
      </c>
      <c r="N151" s="59" t="str">
        <f>IF('Prod 1'!E151="","",'Prod 1'!E151)</f>
        <v/>
      </c>
      <c r="O151" s="59" t="str">
        <f t="shared" si="10"/>
        <v/>
      </c>
      <c r="P151" s="59" t="str">
        <f t="shared" si="11"/>
        <v/>
      </c>
    </row>
    <row r="152" spans="3:16" ht="30" customHeight="1" x14ac:dyDescent="0.25">
      <c r="C152" s="42">
        <v>148</v>
      </c>
      <c r="D152" s="67" t="str">
        <f>IF('Prod 1'!D152="","",'Prod 1'!D152)</f>
        <v/>
      </c>
      <c r="E152" s="64"/>
      <c r="F152" s="58"/>
      <c r="G152" s="65"/>
      <c r="H152" s="65"/>
      <c r="I152" s="58"/>
      <c r="J152" s="58"/>
      <c r="K152" s="132" t="str">
        <f t="shared" si="8"/>
        <v/>
      </c>
      <c r="M152" s="68" t="str">
        <f t="shared" si="9"/>
        <v/>
      </c>
      <c r="N152" s="59" t="str">
        <f>IF('Prod 1'!E152="","",'Prod 1'!E152)</f>
        <v/>
      </c>
      <c r="O152" s="59" t="str">
        <f t="shared" si="10"/>
        <v/>
      </c>
      <c r="P152" s="59" t="str">
        <f t="shared" si="11"/>
        <v/>
      </c>
    </row>
    <row r="153" spans="3:16" ht="30" customHeight="1" x14ac:dyDescent="0.25">
      <c r="C153" s="42">
        <v>149</v>
      </c>
      <c r="D153" s="67" t="str">
        <f>IF('Prod 1'!D153="","",'Prod 1'!D153)</f>
        <v/>
      </c>
      <c r="E153" s="64"/>
      <c r="F153" s="58"/>
      <c r="G153" s="65"/>
      <c r="H153" s="65"/>
      <c r="I153" s="58"/>
      <c r="J153" s="58"/>
      <c r="K153" s="132" t="str">
        <f t="shared" si="8"/>
        <v/>
      </c>
      <c r="M153" s="68" t="str">
        <f t="shared" si="9"/>
        <v/>
      </c>
      <c r="N153" s="59" t="str">
        <f>IF('Prod 1'!E153="","",'Prod 1'!E153)</f>
        <v/>
      </c>
      <c r="O153" s="59" t="str">
        <f t="shared" si="10"/>
        <v/>
      </c>
      <c r="P153" s="59" t="str">
        <f t="shared" si="11"/>
        <v/>
      </c>
    </row>
    <row r="154" spans="3:16" ht="30" customHeight="1" x14ac:dyDescent="0.25">
      <c r="C154" s="42">
        <v>150</v>
      </c>
      <c r="D154" s="67" t="str">
        <f>IF('Prod 1'!D154="","",'Prod 1'!D154)</f>
        <v/>
      </c>
      <c r="E154" s="64"/>
      <c r="F154" s="58"/>
      <c r="G154" s="65"/>
      <c r="H154" s="65"/>
      <c r="I154" s="58"/>
      <c r="J154" s="58"/>
      <c r="K154" s="132" t="str">
        <f t="shared" si="8"/>
        <v/>
      </c>
      <c r="M154" s="68" t="str">
        <f t="shared" si="9"/>
        <v/>
      </c>
      <c r="N154" s="59" t="str">
        <f>IF('Prod 1'!E154="","",'Prod 1'!E154)</f>
        <v/>
      </c>
      <c r="O154" s="59" t="str">
        <f t="shared" si="10"/>
        <v/>
      </c>
      <c r="P154" s="59" t="str">
        <f t="shared" si="11"/>
        <v/>
      </c>
    </row>
    <row r="155" spans="3:16" ht="30" customHeight="1" x14ac:dyDescent="0.25">
      <c r="C155" s="42">
        <v>151</v>
      </c>
      <c r="D155" s="67" t="str">
        <f>IF('Prod 1'!D155="","",'Prod 1'!D155)</f>
        <v/>
      </c>
      <c r="E155" s="64"/>
      <c r="F155" s="58"/>
      <c r="G155" s="65"/>
      <c r="H155" s="65"/>
      <c r="I155" s="58"/>
      <c r="J155" s="58"/>
      <c r="K155" s="132" t="str">
        <f t="shared" si="8"/>
        <v/>
      </c>
      <c r="M155" s="68" t="str">
        <f t="shared" si="9"/>
        <v/>
      </c>
      <c r="N155" s="59" t="str">
        <f>IF('Prod 1'!E155="","",'Prod 1'!E155)</f>
        <v/>
      </c>
      <c r="O155" s="59" t="str">
        <f t="shared" si="10"/>
        <v/>
      </c>
      <c r="P155" s="59" t="str">
        <f t="shared" si="11"/>
        <v/>
      </c>
    </row>
    <row r="156" spans="3:16" ht="30" customHeight="1" x14ac:dyDescent="0.25">
      <c r="C156" s="42">
        <v>152</v>
      </c>
      <c r="D156" s="67" t="str">
        <f>IF('Prod 1'!D156="","",'Prod 1'!D156)</f>
        <v/>
      </c>
      <c r="E156" s="64"/>
      <c r="F156" s="58"/>
      <c r="G156" s="65"/>
      <c r="H156" s="65"/>
      <c r="I156" s="58"/>
      <c r="J156" s="58"/>
      <c r="K156" s="132" t="str">
        <f t="shared" si="8"/>
        <v/>
      </c>
      <c r="M156" s="68" t="str">
        <f t="shared" si="9"/>
        <v/>
      </c>
      <c r="N156" s="59" t="str">
        <f>IF('Prod 1'!E156="","",'Prod 1'!E156)</f>
        <v/>
      </c>
      <c r="O156" s="59" t="str">
        <f t="shared" si="10"/>
        <v/>
      </c>
      <c r="P156" s="59" t="str">
        <f t="shared" si="11"/>
        <v/>
      </c>
    </row>
    <row r="157" spans="3:16" ht="30" customHeight="1" x14ac:dyDescent="0.25">
      <c r="C157" s="42">
        <v>153</v>
      </c>
      <c r="D157" s="67" t="str">
        <f>IF('Prod 1'!D157="","",'Prod 1'!D157)</f>
        <v/>
      </c>
      <c r="E157" s="64"/>
      <c r="F157" s="58"/>
      <c r="G157" s="65"/>
      <c r="H157" s="65"/>
      <c r="I157" s="58"/>
      <c r="J157" s="58"/>
      <c r="K157" s="132" t="str">
        <f t="shared" si="8"/>
        <v/>
      </c>
      <c r="M157" s="68" t="str">
        <f t="shared" si="9"/>
        <v/>
      </c>
      <c r="N157" s="59" t="str">
        <f>IF('Prod 1'!E157="","",'Prod 1'!E157)</f>
        <v/>
      </c>
      <c r="O157" s="59" t="str">
        <f t="shared" si="10"/>
        <v/>
      </c>
      <c r="P157" s="59" t="str">
        <f t="shared" si="11"/>
        <v/>
      </c>
    </row>
    <row r="158" spans="3:16" ht="30" customHeight="1" x14ac:dyDescent="0.25">
      <c r="C158" s="42">
        <v>154</v>
      </c>
      <c r="D158" s="67" t="str">
        <f>IF('Prod 1'!D158="","",'Prod 1'!D158)</f>
        <v/>
      </c>
      <c r="E158" s="64"/>
      <c r="F158" s="58"/>
      <c r="G158" s="65"/>
      <c r="H158" s="65"/>
      <c r="I158" s="58"/>
      <c r="J158" s="58"/>
      <c r="K158" s="132" t="str">
        <f t="shared" si="8"/>
        <v/>
      </c>
      <c r="M158" s="68" t="str">
        <f t="shared" si="9"/>
        <v/>
      </c>
      <c r="N158" s="59" t="str">
        <f>IF('Prod 1'!E158="","",'Prod 1'!E158)</f>
        <v/>
      </c>
      <c r="O158" s="59" t="str">
        <f t="shared" si="10"/>
        <v/>
      </c>
      <c r="P158" s="59" t="str">
        <f t="shared" si="11"/>
        <v/>
      </c>
    </row>
    <row r="159" spans="3:16" ht="30" customHeight="1" x14ac:dyDescent="0.25">
      <c r="C159" s="42">
        <v>155</v>
      </c>
      <c r="D159" s="67" t="str">
        <f>IF('Prod 1'!D159="","",'Prod 1'!D159)</f>
        <v/>
      </c>
      <c r="E159" s="64"/>
      <c r="F159" s="58"/>
      <c r="G159" s="65"/>
      <c r="H159" s="65"/>
      <c r="I159" s="58"/>
      <c r="J159" s="58"/>
      <c r="K159" s="132" t="str">
        <f t="shared" si="8"/>
        <v/>
      </c>
      <c r="M159" s="68" t="str">
        <f t="shared" si="9"/>
        <v/>
      </c>
      <c r="N159" s="59" t="str">
        <f>IF('Prod 1'!E159="","",'Prod 1'!E159)</f>
        <v/>
      </c>
      <c r="O159" s="59" t="str">
        <f t="shared" si="10"/>
        <v/>
      </c>
      <c r="P159" s="59" t="str">
        <f t="shared" si="11"/>
        <v/>
      </c>
    </row>
    <row r="160" spans="3:16" ht="30" customHeight="1" x14ac:dyDescent="0.25">
      <c r="C160" s="42">
        <v>156</v>
      </c>
      <c r="D160" s="67" t="str">
        <f>IF('Prod 1'!D160="","",'Prod 1'!D160)</f>
        <v/>
      </c>
      <c r="E160" s="64"/>
      <c r="F160" s="58"/>
      <c r="G160" s="65"/>
      <c r="H160" s="65"/>
      <c r="I160" s="58"/>
      <c r="J160" s="58"/>
      <c r="K160" s="132" t="str">
        <f t="shared" si="8"/>
        <v/>
      </c>
      <c r="M160" s="68" t="str">
        <f t="shared" si="9"/>
        <v/>
      </c>
      <c r="N160" s="59" t="str">
        <f>IF('Prod 1'!E160="","",'Prod 1'!E160)</f>
        <v/>
      </c>
      <c r="O160" s="59" t="str">
        <f t="shared" si="10"/>
        <v/>
      </c>
      <c r="P160" s="59" t="str">
        <f t="shared" si="11"/>
        <v/>
      </c>
    </row>
    <row r="161" spans="3:16" ht="30" customHeight="1" x14ac:dyDescent="0.25">
      <c r="C161" s="42">
        <v>157</v>
      </c>
      <c r="D161" s="67" t="str">
        <f>IF('Prod 1'!D161="","",'Prod 1'!D161)</f>
        <v/>
      </c>
      <c r="E161" s="64"/>
      <c r="F161" s="58"/>
      <c r="G161" s="65"/>
      <c r="H161" s="65"/>
      <c r="I161" s="58"/>
      <c r="J161" s="58"/>
      <c r="K161" s="132" t="str">
        <f t="shared" si="8"/>
        <v/>
      </c>
      <c r="M161" s="68" t="str">
        <f t="shared" si="9"/>
        <v/>
      </c>
      <c r="N161" s="59" t="str">
        <f>IF('Prod 1'!E161="","",'Prod 1'!E161)</f>
        <v/>
      </c>
      <c r="O161" s="59" t="str">
        <f t="shared" si="10"/>
        <v/>
      </c>
      <c r="P161" s="59" t="str">
        <f t="shared" si="11"/>
        <v/>
      </c>
    </row>
    <row r="162" spans="3:16" ht="30" customHeight="1" x14ac:dyDescent="0.25">
      <c r="C162" s="42">
        <v>158</v>
      </c>
      <c r="D162" s="67" t="str">
        <f>IF('Prod 1'!D162="","",'Prod 1'!D162)</f>
        <v/>
      </c>
      <c r="E162" s="64"/>
      <c r="F162" s="58"/>
      <c r="G162" s="65"/>
      <c r="H162" s="65"/>
      <c r="I162" s="58"/>
      <c r="J162" s="58"/>
      <c r="K162" s="132" t="str">
        <f t="shared" si="8"/>
        <v/>
      </c>
      <c r="M162" s="68" t="str">
        <f t="shared" si="9"/>
        <v/>
      </c>
      <c r="N162" s="59" t="str">
        <f>IF('Prod 1'!E162="","",'Prod 1'!E162)</f>
        <v/>
      </c>
      <c r="O162" s="59" t="str">
        <f t="shared" si="10"/>
        <v/>
      </c>
      <c r="P162" s="59" t="str">
        <f t="shared" si="11"/>
        <v/>
      </c>
    </row>
    <row r="163" spans="3:16" ht="30" customHeight="1" x14ac:dyDescent="0.25">
      <c r="C163" s="42">
        <v>159</v>
      </c>
      <c r="D163" s="67" t="str">
        <f>IF('Prod 1'!D163="","",'Prod 1'!D163)</f>
        <v/>
      </c>
      <c r="E163" s="64"/>
      <c r="F163" s="58"/>
      <c r="G163" s="65"/>
      <c r="H163" s="65"/>
      <c r="I163" s="58"/>
      <c r="J163" s="58"/>
      <c r="K163" s="132" t="str">
        <f t="shared" si="8"/>
        <v/>
      </c>
      <c r="M163" s="68" t="str">
        <f t="shared" si="9"/>
        <v/>
      </c>
      <c r="N163" s="59" t="str">
        <f>IF('Prod 1'!E163="","",'Prod 1'!E163)</f>
        <v/>
      </c>
      <c r="O163" s="59" t="str">
        <f t="shared" si="10"/>
        <v/>
      </c>
      <c r="P163" s="59" t="str">
        <f t="shared" si="11"/>
        <v/>
      </c>
    </row>
    <row r="164" spans="3:16" ht="30" customHeight="1" x14ac:dyDescent="0.25">
      <c r="C164" s="42">
        <v>160</v>
      </c>
      <c r="D164" s="67" t="str">
        <f>IF('Prod 1'!D164="","",'Prod 1'!D164)</f>
        <v/>
      </c>
      <c r="E164" s="64"/>
      <c r="F164" s="58"/>
      <c r="G164" s="65"/>
      <c r="H164" s="65"/>
      <c r="I164" s="58"/>
      <c r="J164" s="58"/>
      <c r="K164" s="132" t="str">
        <f t="shared" si="8"/>
        <v/>
      </c>
      <c r="M164" s="68" t="str">
        <f t="shared" si="9"/>
        <v/>
      </c>
      <c r="N164" s="59" t="str">
        <f>IF('Prod 1'!E164="","",'Prod 1'!E164)</f>
        <v/>
      </c>
      <c r="O164" s="59" t="str">
        <f t="shared" si="10"/>
        <v/>
      </c>
      <c r="P164" s="59" t="str">
        <f t="shared" si="11"/>
        <v/>
      </c>
    </row>
    <row r="165" spans="3:16" ht="30" customHeight="1" x14ac:dyDescent="0.25">
      <c r="C165" s="42">
        <v>161</v>
      </c>
      <c r="D165" s="67" t="str">
        <f>IF('Prod 1'!D165="","",'Prod 1'!D165)</f>
        <v/>
      </c>
      <c r="E165" s="64"/>
      <c r="F165" s="58"/>
      <c r="G165" s="65"/>
      <c r="H165" s="65"/>
      <c r="I165" s="58"/>
      <c r="J165" s="58"/>
      <c r="K165" s="132" t="str">
        <f t="shared" si="8"/>
        <v/>
      </c>
      <c r="M165" s="68" t="str">
        <f t="shared" si="9"/>
        <v/>
      </c>
      <c r="N165" s="59" t="str">
        <f>IF('Prod 1'!E165="","",'Prod 1'!E165)</f>
        <v/>
      </c>
      <c r="O165" s="59" t="str">
        <f t="shared" si="10"/>
        <v/>
      </c>
      <c r="P165" s="59" t="str">
        <f t="shared" si="11"/>
        <v/>
      </c>
    </row>
    <row r="166" spans="3:16" ht="30" customHeight="1" x14ac:dyDescent="0.25">
      <c r="C166" s="42">
        <v>162</v>
      </c>
      <c r="D166" s="67" t="str">
        <f>IF('Prod 1'!D166="","",'Prod 1'!D166)</f>
        <v/>
      </c>
      <c r="E166" s="64"/>
      <c r="F166" s="58"/>
      <c r="G166" s="65"/>
      <c r="H166" s="65"/>
      <c r="I166" s="58"/>
      <c r="J166" s="58"/>
      <c r="K166" s="132" t="str">
        <f t="shared" si="8"/>
        <v/>
      </c>
      <c r="M166" s="68" t="str">
        <f t="shared" si="9"/>
        <v/>
      </c>
      <c r="N166" s="59" t="str">
        <f>IF('Prod 1'!E166="","",'Prod 1'!E166)</f>
        <v/>
      </c>
      <c r="O166" s="59" t="str">
        <f t="shared" si="10"/>
        <v/>
      </c>
      <c r="P166" s="59" t="str">
        <f t="shared" si="11"/>
        <v/>
      </c>
    </row>
    <row r="167" spans="3:16" ht="30" customHeight="1" x14ac:dyDescent="0.25">
      <c r="C167" s="42">
        <v>163</v>
      </c>
      <c r="D167" s="67" t="str">
        <f>IF('Prod 1'!D167="","",'Prod 1'!D167)</f>
        <v/>
      </c>
      <c r="E167" s="64"/>
      <c r="F167" s="58"/>
      <c r="G167" s="65"/>
      <c r="H167" s="65"/>
      <c r="I167" s="58"/>
      <c r="J167" s="58"/>
      <c r="K167" s="132" t="str">
        <f t="shared" si="8"/>
        <v/>
      </c>
      <c r="M167" s="68" t="str">
        <f t="shared" si="9"/>
        <v/>
      </c>
      <c r="N167" s="59" t="str">
        <f>IF('Prod 1'!E167="","",'Prod 1'!E167)</f>
        <v/>
      </c>
      <c r="O167" s="59" t="str">
        <f t="shared" si="10"/>
        <v/>
      </c>
      <c r="P167" s="59" t="str">
        <f t="shared" si="11"/>
        <v/>
      </c>
    </row>
    <row r="168" spans="3:16" ht="30" customHeight="1" x14ac:dyDescent="0.25">
      <c r="C168" s="42">
        <v>164</v>
      </c>
      <c r="D168" s="67" t="str">
        <f>IF('Prod 1'!D168="","",'Prod 1'!D168)</f>
        <v/>
      </c>
      <c r="E168" s="64"/>
      <c r="F168" s="58"/>
      <c r="G168" s="65"/>
      <c r="H168" s="65"/>
      <c r="I168" s="58"/>
      <c r="J168" s="58"/>
      <c r="K168" s="132" t="str">
        <f t="shared" si="8"/>
        <v/>
      </c>
      <c r="M168" s="68" t="str">
        <f t="shared" si="9"/>
        <v/>
      </c>
      <c r="N168" s="59" t="str">
        <f>IF('Prod 1'!E168="","",'Prod 1'!E168)</f>
        <v/>
      </c>
      <c r="O168" s="59" t="str">
        <f t="shared" si="10"/>
        <v/>
      </c>
      <c r="P168" s="59" t="str">
        <f t="shared" si="11"/>
        <v/>
      </c>
    </row>
    <row r="169" spans="3:16" ht="30" customHeight="1" x14ac:dyDescent="0.25">
      <c r="C169" s="42">
        <v>165</v>
      </c>
      <c r="D169" s="67" t="str">
        <f>IF('Prod 1'!D169="","",'Prod 1'!D169)</f>
        <v/>
      </c>
      <c r="E169" s="64"/>
      <c r="F169" s="58"/>
      <c r="G169" s="65"/>
      <c r="H169" s="65"/>
      <c r="I169" s="58"/>
      <c r="J169" s="58"/>
      <c r="K169" s="132" t="str">
        <f t="shared" si="8"/>
        <v/>
      </c>
      <c r="M169" s="68" t="str">
        <f t="shared" si="9"/>
        <v/>
      </c>
      <c r="N169" s="59" t="str">
        <f>IF('Prod 1'!E169="","",'Prod 1'!E169)</f>
        <v/>
      </c>
      <c r="O169" s="59" t="str">
        <f t="shared" si="10"/>
        <v/>
      </c>
      <c r="P169" s="59" t="str">
        <f t="shared" si="11"/>
        <v/>
      </c>
    </row>
    <row r="170" spans="3:16" ht="30" customHeight="1" x14ac:dyDescent="0.25">
      <c r="C170" s="42">
        <v>166</v>
      </c>
      <c r="D170" s="67" t="str">
        <f>IF('Prod 1'!D170="","",'Prod 1'!D170)</f>
        <v/>
      </c>
      <c r="E170" s="64"/>
      <c r="F170" s="58"/>
      <c r="G170" s="65"/>
      <c r="H170" s="65"/>
      <c r="I170" s="58"/>
      <c r="J170" s="58"/>
      <c r="K170" s="132" t="str">
        <f t="shared" si="8"/>
        <v/>
      </c>
      <c r="M170" s="68" t="str">
        <f t="shared" si="9"/>
        <v/>
      </c>
      <c r="N170" s="59" t="str">
        <f>IF('Prod 1'!E170="","",'Prod 1'!E170)</f>
        <v/>
      </c>
      <c r="O170" s="59" t="str">
        <f t="shared" si="10"/>
        <v/>
      </c>
      <c r="P170" s="59" t="str">
        <f t="shared" si="11"/>
        <v/>
      </c>
    </row>
    <row r="171" spans="3:16" ht="30" customHeight="1" x14ac:dyDescent="0.25">
      <c r="C171" s="42">
        <v>167</v>
      </c>
      <c r="D171" s="67" t="str">
        <f>IF('Prod 1'!D171="","",'Prod 1'!D171)</f>
        <v/>
      </c>
      <c r="E171" s="64"/>
      <c r="F171" s="58"/>
      <c r="G171" s="65"/>
      <c r="H171" s="65"/>
      <c r="I171" s="58"/>
      <c r="J171" s="58"/>
      <c r="K171" s="132" t="str">
        <f t="shared" si="8"/>
        <v/>
      </c>
      <c r="M171" s="68" t="str">
        <f t="shared" si="9"/>
        <v/>
      </c>
      <c r="N171" s="59" t="str">
        <f>IF('Prod 1'!E171="","",'Prod 1'!E171)</f>
        <v/>
      </c>
      <c r="O171" s="59" t="str">
        <f t="shared" si="10"/>
        <v/>
      </c>
      <c r="P171" s="59" t="str">
        <f t="shared" si="11"/>
        <v/>
      </c>
    </row>
    <row r="172" spans="3:16" ht="30" customHeight="1" x14ac:dyDescent="0.25">
      <c r="C172" s="42">
        <v>168</v>
      </c>
      <c r="D172" s="67" t="str">
        <f>IF('Prod 1'!D172="","",'Prod 1'!D172)</f>
        <v/>
      </c>
      <c r="E172" s="64"/>
      <c r="F172" s="58"/>
      <c r="G172" s="65"/>
      <c r="H172" s="65"/>
      <c r="I172" s="58"/>
      <c r="J172" s="58"/>
      <c r="K172" s="132" t="str">
        <f t="shared" si="8"/>
        <v/>
      </c>
      <c r="M172" s="68" t="str">
        <f t="shared" si="9"/>
        <v/>
      </c>
      <c r="N172" s="59" t="str">
        <f>IF('Prod 1'!E172="","",'Prod 1'!E172)</f>
        <v/>
      </c>
      <c r="O172" s="59" t="str">
        <f t="shared" si="10"/>
        <v/>
      </c>
      <c r="P172" s="59" t="str">
        <f t="shared" si="11"/>
        <v/>
      </c>
    </row>
    <row r="173" spans="3:16" ht="30" customHeight="1" x14ac:dyDescent="0.25">
      <c r="C173" s="42">
        <v>169</v>
      </c>
      <c r="D173" s="67" t="str">
        <f>IF('Prod 1'!D173="","",'Prod 1'!D173)</f>
        <v/>
      </c>
      <c r="E173" s="64"/>
      <c r="F173" s="58"/>
      <c r="G173" s="65"/>
      <c r="H173" s="65"/>
      <c r="I173" s="58"/>
      <c r="J173" s="58"/>
      <c r="K173" s="132" t="str">
        <f t="shared" si="8"/>
        <v/>
      </c>
      <c r="M173" s="68" t="str">
        <f t="shared" si="9"/>
        <v/>
      </c>
      <c r="N173" s="59" t="str">
        <f>IF('Prod 1'!E173="","",'Prod 1'!E173)</f>
        <v/>
      </c>
      <c r="O173" s="59" t="str">
        <f t="shared" si="10"/>
        <v/>
      </c>
      <c r="P173" s="59" t="str">
        <f t="shared" si="11"/>
        <v/>
      </c>
    </row>
    <row r="174" spans="3:16" ht="30" customHeight="1" x14ac:dyDescent="0.25">
      <c r="C174" s="42">
        <v>170</v>
      </c>
      <c r="D174" s="67" t="str">
        <f>IF('Prod 1'!D174="","",'Prod 1'!D174)</f>
        <v/>
      </c>
      <c r="E174" s="64"/>
      <c r="F174" s="58"/>
      <c r="G174" s="65"/>
      <c r="H174" s="65"/>
      <c r="I174" s="58"/>
      <c r="J174" s="58"/>
      <c r="K174" s="132" t="str">
        <f t="shared" si="8"/>
        <v/>
      </c>
      <c r="M174" s="68" t="str">
        <f t="shared" si="9"/>
        <v/>
      </c>
      <c r="N174" s="59" t="str">
        <f>IF('Prod 1'!E174="","",'Prod 1'!E174)</f>
        <v/>
      </c>
      <c r="O174" s="59" t="str">
        <f t="shared" si="10"/>
        <v/>
      </c>
      <c r="P174" s="59" t="str">
        <f t="shared" si="11"/>
        <v/>
      </c>
    </row>
    <row r="175" spans="3:16" ht="30" customHeight="1" x14ac:dyDescent="0.25">
      <c r="C175" s="42">
        <v>171</v>
      </c>
      <c r="D175" s="67" t="str">
        <f>IF('Prod 1'!D175="","",'Prod 1'!D175)</f>
        <v/>
      </c>
      <c r="E175" s="64"/>
      <c r="F175" s="58"/>
      <c r="G175" s="65"/>
      <c r="H175" s="65"/>
      <c r="I175" s="58"/>
      <c r="J175" s="58"/>
      <c r="K175" s="132" t="str">
        <f t="shared" si="8"/>
        <v/>
      </c>
      <c r="M175" s="68" t="str">
        <f t="shared" si="9"/>
        <v/>
      </c>
      <c r="N175" s="59" t="str">
        <f>IF('Prod 1'!E175="","",'Prod 1'!E175)</f>
        <v/>
      </c>
      <c r="O175" s="59" t="str">
        <f t="shared" si="10"/>
        <v/>
      </c>
      <c r="P175" s="59" t="str">
        <f t="shared" si="11"/>
        <v/>
      </c>
    </row>
    <row r="176" spans="3:16" ht="30" customHeight="1" x14ac:dyDescent="0.25">
      <c r="C176" s="42">
        <v>172</v>
      </c>
      <c r="D176" s="67" t="str">
        <f>IF('Prod 1'!D176="","",'Prod 1'!D176)</f>
        <v/>
      </c>
      <c r="E176" s="64"/>
      <c r="F176" s="58"/>
      <c r="G176" s="65"/>
      <c r="H176" s="65"/>
      <c r="I176" s="58"/>
      <c r="J176" s="58"/>
      <c r="K176" s="132" t="str">
        <f t="shared" si="8"/>
        <v/>
      </c>
      <c r="M176" s="68" t="str">
        <f t="shared" si="9"/>
        <v/>
      </c>
      <c r="N176" s="59" t="str">
        <f>IF('Prod 1'!E176="","",'Prod 1'!E176)</f>
        <v/>
      </c>
      <c r="O176" s="59" t="str">
        <f t="shared" si="10"/>
        <v/>
      </c>
      <c r="P176" s="59" t="str">
        <f t="shared" si="11"/>
        <v/>
      </c>
    </row>
    <row r="177" spans="3:16" ht="30" customHeight="1" x14ac:dyDescent="0.25">
      <c r="C177" s="42">
        <v>173</v>
      </c>
      <c r="D177" s="67" t="str">
        <f>IF('Prod 1'!D177="","",'Prod 1'!D177)</f>
        <v/>
      </c>
      <c r="E177" s="64"/>
      <c r="F177" s="58"/>
      <c r="G177" s="65"/>
      <c r="H177" s="65"/>
      <c r="I177" s="58"/>
      <c r="J177" s="58"/>
      <c r="K177" s="132" t="str">
        <f t="shared" si="8"/>
        <v/>
      </c>
      <c r="M177" s="68" t="str">
        <f t="shared" si="9"/>
        <v/>
      </c>
      <c r="N177" s="59" t="str">
        <f>IF('Prod 1'!E177="","",'Prod 1'!E177)</f>
        <v/>
      </c>
      <c r="O177" s="59" t="str">
        <f t="shared" si="10"/>
        <v/>
      </c>
      <c r="P177" s="59" t="str">
        <f t="shared" si="11"/>
        <v/>
      </c>
    </row>
    <row r="178" spans="3:16" ht="30" customHeight="1" x14ac:dyDescent="0.25">
      <c r="C178" s="42">
        <v>174</v>
      </c>
      <c r="D178" s="67" t="str">
        <f>IF('Prod 1'!D178="","",'Prod 1'!D178)</f>
        <v/>
      </c>
      <c r="E178" s="64"/>
      <c r="F178" s="58"/>
      <c r="G178" s="65"/>
      <c r="H178" s="65"/>
      <c r="I178" s="58"/>
      <c r="J178" s="58"/>
      <c r="K178" s="132" t="str">
        <f t="shared" si="8"/>
        <v/>
      </c>
      <c r="M178" s="68" t="str">
        <f t="shared" si="9"/>
        <v/>
      </c>
      <c r="N178" s="59" t="str">
        <f>IF('Prod 1'!E178="","",'Prod 1'!E178)</f>
        <v/>
      </c>
      <c r="O178" s="59" t="str">
        <f t="shared" si="10"/>
        <v/>
      </c>
      <c r="P178" s="59" t="str">
        <f t="shared" si="11"/>
        <v/>
      </c>
    </row>
    <row r="179" spans="3:16" ht="30" customHeight="1" x14ac:dyDescent="0.25">
      <c r="C179" s="42">
        <v>175</v>
      </c>
      <c r="D179" s="67" t="str">
        <f>IF('Prod 1'!D179="","",'Prod 1'!D179)</f>
        <v/>
      </c>
      <c r="E179" s="64"/>
      <c r="F179" s="58"/>
      <c r="G179" s="65"/>
      <c r="H179" s="65"/>
      <c r="I179" s="58"/>
      <c r="J179" s="58"/>
      <c r="K179" s="132" t="str">
        <f t="shared" si="8"/>
        <v/>
      </c>
      <c r="M179" s="68" t="str">
        <f t="shared" si="9"/>
        <v/>
      </c>
      <c r="N179" s="59" t="str">
        <f>IF('Prod 1'!E179="","",'Prod 1'!E179)</f>
        <v/>
      </c>
      <c r="O179" s="59" t="str">
        <f t="shared" si="10"/>
        <v/>
      </c>
      <c r="P179" s="59" t="str">
        <f t="shared" si="11"/>
        <v/>
      </c>
    </row>
    <row r="180" spans="3:16" ht="30" customHeight="1" x14ac:dyDescent="0.25">
      <c r="C180" s="42">
        <v>176</v>
      </c>
      <c r="D180" s="67" t="str">
        <f>IF('Prod 1'!D180="","",'Prod 1'!D180)</f>
        <v/>
      </c>
      <c r="E180" s="64"/>
      <c r="F180" s="58"/>
      <c r="G180" s="65"/>
      <c r="H180" s="65"/>
      <c r="I180" s="58"/>
      <c r="J180" s="58"/>
      <c r="K180" s="132" t="str">
        <f t="shared" si="8"/>
        <v/>
      </c>
      <c r="M180" s="68" t="str">
        <f t="shared" si="9"/>
        <v/>
      </c>
      <c r="N180" s="59" t="str">
        <f>IF('Prod 1'!E180="","",'Prod 1'!E180)</f>
        <v/>
      </c>
      <c r="O180" s="59" t="str">
        <f t="shared" si="10"/>
        <v/>
      </c>
      <c r="P180" s="59" t="str">
        <f t="shared" si="11"/>
        <v/>
      </c>
    </row>
    <row r="181" spans="3:16" ht="30" customHeight="1" x14ac:dyDescent="0.25">
      <c r="C181" s="42">
        <v>177</v>
      </c>
      <c r="D181" s="67" t="str">
        <f>IF('Prod 1'!D181="","",'Prod 1'!D181)</f>
        <v/>
      </c>
      <c r="E181" s="64"/>
      <c r="F181" s="58"/>
      <c r="G181" s="65"/>
      <c r="H181" s="65"/>
      <c r="I181" s="58"/>
      <c r="J181" s="58"/>
      <c r="K181" s="132" t="str">
        <f t="shared" si="8"/>
        <v/>
      </c>
      <c r="M181" s="68" t="str">
        <f t="shared" si="9"/>
        <v/>
      </c>
      <c r="N181" s="59" t="str">
        <f>IF('Prod 1'!E181="","",'Prod 1'!E181)</f>
        <v/>
      </c>
      <c r="O181" s="59" t="str">
        <f t="shared" si="10"/>
        <v/>
      </c>
      <c r="P181" s="59" t="str">
        <f t="shared" si="11"/>
        <v/>
      </c>
    </row>
    <row r="182" spans="3:16" ht="30" customHeight="1" x14ac:dyDescent="0.25">
      <c r="C182" s="42">
        <v>178</v>
      </c>
      <c r="D182" s="67" t="str">
        <f>IF('Prod 1'!D182="","",'Prod 1'!D182)</f>
        <v/>
      </c>
      <c r="E182" s="64"/>
      <c r="F182" s="58"/>
      <c r="G182" s="65"/>
      <c r="H182" s="65"/>
      <c r="I182" s="58"/>
      <c r="J182" s="58"/>
      <c r="K182" s="132" t="str">
        <f t="shared" si="8"/>
        <v/>
      </c>
      <c r="M182" s="68" t="str">
        <f t="shared" si="9"/>
        <v/>
      </c>
      <c r="N182" s="59" t="str">
        <f>IF('Prod 1'!E182="","",'Prod 1'!E182)</f>
        <v/>
      </c>
      <c r="O182" s="59" t="str">
        <f t="shared" si="10"/>
        <v/>
      </c>
      <c r="P182" s="59" t="str">
        <f t="shared" si="11"/>
        <v/>
      </c>
    </row>
    <row r="183" spans="3:16" ht="30" customHeight="1" x14ac:dyDescent="0.25">
      <c r="C183" s="42">
        <v>179</v>
      </c>
      <c r="D183" s="67" t="str">
        <f>IF('Prod 1'!D183="","",'Prod 1'!D183)</f>
        <v/>
      </c>
      <c r="E183" s="64"/>
      <c r="F183" s="58"/>
      <c r="G183" s="65"/>
      <c r="H183" s="65"/>
      <c r="I183" s="58"/>
      <c r="J183" s="58"/>
      <c r="K183" s="132" t="str">
        <f t="shared" si="8"/>
        <v/>
      </c>
      <c r="M183" s="68" t="str">
        <f t="shared" si="9"/>
        <v/>
      </c>
      <c r="N183" s="59" t="str">
        <f>IF('Prod 1'!E183="","",'Prod 1'!E183)</f>
        <v/>
      </c>
      <c r="O183" s="59" t="str">
        <f t="shared" si="10"/>
        <v/>
      </c>
      <c r="P183" s="59" t="str">
        <f t="shared" si="11"/>
        <v/>
      </c>
    </row>
    <row r="184" spans="3:16" ht="30" customHeight="1" x14ac:dyDescent="0.25">
      <c r="C184" s="42">
        <v>180</v>
      </c>
      <c r="D184" s="67" t="str">
        <f>IF('Prod 1'!D184="","",'Prod 1'!D184)</f>
        <v/>
      </c>
      <c r="E184" s="64"/>
      <c r="F184" s="58"/>
      <c r="G184" s="65"/>
      <c r="H184" s="65"/>
      <c r="I184" s="58"/>
      <c r="J184" s="58"/>
      <c r="K184" s="132" t="str">
        <f t="shared" si="8"/>
        <v/>
      </c>
      <c r="M184" s="68" t="str">
        <f t="shared" si="9"/>
        <v/>
      </c>
      <c r="N184" s="59" t="str">
        <f>IF('Prod 1'!E184="","",'Prod 1'!E184)</f>
        <v/>
      </c>
      <c r="O184" s="59" t="str">
        <f t="shared" si="10"/>
        <v/>
      </c>
      <c r="P184" s="59" t="str">
        <f t="shared" si="11"/>
        <v/>
      </c>
    </row>
    <row r="185" spans="3:16" ht="30" customHeight="1" x14ac:dyDescent="0.25">
      <c r="C185" s="42">
        <v>181</v>
      </c>
      <c r="D185" s="67" t="str">
        <f>IF('Prod 1'!D185="","",'Prod 1'!D185)</f>
        <v/>
      </c>
      <c r="E185" s="64"/>
      <c r="F185" s="58"/>
      <c r="G185" s="65"/>
      <c r="H185" s="65"/>
      <c r="I185" s="58"/>
      <c r="J185" s="58"/>
      <c r="K185" s="132" t="str">
        <f t="shared" si="8"/>
        <v/>
      </c>
      <c r="M185" s="68" t="str">
        <f t="shared" si="9"/>
        <v/>
      </c>
      <c r="N185" s="59" t="str">
        <f>IF('Prod 1'!E185="","",'Prod 1'!E185)</f>
        <v/>
      </c>
      <c r="O185" s="59" t="str">
        <f t="shared" si="10"/>
        <v/>
      </c>
      <c r="P185" s="59" t="str">
        <f t="shared" si="11"/>
        <v/>
      </c>
    </row>
    <row r="186" spans="3:16" ht="30" customHeight="1" x14ac:dyDescent="0.25">
      <c r="C186" s="42">
        <v>182</v>
      </c>
      <c r="D186" s="67" t="str">
        <f>IF('Prod 1'!D186="","",'Prod 1'!D186)</f>
        <v/>
      </c>
      <c r="E186" s="64"/>
      <c r="F186" s="58"/>
      <c r="G186" s="65"/>
      <c r="H186" s="65"/>
      <c r="I186" s="58"/>
      <c r="J186" s="58"/>
      <c r="K186" s="132" t="str">
        <f t="shared" si="8"/>
        <v/>
      </c>
      <c r="M186" s="68" t="str">
        <f t="shared" si="9"/>
        <v/>
      </c>
      <c r="N186" s="59" t="str">
        <f>IF('Prod 1'!E186="","",'Prod 1'!E186)</f>
        <v/>
      </c>
      <c r="O186" s="59" t="str">
        <f t="shared" si="10"/>
        <v/>
      </c>
      <c r="P186" s="59" t="str">
        <f t="shared" si="11"/>
        <v/>
      </c>
    </row>
    <row r="187" spans="3:16" ht="30" customHeight="1" x14ac:dyDescent="0.25">
      <c r="C187" s="42">
        <v>183</v>
      </c>
      <c r="D187" s="67" t="str">
        <f>IF('Prod 1'!D187="","",'Prod 1'!D187)</f>
        <v/>
      </c>
      <c r="E187" s="64"/>
      <c r="F187" s="58"/>
      <c r="G187" s="65"/>
      <c r="H187" s="65"/>
      <c r="I187" s="58"/>
      <c r="J187" s="58"/>
      <c r="K187" s="132" t="str">
        <f t="shared" si="8"/>
        <v/>
      </c>
      <c r="M187" s="68" t="str">
        <f t="shared" si="9"/>
        <v/>
      </c>
      <c r="N187" s="59" t="str">
        <f>IF('Prod 1'!E187="","",'Prod 1'!E187)</f>
        <v/>
      </c>
      <c r="O187" s="59" t="str">
        <f t="shared" si="10"/>
        <v/>
      </c>
      <c r="P187" s="59" t="str">
        <f t="shared" si="11"/>
        <v/>
      </c>
    </row>
    <row r="188" spans="3:16" ht="30" customHeight="1" x14ac:dyDescent="0.25">
      <c r="C188" s="42">
        <v>184</v>
      </c>
      <c r="D188" s="67" t="str">
        <f>IF('Prod 1'!D188="","",'Prod 1'!D188)</f>
        <v/>
      </c>
      <c r="E188" s="64"/>
      <c r="F188" s="58"/>
      <c r="G188" s="65"/>
      <c r="H188" s="65"/>
      <c r="I188" s="58"/>
      <c r="J188" s="58"/>
      <c r="K188" s="132" t="str">
        <f t="shared" si="8"/>
        <v/>
      </c>
      <c r="M188" s="68" t="str">
        <f t="shared" si="9"/>
        <v/>
      </c>
      <c r="N188" s="59" t="str">
        <f>IF('Prod 1'!E188="","",'Prod 1'!E188)</f>
        <v/>
      </c>
      <c r="O188" s="59" t="str">
        <f t="shared" si="10"/>
        <v/>
      </c>
      <c r="P188" s="59" t="str">
        <f t="shared" si="11"/>
        <v/>
      </c>
    </row>
    <row r="189" spans="3:16" ht="30" customHeight="1" x14ac:dyDescent="0.25">
      <c r="C189" s="42">
        <v>185</v>
      </c>
      <c r="D189" s="67" t="str">
        <f>IF('Prod 1'!D189="","",'Prod 1'!D189)</f>
        <v/>
      </c>
      <c r="E189" s="64"/>
      <c r="F189" s="58"/>
      <c r="G189" s="65"/>
      <c r="H189" s="65"/>
      <c r="I189" s="58"/>
      <c r="J189" s="58"/>
      <c r="K189" s="132" t="str">
        <f t="shared" si="8"/>
        <v/>
      </c>
      <c r="M189" s="68" t="str">
        <f t="shared" si="9"/>
        <v/>
      </c>
      <c r="N189" s="59" t="str">
        <f>IF('Prod 1'!E189="","",'Prod 1'!E189)</f>
        <v/>
      </c>
      <c r="O189" s="59" t="str">
        <f t="shared" si="10"/>
        <v/>
      </c>
      <c r="P189" s="59" t="str">
        <f t="shared" si="11"/>
        <v/>
      </c>
    </row>
    <row r="190" spans="3:16" ht="30" customHeight="1" x14ac:dyDescent="0.25">
      <c r="C190" s="42">
        <v>186</v>
      </c>
      <c r="D190" s="67" t="str">
        <f>IF('Prod 1'!D190="","",'Prod 1'!D190)</f>
        <v/>
      </c>
      <c r="E190" s="64"/>
      <c r="F190" s="58"/>
      <c r="G190" s="65"/>
      <c r="H190" s="65"/>
      <c r="I190" s="58"/>
      <c r="J190" s="58"/>
      <c r="K190" s="132" t="str">
        <f t="shared" si="8"/>
        <v/>
      </c>
      <c r="M190" s="68" t="str">
        <f t="shared" si="9"/>
        <v/>
      </c>
      <c r="N190" s="59" t="str">
        <f>IF('Prod 1'!E190="","",'Prod 1'!E190)</f>
        <v/>
      </c>
      <c r="O190" s="59" t="str">
        <f t="shared" si="10"/>
        <v/>
      </c>
      <c r="P190" s="59" t="str">
        <f t="shared" si="11"/>
        <v/>
      </c>
    </row>
    <row r="191" spans="3:16" ht="30" customHeight="1" x14ac:dyDescent="0.25">
      <c r="C191" s="42">
        <v>187</v>
      </c>
      <c r="D191" s="67" t="str">
        <f>IF('Prod 1'!D191="","",'Prod 1'!D191)</f>
        <v/>
      </c>
      <c r="E191" s="64"/>
      <c r="F191" s="58"/>
      <c r="G191" s="65"/>
      <c r="H191" s="65"/>
      <c r="I191" s="58"/>
      <c r="J191" s="58"/>
      <c r="K191" s="132" t="str">
        <f t="shared" si="8"/>
        <v/>
      </c>
      <c r="M191" s="68" t="str">
        <f t="shared" si="9"/>
        <v/>
      </c>
      <c r="N191" s="59" t="str">
        <f>IF('Prod 1'!E191="","",'Prod 1'!E191)</f>
        <v/>
      </c>
      <c r="O191" s="59" t="str">
        <f t="shared" si="10"/>
        <v/>
      </c>
      <c r="P191" s="59" t="str">
        <f t="shared" si="11"/>
        <v/>
      </c>
    </row>
    <row r="192" spans="3:16" ht="30" customHeight="1" x14ac:dyDescent="0.25">
      <c r="C192" s="42">
        <v>188</v>
      </c>
      <c r="D192" s="67" t="str">
        <f>IF('Prod 1'!D192="","",'Prod 1'!D192)</f>
        <v/>
      </c>
      <c r="E192" s="64"/>
      <c r="F192" s="58"/>
      <c r="G192" s="65"/>
      <c r="H192" s="65"/>
      <c r="I192" s="58"/>
      <c r="J192" s="58"/>
      <c r="K192" s="132" t="str">
        <f t="shared" si="8"/>
        <v/>
      </c>
      <c r="M192" s="68" t="str">
        <f t="shared" si="9"/>
        <v/>
      </c>
      <c r="N192" s="59" t="str">
        <f>IF('Prod 1'!E192="","",'Prod 1'!E192)</f>
        <v/>
      </c>
      <c r="O192" s="59" t="str">
        <f t="shared" si="10"/>
        <v/>
      </c>
      <c r="P192" s="59" t="str">
        <f t="shared" si="11"/>
        <v/>
      </c>
    </row>
    <row r="193" spans="3:16" ht="30" customHeight="1" x14ac:dyDescent="0.25">
      <c r="C193" s="42">
        <v>189</v>
      </c>
      <c r="D193" s="67" t="str">
        <f>IF('Prod 1'!D193="","",'Prod 1'!D193)</f>
        <v/>
      </c>
      <c r="E193" s="64"/>
      <c r="F193" s="58"/>
      <c r="G193" s="65"/>
      <c r="H193" s="65"/>
      <c r="I193" s="58"/>
      <c r="J193" s="58"/>
      <c r="K193" s="132" t="str">
        <f t="shared" si="8"/>
        <v/>
      </c>
      <c r="M193" s="68" t="str">
        <f t="shared" si="9"/>
        <v/>
      </c>
      <c r="N193" s="59" t="str">
        <f>IF('Prod 1'!E193="","",'Prod 1'!E193)</f>
        <v/>
      </c>
      <c r="O193" s="59" t="str">
        <f t="shared" si="10"/>
        <v/>
      </c>
      <c r="P193" s="59" t="str">
        <f t="shared" si="11"/>
        <v/>
      </c>
    </row>
    <row r="194" spans="3:16" ht="30" customHeight="1" x14ac:dyDescent="0.25">
      <c r="C194" s="42">
        <v>190</v>
      </c>
      <c r="D194" s="67" t="str">
        <f>IF('Prod 1'!D194="","",'Prod 1'!D194)</f>
        <v/>
      </c>
      <c r="E194" s="64"/>
      <c r="F194" s="58"/>
      <c r="G194" s="65"/>
      <c r="H194" s="65"/>
      <c r="I194" s="58"/>
      <c r="J194" s="58"/>
      <c r="K194" s="132" t="str">
        <f t="shared" si="8"/>
        <v/>
      </c>
      <c r="M194" s="68" t="str">
        <f t="shared" si="9"/>
        <v/>
      </c>
      <c r="N194" s="59" t="str">
        <f>IF('Prod 1'!E194="","",'Prod 1'!E194)</f>
        <v/>
      </c>
      <c r="O194" s="59" t="str">
        <f t="shared" si="10"/>
        <v/>
      </c>
      <c r="P194" s="59" t="str">
        <f t="shared" si="11"/>
        <v/>
      </c>
    </row>
    <row r="195" spans="3:16" ht="30" customHeight="1" x14ac:dyDescent="0.25">
      <c r="C195" s="42">
        <v>191</v>
      </c>
      <c r="D195" s="67" t="str">
        <f>IF('Prod 1'!D195="","",'Prod 1'!D195)</f>
        <v/>
      </c>
      <c r="E195" s="64"/>
      <c r="F195" s="58"/>
      <c r="G195" s="65"/>
      <c r="H195" s="65"/>
      <c r="I195" s="58"/>
      <c r="J195" s="58"/>
      <c r="K195" s="132" t="str">
        <f t="shared" si="8"/>
        <v/>
      </c>
      <c r="M195" s="68" t="str">
        <f t="shared" si="9"/>
        <v/>
      </c>
      <c r="N195" s="59" t="str">
        <f>IF('Prod 1'!E195="","",'Prod 1'!E195)</f>
        <v/>
      </c>
      <c r="O195" s="59" t="str">
        <f t="shared" si="10"/>
        <v/>
      </c>
      <c r="P195" s="59" t="str">
        <f t="shared" si="11"/>
        <v/>
      </c>
    </row>
    <row r="196" spans="3:16" ht="30" customHeight="1" x14ac:dyDescent="0.25">
      <c r="C196" s="42">
        <v>192</v>
      </c>
      <c r="D196" s="67" t="str">
        <f>IF('Prod 1'!D196="","",'Prod 1'!D196)</f>
        <v/>
      </c>
      <c r="E196" s="64"/>
      <c r="F196" s="58"/>
      <c r="G196" s="65"/>
      <c r="H196" s="65"/>
      <c r="I196" s="58"/>
      <c r="J196" s="58"/>
      <c r="K196" s="132" t="str">
        <f t="shared" si="8"/>
        <v/>
      </c>
      <c r="M196" s="68" t="str">
        <f t="shared" si="9"/>
        <v/>
      </c>
      <c r="N196" s="59" t="str">
        <f>IF('Prod 1'!E196="","",'Prod 1'!E196)</f>
        <v/>
      </c>
      <c r="O196" s="59" t="str">
        <f t="shared" si="10"/>
        <v/>
      </c>
      <c r="P196" s="59" t="str">
        <f t="shared" si="11"/>
        <v/>
      </c>
    </row>
    <row r="197" spans="3:16" ht="30" customHeight="1" x14ac:dyDescent="0.25">
      <c r="C197" s="42">
        <v>193</v>
      </c>
      <c r="D197" s="67" t="str">
        <f>IF('Prod 1'!D197="","",'Prod 1'!D197)</f>
        <v/>
      </c>
      <c r="E197" s="64"/>
      <c r="F197" s="58"/>
      <c r="G197" s="65"/>
      <c r="H197" s="65"/>
      <c r="I197" s="58"/>
      <c r="J197" s="58"/>
      <c r="K197" s="132" t="str">
        <f t="shared" si="8"/>
        <v/>
      </c>
      <c r="M197" s="68" t="str">
        <f t="shared" si="9"/>
        <v/>
      </c>
      <c r="N197" s="59" t="str">
        <f>IF('Prod 1'!E197="","",'Prod 1'!E197)</f>
        <v/>
      </c>
      <c r="O197" s="59" t="str">
        <f t="shared" si="10"/>
        <v/>
      </c>
      <c r="P197" s="59" t="str">
        <f t="shared" si="11"/>
        <v/>
      </c>
    </row>
    <row r="198" spans="3:16" ht="30" customHeight="1" x14ac:dyDescent="0.25">
      <c r="C198" s="42">
        <v>194</v>
      </c>
      <c r="D198" s="67" t="str">
        <f>IF('Prod 1'!D198="","",'Prod 1'!D198)</f>
        <v/>
      </c>
      <c r="E198" s="64"/>
      <c r="F198" s="58"/>
      <c r="G198" s="65"/>
      <c r="H198" s="65"/>
      <c r="I198" s="58"/>
      <c r="J198" s="58"/>
      <c r="K198" s="132" t="str">
        <f t="shared" ref="K198:K261" si="12">IF(E198="","",IF(E198="Produção",SUM(I198:J198)+SUM(O198:P198),F198))</f>
        <v/>
      </c>
      <c r="M198" s="68" t="str">
        <f t="shared" ref="M198:M261" si="13">IFERROR(IF(D198="","",100%),0)</f>
        <v/>
      </c>
      <c r="N198" s="59" t="str">
        <f>IF('Prod 1'!E198="","",'Prod 1'!E198)</f>
        <v/>
      </c>
      <c r="O198" s="59" t="str">
        <f t="shared" ref="O198:O261" si="14">IFERROR(IF(D198="","",N198*G198),0)</f>
        <v/>
      </c>
      <c r="P198" s="59" t="str">
        <f t="shared" ref="P198:P261" si="15">IFERROR(IF(D198="","",N198*H198),0)</f>
        <v/>
      </c>
    </row>
    <row r="199" spans="3:16" ht="30" customHeight="1" x14ac:dyDescent="0.25">
      <c r="C199" s="42">
        <v>195</v>
      </c>
      <c r="D199" s="67" t="str">
        <f>IF('Prod 1'!D199="","",'Prod 1'!D199)</f>
        <v/>
      </c>
      <c r="E199" s="64"/>
      <c r="F199" s="58"/>
      <c r="G199" s="65"/>
      <c r="H199" s="65"/>
      <c r="I199" s="58"/>
      <c r="J199" s="58"/>
      <c r="K199" s="132" t="str">
        <f t="shared" si="12"/>
        <v/>
      </c>
      <c r="M199" s="68" t="str">
        <f t="shared" si="13"/>
        <v/>
      </c>
      <c r="N199" s="59" t="str">
        <f>IF('Prod 1'!E199="","",'Prod 1'!E199)</f>
        <v/>
      </c>
      <c r="O199" s="59" t="str">
        <f t="shared" si="14"/>
        <v/>
      </c>
      <c r="P199" s="59" t="str">
        <f t="shared" si="15"/>
        <v/>
      </c>
    </row>
    <row r="200" spans="3:16" ht="30" customHeight="1" x14ac:dyDescent="0.25">
      <c r="C200" s="42">
        <v>196</v>
      </c>
      <c r="D200" s="67" t="str">
        <f>IF('Prod 1'!D200="","",'Prod 1'!D200)</f>
        <v/>
      </c>
      <c r="E200" s="64"/>
      <c r="F200" s="58"/>
      <c r="G200" s="65"/>
      <c r="H200" s="65"/>
      <c r="I200" s="58"/>
      <c r="J200" s="58"/>
      <c r="K200" s="132" t="str">
        <f t="shared" si="12"/>
        <v/>
      </c>
      <c r="M200" s="68" t="str">
        <f t="shared" si="13"/>
        <v/>
      </c>
      <c r="N200" s="59" t="str">
        <f>IF('Prod 1'!E200="","",'Prod 1'!E200)</f>
        <v/>
      </c>
      <c r="O200" s="59" t="str">
        <f t="shared" si="14"/>
        <v/>
      </c>
      <c r="P200" s="59" t="str">
        <f t="shared" si="15"/>
        <v/>
      </c>
    </row>
    <row r="201" spans="3:16" ht="30" customHeight="1" x14ac:dyDescent="0.25">
      <c r="C201" s="42">
        <v>197</v>
      </c>
      <c r="D201" s="67" t="str">
        <f>IF('Prod 1'!D201="","",'Prod 1'!D201)</f>
        <v/>
      </c>
      <c r="E201" s="64"/>
      <c r="F201" s="58"/>
      <c r="G201" s="65"/>
      <c r="H201" s="65"/>
      <c r="I201" s="58"/>
      <c r="J201" s="58"/>
      <c r="K201" s="132" t="str">
        <f t="shared" si="12"/>
        <v/>
      </c>
      <c r="M201" s="68" t="str">
        <f t="shared" si="13"/>
        <v/>
      </c>
      <c r="N201" s="59" t="str">
        <f>IF('Prod 1'!E201="","",'Prod 1'!E201)</f>
        <v/>
      </c>
      <c r="O201" s="59" t="str">
        <f t="shared" si="14"/>
        <v/>
      </c>
      <c r="P201" s="59" t="str">
        <f t="shared" si="15"/>
        <v/>
      </c>
    </row>
    <row r="202" spans="3:16" ht="30" customHeight="1" x14ac:dyDescent="0.25">
      <c r="C202" s="42">
        <v>198</v>
      </c>
      <c r="D202" s="67" t="str">
        <f>IF('Prod 1'!D202="","",'Prod 1'!D202)</f>
        <v/>
      </c>
      <c r="E202" s="64"/>
      <c r="F202" s="58"/>
      <c r="G202" s="65"/>
      <c r="H202" s="65"/>
      <c r="I202" s="58"/>
      <c r="J202" s="58"/>
      <c r="K202" s="132" t="str">
        <f t="shared" si="12"/>
        <v/>
      </c>
      <c r="M202" s="68" t="str">
        <f t="shared" si="13"/>
        <v/>
      </c>
      <c r="N202" s="59" t="str">
        <f>IF('Prod 1'!E202="","",'Prod 1'!E202)</f>
        <v/>
      </c>
      <c r="O202" s="59" t="str">
        <f t="shared" si="14"/>
        <v/>
      </c>
      <c r="P202" s="59" t="str">
        <f t="shared" si="15"/>
        <v/>
      </c>
    </row>
    <row r="203" spans="3:16" ht="30" customHeight="1" x14ac:dyDescent="0.25">
      <c r="C203" s="42">
        <v>199</v>
      </c>
      <c r="D203" s="67" t="str">
        <f>IF('Prod 1'!D203="","",'Prod 1'!D203)</f>
        <v/>
      </c>
      <c r="E203" s="64"/>
      <c r="F203" s="58"/>
      <c r="G203" s="65"/>
      <c r="H203" s="65"/>
      <c r="I203" s="58"/>
      <c r="J203" s="58"/>
      <c r="K203" s="132" t="str">
        <f t="shared" si="12"/>
        <v/>
      </c>
      <c r="M203" s="68" t="str">
        <f t="shared" si="13"/>
        <v/>
      </c>
      <c r="N203" s="59" t="str">
        <f>IF('Prod 1'!E203="","",'Prod 1'!E203)</f>
        <v/>
      </c>
      <c r="O203" s="59" t="str">
        <f t="shared" si="14"/>
        <v/>
      </c>
      <c r="P203" s="59" t="str">
        <f t="shared" si="15"/>
        <v/>
      </c>
    </row>
    <row r="204" spans="3:16" ht="30" customHeight="1" x14ac:dyDescent="0.25">
      <c r="C204" s="42">
        <v>200</v>
      </c>
      <c r="D204" s="67" t="str">
        <f>IF('Prod 1'!D204="","",'Prod 1'!D204)</f>
        <v/>
      </c>
      <c r="E204" s="64"/>
      <c r="F204" s="58"/>
      <c r="G204" s="65"/>
      <c r="H204" s="65"/>
      <c r="I204" s="58"/>
      <c r="J204" s="58"/>
      <c r="K204" s="132" t="str">
        <f t="shared" si="12"/>
        <v/>
      </c>
      <c r="M204" s="68" t="str">
        <f t="shared" si="13"/>
        <v/>
      </c>
      <c r="N204" s="59" t="str">
        <f>IF('Prod 1'!E204="","",'Prod 1'!E204)</f>
        <v/>
      </c>
      <c r="O204" s="59" t="str">
        <f t="shared" si="14"/>
        <v/>
      </c>
      <c r="P204" s="59" t="str">
        <f t="shared" si="15"/>
        <v/>
      </c>
    </row>
    <row r="205" spans="3:16" ht="30" customHeight="1" x14ac:dyDescent="0.25">
      <c r="C205" s="42">
        <v>201</v>
      </c>
      <c r="D205" s="67" t="str">
        <f>IF('Prod 1'!D205="","",'Prod 1'!D205)</f>
        <v/>
      </c>
      <c r="E205" s="64"/>
      <c r="F205" s="58"/>
      <c r="G205" s="65"/>
      <c r="H205" s="65"/>
      <c r="I205" s="58"/>
      <c r="J205" s="58"/>
      <c r="K205" s="132" t="str">
        <f t="shared" si="12"/>
        <v/>
      </c>
      <c r="M205" s="68" t="str">
        <f t="shared" si="13"/>
        <v/>
      </c>
      <c r="N205" s="59" t="str">
        <f>IF('Prod 1'!E205="","",'Prod 1'!E205)</f>
        <v/>
      </c>
      <c r="O205" s="59" t="str">
        <f t="shared" si="14"/>
        <v/>
      </c>
      <c r="P205" s="59" t="str">
        <f t="shared" si="15"/>
        <v/>
      </c>
    </row>
    <row r="206" spans="3:16" ht="30" customHeight="1" x14ac:dyDescent="0.25">
      <c r="C206" s="42">
        <v>202</v>
      </c>
      <c r="D206" s="67" t="str">
        <f>IF('Prod 1'!D206="","",'Prod 1'!D206)</f>
        <v/>
      </c>
      <c r="E206" s="64"/>
      <c r="F206" s="58"/>
      <c r="G206" s="65"/>
      <c r="H206" s="65"/>
      <c r="I206" s="58"/>
      <c r="J206" s="58"/>
      <c r="K206" s="132" t="str">
        <f t="shared" si="12"/>
        <v/>
      </c>
      <c r="M206" s="68" t="str">
        <f t="shared" si="13"/>
        <v/>
      </c>
      <c r="N206" s="59" t="str">
        <f>IF('Prod 1'!E206="","",'Prod 1'!E206)</f>
        <v/>
      </c>
      <c r="O206" s="59" t="str">
        <f t="shared" si="14"/>
        <v/>
      </c>
      <c r="P206" s="59" t="str">
        <f t="shared" si="15"/>
        <v/>
      </c>
    </row>
    <row r="207" spans="3:16" ht="30" customHeight="1" x14ac:dyDescent="0.25">
      <c r="C207" s="42">
        <v>203</v>
      </c>
      <c r="D207" s="67" t="str">
        <f>IF('Prod 1'!D207="","",'Prod 1'!D207)</f>
        <v/>
      </c>
      <c r="E207" s="64"/>
      <c r="F207" s="58"/>
      <c r="G207" s="65"/>
      <c r="H207" s="65"/>
      <c r="I207" s="58"/>
      <c r="J207" s="58"/>
      <c r="K207" s="132" t="str">
        <f t="shared" si="12"/>
        <v/>
      </c>
      <c r="M207" s="68" t="str">
        <f t="shared" si="13"/>
        <v/>
      </c>
      <c r="N207" s="59" t="str">
        <f>IF('Prod 1'!E207="","",'Prod 1'!E207)</f>
        <v/>
      </c>
      <c r="O207" s="59" t="str">
        <f t="shared" si="14"/>
        <v/>
      </c>
      <c r="P207" s="59" t="str">
        <f t="shared" si="15"/>
        <v/>
      </c>
    </row>
    <row r="208" spans="3:16" ht="30" customHeight="1" x14ac:dyDescent="0.25">
      <c r="C208" s="42">
        <v>204</v>
      </c>
      <c r="D208" s="67" t="str">
        <f>IF('Prod 1'!D208="","",'Prod 1'!D208)</f>
        <v/>
      </c>
      <c r="E208" s="64"/>
      <c r="F208" s="58"/>
      <c r="G208" s="65"/>
      <c r="H208" s="65"/>
      <c r="I208" s="58"/>
      <c r="J208" s="58"/>
      <c r="K208" s="132" t="str">
        <f t="shared" si="12"/>
        <v/>
      </c>
      <c r="M208" s="68" t="str">
        <f t="shared" si="13"/>
        <v/>
      </c>
      <c r="N208" s="59" t="str">
        <f>IF('Prod 1'!E208="","",'Prod 1'!E208)</f>
        <v/>
      </c>
      <c r="O208" s="59" t="str">
        <f t="shared" si="14"/>
        <v/>
      </c>
      <c r="P208" s="59" t="str">
        <f t="shared" si="15"/>
        <v/>
      </c>
    </row>
    <row r="209" spans="3:16" ht="30" customHeight="1" x14ac:dyDescent="0.25">
      <c r="C209" s="42">
        <v>205</v>
      </c>
      <c r="D209" s="67" t="str">
        <f>IF('Prod 1'!D209="","",'Prod 1'!D209)</f>
        <v/>
      </c>
      <c r="E209" s="64"/>
      <c r="F209" s="58"/>
      <c r="G209" s="65"/>
      <c r="H209" s="65"/>
      <c r="I209" s="58"/>
      <c r="J209" s="58"/>
      <c r="K209" s="132" t="str">
        <f t="shared" si="12"/>
        <v/>
      </c>
      <c r="M209" s="68" t="str">
        <f t="shared" si="13"/>
        <v/>
      </c>
      <c r="N209" s="59" t="str">
        <f>IF('Prod 1'!E209="","",'Prod 1'!E209)</f>
        <v/>
      </c>
      <c r="O209" s="59" t="str">
        <f t="shared" si="14"/>
        <v/>
      </c>
      <c r="P209" s="59" t="str">
        <f t="shared" si="15"/>
        <v/>
      </c>
    </row>
    <row r="210" spans="3:16" ht="30" customHeight="1" x14ac:dyDescent="0.25">
      <c r="C210" s="42">
        <v>206</v>
      </c>
      <c r="D210" s="67" t="str">
        <f>IF('Prod 1'!D210="","",'Prod 1'!D210)</f>
        <v/>
      </c>
      <c r="E210" s="64"/>
      <c r="F210" s="58"/>
      <c r="G210" s="65"/>
      <c r="H210" s="65"/>
      <c r="I210" s="58"/>
      <c r="J210" s="58"/>
      <c r="K210" s="132" t="str">
        <f t="shared" si="12"/>
        <v/>
      </c>
      <c r="M210" s="68" t="str">
        <f t="shared" si="13"/>
        <v/>
      </c>
      <c r="N210" s="59" t="str">
        <f>IF('Prod 1'!E210="","",'Prod 1'!E210)</f>
        <v/>
      </c>
      <c r="O210" s="59" t="str">
        <f t="shared" si="14"/>
        <v/>
      </c>
      <c r="P210" s="59" t="str">
        <f t="shared" si="15"/>
        <v/>
      </c>
    </row>
    <row r="211" spans="3:16" ht="30" customHeight="1" x14ac:dyDescent="0.25">
      <c r="C211" s="42">
        <v>207</v>
      </c>
      <c r="D211" s="67" t="str">
        <f>IF('Prod 1'!D211="","",'Prod 1'!D211)</f>
        <v/>
      </c>
      <c r="E211" s="64"/>
      <c r="F211" s="58"/>
      <c r="G211" s="65"/>
      <c r="H211" s="65"/>
      <c r="I211" s="58"/>
      <c r="J211" s="58"/>
      <c r="K211" s="132" t="str">
        <f t="shared" si="12"/>
        <v/>
      </c>
      <c r="M211" s="68" t="str">
        <f t="shared" si="13"/>
        <v/>
      </c>
      <c r="N211" s="59" t="str">
        <f>IF('Prod 1'!E211="","",'Prod 1'!E211)</f>
        <v/>
      </c>
      <c r="O211" s="59" t="str">
        <f t="shared" si="14"/>
        <v/>
      </c>
      <c r="P211" s="59" t="str">
        <f t="shared" si="15"/>
        <v/>
      </c>
    </row>
    <row r="212" spans="3:16" ht="30" customHeight="1" x14ac:dyDescent="0.25">
      <c r="C212" s="42">
        <v>208</v>
      </c>
      <c r="D212" s="67" t="str">
        <f>IF('Prod 1'!D212="","",'Prod 1'!D212)</f>
        <v/>
      </c>
      <c r="E212" s="64"/>
      <c r="F212" s="58"/>
      <c r="G212" s="65"/>
      <c r="H212" s="65"/>
      <c r="I212" s="58"/>
      <c r="J212" s="58"/>
      <c r="K212" s="132" t="str">
        <f t="shared" si="12"/>
        <v/>
      </c>
      <c r="M212" s="68" t="str">
        <f t="shared" si="13"/>
        <v/>
      </c>
      <c r="N212" s="59" t="str">
        <f>IF('Prod 1'!E212="","",'Prod 1'!E212)</f>
        <v/>
      </c>
      <c r="O212" s="59" t="str">
        <f t="shared" si="14"/>
        <v/>
      </c>
      <c r="P212" s="59" t="str">
        <f t="shared" si="15"/>
        <v/>
      </c>
    </row>
    <row r="213" spans="3:16" ht="30" customHeight="1" x14ac:dyDescent="0.25">
      <c r="C213" s="42">
        <v>209</v>
      </c>
      <c r="D213" s="67" t="str">
        <f>IF('Prod 1'!D213="","",'Prod 1'!D213)</f>
        <v/>
      </c>
      <c r="E213" s="64"/>
      <c r="F213" s="58"/>
      <c r="G213" s="65"/>
      <c r="H213" s="65"/>
      <c r="I213" s="58"/>
      <c r="J213" s="58"/>
      <c r="K213" s="132" t="str">
        <f t="shared" si="12"/>
        <v/>
      </c>
      <c r="M213" s="68" t="str">
        <f t="shared" si="13"/>
        <v/>
      </c>
      <c r="N213" s="59" t="str">
        <f>IF('Prod 1'!E213="","",'Prod 1'!E213)</f>
        <v/>
      </c>
      <c r="O213" s="59" t="str">
        <f t="shared" si="14"/>
        <v/>
      </c>
      <c r="P213" s="59" t="str">
        <f t="shared" si="15"/>
        <v/>
      </c>
    </row>
    <row r="214" spans="3:16" ht="30" customHeight="1" x14ac:dyDescent="0.25">
      <c r="C214" s="42">
        <v>210</v>
      </c>
      <c r="D214" s="67" t="str">
        <f>IF('Prod 1'!D214="","",'Prod 1'!D214)</f>
        <v/>
      </c>
      <c r="E214" s="64"/>
      <c r="F214" s="58"/>
      <c r="G214" s="65"/>
      <c r="H214" s="65"/>
      <c r="I214" s="58"/>
      <c r="J214" s="58"/>
      <c r="K214" s="132" t="str">
        <f t="shared" si="12"/>
        <v/>
      </c>
      <c r="M214" s="68" t="str">
        <f t="shared" si="13"/>
        <v/>
      </c>
      <c r="N214" s="59" t="str">
        <f>IF('Prod 1'!E214="","",'Prod 1'!E214)</f>
        <v/>
      </c>
      <c r="O214" s="59" t="str">
        <f t="shared" si="14"/>
        <v/>
      </c>
      <c r="P214" s="59" t="str">
        <f t="shared" si="15"/>
        <v/>
      </c>
    </row>
    <row r="215" spans="3:16" ht="30" customHeight="1" x14ac:dyDescent="0.25">
      <c r="C215" s="42">
        <v>211</v>
      </c>
      <c r="D215" s="67" t="str">
        <f>IF('Prod 1'!D215="","",'Prod 1'!D215)</f>
        <v/>
      </c>
      <c r="E215" s="64"/>
      <c r="F215" s="58"/>
      <c r="G215" s="65"/>
      <c r="H215" s="65"/>
      <c r="I215" s="58"/>
      <c r="J215" s="58"/>
      <c r="K215" s="132" t="str">
        <f t="shared" si="12"/>
        <v/>
      </c>
      <c r="M215" s="68" t="str">
        <f t="shared" si="13"/>
        <v/>
      </c>
      <c r="N215" s="59" t="str">
        <f>IF('Prod 1'!E215="","",'Prod 1'!E215)</f>
        <v/>
      </c>
      <c r="O215" s="59" t="str">
        <f t="shared" si="14"/>
        <v/>
      </c>
      <c r="P215" s="59" t="str">
        <f t="shared" si="15"/>
        <v/>
      </c>
    </row>
    <row r="216" spans="3:16" ht="30" customHeight="1" x14ac:dyDescent="0.25">
      <c r="C216" s="42">
        <v>212</v>
      </c>
      <c r="D216" s="67" t="str">
        <f>IF('Prod 1'!D216="","",'Prod 1'!D216)</f>
        <v/>
      </c>
      <c r="E216" s="64"/>
      <c r="F216" s="58"/>
      <c r="G216" s="65"/>
      <c r="H216" s="65"/>
      <c r="I216" s="58"/>
      <c r="J216" s="58"/>
      <c r="K216" s="132" t="str">
        <f t="shared" si="12"/>
        <v/>
      </c>
      <c r="M216" s="68" t="str">
        <f t="shared" si="13"/>
        <v/>
      </c>
      <c r="N216" s="59" t="str">
        <f>IF('Prod 1'!E216="","",'Prod 1'!E216)</f>
        <v/>
      </c>
      <c r="O216" s="59" t="str">
        <f t="shared" si="14"/>
        <v/>
      </c>
      <c r="P216" s="59" t="str">
        <f t="shared" si="15"/>
        <v/>
      </c>
    </row>
    <row r="217" spans="3:16" ht="30" customHeight="1" x14ac:dyDescent="0.25">
      <c r="C217" s="42">
        <v>213</v>
      </c>
      <c r="D217" s="67" t="str">
        <f>IF('Prod 1'!D217="","",'Prod 1'!D217)</f>
        <v/>
      </c>
      <c r="E217" s="64"/>
      <c r="F217" s="58"/>
      <c r="G217" s="65"/>
      <c r="H217" s="65"/>
      <c r="I217" s="58"/>
      <c r="J217" s="58"/>
      <c r="K217" s="132" t="str">
        <f t="shared" si="12"/>
        <v/>
      </c>
      <c r="M217" s="68" t="str">
        <f t="shared" si="13"/>
        <v/>
      </c>
      <c r="N217" s="59" t="str">
        <f>IF('Prod 1'!E217="","",'Prod 1'!E217)</f>
        <v/>
      </c>
      <c r="O217" s="59" t="str">
        <f t="shared" si="14"/>
        <v/>
      </c>
      <c r="P217" s="59" t="str">
        <f t="shared" si="15"/>
        <v/>
      </c>
    </row>
    <row r="218" spans="3:16" ht="30" customHeight="1" x14ac:dyDescent="0.25">
      <c r="C218" s="42">
        <v>214</v>
      </c>
      <c r="D218" s="67" t="str">
        <f>IF('Prod 1'!D218="","",'Prod 1'!D218)</f>
        <v/>
      </c>
      <c r="E218" s="64"/>
      <c r="F218" s="58"/>
      <c r="G218" s="65"/>
      <c r="H218" s="65"/>
      <c r="I218" s="58"/>
      <c r="J218" s="58"/>
      <c r="K218" s="132" t="str">
        <f t="shared" si="12"/>
        <v/>
      </c>
      <c r="M218" s="68" t="str">
        <f t="shared" si="13"/>
        <v/>
      </c>
      <c r="N218" s="59" t="str">
        <f>IF('Prod 1'!E218="","",'Prod 1'!E218)</f>
        <v/>
      </c>
      <c r="O218" s="59" t="str">
        <f t="shared" si="14"/>
        <v/>
      </c>
      <c r="P218" s="59" t="str">
        <f t="shared" si="15"/>
        <v/>
      </c>
    </row>
    <row r="219" spans="3:16" ht="30" customHeight="1" x14ac:dyDescent="0.25">
      <c r="C219" s="42">
        <v>215</v>
      </c>
      <c r="D219" s="67" t="str">
        <f>IF('Prod 1'!D219="","",'Prod 1'!D219)</f>
        <v/>
      </c>
      <c r="E219" s="64"/>
      <c r="F219" s="58"/>
      <c r="G219" s="65"/>
      <c r="H219" s="65"/>
      <c r="I219" s="58"/>
      <c r="J219" s="58"/>
      <c r="K219" s="132" t="str">
        <f t="shared" si="12"/>
        <v/>
      </c>
      <c r="M219" s="68" t="str">
        <f t="shared" si="13"/>
        <v/>
      </c>
      <c r="N219" s="59" t="str">
        <f>IF('Prod 1'!E219="","",'Prod 1'!E219)</f>
        <v/>
      </c>
      <c r="O219" s="59" t="str">
        <f t="shared" si="14"/>
        <v/>
      </c>
      <c r="P219" s="59" t="str">
        <f t="shared" si="15"/>
        <v/>
      </c>
    </row>
    <row r="220" spans="3:16" ht="30" customHeight="1" x14ac:dyDescent="0.25">
      <c r="C220" s="42">
        <v>216</v>
      </c>
      <c r="D220" s="67" t="str">
        <f>IF('Prod 1'!D220="","",'Prod 1'!D220)</f>
        <v/>
      </c>
      <c r="E220" s="64"/>
      <c r="F220" s="58"/>
      <c r="G220" s="65"/>
      <c r="H220" s="65"/>
      <c r="I220" s="58"/>
      <c r="J220" s="58"/>
      <c r="K220" s="132" t="str">
        <f t="shared" si="12"/>
        <v/>
      </c>
      <c r="M220" s="68" t="str">
        <f t="shared" si="13"/>
        <v/>
      </c>
      <c r="N220" s="59" t="str">
        <f>IF('Prod 1'!E220="","",'Prod 1'!E220)</f>
        <v/>
      </c>
      <c r="O220" s="59" t="str">
        <f t="shared" si="14"/>
        <v/>
      </c>
      <c r="P220" s="59" t="str">
        <f t="shared" si="15"/>
        <v/>
      </c>
    </row>
    <row r="221" spans="3:16" ht="30" customHeight="1" x14ac:dyDescent="0.25">
      <c r="C221" s="42">
        <v>217</v>
      </c>
      <c r="D221" s="67" t="str">
        <f>IF('Prod 1'!D221="","",'Prod 1'!D221)</f>
        <v/>
      </c>
      <c r="E221" s="64"/>
      <c r="F221" s="58"/>
      <c r="G221" s="65"/>
      <c r="H221" s="65"/>
      <c r="I221" s="58"/>
      <c r="J221" s="58"/>
      <c r="K221" s="132" t="str">
        <f t="shared" si="12"/>
        <v/>
      </c>
      <c r="M221" s="68" t="str">
        <f t="shared" si="13"/>
        <v/>
      </c>
      <c r="N221" s="59" t="str">
        <f>IF('Prod 1'!E221="","",'Prod 1'!E221)</f>
        <v/>
      </c>
      <c r="O221" s="59" t="str">
        <f t="shared" si="14"/>
        <v/>
      </c>
      <c r="P221" s="59" t="str">
        <f t="shared" si="15"/>
        <v/>
      </c>
    </row>
    <row r="222" spans="3:16" ht="30" customHeight="1" x14ac:dyDescent="0.25">
      <c r="C222" s="42">
        <v>218</v>
      </c>
      <c r="D222" s="67" t="str">
        <f>IF('Prod 1'!D222="","",'Prod 1'!D222)</f>
        <v/>
      </c>
      <c r="E222" s="64"/>
      <c r="F222" s="58"/>
      <c r="G222" s="65"/>
      <c r="H222" s="65"/>
      <c r="I222" s="58"/>
      <c r="J222" s="58"/>
      <c r="K222" s="132" t="str">
        <f t="shared" si="12"/>
        <v/>
      </c>
      <c r="M222" s="68" t="str">
        <f t="shared" si="13"/>
        <v/>
      </c>
      <c r="N222" s="59" t="str">
        <f>IF('Prod 1'!E222="","",'Prod 1'!E222)</f>
        <v/>
      </c>
      <c r="O222" s="59" t="str">
        <f t="shared" si="14"/>
        <v/>
      </c>
      <c r="P222" s="59" t="str">
        <f t="shared" si="15"/>
        <v/>
      </c>
    </row>
    <row r="223" spans="3:16" ht="30" customHeight="1" x14ac:dyDescent="0.25">
      <c r="C223" s="42">
        <v>219</v>
      </c>
      <c r="D223" s="67" t="str">
        <f>IF('Prod 1'!D223="","",'Prod 1'!D223)</f>
        <v/>
      </c>
      <c r="E223" s="64"/>
      <c r="F223" s="58"/>
      <c r="G223" s="65"/>
      <c r="H223" s="65"/>
      <c r="I223" s="58"/>
      <c r="J223" s="58"/>
      <c r="K223" s="132" t="str">
        <f t="shared" si="12"/>
        <v/>
      </c>
      <c r="M223" s="68" t="str">
        <f t="shared" si="13"/>
        <v/>
      </c>
      <c r="N223" s="59" t="str">
        <f>IF('Prod 1'!E223="","",'Prod 1'!E223)</f>
        <v/>
      </c>
      <c r="O223" s="59" t="str">
        <f t="shared" si="14"/>
        <v/>
      </c>
      <c r="P223" s="59" t="str">
        <f t="shared" si="15"/>
        <v/>
      </c>
    </row>
    <row r="224" spans="3:16" ht="30" customHeight="1" x14ac:dyDescent="0.25">
      <c r="C224" s="42">
        <v>220</v>
      </c>
      <c r="D224" s="67" t="str">
        <f>IF('Prod 1'!D224="","",'Prod 1'!D224)</f>
        <v/>
      </c>
      <c r="E224" s="64"/>
      <c r="F224" s="58"/>
      <c r="G224" s="65"/>
      <c r="H224" s="65"/>
      <c r="I224" s="58"/>
      <c r="J224" s="58"/>
      <c r="K224" s="132" t="str">
        <f t="shared" si="12"/>
        <v/>
      </c>
      <c r="M224" s="68" t="str">
        <f t="shared" si="13"/>
        <v/>
      </c>
      <c r="N224" s="59" t="str">
        <f>IF('Prod 1'!E224="","",'Prod 1'!E224)</f>
        <v/>
      </c>
      <c r="O224" s="59" t="str">
        <f t="shared" si="14"/>
        <v/>
      </c>
      <c r="P224" s="59" t="str">
        <f t="shared" si="15"/>
        <v/>
      </c>
    </row>
    <row r="225" spans="3:16" ht="30" customHeight="1" x14ac:dyDescent="0.25">
      <c r="C225" s="42">
        <v>221</v>
      </c>
      <c r="D225" s="67" t="str">
        <f>IF('Prod 1'!D225="","",'Prod 1'!D225)</f>
        <v/>
      </c>
      <c r="E225" s="64"/>
      <c r="F225" s="58"/>
      <c r="G225" s="65"/>
      <c r="H225" s="65"/>
      <c r="I225" s="58"/>
      <c r="J225" s="58"/>
      <c r="K225" s="132" t="str">
        <f t="shared" si="12"/>
        <v/>
      </c>
      <c r="M225" s="68" t="str">
        <f t="shared" si="13"/>
        <v/>
      </c>
      <c r="N225" s="59" t="str">
        <f>IF('Prod 1'!E225="","",'Prod 1'!E225)</f>
        <v/>
      </c>
      <c r="O225" s="59" t="str">
        <f t="shared" si="14"/>
        <v/>
      </c>
      <c r="P225" s="59" t="str">
        <f t="shared" si="15"/>
        <v/>
      </c>
    </row>
    <row r="226" spans="3:16" ht="30" customHeight="1" x14ac:dyDescent="0.25">
      <c r="C226" s="42">
        <v>222</v>
      </c>
      <c r="D226" s="67" t="str">
        <f>IF('Prod 1'!D226="","",'Prod 1'!D226)</f>
        <v/>
      </c>
      <c r="E226" s="64"/>
      <c r="F226" s="58"/>
      <c r="G226" s="65"/>
      <c r="H226" s="65"/>
      <c r="I226" s="58"/>
      <c r="J226" s="58"/>
      <c r="K226" s="132" t="str">
        <f t="shared" si="12"/>
        <v/>
      </c>
      <c r="M226" s="68" t="str">
        <f t="shared" si="13"/>
        <v/>
      </c>
      <c r="N226" s="59" t="str">
        <f>IF('Prod 1'!E226="","",'Prod 1'!E226)</f>
        <v/>
      </c>
      <c r="O226" s="59" t="str">
        <f t="shared" si="14"/>
        <v/>
      </c>
      <c r="P226" s="59" t="str">
        <f t="shared" si="15"/>
        <v/>
      </c>
    </row>
    <row r="227" spans="3:16" ht="30" customHeight="1" x14ac:dyDescent="0.25">
      <c r="C227" s="42">
        <v>223</v>
      </c>
      <c r="D227" s="67" t="str">
        <f>IF('Prod 1'!D227="","",'Prod 1'!D227)</f>
        <v/>
      </c>
      <c r="E227" s="64"/>
      <c r="F227" s="58"/>
      <c r="G227" s="65"/>
      <c r="H227" s="65"/>
      <c r="I227" s="58"/>
      <c r="J227" s="58"/>
      <c r="K227" s="132" t="str">
        <f t="shared" si="12"/>
        <v/>
      </c>
      <c r="M227" s="68" t="str">
        <f t="shared" si="13"/>
        <v/>
      </c>
      <c r="N227" s="59" t="str">
        <f>IF('Prod 1'!E227="","",'Prod 1'!E227)</f>
        <v/>
      </c>
      <c r="O227" s="59" t="str">
        <f t="shared" si="14"/>
        <v/>
      </c>
      <c r="P227" s="59" t="str">
        <f t="shared" si="15"/>
        <v/>
      </c>
    </row>
    <row r="228" spans="3:16" ht="30" customHeight="1" x14ac:dyDescent="0.25">
      <c r="C228" s="42">
        <v>224</v>
      </c>
      <c r="D228" s="67" t="str">
        <f>IF('Prod 1'!D228="","",'Prod 1'!D228)</f>
        <v/>
      </c>
      <c r="E228" s="64"/>
      <c r="F228" s="58"/>
      <c r="G228" s="65"/>
      <c r="H228" s="65"/>
      <c r="I228" s="58"/>
      <c r="J228" s="58"/>
      <c r="K228" s="132" t="str">
        <f t="shared" si="12"/>
        <v/>
      </c>
      <c r="M228" s="68" t="str">
        <f t="shared" si="13"/>
        <v/>
      </c>
      <c r="N228" s="59" t="str">
        <f>IF('Prod 1'!E228="","",'Prod 1'!E228)</f>
        <v/>
      </c>
      <c r="O228" s="59" t="str">
        <f t="shared" si="14"/>
        <v/>
      </c>
      <c r="P228" s="59" t="str">
        <f t="shared" si="15"/>
        <v/>
      </c>
    </row>
    <row r="229" spans="3:16" ht="30" customHeight="1" x14ac:dyDescent="0.25">
      <c r="C229" s="42">
        <v>225</v>
      </c>
      <c r="D229" s="67" t="str">
        <f>IF('Prod 1'!D229="","",'Prod 1'!D229)</f>
        <v/>
      </c>
      <c r="E229" s="64"/>
      <c r="F229" s="58"/>
      <c r="G229" s="65"/>
      <c r="H229" s="65"/>
      <c r="I229" s="58"/>
      <c r="J229" s="58"/>
      <c r="K229" s="132" t="str">
        <f t="shared" si="12"/>
        <v/>
      </c>
      <c r="M229" s="68" t="str">
        <f t="shared" si="13"/>
        <v/>
      </c>
      <c r="N229" s="59" t="str">
        <f>IF('Prod 1'!E229="","",'Prod 1'!E229)</f>
        <v/>
      </c>
      <c r="O229" s="59" t="str">
        <f t="shared" si="14"/>
        <v/>
      </c>
      <c r="P229" s="59" t="str">
        <f t="shared" si="15"/>
        <v/>
      </c>
    </row>
    <row r="230" spans="3:16" ht="30" customHeight="1" x14ac:dyDescent="0.25">
      <c r="C230" s="42">
        <v>226</v>
      </c>
      <c r="D230" s="67" t="str">
        <f>IF('Prod 1'!D230="","",'Prod 1'!D230)</f>
        <v/>
      </c>
      <c r="E230" s="64"/>
      <c r="F230" s="58"/>
      <c r="G230" s="65"/>
      <c r="H230" s="65"/>
      <c r="I230" s="58"/>
      <c r="J230" s="58"/>
      <c r="K230" s="132" t="str">
        <f t="shared" si="12"/>
        <v/>
      </c>
      <c r="M230" s="68" t="str">
        <f t="shared" si="13"/>
        <v/>
      </c>
      <c r="N230" s="59" t="str">
        <f>IF('Prod 1'!E230="","",'Prod 1'!E230)</f>
        <v/>
      </c>
      <c r="O230" s="59" t="str">
        <f t="shared" si="14"/>
        <v/>
      </c>
      <c r="P230" s="59" t="str">
        <f t="shared" si="15"/>
        <v/>
      </c>
    </row>
    <row r="231" spans="3:16" ht="30" customHeight="1" x14ac:dyDescent="0.25">
      <c r="C231" s="42">
        <v>227</v>
      </c>
      <c r="D231" s="67" t="str">
        <f>IF('Prod 1'!D231="","",'Prod 1'!D231)</f>
        <v/>
      </c>
      <c r="E231" s="64"/>
      <c r="F231" s="58"/>
      <c r="G231" s="65"/>
      <c r="H231" s="65"/>
      <c r="I231" s="58"/>
      <c r="J231" s="58"/>
      <c r="K231" s="132" t="str">
        <f t="shared" si="12"/>
        <v/>
      </c>
      <c r="M231" s="68" t="str">
        <f t="shared" si="13"/>
        <v/>
      </c>
      <c r="N231" s="59" t="str">
        <f>IF('Prod 1'!E231="","",'Prod 1'!E231)</f>
        <v/>
      </c>
      <c r="O231" s="59" t="str">
        <f t="shared" si="14"/>
        <v/>
      </c>
      <c r="P231" s="59" t="str">
        <f t="shared" si="15"/>
        <v/>
      </c>
    </row>
    <row r="232" spans="3:16" ht="30" customHeight="1" x14ac:dyDescent="0.25">
      <c r="C232" s="42">
        <v>228</v>
      </c>
      <c r="D232" s="67" t="str">
        <f>IF('Prod 1'!D232="","",'Prod 1'!D232)</f>
        <v/>
      </c>
      <c r="E232" s="64"/>
      <c r="F232" s="58"/>
      <c r="G232" s="65"/>
      <c r="H232" s="65"/>
      <c r="I232" s="58"/>
      <c r="J232" s="58"/>
      <c r="K232" s="132" t="str">
        <f t="shared" si="12"/>
        <v/>
      </c>
      <c r="M232" s="68" t="str">
        <f t="shared" si="13"/>
        <v/>
      </c>
      <c r="N232" s="59" t="str">
        <f>IF('Prod 1'!E232="","",'Prod 1'!E232)</f>
        <v/>
      </c>
      <c r="O232" s="59" t="str">
        <f t="shared" si="14"/>
        <v/>
      </c>
      <c r="P232" s="59" t="str">
        <f t="shared" si="15"/>
        <v/>
      </c>
    </row>
    <row r="233" spans="3:16" ht="30" customHeight="1" x14ac:dyDescent="0.25">
      <c r="C233" s="42">
        <v>229</v>
      </c>
      <c r="D233" s="67" t="str">
        <f>IF('Prod 1'!D233="","",'Prod 1'!D233)</f>
        <v/>
      </c>
      <c r="E233" s="64"/>
      <c r="F233" s="58"/>
      <c r="G233" s="65"/>
      <c r="H233" s="65"/>
      <c r="I233" s="58"/>
      <c r="J233" s="58"/>
      <c r="K233" s="132" t="str">
        <f t="shared" si="12"/>
        <v/>
      </c>
      <c r="M233" s="68" t="str">
        <f t="shared" si="13"/>
        <v/>
      </c>
      <c r="N233" s="59" t="str">
        <f>IF('Prod 1'!E233="","",'Prod 1'!E233)</f>
        <v/>
      </c>
      <c r="O233" s="59" t="str">
        <f t="shared" si="14"/>
        <v/>
      </c>
      <c r="P233" s="59" t="str">
        <f t="shared" si="15"/>
        <v/>
      </c>
    </row>
    <row r="234" spans="3:16" ht="30" customHeight="1" x14ac:dyDescent="0.25">
      <c r="C234" s="42">
        <v>230</v>
      </c>
      <c r="D234" s="67" t="str">
        <f>IF('Prod 1'!D234="","",'Prod 1'!D234)</f>
        <v/>
      </c>
      <c r="E234" s="64"/>
      <c r="F234" s="58"/>
      <c r="G234" s="65"/>
      <c r="H234" s="65"/>
      <c r="I234" s="58"/>
      <c r="J234" s="58"/>
      <c r="K234" s="132" t="str">
        <f t="shared" si="12"/>
        <v/>
      </c>
      <c r="M234" s="68" t="str">
        <f t="shared" si="13"/>
        <v/>
      </c>
      <c r="N234" s="59" t="str">
        <f>IF('Prod 1'!E234="","",'Prod 1'!E234)</f>
        <v/>
      </c>
      <c r="O234" s="59" t="str">
        <f t="shared" si="14"/>
        <v/>
      </c>
      <c r="P234" s="59" t="str">
        <f t="shared" si="15"/>
        <v/>
      </c>
    </row>
    <row r="235" spans="3:16" ht="30" customHeight="1" x14ac:dyDescent="0.25">
      <c r="C235" s="42">
        <v>231</v>
      </c>
      <c r="D235" s="67" t="str">
        <f>IF('Prod 1'!D235="","",'Prod 1'!D235)</f>
        <v/>
      </c>
      <c r="E235" s="64"/>
      <c r="F235" s="58"/>
      <c r="G235" s="65"/>
      <c r="H235" s="65"/>
      <c r="I235" s="58"/>
      <c r="J235" s="58"/>
      <c r="K235" s="132" t="str">
        <f t="shared" si="12"/>
        <v/>
      </c>
      <c r="M235" s="68" t="str">
        <f t="shared" si="13"/>
        <v/>
      </c>
      <c r="N235" s="59" t="str">
        <f>IF('Prod 1'!E235="","",'Prod 1'!E235)</f>
        <v/>
      </c>
      <c r="O235" s="59" t="str">
        <f t="shared" si="14"/>
        <v/>
      </c>
      <c r="P235" s="59" t="str">
        <f t="shared" si="15"/>
        <v/>
      </c>
    </row>
    <row r="236" spans="3:16" ht="30" customHeight="1" x14ac:dyDescent="0.25">
      <c r="C236" s="42">
        <v>232</v>
      </c>
      <c r="D236" s="67" t="str">
        <f>IF('Prod 1'!D236="","",'Prod 1'!D236)</f>
        <v/>
      </c>
      <c r="E236" s="64"/>
      <c r="F236" s="58"/>
      <c r="G236" s="65"/>
      <c r="H236" s="65"/>
      <c r="I236" s="58"/>
      <c r="J236" s="58"/>
      <c r="K236" s="132" t="str">
        <f t="shared" si="12"/>
        <v/>
      </c>
      <c r="M236" s="68" t="str">
        <f t="shared" si="13"/>
        <v/>
      </c>
      <c r="N236" s="59" t="str">
        <f>IF('Prod 1'!E236="","",'Prod 1'!E236)</f>
        <v/>
      </c>
      <c r="O236" s="59" t="str">
        <f t="shared" si="14"/>
        <v/>
      </c>
      <c r="P236" s="59" t="str">
        <f t="shared" si="15"/>
        <v/>
      </c>
    </row>
    <row r="237" spans="3:16" ht="30" customHeight="1" x14ac:dyDescent="0.25">
      <c r="C237" s="42">
        <v>233</v>
      </c>
      <c r="D237" s="67" t="str">
        <f>IF('Prod 1'!D237="","",'Prod 1'!D237)</f>
        <v/>
      </c>
      <c r="E237" s="64"/>
      <c r="F237" s="58"/>
      <c r="G237" s="65"/>
      <c r="H237" s="65"/>
      <c r="I237" s="58"/>
      <c r="J237" s="58"/>
      <c r="K237" s="132" t="str">
        <f t="shared" si="12"/>
        <v/>
      </c>
      <c r="M237" s="68" t="str">
        <f t="shared" si="13"/>
        <v/>
      </c>
      <c r="N237" s="59" t="str">
        <f>IF('Prod 1'!E237="","",'Prod 1'!E237)</f>
        <v/>
      </c>
      <c r="O237" s="59" t="str">
        <f t="shared" si="14"/>
        <v/>
      </c>
      <c r="P237" s="59" t="str">
        <f t="shared" si="15"/>
        <v/>
      </c>
    </row>
    <row r="238" spans="3:16" ht="30" customHeight="1" x14ac:dyDescent="0.25">
      <c r="C238" s="42">
        <v>234</v>
      </c>
      <c r="D238" s="67" t="str">
        <f>IF('Prod 1'!D238="","",'Prod 1'!D238)</f>
        <v/>
      </c>
      <c r="E238" s="64"/>
      <c r="F238" s="58"/>
      <c r="G238" s="65"/>
      <c r="H238" s="65"/>
      <c r="I238" s="58"/>
      <c r="J238" s="58"/>
      <c r="K238" s="132" t="str">
        <f t="shared" si="12"/>
        <v/>
      </c>
      <c r="M238" s="68" t="str">
        <f t="shared" si="13"/>
        <v/>
      </c>
      <c r="N238" s="59" t="str">
        <f>IF('Prod 1'!E238="","",'Prod 1'!E238)</f>
        <v/>
      </c>
      <c r="O238" s="59" t="str">
        <f t="shared" si="14"/>
        <v/>
      </c>
      <c r="P238" s="59" t="str">
        <f t="shared" si="15"/>
        <v/>
      </c>
    </row>
    <row r="239" spans="3:16" ht="30" customHeight="1" x14ac:dyDescent="0.25">
      <c r="C239" s="42">
        <v>235</v>
      </c>
      <c r="D239" s="67" t="str">
        <f>IF('Prod 1'!D239="","",'Prod 1'!D239)</f>
        <v/>
      </c>
      <c r="E239" s="64"/>
      <c r="F239" s="58"/>
      <c r="G239" s="65"/>
      <c r="H239" s="65"/>
      <c r="I239" s="58"/>
      <c r="J239" s="58"/>
      <c r="K239" s="132" t="str">
        <f t="shared" si="12"/>
        <v/>
      </c>
      <c r="M239" s="68" t="str">
        <f t="shared" si="13"/>
        <v/>
      </c>
      <c r="N239" s="59" t="str">
        <f>IF('Prod 1'!E239="","",'Prod 1'!E239)</f>
        <v/>
      </c>
      <c r="O239" s="59" t="str">
        <f t="shared" si="14"/>
        <v/>
      </c>
      <c r="P239" s="59" t="str">
        <f t="shared" si="15"/>
        <v/>
      </c>
    </row>
    <row r="240" spans="3:16" ht="30" customHeight="1" x14ac:dyDescent="0.25">
      <c r="C240" s="42">
        <v>236</v>
      </c>
      <c r="D240" s="67" t="str">
        <f>IF('Prod 1'!D240="","",'Prod 1'!D240)</f>
        <v/>
      </c>
      <c r="E240" s="64"/>
      <c r="F240" s="58"/>
      <c r="G240" s="65"/>
      <c r="H240" s="65"/>
      <c r="I240" s="58"/>
      <c r="J240" s="58"/>
      <c r="K240" s="132" t="str">
        <f t="shared" si="12"/>
        <v/>
      </c>
      <c r="M240" s="68" t="str">
        <f t="shared" si="13"/>
        <v/>
      </c>
      <c r="N240" s="59" t="str">
        <f>IF('Prod 1'!E240="","",'Prod 1'!E240)</f>
        <v/>
      </c>
      <c r="O240" s="59" t="str">
        <f t="shared" si="14"/>
        <v/>
      </c>
      <c r="P240" s="59" t="str">
        <f t="shared" si="15"/>
        <v/>
      </c>
    </row>
    <row r="241" spans="3:16" ht="30" customHeight="1" x14ac:dyDescent="0.25">
      <c r="C241" s="42">
        <v>237</v>
      </c>
      <c r="D241" s="67" t="str">
        <f>IF('Prod 1'!D241="","",'Prod 1'!D241)</f>
        <v/>
      </c>
      <c r="E241" s="64"/>
      <c r="F241" s="58"/>
      <c r="G241" s="65"/>
      <c r="H241" s="65"/>
      <c r="I241" s="58"/>
      <c r="J241" s="58"/>
      <c r="K241" s="132" t="str">
        <f t="shared" si="12"/>
        <v/>
      </c>
      <c r="M241" s="68" t="str">
        <f t="shared" si="13"/>
        <v/>
      </c>
      <c r="N241" s="59" t="str">
        <f>IF('Prod 1'!E241="","",'Prod 1'!E241)</f>
        <v/>
      </c>
      <c r="O241" s="59" t="str">
        <f t="shared" si="14"/>
        <v/>
      </c>
      <c r="P241" s="59" t="str">
        <f t="shared" si="15"/>
        <v/>
      </c>
    </row>
    <row r="242" spans="3:16" ht="30" customHeight="1" x14ac:dyDescent="0.25">
      <c r="C242" s="42">
        <v>238</v>
      </c>
      <c r="D242" s="67" t="str">
        <f>IF('Prod 1'!D242="","",'Prod 1'!D242)</f>
        <v/>
      </c>
      <c r="E242" s="64"/>
      <c r="F242" s="58"/>
      <c r="G242" s="65"/>
      <c r="H242" s="65"/>
      <c r="I242" s="58"/>
      <c r="J242" s="58"/>
      <c r="K242" s="132" t="str">
        <f t="shared" si="12"/>
        <v/>
      </c>
      <c r="M242" s="68" t="str">
        <f t="shared" si="13"/>
        <v/>
      </c>
      <c r="N242" s="59" t="str">
        <f>IF('Prod 1'!E242="","",'Prod 1'!E242)</f>
        <v/>
      </c>
      <c r="O242" s="59" t="str">
        <f t="shared" si="14"/>
        <v/>
      </c>
      <c r="P242" s="59" t="str">
        <f t="shared" si="15"/>
        <v/>
      </c>
    </row>
    <row r="243" spans="3:16" ht="30" customHeight="1" x14ac:dyDescent="0.25">
      <c r="C243" s="42">
        <v>239</v>
      </c>
      <c r="D243" s="67" t="str">
        <f>IF('Prod 1'!D243="","",'Prod 1'!D243)</f>
        <v/>
      </c>
      <c r="E243" s="64"/>
      <c r="F243" s="58"/>
      <c r="G243" s="65"/>
      <c r="H243" s="65"/>
      <c r="I243" s="58"/>
      <c r="J243" s="58"/>
      <c r="K243" s="132" t="str">
        <f t="shared" si="12"/>
        <v/>
      </c>
      <c r="M243" s="68" t="str">
        <f t="shared" si="13"/>
        <v/>
      </c>
      <c r="N243" s="59" t="str">
        <f>IF('Prod 1'!E243="","",'Prod 1'!E243)</f>
        <v/>
      </c>
      <c r="O243" s="59" t="str">
        <f t="shared" si="14"/>
        <v/>
      </c>
      <c r="P243" s="59" t="str">
        <f t="shared" si="15"/>
        <v/>
      </c>
    </row>
    <row r="244" spans="3:16" ht="30" customHeight="1" x14ac:dyDescent="0.25">
      <c r="C244" s="42">
        <v>240</v>
      </c>
      <c r="D244" s="67" t="str">
        <f>IF('Prod 1'!D244="","",'Prod 1'!D244)</f>
        <v/>
      </c>
      <c r="E244" s="64"/>
      <c r="F244" s="58"/>
      <c r="G244" s="65"/>
      <c r="H244" s="65"/>
      <c r="I244" s="58"/>
      <c r="J244" s="58"/>
      <c r="K244" s="132" t="str">
        <f t="shared" si="12"/>
        <v/>
      </c>
      <c r="M244" s="68" t="str">
        <f t="shared" si="13"/>
        <v/>
      </c>
      <c r="N244" s="59" t="str">
        <f>IF('Prod 1'!E244="","",'Prod 1'!E244)</f>
        <v/>
      </c>
      <c r="O244" s="59" t="str">
        <f t="shared" si="14"/>
        <v/>
      </c>
      <c r="P244" s="59" t="str">
        <f t="shared" si="15"/>
        <v/>
      </c>
    </row>
    <row r="245" spans="3:16" ht="30" customHeight="1" x14ac:dyDescent="0.25">
      <c r="C245" s="42">
        <v>241</v>
      </c>
      <c r="D245" s="67" t="str">
        <f>IF('Prod 1'!D245="","",'Prod 1'!D245)</f>
        <v/>
      </c>
      <c r="E245" s="64"/>
      <c r="F245" s="58"/>
      <c r="G245" s="65"/>
      <c r="H245" s="65"/>
      <c r="I245" s="58"/>
      <c r="J245" s="58"/>
      <c r="K245" s="132" t="str">
        <f t="shared" si="12"/>
        <v/>
      </c>
      <c r="M245" s="68" t="str">
        <f t="shared" si="13"/>
        <v/>
      </c>
      <c r="N245" s="59" t="str">
        <f>IF('Prod 1'!E245="","",'Prod 1'!E245)</f>
        <v/>
      </c>
      <c r="O245" s="59" t="str">
        <f t="shared" si="14"/>
        <v/>
      </c>
      <c r="P245" s="59" t="str">
        <f t="shared" si="15"/>
        <v/>
      </c>
    </row>
    <row r="246" spans="3:16" ht="30" customHeight="1" x14ac:dyDescent="0.25">
      <c r="C246" s="42">
        <v>242</v>
      </c>
      <c r="D246" s="67" t="str">
        <f>IF('Prod 1'!D246="","",'Prod 1'!D246)</f>
        <v/>
      </c>
      <c r="E246" s="64"/>
      <c r="F246" s="58"/>
      <c r="G246" s="65"/>
      <c r="H246" s="65"/>
      <c r="I246" s="58"/>
      <c r="J246" s="58"/>
      <c r="K246" s="132" t="str">
        <f t="shared" si="12"/>
        <v/>
      </c>
      <c r="M246" s="68" t="str">
        <f t="shared" si="13"/>
        <v/>
      </c>
      <c r="N246" s="59" t="str">
        <f>IF('Prod 1'!E246="","",'Prod 1'!E246)</f>
        <v/>
      </c>
      <c r="O246" s="59" t="str">
        <f t="shared" si="14"/>
        <v/>
      </c>
      <c r="P246" s="59" t="str">
        <f t="shared" si="15"/>
        <v/>
      </c>
    </row>
    <row r="247" spans="3:16" ht="30" customHeight="1" x14ac:dyDescent="0.25">
      <c r="C247" s="42">
        <v>243</v>
      </c>
      <c r="D247" s="67" t="str">
        <f>IF('Prod 1'!D247="","",'Prod 1'!D247)</f>
        <v/>
      </c>
      <c r="E247" s="64"/>
      <c r="F247" s="58"/>
      <c r="G247" s="65"/>
      <c r="H247" s="65"/>
      <c r="I247" s="58"/>
      <c r="J247" s="58"/>
      <c r="K247" s="132" t="str">
        <f t="shared" si="12"/>
        <v/>
      </c>
      <c r="M247" s="68" t="str">
        <f t="shared" si="13"/>
        <v/>
      </c>
      <c r="N247" s="59" t="str">
        <f>IF('Prod 1'!E247="","",'Prod 1'!E247)</f>
        <v/>
      </c>
      <c r="O247" s="59" t="str">
        <f t="shared" si="14"/>
        <v/>
      </c>
      <c r="P247" s="59" t="str">
        <f t="shared" si="15"/>
        <v/>
      </c>
    </row>
    <row r="248" spans="3:16" ht="30" customHeight="1" x14ac:dyDescent="0.25">
      <c r="C248" s="42">
        <v>244</v>
      </c>
      <c r="D248" s="67" t="str">
        <f>IF('Prod 1'!D248="","",'Prod 1'!D248)</f>
        <v/>
      </c>
      <c r="E248" s="64"/>
      <c r="F248" s="58"/>
      <c r="G248" s="65"/>
      <c r="H248" s="65"/>
      <c r="I248" s="58"/>
      <c r="J248" s="58"/>
      <c r="K248" s="132" t="str">
        <f t="shared" si="12"/>
        <v/>
      </c>
      <c r="M248" s="68" t="str">
        <f t="shared" si="13"/>
        <v/>
      </c>
      <c r="N248" s="59" t="str">
        <f>IF('Prod 1'!E248="","",'Prod 1'!E248)</f>
        <v/>
      </c>
      <c r="O248" s="59" t="str">
        <f t="shared" si="14"/>
        <v/>
      </c>
      <c r="P248" s="59" t="str">
        <f t="shared" si="15"/>
        <v/>
      </c>
    </row>
    <row r="249" spans="3:16" ht="30" customHeight="1" x14ac:dyDescent="0.25">
      <c r="C249" s="42">
        <v>245</v>
      </c>
      <c r="D249" s="67" t="str">
        <f>IF('Prod 1'!D249="","",'Prod 1'!D249)</f>
        <v/>
      </c>
      <c r="E249" s="64"/>
      <c r="F249" s="58"/>
      <c r="G249" s="65"/>
      <c r="H249" s="65"/>
      <c r="I249" s="58"/>
      <c r="J249" s="58"/>
      <c r="K249" s="132" t="str">
        <f t="shared" si="12"/>
        <v/>
      </c>
      <c r="M249" s="68" t="str">
        <f t="shared" si="13"/>
        <v/>
      </c>
      <c r="N249" s="59" t="str">
        <f>IF('Prod 1'!E249="","",'Prod 1'!E249)</f>
        <v/>
      </c>
      <c r="O249" s="59" t="str">
        <f t="shared" si="14"/>
        <v/>
      </c>
      <c r="P249" s="59" t="str">
        <f t="shared" si="15"/>
        <v/>
      </c>
    </row>
    <row r="250" spans="3:16" ht="30" customHeight="1" x14ac:dyDescent="0.25">
      <c r="C250" s="42">
        <v>246</v>
      </c>
      <c r="D250" s="67" t="str">
        <f>IF('Prod 1'!D250="","",'Prod 1'!D250)</f>
        <v/>
      </c>
      <c r="E250" s="64"/>
      <c r="F250" s="58"/>
      <c r="G250" s="65"/>
      <c r="H250" s="65"/>
      <c r="I250" s="58"/>
      <c r="J250" s="58"/>
      <c r="K250" s="132" t="str">
        <f t="shared" si="12"/>
        <v/>
      </c>
      <c r="M250" s="68" t="str">
        <f t="shared" si="13"/>
        <v/>
      </c>
      <c r="N250" s="59" t="str">
        <f>IF('Prod 1'!E250="","",'Prod 1'!E250)</f>
        <v/>
      </c>
      <c r="O250" s="59" t="str">
        <f t="shared" si="14"/>
        <v/>
      </c>
      <c r="P250" s="59" t="str">
        <f t="shared" si="15"/>
        <v/>
      </c>
    </row>
    <row r="251" spans="3:16" ht="30" customHeight="1" x14ac:dyDescent="0.25">
      <c r="C251" s="42">
        <v>247</v>
      </c>
      <c r="D251" s="67" t="str">
        <f>IF('Prod 1'!D251="","",'Prod 1'!D251)</f>
        <v/>
      </c>
      <c r="E251" s="64"/>
      <c r="F251" s="58"/>
      <c r="G251" s="65"/>
      <c r="H251" s="65"/>
      <c r="I251" s="58"/>
      <c r="J251" s="58"/>
      <c r="K251" s="132" t="str">
        <f t="shared" si="12"/>
        <v/>
      </c>
      <c r="M251" s="68" t="str">
        <f t="shared" si="13"/>
        <v/>
      </c>
      <c r="N251" s="59" t="str">
        <f>IF('Prod 1'!E251="","",'Prod 1'!E251)</f>
        <v/>
      </c>
      <c r="O251" s="59" t="str">
        <f t="shared" si="14"/>
        <v/>
      </c>
      <c r="P251" s="59" t="str">
        <f t="shared" si="15"/>
        <v/>
      </c>
    </row>
    <row r="252" spans="3:16" ht="30" customHeight="1" x14ac:dyDescent="0.25">
      <c r="C252" s="42">
        <v>248</v>
      </c>
      <c r="D252" s="67" t="str">
        <f>IF('Prod 1'!D252="","",'Prod 1'!D252)</f>
        <v/>
      </c>
      <c r="E252" s="64"/>
      <c r="F252" s="58"/>
      <c r="G252" s="65"/>
      <c r="H252" s="65"/>
      <c r="I252" s="58"/>
      <c r="J252" s="58"/>
      <c r="K252" s="132" t="str">
        <f t="shared" si="12"/>
        <v/>
      </c>
      <c r="M252" s="68" t="str">
        <f t="shared" si="13"/>
        <v/>
      </c>
      <c r="N252" s="59" t="str">
        <f>IF('Prod 1'!E252="","",'Prod 1'!E252)</f>
        <v/>
      </c>
      <c r="O252" s="59" t="str">
        <f t="shared" si="14"/>
        <v/>
      </c>
      <c r="P252" s="59" t="str">
        <f t="shared" si="15"/>
        <v/>
      </c>
    </row>
    <row r="253" spans="3:16" ht="30" customHeight="1" x14ac:dyDescent="0.25">
      <c r="C253" s="42">
        <v>249</v>
      </c>
      <c r="D253" s="67" t="str">
        <f>IF('Prod 1'!D253="","",'Prod 1'!D253)</f>
        <v/>
      </c>
      <c r="E253" s="64"/>
      <c r="F253" s="58"/>
      <c r="G253" s="65"/>
      <c r="H253" s="65"/>
      <c r="I253" s="58"/>
      <c r="J253" s="58"/>
      <c r="K253" s="132" t="str">
        <f t="shared" si="12"/>
        <v/>
      </c>
      <c r="M253" s="68" t="str">
        <f t="shared" si="13"/>
        <v/>
      </c>
      <c r="N253" s="59" t="str">
        <f>IF('Prod 1'!E253="","",'Prod 1'!E253)</f>
        <v/>
      </c>
      <c r="O253" s="59" t="str">
        <f t="shared" si="14"/>
        <v/>
      </c>
      <c r="P253" s="59" t="str">
        <f t="shared" si="15"/>
        <v/>
      </c>
    </row>
    <row r="254" spans="3:16" ht="30" customHeight="1" x14ac:dyDescent="0.25">
      <c r="C254" s="42">
        <v>250</v>
      </c>
      <c r="D254" s="67" t="str">
        <f>IF('Prod 1'!D254="","",'Prod 1'!D254)</f>
        <v/>
      </c>
      <c r="E254" s="64"/>
      <c r="F254" s="58"/>
      <c r="G254" s="65"/>
      <c r="H254" s="65"/>
      <c r="I254" s="58"/>
      <c r="J254" s="58"/>
      <c r="K254" s="132" t="str">
        <f t="shared" si="12"/>
        <v/>
      </c>
      <c r="M254" s="68" t="str">
        <f t="shared" si="13"/>
        <v/>
      </c>
      <c r="N254" s="59" t="str">
        <f>IF('Prod 1'!E254="","",'Prod 1'!E254)</f>
        <v/>
      </c>
      <c r="O254" s="59" t="str">
        <f t="shared" si="14"/>
        <v/>
      </c>
      <c r="P254" s="59" t="str">
        <f t="shared" si="15"/>
        <v/>
      </c>
    </row>
    <row r="255" spans="3:16" ht="30" customHeight="1" x14ac:dyDescent="0.25">
      <c r="C255" s="42">
        <v>251</v>
      </c>
      <c r="D255" s="67" t="str">
        <f>IF('Prod 1'!D255="","",'Prod 1'!D255)</f>
        <v/>
      </c>
      <c r="E255" s="64"/>
      <c r="F255" s="58"/>
      <c r="G255" s="65"/>
      <c r="H255" s="65"/>
      <c r="I255" s="58"/>
      <c r="J255" s="58"/>
      <c r="K255" s="132" t="str">
        <f t="shared" si="12"/>
        <v/>
      </c>
      <c r="M255" s="68" t="str">
        <f t="shared" si="13"/>
        <v/>
      </c>
      <c r="N255" s="59" t="str">
        <f>IF('Prod 1'!E255="","",'Prod 1'!E255)</f>
        <v/>
      </c>
      <c r="O255" s="59" t="str">
        <f t="shared" si="14"/>
        <v/>
      </c>
      <c r="P255" s="59" t="str">
        <f t="shared" si="15"/>
        <v/>
      </c>
    </row>
    <row r="256" spans="3:16" ht="30" customHeight="1" x14ac:dyDescent="0.25">
      <c r="C256" s="42">
        <v>252</v>
      </c>
      <c r="D256" s="67" t="str">
        <f>IF('Prod 1'!D256="","",'Prod 1'!D256)</f>
        <v/>
      </c>
      <c r="E256" s="64"/>
      <c r="F256" s="58"/>
      <c r="G256" s="65"/>
      <c r="H256" s="65"/>
      <c r="I256" s="58"/>
      <c r="J256" s="58"/>
      <c r="K256" s="132" t="str">
        <f t="shared" si="12"/>
        <v/>
      </c>
      <c r="M256" s="68" t="str">
        <f t="shared" si="13"/>
        <v/>
      </c>
      <c r="N256" s="59" t="str">
        <f>IF('Prod 1'!E256="","",'Prod 1'!E256)</f>
        <v/>
      </c>
      <c r="O256" s="59" t="str">
        <f t="shared" si="14"/>
        <v/>
      </c>
      <c r="P256" s="59" t="str">
        <f t="shared" si="15"/>
        <v/>
      </c>
    </row>
    <row r="257" spans="3:16" ht="30" customHeight="1" x14ac:dyDescent="0.25">
      <c r="C257" s="42">
        <v>253</v>
      </c>
      <c r="D257" s="67" t="str">
        <f>IF('Prod 1'!D257="","",'Prod 1'!D257)</f>
        <v/>
      </c>
      <c r="E257" s="64"/>
      <c r="F257" s="58"/>
      <c r="G257" s="65"/>
      <c r="H257" s="65"/>
      <c r="I257" s="58"/>
      <c r="J257" s="58"/>
      <c r="K257" s="132" t="str">
        <f t="shared" si="12"/>
        <v/>
      </c>
      <c r="M257" s="68" t="str">
        <f t="shared" si="13"/>
        <v/>
      </c>
      <c r="N257" s="59" t="str">
        <f>IF('Prod 1'!E257="","",'Prod 1'!E257)</f>
        <v/>
      </c>
      <c r="O257" s="59" t="str">
        <f t="shared" si="14"/>
        <v/>
      </c>
      <c r="P257" s="59" t="str">
        <f t="shared" si="15"/>
        <v/>
      </c>
    </row>
    <row r="258" spans="3:16" ht="30" customHeight="1" x14ac:dyDescent="0.25">
      <c r="C258" s="42">
        <v>254</v>
      </c>
      <c r="D258" s="67" t="str">
        <f>IF('Prod 1'!D258="","",'Prod 1'!D258)</f>
        <v/>
      </c>
      <c r="E258" s="64"/>
      <c r="F258" s="58"/>
      <c r="G258" s="65"/>
      <c r="H258" s="65"/>
      <c r="I258" s="58"/>
      <c r="J258" s="58"/>
      <c r="K258" s="132" t="str">
        <f t="shared" si="12"/>
        <v/>
      </c>
      <c r="M258" s="68" t="str">
        <f t="shared" si="13"/>
        <v/>
      </c>
      <c r="N258" s="59" t="str">
        <f>IF('Prod 1'!E258="","",'Prod 1'!E258)</f>
        <v/>
      </c>
      <c r="O258" s="59" t="str">
        <f t="shared" si="14"/>
        <v/>
      </c>
      <c r="P258" s="59" t="str">
        <f t="shared" si="15"/>
        <v/>
      </c>
    </row>
    <row r="259" spans="3:16" ht="30" customHeight="1" x14ac:dyDescent="0.25">
      <c r="C259" s="42">
        <v>255</v>
      </c>
      <c r="D259" s="67" t="str">
        <f>IF('Prod 1'!D259="","",'Prod 1'!D259)</f>
        <v/>
      </c>
      <c r="E259" s="64"/>
      <c r="F259" s="58"/>
      <c r="G259" s="65"/>
      <c r="H259" s="65"/>
      <c r="I259" s="58"/>
      <c r="J259" s="58"/>
      <c r="K259" s="132" t="str">
        <f t="shared" si="12"/>
        <v/>
      </c>
      <c r="M259" s="68" t="str">
        <f t="shared" si="13"/>
        <v/>
      </c>
      <c r="N259" s="59" t="str">
        <f>IF('Prod 1'!E259="","",'Prod 1'!E259)</f>
        <v/>
      </c>
      <c r="O259" s="59" t="str">
        <f t="shared" si="14"/>
        <v/>
      </c>
      <c r="P259" s="59" t="str">
        <f t="shared" si="15"/>
        <v/>
      </c>
    </row>
    <row r="260" spans="3:16" ht="30" customHeight="1" x14ac:dyDescent="0.25">
      <c r="C260" s="42">
        <v>256</v>
      </c>
      <c r="D260" s="67" t="str">
        <f>IF('Prod 1'!D260="","",'Prod 1'!D260)</f>
        <v/>
      </c>
      <c r="E260" s="64"/>
      <c r="F260" s="58"/>
      <c r="G260" s="65"/>
      <c r="H260" s="65"/>
      <c r="I260" s="58"/>
      <c r="J260" s="58"/>
      <c r="K260" s="132" t="str">
        <f t="shared" si="12"/>
        <v/>
      </c>
      <c r="M260" s="68" t="str">
        <f t="shared" si="13"/>
        <v/>
      </c>
      <c r="N260" s="59" t="str">
        <f>IF('Prod 1'!E260="","",'Prod 1'!E260)</f>
        <v/>
      </c>
      <c r="O260" s="59" t="str">
        <f t="shared" si="14"/>
        <v/>
      </c>
      <c r="P260" s="59" t="str">
        <f t="shared" si="15"/>
        <v/>
      </c>
    </row>
    <row r="261" spans="3:16" ht="30" customHeight="1" x14ac:dyDescent="0.25">
      <c r="C261" s="42">
        <v>257</v>
      </c>
      <c r="D261" s="67" t="str">
        <f>IF('Prod 1'!D261="","",'Prod 1'!D261)</f>
        <v/>
      </c>
      <c r="E261" s="64"/>
      <c r="F261" s="58"/>
      <c r="G261" s="65"/>
      <c r="H261" s="65"/>
      <c r="I261" s="58"/>
      <c r="J261" s="58"/>
      <c r="K261" s="132" t="str">
        <f t="shared" si="12"/>
        <v/>
      </c>
      <c r="M261" s="68" t="str">
        <f t="shared" si="13"/>
        <v/>
      </c>
      <c r="N261" s="59" t="str">
        <f>IF('Prod 1'!E261="","",'Prod 1'!E261)</f>
        <v/>
      </c>
      <c r="O261" s="59" t="str">
        <f t="shared" si="14"/>
        <v/>
      </c>
      <c r="P261" s="59" t="str">
        <f t="shared" si="15"/>
        <v/>
      </c>
    </row>
    <row r="262" spans="3:16" ht="30" customHeight="1" x14ac:dyDescent="0.25">
      <c r="C262" s="42">
        <v>258</v>
      </c>
      <c r="D262" s="67" t="str">
        <f>IF('Prod 1'!D262="","",'Prod 1'!D262)</f>
        <v/>
      </c>
      <c r="E262" s="64"/>
      <c r="F262" s="58"/>
      <c r="G262" s="65"/>
      <c r="H262" s="65"/>
      <c r="I262" s="58"/>
      <c r="J262" s="58"/>
      <c r="K262" s="132" t="str">
        <f t="shared" ref="K262:K325" si="16">IF(E262="","",IF(E262="Produção",SUM(I262:J262)+SUM(O262:P262),F262))</f>
        <v/>
      </c>
      <c r="M262" s="68" t="str">
        <f t="shared" ref="M262:M325" si="17">IFERROR(IF(D262="","",100%),0)</f>
        <v/>
      </c>
      <c r="N262" s="59" t="str">
        <f>IF('Prod 1'!E262="","",'Prod 1'!E262)</f>
        <v/>
      </c>
      <c r="O262" s="59" t="str">
        <f t="shared" ref="O262:O325" si="18">IFERROR(IF(D262="","",N262*G262),0)</f>
        <v/>
      </c>
      <c r="P262" s="59" t="str">
        <f t="shared" ref="P262:P325" si="19">IFERROR(IF(D262="","",N262*H262),0)</f>
        <v/>
      </c>
    </row>
    <row r="263" spans="3:16" ht="30" customHeight="1" x14ac:dyDescent="0.25">
      <c r="C263" s="42">
        <v>259</v>
      </c>
      <c r="D263" s="67" t="str">
        <f>IF('Prod 1'!D263="","",'Prod 1'!D263)</f>
        <v/>
      </c>
      <c r="E263" s="64"/>
      <c r="F263" s="58"/>
      <c r="G263" s="65"/>
      <c r="H263" s="65"/>
      <c r="I263" s="58"/>
      <c r="J263" s="58"/>
      <c r="K263" s="132" t="str">
        <f t="shared" si="16"/>
        <v/>
      </c>
      <c r="M263" s="68" t="str">
        <f t="shared" si="17"/>
        <v/>
      </c>
      <c r="N263" s="59" t="str">
        <f>IF('Prod 1'!E263="","",'Prod 1'!E263)</f>
        <v/>
      </c>
      <c r="O263" s="59" t="str">
        <f t="shared" si="18"/>
        <v/>
      </c>
      <c r="P263" s="59" t="str">
        <f t="shared" si="19"/>
        <v/>
      </c>
    </row>
    <row r="264" spans="3:16" ht="30" customHeight="1" x14ac:dyDescent="0.25">
      <c r="C264" s="42">
        <v>260</v>
      </c>
      <c r="D264" s="67" t="str">
        <f>IF('Prod 1'!D264="","",'Prod 1'!D264)</f>
        <v/>
      </c>
      <c r="E264" s="64"/>
      <c r="F264" s="58"/>
      <c r="G264" s="65"/>
      <c r="H264" s="65"/>
      <c r="I264" s="58"/>
      <c r="J264" s="58"/>
      <c r="K264" s="132" t="str">
        <f t="shared" si="16"/>
        <v/>
      </c>
      <c r="M264" s="68" t="str">
        <f t="shared" si="17"/>
        <v/>
      </c>
      <c r="N264" s="59" t="str">
        <f>IF('Prod 1'!E264="","",'Prod 1'!E264)</f>
        <v/>
      </c>
      <c r="O264" s="59" t="str">
        <f t="shared" si="18"/>
        <v/>
      </c>
      <c r="P264" s="59" t="str">
        <f t="shared" si="19"/>
        <v/>
      </c>
    </row>
    <row r="265" spans="3:16" ht="30" customHeight="1" x14ac:dyDescent="0.25">
      <c r="C265" s="42">
        <v>261</v>
      </c>
      <c r="D265" s="67" t="str">
        <f>IF('Prod 1'!D265="","",'Prod 1'!D265)</f>
        <v/>
      </c>
      <c r="E265" s="64"/>
      <c r="F265" s="58"/>
      <c r="G265" s="65"/>
      <c r="H265" s="65"/>
      <c r="I265" s="58"/>
      <c r="J265" s="58"/>
      <c r="K265" s="132" t="str">
        <f t="shared" si="16"/>
        <v/>
      </c>
      <c r="M265" s="68" t="str">
        <f t="shared" si="17"/>
        <v/>
      </c>
      <c r="N265" s="59" t="str">
        <f>IF('Prod 1'!E265="","",'Prod 1'!E265)</f>
        <v/>
      </c>
      <c r="O265" s="59" t="str">
        <f t="shared" si="18"/>
        <v/>
      </c>
      <c r="P265" s="59" t="str">
        <f t="shared" si="19"/>
        <v/>
      </c>
    </row>
    <row r="266" spans="3:16" ht="30" customHeight="1" x14ac:dyDescent="0.25">
      <c r="C266" s="42">
        <v>262</v>
      </c>
      <c r="D266" s="67" t="str">
        <f>IF('Prod 1'!D266="","",'Prod 1'!D266)</f>
        <v/>
      </c>
      <c r="E266" s="64"/>
      <c r="F266" s="58"/>
      <c r="G266" s="65"/>
      <c r="H266" s="65"/>
      <c r="I266" s="58"/>
      <c r="J266" s="58"/>
      <c r="K266" s="132" t="str">
        <f t="shared" si="16"/>
        <v/>
      </c>
      <c r="M266" s="68" t="str">
        <f t="shared" si="17"/>
        <v/>
      </c>
      <c r="N266" s="59" t="str">
        <f>IF('Prod 1'!E266="","",'Prod 1'!E266)</f>
        <v/>
      </c>
      <c r="O266" s="59" t="str">
        <f t="shared" si="18"/>
        <v/>
      </c>
      <c r="P266" s="59" t="str">
        <f t="shared" si="19"/>
        <v/>
      </c>
    </row>
    <row r="267" spans="3:16" ht="30" customHeight="1" x14ac:dyDescent="0.25">
      <c r="C267" s="42">
        <v>263</v>
      </c>
      <c r="D267" s="67" t="str">
        <f>IF('Prod 1'!D267="","",'Prod 1'!D267)</f>
        <v/>
      </c>
      <c r="E267" s="64"/>
      <c r="F267" s="58"/>
      <c r="G267" s="65"/>
      <c r="H267" s="65"/>
      <c r="I267" s="58"/>
      <c r="J267" s="58"/>
      <c r="K267" s="132" t="str">
        <f t="shared" si="16"/>
        <v/>
      </c>
      <c r="M267" s="68" t="str">
        <f t="shared" si="17"/>
        <v/>
      </c>
      <c r="N267" s="59" t="str">
        <f>IF('Prod 1'!E267="","",'Prod 1'!E267)</f>
        <v/>
      </c>
      <c r="O267" s="59" t="str">
        <f t="shared" si="18"/>
        <v/>
      </c>
      <c r="P267" s="59" t="str">
        <f t="shared" si="19"/>
        <v/>
      </c>
    </row>
    <row r="268" spans="3:16" ht="30" customHeight="1" x14ac:dyDescent="0.25">
      <c r="C268" s="42">
        <v>264</v>
      </c>
      <c r="D268" s="67" t="str">
        <f>IF('Prod 1'!D268="","",'Prod 1'!D268)</f>
        <v/>
      </c>
      <c r="E268" s="64"/>
      <c r="F268" s="58"/>
      <c r="G268" s="65"/>
      <c r="H268" s="65"/>
      <c r="I268" s="58"/>
      <c r="J268" s="58"/>
      <c r="K268" s="132" t="str">
        <f t="shared" si="16"/>
        <v/>
      </c>
      <c r="M268" s="68" t="str">
        <f t="shared" si="17"/>
        <v/>
      </c>
      <c r="N268" s="59" t="str">
        <f>IF('Prod 1'!E268="","",'Prod 1'!E268)</f>
        <v/>
      </c>
      <c r="O268" s="59" t="str">
        <f t="shared" si="18"/>
        <v/>
      </c>
      <c r="P268" s="59" t="str">
        <f t="shared" si="19"/>
        <v/>
      </c>
    </row>
    <row r="269" spans="3:16" ht="30" customHeight="1" x14ac:dyDescent="0.25">
      <c r="C269" s="42">
        <v>265</v>
      </c>
      <c r="D269" s="67" t="str">
        <f>IF('Prod 1'!D269="","",'Prod 1'!D269)</f>
        <v/>
      </c>
      <c r="E269" s="64"/>
      <c r="F269" s="58"/>
      <c r="G269" s="65"/>
      <c r="H269" s="65"/>
      <c r="I269" s="58"/>
      <c r="J269" s="58"/>
      <c r="K269" s="132" t="str">
        <f t="shared" si="16"/>
        <v/>
      </c>
      <c r="M269" s="68" t="str">
        <f t="shared" si="17"/>
        <v/>
      </c>
      <c r="N269" s="59" t="str">
        <f>IF('Prod 1'!E269="","",'Prod 1'!E269)</f>
        <v/>
      </c>
      <c r="O269" s="59" t="str">
        <f t="shared" si="18"/>
        <v/>
      </c>
      <c r="P269" s="59" t="str">
        <f t="shared" si="19"/>
        <v/>
      </c>
    </row>
    <row r="270" spans="3:16" ht="30" customHeight="1" x14ac:dyDescent="0.25">
      <c r="C270" s="42">
        <v>266</v>
      </c>
      <c r="D270" s="67" t="str">
        <f>IF('Prod 1'!D270="","",'Prod 1'!D270)</f>
        <v/>
      </c>
      <c r="E270" s="64"/>
      <c r="F270" s="58"/>
      <c r="G270" s="65"/>
      <c r="H270" s="65"/>
      <c r="I270" s="58"/>
      <c r="J270" s="58"/>
      <c r="K270" s="132" t="str">
        <f t="shared" si="16"/>
        <v/>
      </c>
      <c r="M270" s="68" t="str">
        <f t="shared" si="17"/>
        <v/>
      </c>
      <c r="N270" s="59" t="str">
        <f>IF('Prod 1'!E270="","",'Prod 1'!E270)</f>
        <v/>
      </c>
      <c r="O270" s="59" t="str">
        <f t="shared" si="18"/>
        <v/>
      </c>
      <c r="P270" s="59" t="str">
        <f t="shared" si="19"/>
        <v/>
      </c>
    </row>
    <row r="271" spans="3:16" ht="30" customHeight="1" x14ac:dyDescent="0.25">
      <c r="C271" s="42">
        <v>267</v>
      </c>
      <c r="D271" s="67" t="str">
        <f>IF('Prod 1'!D271="","",'Prod 1'!D271)</f>
        <v/>
      </c>
      <c r="E271" s="64"/>
      <c r="F271" s="58"/>
      <c r="G271" s="65"/>
      <c r="H271" s="65"/>
      <c r="I271" s="58"/>
      <c r="J271" s="58"/>
      <c r="K271" s="132" t="str">
        <f t="shared" si="16"/>
        <v/>
      </c>
      <c r="M271" s="68" t="str">
        <f t="shared" si="17"/>
        <v/>
      </c>
      <c r="N271" s="59" t="str">
        <f>IF('Prod 1'!E271="","",'Prod 1'!E271)</f>
        <v/>
      </c>
      <c r="O271" s="59" t="str">
        <f t="shared" si="18"/>
        <v/>
      </c>
      <c r="P271" s="59" t="str">
        <f t="shared" si="19"/>
        <v/>
      </c>
    </row>
    <row r="272" spans="3:16" ht="30" customHeight="1" x14ac:dyDescent="0.25">
      <c r="C272" s="42">
        <v>268</v>
      </c>
      <c r="D272" s="67" t="str">
        <f>IF('Prod 1'!D272="","",'Prod 1'!D272)</f>
        <v/>
      </c>
      <c r="E272" s="64"/>
      <c r="F272" s="58"/>
      <c r="G272" s="65"/>
      <c r="H272" s="65"/>
      <c r="I272" s="58"/>
      <c r="J272" s="58"/>
      <c r="K272" s="132" t="str">
        <f t="shared" si="16"/>
        <v/>
      </c>
      <c r="M272" s="68" t="str">
        <f t="shared" si="17"/>
        <v/>
      </c>
      <c r="N272" s="59" t="str">
        <f>IF('Prod 1'!E272="","",'Prod 1'!E272)</f>
        <v/>
      </c>
      <c r="O272" s="59" t="str">
        <f t="shared" si="18"/>
        <v/>
      </c>
      <c r="P272" s="59" t="str">
        <f t="shared" si="19"/>
        <v/>
      </c>
    </row>
    <row r="273" spans="3:16" ht="30" customHeight="1" x14ac:dyDescent="0.25">
      <c r="C273" s="42">
        <v>269</v>
      </c>
      <c r="D273" s="67" t="str">
        <f>IF('Prod 1'!D273="","",'Prod 1'!D273)</f>
        <v/>
      </c>
      <c r="E273" s="64"/>
      <c r="F273" s="58"/>
      <c r="G273" s="65"/>
      <c r="H273" s="65"/>
      <c r="I273" s="58"/>
      <c r="J273" s="58"/>
      <c r="K273" s="132" t="str">
        <f t="shared" si="16"/>
        <v/>
      </c>
      <c r="M273" s="68" t="str">
        <f t="shared" si="17"/>
        <v/>
      </c>
      <c r="N273" s="59" t="str">
        <f>IF('Prod 1'!E273="","",'Prod 1'!E273)</f>
        <v/>
      </c>
      <c r="O273" s="59" t="str">
        <f t="shared" si="18"/>
        <v/>
      </c>
      <c r="P273" s="59" t="str">
        <f t="shared" si="19"/>
        <v/>
      </c>
    </row>
    <row r="274" spans="3:16" ht="30" customHeight="1" x14ac:dyDescent="0.25">
      <c r="C274" s="42">
        <v>270</v>
      </c>
      <c r="D274" s="67" t="str">
        <f>IF('Prod 1'!D274="","",'Prod 1'!D274)</f>
        <v/>
      </c>
      <c r="E274" s="64"/>
      <c r="F274" s="58"/>
      <c r="G274" s="65"/>
      <c r="H274" s="65"/>
      <c r="I274" s="58"/>
      <c r="J274" s="58"/>
      <c r="K274" s="132" t="str">
        <f t="shared" si="16"/>
        <v/>
      </c>
      <c r="M274" s="68" t="str">
        <f t="shared" si="17"/>
        <v/>
      </c>
      <c r="N274" s="59" t="str">
        <f>IF('Prod 1'!E274="","",'Prod 1'!E274)</f>
        <v/>
      </c>
      <c r="O274" s="59" t="str">
        <f t="shared" si="18"/>
        <v/>
      </c>
      <c r="P274" s="59" t="str">
        <f t="shared" si="19"/>
        <v/>
      </c>
    </row>
    <row r="275" spans="3:16" ht="30" customHeight="1" x14ac:dyDescent="0.25">
      <c r="C275" s="42">
        <v>271</v>
      </c>
      <c r="D275" s="67" t="str">
        <f>IF('Prod 1'!D275="","",'Prod 1'!D275)</f>
        <v/>
      </c>
      <c r="E275" s="64"/>
      <c r="F275" s="58"/>
      <c r="G275" s="65"/>
      <c r="H275" s="65"/>
      <c r="I275" s="58"/>
      <c r="J275" s="58"/>
      <c r="K275" s="132" t="str">
        <f t="shared" si="16"/>
        <v/>
      </c>
      <c r="M275" s="68" t="str">
        <f t="shared" si="17"/>
        <v/>
      </c>
      <c r="N275" s="59" t="str">
        <f>IF('Prod 1'!E275="","",'Prod 1'!E275)</f>
        <v/>
      </c>
      <c r="O275" s="59" t="str">
        <f t="shared" si="18"/>
        <v/>
      </c>
      <c r="P275" s="59" t="str">
        <f t="shared" si="19"/>
        <v/>
      </c>
    </row>
    <row r="276" spans="3:16" ht="30" customHeight="1" x14ac:dyDescent="0.25">
      <c r="C276" s="42">
        <v>272</v>
      </c>
      <c r="D276" s="67" t="str">
        <f>IF('Prod 1'!D276="","",'Prod 1'!D276)</f>
        <v/>
      </c>
      <c r="E276" s="64"/>
      <c r="F276" s="58"/>
      <c r="G276" s="65"/>
      <c r="H276" s="65"/>
      <c r="I276" s="58"/>
      <c r="J276" s="58"/>
      <c r="K276" s="132" t="str">
        <f t="shared" si="16"/>
        <v/>
      </c>
      <c r="M276" s="68" t="str">
        <f t="shared" si="17"/>
        <v/>
      </c>
      <c r="N276" s="59" t="str">
        <f>IF('Prod 1'!E276="","",'Prod 1'!E276)</f>
        <v/>
      </c>
      <c r="O276" s="59" t="str">
        <f t="shared" si="18"/>
        <v/>
      </c>
      <c r="P276" s="59" t="str">
        <f t="shared" si="19"/>
        <v/>
      </c>
    </row>
    <row r="277" spans="3:16" ht="30" customHeight="1" x14ac:dyDescent="0.25">
      <c r="C277" s="42">
        <v>273</v>
      </c>
      <c r="D277" s="67" t="str">
        <f>IF('Prod 1'!D277="","",'Prod 1'!D277)</f>
        <v/>
      </c>
      <c r="E277" s="64"/>
      <c r="F277" s="58"/>
      <c r="G277" s="65"/>
      <c r="H277" s="65"/>
      <c r="I277" s="58"/>
      <c r="J277" s="58"/>
      <c r="K277" s="132" t="str">
        <f t="shared" si="16"/>
        <v/>
      </c>
      <c r="M277" s="68" t="str">
        <f t="shared" si="17"/>
        <v/>
      </c>
      <c r="N277" s="59" t="str">
        <f>IF('Prod 1'!E277="","",'Prod 1'!E277)</f>
        <v/>
      </c>
      <c r="O277" s="59" t="str">
        <f t="shared" si="18"/>
        <v/>
      </c>
      <c r="P277" s="59" t="str">
        <f t="shared" si="19"/>
        <v/>
      </c>
    </row>
    <row r="278" spans="3:16" ht="30" customHeight="1" x14ac:dyDescent="0.25">
      <c r="C278" s="42">
        <v>274</v>
      </c>
      <c r="D278" s="67" t="str">
        <f>IF('Prod 1'!D278="","",'Prod 1'!D278)</f>
        <v/>
      </c>
      <c r="E278" s="64"/>
      <c r="F278" s="58"/>
      <c r="G278" s="65"/>
      <c r="H278" s="65"/>
      <c r="I278" s="58"/>
      <c r="J278" s="58"/>
      <c r="K278" s="132" t="str">
        <f t="shared" si="16"/>
        <v/>
      </c>
      <c r="M278" s="68" t="str">
        <f t="shared" si="17"/>
        <v/>
      </c>
      <c r="N278" s="59" t="str">
        <f>IF('Prod 1'!E278="","",'Prod 1'!E278)</f>
        <v/>
      </c>
      <c r="O278" s="59" t="str">
        <f t="shared" si="18"/>
        <v/>
      </c>
      <c r="P278" s="59" t="str">
        <f t="shared" si="19"/>
        <v/>
      </c>
    </row>
    <row r="279" spans="3:16" ht="30" customHeight="1" x14ac:dyDescent="0.25">
      <c r="C279" s="42">
        <v>275</v>
      </c>
      <c r="D279" s="67" t="str">
        <f>IF('Prod 1'!D279="","",'Prod 1'!D279)</f>
        <v/>
      </c>
      <c r="E279" s="64"/>
      <c r="F279" s="58"/>
      <c r="G279" s="65"/>
      <c r="H279" s="65"/>
      <c r="I279" s="58"/>
      <c r="J279" s="58"/>
      <c r="K279" s="132" t="str">
        <f t="shared" si="16"/>
        <v/>
      </c>
      <c r="M279" s="68" t="str">
        <f t="shared" si="17"/>
        <v/>
      </c>
      <c r="N279" s="59" t="str">
        <f>IF('Prod 1'!E279="","",'Prod 1'!E279)</f>
        <v/>
      </c>
      <c r="O279" s="59" t="str">
        <f t="shared" si="18"/>
        <v/>
      </c>
      <c r="P279" s="59" t="str">
        <f t="shared" si="19"/>
        <v/>
      </c>
    </row>
    <row r="280" spans="3:16" ht="30" customHeight="1" x14ac:dyDescent="0.25">
      <c r="C280" s="42">
        <v>276</v>
      </c>
      <c r="D280" s="67" t="str">
        <f>IF('Prod 1'!D280="","",'Prod 1'!D280)</f>
        <v/>
      </c>
      <c r="E280" s="64"/>
      <c r="F280" s="58"/>
      <c r="G280" s="65"/>
      <c r="H280" s="65"/>
      <c r="I280" s="58"/>
      <c r="J280" s="58"/>
      <c r="K280" s="132" t="str">
        <f t="shared" si="16"/>
        <v/>
      </c>
      <c r="M280" s="68" t="str">
        <f t="shared" si="17"/>
        <v/>
      </c>
      <c r="N280" s="59" t="str">
        <f>IF('Prod 1'!E280="","",'Prod 1'!E280)</f>
        <v/>
      </c>
      <c r="O280" s="59" t="str">
        <f t="shared" si="18"/>
        <v/>
      </c>
      <c r="P280" s="59" t="str">
        <f t="shared" si="19"/>
        <v/>
      </c>
    </row>
    <row r="281" spans="3:16" ht="30" customHeight="1" x14ac:dyDescent="0.25">
      <c r="C281" s="42">
        <v>277</v>
      </c>
      <c r="D281" s="67" t="str">
        <f>IF('Prod 1'!D281="","",'Prod 1'!D281)</f>
        <v/>
      </c>
      <c r="E281" s="64"/>
      <c r="F281" s="58"/>
      <c r="G281" s="65"/>
      <c r="H281" s="65"/>
      <c r="I281" s="58"/>
      <c r="J281" s="58"/>
      <c r="K281" s="132" t="str">
        <f t="shared" si="16"/>
        <v/>
      </c>
      <c r="M281" s="68" t="str">
        <f t="shared" si="17"/>
        <v/>
      </c>
      <c r="N281" s="59" t="str">
        <f>IF('Prod 1'!E281="","",'Prod 1'!E281)</f>
        <v/>
      </c>
      <c r="O281" s="59" t="str">
        <f t="shared" si="18"/>
        <v/>
      </c>
      <c r="P281" s="59" t="str">
        <f t="shared" si="19"/>
        <v/>
      </c>
    </row>
    <row r="282" spans="3:16" ht="30" customHeight="1" x14ac:dyDescent="0.25">
      <c r="C282" s="42">
        <v>278</v>
      </c>
      <c r="D282" s="67" t="str">
        <f>IF('Prod 1'!D282="","",'Prod 1'!D282)</f>
        <v/>
      </c>
      <c r="E282" s="64"/>
      <c r="F282" s="58"/>
      <c r="G282" s="65"/>
      <c r="H282" s="65"/>
      <c r="I282" s="58"/>
      <c r="J282" s="58"/>
      <c r="K282" s="132" t="str">
        <f t="shared" si="16"/>
        <v/>
      </c>
      <c r="M282" s="68" t="str">
        <f t="shared" si="17"/>
        <v/>
      </c>
      <c r="N282" s="59" t="str">
        <f>IF('Prod 1'!E282="","",'Prod 1'!E282)</f>
        <v/>
      </c>
      <c r="O282" s="59" t="str">
        <f t="shared" si="18"/>
        <v/>
      </c>
      <c r="P282" s="59" t="str">
        <f t="shared" si="19"/>
        <v/>
      </c>
    </row>
    <row r="283" spans="3:16" ht="30" customHeight="1" x14ac:dyDescent="0.25">
      <c r="C283" s="42">
        <v>279</v>
      </c>
      <c r="D283" s="67" t="str">
        <f>IF('Prod 1'!D283="","",'Prod 1'!D283)</f>
        <v/>
      </c>
      <c r="E283" s="64"/>
      <c r="F283" s="58"/>
      <c r="G283" s="65"/>
      <c r="H283" s="65"/>
      <c r="I283" s="58"/>
      <c r="J283" s="58"/>
      <c r="K283" s="132" t="str">
        <f t="shared" si="16"/>
        <v/>
      </c>
      <c r="M283" s="68" t="str">
        <f t="shared" si="17"/>
        <v/>
      </c>
      <c r="N283" s="59" t="str">
        <f>IF('Prod 1'!E283="","",'Prod 1'!E283)</f>
        <v/>
      </c>
      <c r="O283" s="59" t="str">
        <f t="shared" si="18"/>
        <v/>
      </c>
      <c r="P283" s="59" t="str">
        <f t="shared" si="19"/>
        <v/>
      </c>
    </row>
    <row r="284" spans="3:16" ht="30" customHeight="1" x14ac:dyDescent="0.25">
      <c r="C284" s="42">
        <v>280</v>
      </c>
      <c r="D284" s="67" t="str">
        <f>IF('Prod 1'!D284="","",'Prod 1'!D284)</f>
        <v/>
      </c>
      <c r="E284" s="64"/>
      <c r="F284" s="58"/>
      <c r="G284" s="65"/>
      <c r="H284" s="65"/>
      <c r="I284" s="58"/>
      <c r="J284" s="58"/>
      <c r="K284" s="132" t="str">
        <f t="shared" si="16"/>
        <v/>
      </c>
      <c r="M284" s="68" t="str">
        <f t="shared" si="17"/>
        <v/>
      </c>
      <c r="N284" s="59" t="str">
        <f>IF('Prod 1'!E284="","",'Prod 1'!E284)</f>
        <v/>
      </c>
      <c r="O284" s="59" t="str">
        <f t="shared" si="18"/>
        <v/>
      </c>
      <c r="P284" s="59" t="str">
        <f t="shared" si="19"/>
        <v/>
      </c>
    </row>
    <row r="285" spans="3:16" ht="30" customHeight="1" x14ac:dyDescent="0.25">
      <c r="C285" s="42">
        <v>281</v>
      </c>
      <c r="D285" s="67" t="str">
        <f>IF('Prod 1'!D285="","",'Prod 1'!D285)</f>
        <v/>
      </c>
      <c r="E285" s="64"/>
      <c r="F285" s="58"/>
      <c r="G285" s="65"/>
      <c r="H285" s="65"/>
      <c r="I285" s="58"/>
      <c r="J285" s="58"/>
      <c r="K285" s="132" t="str">
        <f t="shared" si="16"/>
        <v/>
      </c>
      <c r="M285" s="68" t="str">
        <f t="shared" si="17"/>
        <v/>
      </c>
      <c r="N285" s="59" t="str">
        <f>IF('Prod 1'!E285="","",'Prod 1'!E285)</f>
        <v/>
      </c>
      <c r="O285" s="59" t="str">
        <f t="shared" si="18"/>
        <v/>
      </c>
      <c r="P285" s="59" t="str">
        <f t="shared" si="19"/>
        <v/>
      </c>
    </row>
    <row r="286" spans="3:16" ht="30" customHeight="1" x14ac:dyDescent="0.25">
      <c r="C286" s="42">
        <v>282</v>
      </c>
      <c r="D286" s="67" t="str">
        <f>IF('Prod 1'!D286="","",'Prod 1'!D286)</f>
        <v/>
      </c>
      <c r="E286" s="64"/>
      <c r="F286" s="58"/>
      <c r="G286" s="65"/>
      <c r="H286" s="65"/>
      <c r="I286" s="58"/>
      <c r="J286" s="58"/>
      <c r="K286" s="132" t="str">
        <f t="shared" si="16"/>
        <v/>
      </c>
      <c r="M286" s="68" t="str">
        <f t="shared" si="17"/>
        <v/>
      </c>
      <c r="N286" s="59" t="str">
        <f>IF('Prod 1'!E286="","",'Prod 1'!E286)</f>
        <v/>
      </c>
      <c r="O286" s="59" t="str">
        <f t="shared" si="18"/>
        <v/>
      </c>
      <c r="P286" s="59" t="str">
        <f t="shared" si="19"/>
        <v/>
      </c>
    </row>
    <row r="287" spans="3:16" ht="30" customHeight="1" x14ac:dyDescent="0.25">
      <c r="C287" s="42">
        <v>283</v>
      </c>
      <c r="D287" s="67" t="str">
        <f>IF('Prod 1'!D287="","",'Prod 1'!D287)</f>
        <v/>
      </c>
      <c r="E287" s="64"/>
      <c r="F287" s="58"/>
      <c r="G287" s="65"/>
      <c r="H287" s="65"/>
      <c r="I287" s="58"/>
      <c r="J287" s="58"/>
      <c r="K287" s="132" t="str">
        <f t="shared" si="16"/>
        <v/>
      </c>
      <c r="M287" s="68" t="str">
        <f t="shared" si="17"/>
        <v/>
      </c>
      <c r="N287" s="59" t="str">
        <f>IF('Prod 1'!E287="","",'Prod 1'!E287)</f>
        <v/>
      </c>
      <c r="O287" s="59" t="str">
        <f t="shared" si="18"/>
        <v/>
      </c>
      <c r="P287" s="59" t="str">
        <f t="shared" si="19"/>
        <v/>
      </c>
    </row>
    <row r="288" spans="3:16" ht="30" customHeight="1" x14ac:dyDescent="0.25">
      <c r="C288" s="42">
        <v>284</v>
      </c>
      <c r="D288" s="67" t="str">
        <f>IF('Prod 1'!D288="","",'Prod 1'!D288)</f>
        <v/>
      </c>
      <c r="E288" s="64"/>
      <c r="F288" s="58"/>
      <c r="G288" s="65"/>
      <c r="H288" s="65"/>
      <c r="I288" s="58"/>
      <c r="J288" s="58"/>
      <c r="K288" s="132" t="str">
        <f t="shared" si="16"/>
        <v/>
      </c>
      <c r="M288" s="68" t="str">
        <f t="shared" si="17"/>
        <v/>
      </c>
      <c r="N288" s="59" t="str">
        <f>IF('Prod 1'!E288="","",'Prod 1'!E288)</f>
        <v/>
      </c>
      <c r="O288" s="59" t="str">
        <f t="shared" si="18"/>
        <v/>
      </c>
      <c r="P288" s="59" t="str">
        <f t="shared" si="19"/>
        <v/>
      </c>
    </row>
    <row r="289" spans="3:16" ht="30" customHeight="1" x14ac:dyDescent="0.25">
      <c r="C289" s="42">
        <v>285</v>
      </c>
      <c r="D289" s="67" t="str">
        <f>IF('Prod 1'!D289="","",'Prod 1'!D289)</f>
        <v/>
      </c>
      <c r="E289" s="64"/>
      <c r="F289" s="58"/>
      <c r="G289" s="65"/>
      <c r="H289" s="65"/>
      <c r="I289" s="58"/>
      <c r="J289" s="58"/>
      <c r="K289" s="132" t="str">
        <f t="shared" si="16"/>
        <v/>
      </c>
      <c r="M289" s="68" t="str">
        <f t="shared" si="17"/>
        <v/>
      </c>
      <c r="N289" s="59" t="str">
        <f>IF('Prod 1'!E289="","",'Prod 1'!E289)</f>
        <v/>
      </c>
      <c r="O289" s="59" t="str">
        <f t="shared" si="18"/>
        <v/>
      </c>
      <c r="P289" s="59" t="str">
        <f t="shared" si="19"/>
        <v/>
      </c>
    </row>
    <row r="290" spans="3:16" ht="30" customHeight="1" x14ac:dyDescent="0.25">
      <c r="C290" s="42">
        <v>286</v>
      </c>
      <c r="D290" s="67" t="str">
        <f>IF('Prod 1'!D290="","",'Prod 1'!D290)</f>
        <v/>
      </c>
      <c r="E290" s="64"/>
      <c r="F290" s="58"/>
      <c r="G290" s="65"/>
      <c r="H290" s="65"/>
      <c r="I290" s="58"/>
      <c r="J290" s="58"/>
      <c r="K290" s="132" t="str">
        <f t="shared" si="16"/>
        <v/>
      </c>
      <c r="M290" s="68" t="str">
        <f t="shared" si="17"/>
        <v/>
      </c>
      <c r="N290" s="59" t="str">
        <f>IF('Prod 1'!E290="","",'Prod 1'!E290)</f>
        <v/>
      </c>
      <c r="O290" s="59" t="str">
        <f t="shared" si="18"/>
        <v/>
      </c>
      <c r="P290" s="59" t="str">
        <f t="shared" si="19"/>
        <v/>
      </c>
    </row>
    <row r="291" spans="3:16" ht="30" customHeight="1" x14ac:dyDescent="0.25">
      <c r="C291" s="42">
        <v>287</v>
      </c>
      <c r="D291" s="67" t="str">
        <f>IF('Prod 1'!D291="","",'Prod 1'!D291)</f>
        <v/>
      </c>
      <c r="E291" s="64"/>
      <c r="F291" s="58"/>
      <c r="G291" s="65"/>
      <c r="H291" s="65"/>
      <c r="I291" s="58"/>
      <c r="J291" s="58"/>
      <c r="K291" s="132" t="str">
        <f t="shared" si="16"/>
        <v/>
      </c>
      <c r="M291" s="68" t="str">
        <f t="shared" si="17"/>
        <v/>
      </c>
      <c r="N291" s="59" t="str">
        <f>IF('Prod 1'!E291="","",'Prod 1'!E291)</f>
        <v/>
      </c>
      <c r="O291" s="59" t="str">
        <f t="shared" si="18"/>
        <v/>
      </c>
      <c r="P291" s="59" t="str">
        <f t="shared" si="19"/>
        <v/>
      </c>
    </row>
    <row r="292" spans="3:16" ht="30" customHeight="1" x14ac:dyDescent="0.25">
      <c r="C292" s="42">
        <v>288</v>
      </c>
      <c r="D292" s="67" t="str">
        <f>IF('Prod 1'!D292="","",'Prod 1'!D292)</f>
        <v/>
      </c>
      <c r="E292" s="64"/>
      <c r="F292" s="58"/>
      <c r="G292" s="65"/>
      <c r="H292" s="65"/>
      <c r="I292" s="58"/>
      <c r="J292" s="58"/>
      <c r="K292" s="132" t="str">
        <f t="shared" si="16"/>
        <v/>
      </c>
      <c r="M292" s="68" t="str">
        <f t="shared" si="17"/>
        <v/>
      </c>
      <c r="N292" s="59" t="str">
        <f>IF('Prod 1'!E292="","",'Prod 1'!E292)</f>
        <v/>
      </c>
      <c r="O292" s="59" t="str">
        <f t="shared" si="18"/>
        <v/>
      </c>
      <c r="P292" s="59" t="str">
        <f t="shared" si="19"/>
        <v/>
      </c>
    </row>
    <row r="293" spans="3:16" ht="30" customHeight="1" x14ac:dyDescent="0.25">
      <c r="C293" s="42">
        <v>289</v>
      </c>
      <c r="D293" s="67" t="str">
        <f>IF('Prod 1'!D293="","",'Prod 1'!D293)</f>
        <v/>
      </c>
      <c r="E293" s="64"/>
      <c r="F293" s="58"/>
      <c r="G293" s="65"/>
      <c r="H293" s="65"/>
      <c r="I293" s="58"/>
      <c r="J293" s="58"/>
      <c r="K293" s="132" t="str">
        <f t="shared" si="16"/>
        <v/>
      </c>
      <c r="M293" s="68" t="str">
        <f t="shared" si="17"/>
        <v/>
      </c>
      <c r="N293" s="59" t="str">
        <f>IF('Prod 1'!E293="","",'Prod 1'!E293)</f>
        <v/>
      </c>
      <c r="O293" s="59" t="str">
        <f t="shared" si="18"/>
        <v/>
      </c>
      <c r="P293" s="59" t="str">
        <f t="shared" si="19"/>
        <v/>
      </c>
    </row>
    <row r="294" spans="3:16" ht="30" customHeight="1" x14ac:dyDescent="0.25">
      <c r="C294" s="42">
        <v>290</v>
      </c>
      <c r="D294" s="67" t="str">
        <f>IF('Prod 1'!D294="","",'Prod 1'!D294)</f>
        <v/>
      </c>
      <c r="E294" s="64"/>
      <c r="F294" s="58"/>
      <c r="G294" s="65"/>
      <c r="H294" s="65"/>
      <c r="I294" s="58"/>
      <c r="J294" s="58"/>
      <c r="K294" s="132" t="str">
        <f t="shared" si="16"/>
        <v/>
      </c>
      <c r="M294" s="68" t="str">
        <f t="shared" si="17"/>
        <v/>
      </c>
      <c r="N294" s="59" t="str">
        <f>IF('Prod 1'!E294="","",'Prod 1'!E294)</f>
        <v/>
      </c>
      <c r="O294" s="59" t="str">
        <f t="shared" si="18"/>
        <v/>
      </c>
      <c r="P294" s="59" t="str">
        <f t="shared" si="19"/>
        <v/>
      </c>
    </row>
    <row r="295" spans="3:16" ht="30" customHeight="1" x14ac:dyDescent="0.25">
      <c r="C295" s="42">
        <v>291</v>
      </c>
      <c r="D295" s="67" t="str">
        <f>IF('Prod 1'!D295="","",'Prod 1'!D295)</f>
        <v/>
      </c>
      <c r="E295" s="64"/>
      <c r="F295" s="58"/>
      <c r="G295" s="65"/>
      <c r="H295" s="65"/>
      <c r="I295" s="58"/>
      <c r="J295" s="58"/>
      <c r="K295" s="132" t="str">
        <f t="shared" si="16"/>
        <v/>
      </c>
      <c r="M295" s="68" t="str">
        <f t="shared" si="17"/>
        <v/>
      </c>
      <c r="N295" s="59" t="str">
        <f>IF('Prod 1'!E295="","",'Prod 1'!E295)</f>
        <v/>
      </c>
      <c r="O295" s="59" t="str">
        <f t="shared" si="18"/>
        <v/>
      </c>
      <c r="P295" s="59" t="str">
        <f t="shared" si="19"/>
        <v/>
      </c>
    </row>
    <row r="296" spans="3:16" ht="30" customHeight="1" x14ac:dyDescent="0.25">
      <c r="C296" s="42">
        <v>292</v>
      </c>
      <c r="D296" s="67" t="str">
        <f>IF('Prod 1'!D296="","",'Prod 1'!D296)</f>
        <v/>
      </c>
      <c r="E296" s="64"/>
      <c r="F296" s="58"/>
      <c r="G296" s="65"/>
      <c r="H296" s="65"/>
      <c r="I296" s="58"/>
      <c r="J296" s="58"/>
      <c r="K296" s="132" t="str">
        <f t="shared" si="16"/>
        <v/>
      </c>
      <c r="M296" s="68" t="str">
        <f t="shared" si="17"/>
        <v/>
      </c>
      <c r="N296" s="59" t="str">
        <f>IF('Prod 1'!E296="","",'Prod 1'!E296)</f>
        <v/>
      </c>
      <c r="O296" s="59" t="str">
        <f t="shared" si="18"/>
        <v/>
      </c>
      <c r="P296" s="59" t="str">
        <f t="shared" si="19"/>
        <v/>
      </c>
    </row>
    <row r="297" spans="3:16" ht="30" customHeight="1" x14ac:dyDescent="0.25">
      <c r="C297" s="42">
        <v>293</v>
      </c>
      <c r="D297" s="67" t="str">
        <f>IF('Prod 1'!D297="","",'Prod 1'!D297)</f>
        <v/>
      </c>
      <c r="E297" s="64"/>
      <c r="F297" s="58"/>
      <c r="G297" s="65"/>
      <c r="H297" s="65"/>
      <c r="I297" s="58"/>
      <c r="J297" s="58"/>
      <c r="K297" s="132" t="str">
        <f t="shared" si="16"/>
        <v/>
      </c>
      <c r="M297" s="68" t="str">
        <f t="shared" si="17"/>
        <v/>
      </c>
      <c r="N297" s="59" t="str">
        <f>IF('Prod 1'!E297="","",'Prod 1'!E297)</f>
        <v/>
      </c>
      <c r="O297" s="59" t="str">
        <f t="shared" si="18"/>
        <v/>
      </c>
      <c r="P297" s="59" t="str">
        <f t="shared" si="19"/>
        <v/>
      </c>
    </row>
    <row r="298" spans="3:16" ht="30" customHeight="1" x14ac:dyDescent="0.25">
      <c r="C298" s="42">
        <v>294</v>
      </c>
      <c r="D298" s="67" t="str">
        <f>IF('Prod 1'!D298="","",'Prod 1'!D298)</f>
        <v/>
      </c>
      <c r="E298" s="64"/>
      <c r="F298" s="58"/>
      <c r="G298" s="65"/>
      <c r="H298" s="65"/>
      <c r="I298" s="58"/>
      <c r="J298" s="58"/>
      <c r="K298" s="132" t="str">
        <f t="shared" si="16"/>
        <v/>
      </c>
      <c r="M298" s="68" t="str">
        <f t="shared" si="17"/>
        <v/>
      </c>
      <c r="N298" s="59" t="str">
        <f>IF('Prod 1'!E298="","",'Prod 1'!E298)</f>
        <v/>
      </c>
      <c r="O298" s="59" t="str">
        <f t="shared" si="18"/>
        <v/>
      </c>
      <c r="P298" s="59" t="str">
        <f t="shared" si="19"/>
        <v/>
      </c>
    </row>
    <row r="299" spans="3:16" ht="30" customHeight="1" x14ac:dyDescent="0.25">
      <c r="C299" s="42">
        <v>295</v>
      </c>
      <c r="D299" s="67" t="str">
        <f>IF('Prod 1'!D299="","",'Prod 1'!D299)</f>
        <v/>
      </c>
      <c r="E299" s="64"/>
      <c r="F299" s="58"/>
      <c r="G299" s="65"/>
      <c r="H299" s="65"/>
      <c r="I299" s="58"/>
      <c r="J299" s="58"/>
      <c r="K299" s="132" t="str">
        <f t="shared" si="16"/>
        <v/>
      </c>
      <c r="M299" s="68" t="str">
        <f t="shared" si="17"/>
        <v/>
      </c>
      <c r="N299" s="59" t="str">
        <f>IF('Prod 1'!E299="","",'Prod 1'!E299)</f>
        <v/>
      </c>
      <c r="O299" s="59" t="str">
        <f t="shared" si="18"/>
        <v/>
      </c>
      <c r="P299" s="59" t="str">
        <f t="shared" si="19"/>
        <v/>
      </c>
    </row>
    <row r="300" spans="3:16" ht="30" customHeight="1" x14ac:dyDescent="0.25">
      <c r="C300" s="42">
        <v>296</v>
      </c>
      <c r="D300" s="67" t="str">
        <f>IF('Prod 1'!D300="","",'Prod 1'!D300)</f>
        <v/>
      </c>
      <c r="E300" s="64"/>
      <c r="F300" s="58"/>
      <c r="G300" s="65"/>
      <c r="H300" s="65"/>
      <c r="I300" s="58"/>
      <c r="J300" s="58"/>
      <c r="K300" s="132" t="str">
        <f t="shared" si="16"/>
        <v/>
      </c>
      <c r="M300" s="68" t="str">
        <f t="shared" si="17"/>
        <v/>
      </c>
      <c r="N300" s="59" t="str">
        <f>IF('Prod 1'!E300="","",'Prod 1'!E300)</f>
        <v/>
      </c>
      <c r="O300" s="59" t="str">
        <f t="shared" si="18"/>
        <v/>
      </c>
      <c r="P300" s="59" t="str">
        <f t="shared" si="19"/>
        <v/>
      </c>
    </row>
    <row r="301" spans="3:16" ht="30" customHeight="1" x14ac:dyDescent="0.25">
      <c r="C301" s="42">
        <v>297</v>
      </c>
      <c r="D301" s="67" t="str">
        <f>IF('Prod 1'!D301="","",'Prod 1'!D301)</f>
        <v/>
      </c>
      <c r="E301" s="64"/>
      <c r="F301" s="58"/>
      <c r="G301" s="65"/>
      <c r="H301" s="65"/>
      <c r="I301" s="58"/>
      <c r="J301" s="58"/>
      <c r="K301" s="132" t="str">
        <f t="shared" si="16"/>
        <v/>
      </c>
      <c r="M301" s="68" t="str">
        <f t="shared" si="17"/>
        <v/>
      </c>
      <c r="N301" s="59" t="str">
        <f>IF('Prod 1'!E301="","",'Prod 1'!E301)</f>
        <v/>
      </c>
      <c r="O301" s="59" t="str">
        <f t="shared" si="18"/>
        <v/>
      </c>
      <c r="P301" s="59" t="str">
        <f t="shared" si="19"/>
        <v/>
      </c>
    </row>
    <row r="302" spans="3:16" ht="30" customHeight="1" x14ac:dyDescent="0.25">
      <c r="C302" s="42">
        <v>298</v>
      </c>
      <c r="D302" s="67" t="str">
        <f>IF('Prod 1'!D302="","",'Prod 1'!D302)</f>
        <v/>
      </c>
      <c r="E302" s="64"/>
      <c r="F302" s="58"/>
      <c r="G302" s="65"/>
      <c r="H302" s="65"/>
      <c r="I302" s="58"/>
      <c r="J302" s="58"/>
      <c r="K302" s="132" t="str">
        <f t="shared" si="16"/>
        <v/>
      </c>
      <c r="M302" s="68" t="str">
        <f t="shared" si="17"/>
        <v/>
      </c>
      <c r="N302" s="59" t="str">
        <f>IF('Prod 1'!E302="","",'Prod 1'!E302)</f>
        <v/>
      </c>
      <c r="O302" s="59" t="str">
        <f t="shared" si="18"/>
        <v/>
      </c>
      <c r="P302" s="59" t="str">
        <f t="shared" si="19"/>
        <v/>
      </c>
    </row>
    <row r="303" spans="3:16" ht="30" customHeight="1" x14ac:dyDescent="0.25">
      <c r="C303" s="42">
        <v>299</v>
      </c>
      <c r="D303" s="67" t="str">
        <f>IF('Prod 1'!D303="","",'Prod 1'!D303)</f>
        <v/>
      </c>
      <c r="E303" s="64"/>
      <c r="F303" s="58"/>
      <c r="G303" s="65"/>
      <c r="H303" s="65"/>
      <c r="I303" s="58"/>
      <c r="J303" s="58"/>
      <c r="K303" s="132" t="str">
        <f t="shared" si="16"/>
        <v/>
      </c>
      <c r="M303" s="68" t="str">
        <f t="shared" si="17"/>
        <v/>
      </c>
      <c r="N303" s="59" t="str">
        <f>IF('Prod 1'!E303="","",'Prod 1'!E303)</f>
        <v/>
      </c>
      <c r="O303" s="59" t="str">
        <f t="shared" si="18"/>
        <v/>
      </c>
      <c r="P303" s="59" t="str">
        <f t="shared" si="19"/>
        <v/>
      </c>
    </row>
    <row r="304" spans="3:16" ht="30" customHeight="1" x14ac:dyDescent="0.25">
      <c r="C304" s="42">
        <v>300</v>
      </c>
      <c r="D304" s="67" t="str">
        <f>IF('Prod 1'!D304="","",'Prod 1'!D304)</f>
        <v/>
      </c>
      <c r="E304" s="64"/>
      <c r="F304" s="58"/>
      <c r="G304" s="65"/>
      <c r="H304" s="65"/>
      <c r="I304" s="58"/>
      <c r="J304" s="58"/>
      <c r="K304" s="132" t="str">
        <f t="shared" si="16"/>
        <v/>
      </c>
      <c r="M304" s="68" t="str">
        <f t="shared" si="17"/>
        <v/>
      </c>
      <c r="N304" s="59" t="str">
        <f>IF('Prod 1'!E304="","",'Prod 1'!E304)</f>
        <v/>
      </c>
      <c r="O304" s="59" t="str">
        <f t="shared" si="18"/>
        <v/>
      </c>
      <c r="P304" s="59" t="str">
        <f t="shared" si="19"/>
        <v/>
      </c>
    </row>
    <row r="305" spans="3:16" ht="30" customHeight="1" x14ac:dyDescent="0.25">
      <c r="C305" s="42">
        <v>301</v>
      </c>
      <c r="D305" s="67" t="str">
        <f>IF('Prod 1'!D305="","",'Prod 1'!D305)</f>
        <v/>
      </c>
      <c r="E305" s="64"/>
      <c r="F305" s="58"/>
      <c r="G305" s="65"/>
      <c r="H305" s="65"/>
      <c r="I305" s="58"/>
      <c r="J305" s="58"/>
      <c r="K305" s="132" t="str">
        <f t="shared" si="16"/>
        <v/>
      </c>
      <c r="M305" s="68" t="str">
        <f t="shared" si="17"/>
        <v/>
      </c>
      <c r="N305" s="59" t="str">
        <f>IF('Prod 1'!E305="","",'Prod 1'!E305)</f>
        <v/>
      </c>
      <c r="O305" s="59" t="str">
        <f t="shared" si="18"/>
        <v/>
      </c>
      <c r="P305" s="59" t="str">
        <f t="shared" si="19"/>
        <v/>
      </c>
    </row>
    <row r="306" spans="3:16" ht="30" customHeight="1" x14ac:dyDescent="0.25">
      <c r="C306" s="42">
        <v>302</v>
      </c>
      <c r="D306" s="67" t="str">
        <f>IF('Prod 1'!D306="","",'Prod 1'!D306)</f>
        <v/>
      </c>
      <c r="E306" s="64"/>
      <c r="F306" s="58"/>
      <c r="G306" s="65"/>
      <c r="H306" s="65"/>
      <c r="I306" s="58"/>
      <c r="J306" s="58"/>
      <c r="K306" s="132" t="str">
        <f t="shared" si="16"/>
        <v/>
      </c>
      <c r="M306" s="68" t="str">
        <f t="shared" si="17"/>
        <v/>
      </c>
      <c r="N306" s="59" t="str">
        <f>IF('Prod 1'!E306="","",'Prod 1'!E306)</f>
        <v/>
      </c>
      <c r="O306" s="59" t="str">
        <f t="shared" si="18"/>
        <v/>
      </c>
      <c r="P306" s="59" t="str">
        <f t="shared" si="19"/>
        <v/>
      </c>
    </row>
    <row r="307" spans="3:16" ht="30" customHeight="1" x14ac:dyDescent="0.25">
      <c r="C307" s="42">
        <v>303</v>
      </c>
      <c r="D307" s="67" t="str">
        <f>IF('Prod 1'!D307="","",'Prod 1'!D307)</f>
        <v/>
      </c>
      <c r="E307" s="64"/>
      <c r="F307" s="58"/>
      <c r="G307" s="65"/>
      <c r="H307" s="65"/>
      <c r="I307" s="58"/>
      <c r="J307" s="58"/>
      <c r="K307" s="132" t="str">
        <f t="shared" si="16"/>
        <v/>
      </c>
      <c r="M307" s="68" t="str">
        <f t="shared" si="17"/>
        <v/>
      </c>
      <c r="N307" s="59" t="str">
        <f>IF('Prod 1'!E307="","",'Prod 1'!E307)</f>
        <v/>
      </c>
      <c r="O307" s="59" t="str">
        <f t="shared" si="18"/>
        <v/>
      </c>
      <c r="P307" s="59" t="str">
        <f t="shared" si="19"/>
        <v/>
      </c>
    </row>
    <row r="308" spans="3:16" ht="30" customHeight="1" x14ac:dyDescent="0.25">
      <c r="C308" s="42">
        <v>304</v>
      </c>
      <c r="D308" s="67" t="str">
        <f>IF('Prod 1'!D308="","",'Prod 1'!D308)</f>
        <v/>
      </c>
      <c r="E308" s="64"/>
      <c r="F308" s="58"/>
      <c r="G308" s="65"/>
      <c r="H308" s="65"/>
      <c r="I308" s="58"/>
      <c r="J308" s="58"/>
      <c r="K308" s="132" t="str">
        <f t="shared" si="16"/>
        <v/>
      </c>
      <c r="M308" s="68" t="str">
        <f t="shared" si="17"/>
        <v/>
      </c>
      <c r="N308" s="59" t="str">
        <f>IF('Prod 1'!E308="","",'Prod 1'!E308)</f>
        <v/>
      </c>
      <c r="O308" s="59" t="str">
        <f t="shared" si="18"/>
        <v/>
      </c>
      <c r="P308" s="59" t="str">
        <f t="shared" si="19"/>
        <v/>
      </c>
    </row>
    <row r="309" spans="3:16" ht="30" customHeight="1" x14ac:dyDescent="0.25">
      <c r="C309" s="42">
        <v>305</v>
      </c>
      <c r="D309" s="67" t="str">
        <f>IF('Prod 1'!D309="","",'Prod 1'!D309)</f>
        <v/>
      </c>
      <c r="E309" s="64"/>
      <c r="F309" s="58"/>
      <c r="G309" s="65"/>
      <c r="H309" s="65"/>
      <c r="I309" s="58"/>
      <c r="J309" s="58"/>
      <c r="K309" s="132" t="str">
        <f t="shared" si="16"/>
        <v/>
      </c>
      <c r="M309" s="68" t="str">
        <f t="shared" si="17"/>
        <v/>
      </c>
      <c r="N309" s="59" t="str">
        <f>IF('Prod 1'!E309="","",'Prod 1'!E309)</f>
        <v/>
      </c>
      <c r="O309" s="59" t="str">
        <f t="shared" si="18"/>
        <v/>
      </c>
      <c r="P309" s="59" t="str">
        <f t="shared" si="19"/>
        <v/>
      </c>
    </row>
    <row r="310" spans="3:16" ht="30" customHeight="1" x14ac:dyDescent="0.25">
      <c r="C310" s="42">
        <v>306</v>
      </c>
      <c r="D310" s="67" t="str">
        <f>IF('Prod 1'!D310="","",'Prod 1'!D310)</f>
        <v/>
      </c>
      <c r="E310" s="64"/>
      <c r="F310" s="58"/>
      <c r="G310" s="65"/>
      <c r="H310" s="65"/>
      <c r="I310" s="58"/>
      <c r="J310" s="58"/>
      <c r="K310" s="132" t="str">
        <f t="shared" si="16"/>
        <v/>
      </c>
      <c r="M310" s="68" t="str">
        <f t="shared" si="17"/>
        <v/>
      </c>
      <c r="N310" s="59" t="str">
        <f>IF('Prod 1'!E310="","",'Prod 1'!E310)</f>
        <v/>
      </c>
      <c r="O310" s="59" t="str">
        <f t="shared" si="18"/>
        <v/>
      </c>
      <c r="P310" s="59" t="str">
        <f t="shared" si="19"/>
        <v/>
      </c>
    </row>
    <row r="311" spans="3:16" ht="30" customHeight="1" x14ac:dyDescent="0.25">
      <c r="C311" s="42">
        <v>307</v>
      </c>
      <c r="D311" s="67" t="str">
        <f>IF('Prod 1'!D311="","",'Prod 1'!D311)</f>
        <v/>
      </c>
      <c r="E311" s="64"/>
      <c r="F311" s="58"/>
      <c r="G311" s="65"/>
      <c r="H311" s="65"/>
      <c r="I311" s="58"/>
      <c r="J311" s="58"/>
      <c r="K311" s="132" t="str">
        <f t="shared" si="16"/>
        <v/>
      </c>
      <c r="M311" s="68" t="str">
        <f t="shared" si="17"/>
        <v/>
      </c>
      <c r="N311" s="59" t="str">
        <f>IF('Prod 1'!E311="","",'Prod 1'!E311)</f>
        <v/>
      </c>
      <c r="O311" s="59" t="str">
        <f t="shared" si="18"/>
        <v/>
      </c>
      <c r="P311" s="59" t="str">
        <f t="shared" si="19"/>
        <v/>
      </c>
    </row>
    <row r="312" spans="3:16" ht="30" customHeight="1" x14ac:dyDescent="0.25">
      <c r="C312" s="42">
        <v>308</v>
      </c>
      <c r="D312" s="67" t="str">
        <f>IF('Prod 1'!D312="","",'Prod 1'!D312)</f>
        <v/>
      </c>
      <c r="E312" s="64"/>
      <c r="F312" s="58"/>
      <c r="G312" s="65"/>
      <c r="H312" s="65"/>
      <c r="I312" s="58"/>
      <c r="J312" s="58"/>
      <c r="K312" s="132" t="str">
        <f t="shared" si="16"/>
        <v/>
      </c>
      <c r="M312" s="68" t="str">
        <f t="shared" si="17"/>
        <v/>
      </c>
      <c r="N312" s="59" t="str">
        <f>IF('Prod 1'!E312="","",'Prod 1'!E312)</f>
        <v/>
      </c>
      <c r="O312" s="59" t="str">
        <f t="shared" si="18"/>
        <v/>
      </c>
      <c r="P312" s="59" t="str">
        <f t="shared" si="19"/>
        <v/>
      </c>
    </row>
    <row r="313" spans="3:16" ht="30" customHeight="1" x14ac:dyDescent="0.25">
      <c r="C313" s="42">
        <v>309</v>
      </c>
      <c r="D313" s="67" t="str">
        <f>IF('Prod 1'!D313="","",'Prod 1'!D313)</f>
        <v/>
      </c>
      <c r="E313" s="64"/>
      <c r="F313" s="58"/>
      <c r="G313" s="65"/>
      <c r="H313" s="65"/>
      <c r="I313" s="58"/>
      <c r="J313" s="58"/>
      <c r="K313" s="132" t="str">
        <f t="shared" si="16"/>
        <v/>
      </c>
      <c r="M313" s="68" t="str">
        <f t="shared" si="17"/>
        <v/>
      </c>
      <c r="N313" s="59" t="str">
        <f>IF('Prod 1'!E313="","",'Prod 1'!E313)</f>
        <v/>
      </c>
      <c r="O313" s="59" t="str">
        <f t="shared" si="18"/>
        <v/>
      </c>
      <c r="P313" s="59" t="str">
        <f t="shared" si="19"/>
        <v/>
      </c>
    </row>
    <row r="314" spans="3:16" ht="30" customHeight="1" x14ac:dyDescent="0.25">
      <c r="C314" s="42">
        <v>310</v>
      </c>
      <c r="D314" s="67" t="str">
        <f>IF('Prod 1'!D314="","",'Prod 1'!D314)</f>
        <v/>
      </c>
      <c r="E314" s="64"/>
      <c r="F314" s="58"/>
      <c r="G314" s="65"/>
      <c r="H314" s="65"/>
      <c r="I314" s="58"/>
      <c r="J314" s="58"/>
      <c r="K314" s="132" t="str">
        <f t="shared" si="16"/>
        <v/>
      </c>
      <c r="M314" s="68" t="str">
        <f t="shared" si="17"/>
        <v/>
      </c>
      <c r="N314" s="59" t="str">
        <f>IF('Prod 1'!E314="","",'Prod 1'!E314)</f>
        <v/>
      </c>
      <c r="O314" s="59" t="str">
        <f t="shared" si="18"/>
        <v/>
      </c>
      <c r="P314" s="59" t="str">
        <f t="shared" si="19"/>
        <v/>
      </c>
    </row>
    <row r="315" spans="3:16" ht="30" customHeight="1" x14ac:dyDescent="0.25">
      <c r="C315" s="42">
        <v>311</v>
      </c>
      <c r="D315" s="67" t="str">
        <f>IF('Prod 1'!D315="","",'Prod 1'!D315)</f>
        <v/>
      </c>
      <c r="E315" s="64"/>
      <c r="F315" s="58"/>
      <c r="G315" s="65"/>
      <c r="H315" s="65"/>
      <c r="I315" s="58"/>
      <c r="J315" s="58"/>
      <c r="K315" s="132" t="str">
        <f t="shared" si="16"/>
        <v/>
      </c>
      <c r="M315" s="68" t="str">
        <f t="shared" si="17"/>
        <v/>
      </c>
      <c r="N315" s="59" t="str">
        <f>IF('Prod 1'!E315="","",'Prod 1'!E315)</f>
        <v/>
      </c>
      <c r="O315" s="59" t="str">
        <f t="shared" si="18"/>
        <v/>
      </c>
      <c r="P315" s="59" t="str">
        <f t="shared" si="19"/>
        <v/>
      </c>
    </row>
    <row r="316" spans="3:16" ht="30" customHeight="1" x14ac:dyDescent="0.25">
      <c r="C316" s="42">
        <v>312</v>
      </c>
      <c r="D316" s="67" t="str">
        <f>IF('Prod 1'!D316="","",'Prod 1'!D316)</f>
        <v/>
      </c>
      <c r="E316" s="64"/>
      <c r="F316" s="58"/>
      <c r="G316" s="65"/>
      <c r="H316" s="65"/>
      <c r="I316" s="58"/>
      <c r="J316" s="58"/>
      <c r="K316" s="132" t="str">
        <f t="shared" si="16"/>
        <v/>
      </c>
      <c r="M316" s="68" t="str">
        <f t="shared" si="17"/>
        <v/>
      </c>
      <c r="N316" s="59" t="str">
        <f>IF('Prod 1'!E316="","",'Prod 1'!E316)</f>
        <v/>
      </c>
      <c r="O316" s="59" t="str">
        <f t="shared" si="18"/>
        <v/>
      </c>
      <c r="P316" s="59" t="str">
        <f t="shared" si="19"/>
        <v/>
      </c>
    </row>
    <row r="317" spans="3:16" ht="30" customHeight="1" x14ac:dyDescent="0.25">
      <c r="C317" s="42">
        <v>313</v>
      </c>
      <c r="D317" s="67" t="str">
        <f>IF('Prod 1'!D317="","",'Prod 1'!D317)</f>
        <v/>
      </c>
      <c r="E317" s="64"/>
      <c r="F317" s="58"/>
      <c r="G317" s="65"/>
      <c r="H317" s="65"/>
      <c r="I317" s="58"/>
      <c r="J317" s="58"/>
      <c r="K317" s="132" t="str">
        <f t="shared" si="16"/>
        <v/>
      </c>
      <c r="M317" s="68" t="str">
        <f t="shared" si="17"/>
        <v/>
      </c>
      <c r="N317" s="59" t="str">
        <f>IF('Prod 1'!E317="","",'Prod 1'!E317)</f>
        <v/>
      </c>
      <c r="O317" s="59" t="str">
        <f t="shared" si="18"/>
        <v/>
      </c>
      <c r="P317" s="59" t="str">
        <f t="shared" si="19"/>
        <v/>
      </c>
    </row>
    <row r="318" spans="3:16" ht="30" customHeight="1" x14ac:dyDescent="0.25">
      <c r="C318" s="42">
        <v>314</v>
      </c>
      <c r="D318" s="67" t="str">
        <f>IF('Prod 1'!D318="","",'Prod 1'!D318)</f>
        <v/>
      </c>
      <c r="E318" s="64"/>
      <c r="F318" s="58"/>
      <c r="G318" s="65"/>
      <c r="H318" s="65"/>
      <c r="I318" s="58"/>
      <c r="J318" s="58"/>
      <c r="K318" s="132" t="str">
        <f t="shared" si="16"/>
        <v/>
      </c>
      <c r="M318" s="68" t="str">
        <f t="shared" si="17"/>
        <v/>
      </c>
      <c r="N318" s="59" t="str">
        <f>IF('Prod 1'!E318="","",'Prod 1'!E318)</f>
        <v/>
      </c>
      <c r="O318" s="59" t="str">
        <f t="shared" si="18"/>
        <v/>
      </c>
      <c r="P318" s="59" t="str">
        <f t="shared" si="19"/>
        <v/>
      </c>
    </row>
    <row r="319" spans="3:16" ht="30" customHeight="1" x14ac:dyDescent="0.25">
      <c r="C319" s="42">
        <v>315</v>
      </c>
      <c r="D319" s="67" t="str">
        <f>IF('Prod 1'!D319="","",'Prod 1'!D319)</f>
        <v/>
      </c>
      <c r="E319" s="64"/>
      <c r="F319" s="58"/>
      <c r="G319" s="65"/>
      <c r="H319" s="65"/>
      <c r="I319" s="58"/>
      <c r="J319" s="58"/>
      <c r="K319" s="132" t="str">
        <f t="shared" si="16"/>
        <v/>
      </c>
      <c r="M319" s="68" t="str">
        <f t="shared" si="17"/>
        <v/>
      </c>
      <c r="N319" s="59" t="str">
        <f>IF('Prod 1'!E319="","",'Prod 1'!E319)</f>
        <v/>
      </c>
      <c r="O319" s="59" t="str">
        <f t="shared" si="18"/>
        <v/>
      </c>
      <c r="P319" s="59" t="str">
        <f t="shared" si="19"/>
        <v/>
      </c>
    </row>
    <row r="320" spans="3:16" ht="30" customHeight="1" x14ac:dyDescent="0.25">
      <c r="C320" s="42">
        <v>316</v>
      </c>
      <c r="D320" s="67" t="str">
        <f>IF('Prod 1'!D320="","",'Prod 1'!D320)</f>
        <v/>
      </c>
      <c r="E320" s="64"/>
      <c r="F320" s="58"/>
      <c r="G320" s="65"/>
      <c r="H320" s="65"/>
      <c r="I320" s="58"/>
      <c r="J320" s="58"/>
      <c r="K320" s="132" t="str">
        <f t="shared" si="16"/>
        <v/>
      </c>
      <c r="M320" s="68" t="str">
        <f t="shared" si="17"/>
        <v/>
      </c>
      <c r="N320" s="59" t="str">
        <f>IF('Prod 1'!E320="","",'Prod 1'!E320)</f>
        <v/>
      </c>
      <c r="O320" s="59" t="str">
        <f t="shared" si="18"/>
        <v/>
      </c>
      <c r="P320" s="59" t="str">
        <f t="shared" si="19"/>
        <v/>
      </c>
    </row>
    <row r="321" spans="3:16" ht="30" customHeight="1" x14ac:dyDescent="0.25">
      <c r="C321" s="42">
        <v>317</v>
      </c>
      <c r="D321" s="67" t="str">
        <f>IF('Prod 1'!D321="","",'Prod 1'!D321)</f>
        <v/>
      </c>
      <c r="E321" s="64"/>
      <c r="F321" s="58"/>
      <c r="G321" s="65"/>
      <c r="H321" s="65"/>
      <c r="I321" s="58"/>
      <c r="J321" s="58"/>
      <c r="K321" s="132" t="str">
        <f t="shared" si="16"/>
        <v/>
      </c>
      <c r="M321" s="68" t="str">
        <f t="shared" si="17"/>
        <v/>
      </c>
      <c r="N321" s="59" t="str">
        <f>IF('Prod 1'!E321="","",'Prod 1'!E321)</f>
        <v/>
      </c>
      <c r="O321" s="59" t="str">
        <f t="shared" si="18"/>
        <v/>
      </c>
      <c r="P321" s="59" t="str">
        <f t="shared" si="19"/>
        <v/>
      </c>
    </row>
    <row r="322" spans="3:16" ht="30" customHeight="1" x14ac:dyDescent="0.25">
      <c r="C322" s="42">
        <v>318</v>
      </c>
      <c r="D322" s="67" t="str">
        <f>IF('Prod 1'!D322="","",'Prod 1'!D322)</f>
        <v/>
      </c>
      <c r="E322" s="64"/>
      <c r="F322" s="58"/>
      <c r="G322" s="65"/>
      <c r="H322" s="65"/>
      <c r="I322" s="58"/>
      <c r="J322" s="58"/>
      <c r="K322" s="132" t="str">
        <f t="shared" si="16"/>
        <v/>
      </c>
      <c r="M322" s="68" t="str">
        <f t="shared" si="17"/>
        <v/>
      </c>
      <c r="N322" s="59" t="str">
        <f>IF('Prod 1'!E322="","",'Prod 1'!E322)</f>
        <v/>
      </c>
      <c r="O322" s="59" t="str">
        <f t="shared" si="18"/>
        <v/>
      </c>
      <c r="P322" s="59" t="str">
        <f t="shared" si="19"/>
        <v/>
      </c>
    </row>
    <row r="323" spans="3:16" ht="30" customHeight="1" x14ac:dyDescent="0.25">
      <c r="C323" s="42">
        <v>319</v>
      </c>
      <c r="D323" s="67" t="str">
        <f>IF('Prod 1'!D323="","",'Prod 1'!D323)</f>
        <v/>
      </c>
      <c r="E323" s="64"/>
      <c r="F323" s="58"/>
      <c r="G323" s="65"/>
      <c r="H323" s="65"/>
      <c r="I323" s="58"/>
      <c r="J323" s="58"/>
      <c r="K323" s="132" t="str">
        <f t="shared" si="16"/>
        <v/>
      </c>
      <c r="M323" s="68" t="str">
        <f t="shared" si="17"/>
        <v/>
      </c>
      <c r="N323" s="59" t="str">
        <f>IF('Prod 1'!E323="","",'Prod 1'!E323)</f>
        <v/>
      </c>
      <c r="O323" s="59" t="str">
        <f t="shared" si="18"/>
        <v/>
      </c>
      <c r="P323" s="59" t="str">
        <f t="shared" si="19"/>
        <v/>
      </c>
    </row>
    <row r="324" spans="3:16" ht="30" customHeight="1" x14ac:dyDescent="0.25">
      <c r="C324" s="42">
        <v>320</v>
      </c>
      <c r="D324" s="67" t="str">
        <f>IF('Prod 1'!D324="","",'Prod 1'!D324)</f>
        <v/>
      </c>
      <c r="E324" s="64"/>
      <c r="F324" s="58"/>
      <c r="G324" s="65"/>
      <c r="H324" s="65"/>
      <c r="I324" s="58"/>
      <c r="J324" s="58"/>
      <c r="K324" s="132" t="str">
        <f t="shared" si="16"/>
        <v/>
      </c>
      <c r="M324" s="68" t="str">
        <f t="shared" si="17"/>
        <v/>
      </c>
      <c r="N324" s="59" t="str">
        <f>IF('Prod 1'!E324="","",'Prod 1'!E324)</f>
        <v/>
      </c>
      <c r="O324" s="59" t="str">
        <f t="shared" si="18"/>
        <v/>
      </c>
      <c r="P324" s="59" t="str">
        <f t="shared" si="19"/>
        <v/>
      </c>
    </row>
    <row r="325" spans="3:16" ht="30" customHeight="1" x14ac:dyDescent="0.25">
      <c r="C325" s="42">
        <v>321</v>
      </c>
      <c r="D325" s="67" t="str">
        <f>IF('Prod 1'!D325="","",'Prod 1'!D325)</f>
        <v/>
      </c>
      <c r="E325" s="64"/>
      <c r="F325" s="58"/>
      <c r="G325" s="65"/>
      <c r="H325" s="65"/>
      <c r="I325" s="58"/>
      <c r="J325" s="58"/>
      <c r="K325" s="132" t="str">
        <f t="shared" si="16"/>
        <v/>
      </c>
      <c r="M325" s="68" t="str">
        <f t="shared" si="17"/>
        <v/>
      </c>
      <c r="N325" s="59" t="str">
        <f>IF('Prod 1'!E325="","",'Prod 1'!E325)</f>
        <v/>
      </c>
      <c r="O325" s="59" t="str">
        <f t="shared" si="18"/>
        <v/>
      </c>
      <c r="P325" s="59" t="str">
        <f t="shared" si="19"/>
        <v/>
      </c>
    </row>
    <row r="326" spans="3:16" ht="30" customHeight="1" x14ac:dyDescent="0.25">
      <c r="C326" s="42">
        <v>322</v>
      </c>
      <c r="D326" s="67" t="str">
        <f>IF('Prod 1'!D326="","",'Prod 1'!D326)</f>
        <v/>
      </c>
      <c r="E326" s="64"/>
      <c r="F326" s="58"/>
      <c r="G326" s="65"/>
      <c r="H326" s="65"/>
      <c r="I326" s="58"/>
      <c r="J326" s="58"/>
      <c r="K326" s="132" t="str">
        <f t="shared" ref="K326:K389" si="20">IF(E326="","",IF(E326="Produção",SUM(I326:J326)+SUM(O326:P326),F326))</f>
        <v/>
      </c>
      <c r="M326" s="68" t="str">
        <f t="shared" ref="M326:M389" si="21">IFERROR(IF(D326="","",100%),0)</f>
        <v/>
      </c>
      <c r="N326" s="59" t="str">
        <f>IF('Prod 1'!E326="","",'Prod 1'!E326)</f>
        <v/>
      </c>
      <c r="O326" s="59" t="str">
        <f t="shared" ref="O326:O389" si="22">IFERROR(IF(D326="","",N326*G326),0)</f>
        <v/>
      </c>
      <c r="P326" s="59" t="str">
        <f t="shared" ref="P326:P389" si="23">IFERROR(IF(D326="","",N326*H326),0)</f>
        <v/>
      </c>
    </row>
    <row r="327" spans="3:16" ht="30" customHeight="1" x14ac:dyDescent="0.25">
      <c r="C327" s="42">
        <v>323</v>
      </c>
      <c r="D327" s="67" t="str">
        <f>IF('Prod 1'!D327="","",'Prod 1'!D327)</f>
        <v/>
      </c>
      <c r="E327" s="64"/>
      <c r="F327" s="58"/>
      <c r="G327" s="65"/>
      <c r="H327" s="65"/>
      <c r="I327" s="58"/>
      <c r="J327" s="58"/>
      <c r="K327" s="132" t="str">
        <f t="shared" si="20"/>
        <v/>
      </c>
      <c r="M327" s="68" t="str">
        <f t="shared" si="21"/>
        <v/>
      </c>
      <c r="N327" s="59" t="str">
        <f>IF('Prod 1'!E327="","",'Prod 1'!E327)</f>
        <v/>
      </c>
      <c r="O327" s="59" t="str">
        <f t="shared" si="22"/>
        <v/>
      </c>
      <c r="P327" s="59" t="str">
        <f t="shared" si="23"/>
        <v/>
      </c>
    </row>
    <row r="328" spans="3:16" ht="30" customHeight="1" x14ac:dyDescent="0.25">
      <c r="C328" s="42">
        <v>324</v>
      </c>
      <c r="D328" s="67" t="str">
        <f>IF('Prod 1'!D328="","",'Prod 1'!D328)</f>
        <v/>
      </c>
      <c r="E328" s="64"/>
      <c r="F328" s="58"/>
      <c r="G328" s="65"/>
      <c r="H328" s="65"/>
      <c r="I328" s="58"/>
      <c r="J328" s="58"/>
      <c r="K328" s="132" t="str">
        <f t="shared" si="20"/>
        <v/>
      </c>
      <c r="M328" s="68" t="str">
        <f t="shared" si="21"/>
        <v/>
      </c>
      <c r="N328" s="59" t="str">
        <f>IF('Prod 1'!E328="","",'Prod 1'!E328)</f>
        <v/>
      </c>
      <c r="O328" s="59" t="str">
        <f t="shared" si="22"/>
        <v/>
      </c>
      <c r="P328" s="59" t="str">
        <f t="shared" si="23"/>
        <v/>
      </c>
    </row>
    <row r="329" spans="3:16" ht="30" customHeight="1" x14ac:dyDescent="0.25">
      <c r="C329" s="42">
        <v>325</v>
      </c>
      <c r="D329" s="67" t="str">
        <f>IF('Prod 1'!D329="","",'Prod 1'!D329)</f>
        <v/>
      </c>
      <c r="E329" s="64"/>
      <c r="F329" s="58"/>
      <c r="G329" s="65"/>
      <c r="H329" s="65"/>
      <c r="I329" s="58"/>
      <c r="J329" s="58"/>
      <c r="K329" s="132" t="str">
        <f t="shared" si="20"/>
        <v/>
      </c>
      <c r="M329" s="68" t="str">
        <f t="shared" si="21"/>
        <v/>
      </c>
      <c r="N329" s="59" t="str">
        <f>IF('Prod 1'!E329="","",'Prod 1'!E329)</f>
        <v/>
      </c>
      <c r="O329" s="59" t="str">
        <f t="shared" si="22"/>
        <v/>
      </c>
      <c r="P329" s="59" t="str">
        <f t="shared" si="23"/>
        <v/>
      </c>
    </row>
    <row r="330" spans="3:16" ht="30" customHeight="1" x14ac:dyDescent="0.25">
      <c r="C330" s="42">
        <v>326</v>
      </c>
      <c r="D330" s="67" t="str">
        <f>IF('Prod 1'!D330="","",'Prod 1'!D330)</f>
        <v/>
      </c>
      <c r="E330" s="64"/>
      <c r="F330" s="58"/>
      <c r="G330" s="65"/>
      <c r="H330" s="65"/>
      <c r="I330" s="58"/>
      <c r="J330" s="58"/>
      <c r="K330" s="132" t="str">
        <f t="shared" si="20"/>
        <v/>
      </c>
      <c r="M330" s="68" t="str">
        <f t="shared" si="21"/>
        <v/>
      </c>
      <c r="N330" s="59" t="str">
        <f>IF('Prod 1'!E330="","",'Prod 1'!E330)</f>
        <v/>
      </c>
      <c r="O330" s="59" t="str">
        <f t="shared" si="22"/>
        <v/>
      </c>
      <c r="P330" s="59" t="str">
        <f t="shared" si="23"/>
        <v/>
      </c>
    </row>
    <row r="331" spans="3:16" ht="30" customHeight="1" x14ac:dyDescent="0.25">
      <c r="C331" s="42">
        <v>327</v>
      </c>
      <c r="D331" s="67" t="str">
        <f>IF('Prod 1'!D331="","",'Prod 1'!D331)</f>
        <v/>
      </c>
      <c r="E331" s="64"/>
      <c r="F331" s="58"/>
      <c r="G331" s="65"/>
      <c r="H331" s="65"/>
      <c r="I331" s="58"/>
      <c r="J331" s="58"/>
      <c r="K331" s="132" t="str">
        <f t="shared" si="20"/>
        <v/>
      </c>
      <c r="M331" s="68" t="str">
        <f t="shared" si="21"/>
        <v/>
      </c>
      <c r="N331" s="59" t="str">
        <f>IF('Prod 1'!E331="","",'Prod 1'!E331)</f>
        <v/>
      </c>
      <c r="O331" s="59" t="str">
        <f t="shared" si="22"/>
        <v/>
      </c>
      <c r="P331" s="59" t="str">
        <f t="shared" si="23"/>
        <v/>
      </c>
    </row>
    <row r="332" spans="3:16" ht="30" customHeight="1" x14ac:dyDescent="0.25">
      <c r="C332" s="42">
        <v>328</v>
      </c>
      <c r="D332" s="67" t="str">
        <f>IF('Prod 1'!D332="","",'Prod 1'!D332)</f>
        <v/>
      </c>
      <c r="E332" s="64"/>
      <c r="F332" s="58"/>
      <c r="G332" s="65"/>
      <c r="H332" s="65"/>
      <c r="I332" s="58"/>
      <c r="J332" s="58"/>
      <c r="K332" s="132" t="str">
        <f t="shared" si="20"/>
        <v/>
      </c>
      <c r="M332" s="68" t="str">
        <f t="shared" si="21"/>
        <v/>
      </c>
      <c r="N332" s="59" t="str">
        <f>IF('Prod 1'!E332="","",'Prod 1'!E332)</f>
        <v/>
      </c>
      <c r="O332" s="59" t="str">
        <f t="shared" si="22"/>
        <v/>
      </c>
      <c r="P332" s="59" t="str">
        <f t="shared" si="23"/>
        <v/>
      </c>
    </row>
    <row r="333" spans="3:16" ht="30" customHeight="1" x14ac:dyDescent="0.25">
      <c r="C333" s="42">
        <v>329</v>
      </c>
      <c r="D333" s="67" t="str">
        <f>IF('Prod 1'!D333="","",'Prod 1'!D333)</f>
        <v/>
      </c>
      <c r="E333" s="64"/>
      <c r="F333" s="58"/>
      <c r="G333" s="65"/>
      <c r="H333" s="65"/>
      <c r="I333" s="58"/>
      <c r="J333" s="58"/>
      <c r="K333" s="132" t="str">
        <f t="shared" si="20"/>
        <v/>
      </c>
      <c r="M333" s="68" t="str">
        <f t="shared" si="21"/>
        <v/>
      </c>
      <c r="N333" s="59" t="str">
        <f>IF('Prod 1'!E333="","",'Prod 1'!E333)</f>
        <v/>
      </c>
      <c r="O333" s="59" t="str">
        <f t="shared" si="22"/>
        <v/>
      </c>
      <c r="P333" s="59" t="str">
        <f t="shared" si="23"/>
        <v/>
      </c>
    </row>
    <row r="334" spans="3:16" ht="30" customHeight="1" x14ac:dyDescent="0.25">
      <c r="C334" s="42">
        <v>330</v>
      </c>
      <c r="D334" s="67" t="str">
        <f>IF('Prod 1'!D334="","",'Prod 1'!D334)</f>
        <v/>
      </c>
      <c r="E334" s="64"/>
      <c r="F334" s="58"/>
      <c r="G334" s="65"/>
      <c r="H334" s="65"/>
      <c r="I334" s="58"/>
      <c r="J334" s="58"/>
      <c r="K334" s="132" t="str">
        <f t="shared" si="20"/>
        <v/>
      </c>
      <c r="M334" s="68" t="str">
        <f t="shared" si="21"/>
        <v/>
      </c>
      <c r="N334" s="59" t="str">
        <f>IF('Prod 1'!E334="","",'Prod 1'!E334)</f>
        <v/>
      </c>
      <c r="O334" s="59" t="str">
        <f t="shared" si="22"/>
        <v/>
      </c>
      <c r="P334" s="59" t="str">
        <f t="shared" si="23"/>
        <v/>
      </c>
    </row>
    <row r="335" spans="3:16" ht="30" customHeight="1" x14ac:dyDescent="0.25">
      <c r="C335" s="42">
        <v>331</v>
      </c>
      <c r="D335" s="67" t="str">
        <f>IF('Prod 1'!D335="","",'Prod 1'!D335)</f>
        <v/>
      </c>
      <c r="E335" s="64"/>
      <c r="F335" s="58"/>
      <c r="G335" s="65"/>
      <c r="H335" s="65"/>
      <c r="I335" s="58"/>
      <c r="J335" s="58"/>
      <c r="K335" s="132" t="str">
        <f t="shared" si="20"/>
        <v/>
      </c>
      <c r="M335" s="68" t="str">
        <f t="shared" si="21"/>
        <v/>
      </c>
      <c r="N335" s="59" t="str">
        <f>IF('Prod 1'!E335="","",'Prod 1'!E335)</f>
        <v/>
      </c>
      <c r="O335" s="59" t="str">
        <f t="shared" si="22"/>
        <v/>
      </c>
      <c r="P335" s="59" t="str">
        <f t="shared" si="23"/>
        <v/>
      </c>
    </row>
    <row r="336" spans="3:16" ht="30" customHeight="1" x14ac:dyDescent="0.25">
      <c r="C336" s="42">
        <v>332</v>
      </c>
      <c r="D336" s="67" t="str">
        <f>IF('Prod 1'!D336="","",'Prod 1'!D336)</f>
        <v/>
      </c>
      <c r="E336" s="64"/>
      <c r="F336" s="58"/>
      <c r="G336" s="65"/>
      <c r="H336" s="65"/>
      <c r="I336" s="58"/>
      <c r="J336" s="58"/>
      <c r="K336" s="132" t="str">
        <f t="shared" si="20"/>
        <v/>
      </c>
      <c r="M336" s="68" t="str">
        <f t="shared" si="21"/>
        <v/>
      </c>
      <c r="N336" s="59" t="str">
        <f>IF('Prod 1'!E336="","",'Prod 1'!E336)</f>
        <v/>
      </c>
      <c r="O336" s="59" t="str">
        <f t="shared" si="22"/>
        <v/>
      </c>
      <c r="P336" s="59" t="str">
        <f t="shared" si="23"/>
        <v/>
      </c>
    </row>
    <row r="337" spans="3:16" ht="30" customHeight="1" x14ac:dyDescent="0.25">
      <c r="C337" s="42">
        <v>333</v>
      </c>
      <c r="D337" s="67" t="str">
        <f>IF('Prod 1'!D337="","",'Prod 1'!D337)</f>
        <v/>
      </c>
      <c r="E337" s="64"/>
      <c r="F337" s="58"/>
      <c r="G337" s="65"/>
      <c r="H337" s="65"/>
      <c r="I337" s="58"/>
      <c r="J337" s="58"/>
      <c r="K337" s="132" t="str">
        <f t="shared" si="20"/>
        <v/>
      </c>
      <c r="M337" s="68" t="str">
        <f t="shared" si="21"/>
        <v/>
      </c>
      <c r="N337" s="59" t="str">
        <f>IF('Prod 1'!E337="","",'Prod 1'!E337)</f>
        <v/>
      </c>
      <c r="O337" s="59" t="str">
        <f t="shared" si="22"/>
        <v/>
      </c>
      <c r="P337" s="59" t="str">
        <f t="shared" si="23"/>
        <v/>
      </c>
    </row>
    <row r="338" spans="3:16" ht="30" customHeight="1" x14ac:dyDescent="0.25">
      <c r="C338" s="42">
        <v>334</v>
      </c>
      <c r="D338" s="67" t="str">
        <f>IF('Prod 1'!D338="","",'Prod 1'!D338)</f>
        <v/>
      </c>
      <c r="E338" s="64"/>
      <c r="F338" s="58"/>
      <c r="G338" s="65"/>
      <c r="H338" s="65"/>
      <c r="I338" s="58"/>
      <c r="J338" s="58"/>
      <c r="K338" s="132" t="str">
        <f t="shared" si="20"/>
        <v/>
      </c>
      <c r="M338" s="68" t="str">
        <f t="shared" si="21"/>
        <v/>
      </c>
      <c r="N338" s="59" t="str">
        <f>IF('Prod 1'!E338="","",'Prod 1'!E338)</f>
        <v/>
      </c>
      <c r="O338" s="59" t="str">
        <f t="shared" si="22"/>
        <v/>
      </c>
      <c r="P338" s="59" t="str">
        <f t="shared" si="23"/>
        <v/>
      </c>
    </row>
    <row r="339" spans="3:16" ht="30" customHeight="1" x14ac:dyDescent="0.25">
      <c r="C339" s="42">
        <v>335</v>
      </c>
      <c r="D339" s="67" t="str">
        <f>IF('Prod 1'!D339="","",'Prod 1'!D339)</f>
        <v/>
      </c>
      <c r="E339" s="64"/>
      <c r="F339" s="58"/>
      <c r="G339" s="65"/>
      <c r="H339" s="65"/>
      <c r="I339" s="58"/>
      <c r="J339" s="58"/>
      <c r="K339" s="132" t="str">
        <f t="shared" si="20"/>
        <v/>
      </c>
      <c r="M339" s="68" t="str">
        <f t="shared" si="21"/>
        <v/>
      </c>
      <c r="N339" s="59" t="str">
        <f>IF('Prod 1'!E339="","",'Prod 1'!E339)</f>
        <v/>
      </c>
      <c r="O339" s="59" t="str">
        <f t="shared" si="22"/>
        <v/>
      </c>
      <c r="P339" s="59" t="str">
        <f t="shared" si="23"/>
        <v/>
      </c>
    </row>
    <row r="340" spans="3:16" ht="30" customHeight="1" x14ac:dyDescent="0.25">
      <c r="C340" s="42">
        <v>336</v>
      </c>
      <c r="D340" s="67" t="str">
        <f>IF('Prod 1'!D340="","",'Prod 1'!D340)</f>
        <v/>
      </c>
      <c r="E340" s="64"/>
      <c r="F340" s="58"/>
      <c r="G340" s="65"/>
      <c r="H340" s="65"/>
      <c r="I340" s="58"/>
      <c r="J340" s="58"/>
      <c r="K340" s="132" t="str">
        <f t="shared" si="20"/>
        <v/>
      </c>
      <c r="M340" s="68" t="str">
        <f t="shared" si="21"/>
        <v/>
      </c>
      <c r="N340" s="59" t="str">
        <f>IF('Prod 1'!E340="","",'Prod 1'!E340)</f>
        <v/>
      </c>
      <c r="O340" s="59" t="str">
        <f t="shared" si="22"/>
        <v/>
      </c>
      <c r="P340" s="59" t="str">
        <f t="shared" si="23"/>
        <v/>
      </c>
    </row>
    <row r="341" spans="3:16" ht="30" customHeight="1" x14ac:dyDescent="0.25">
      <c r="C341" s="42">
        <v>337</v>
      </c>
      <c r="D341" s="67" t="str">
        <f>IF('Prod 1'!D341="","",'Prod 1'!D341)</f>
        <v/>
      </c>
      <c r="E341" s="64"/>
      <c r="F341" s="58"/>
      <c r="G341" s="65"/>
      <c r="H341" s="65"/>
      <c r="I341" s="58"/>
      <c r="J341" s="58"/>
      <c r="K341" s="132" t="str">
        <f t="shared" si="20"/>
        <v/>
      </c>
      <c r="M341" s="68" t="str">
        <f t="shared" si="21"/>
        <v/>
      </c>
      <c r="N341" s="59" t="str">
        <f>IF('Prod 1'!E341="","",'Prod 1'!E341)</f>
        <v/>
      </c>
      <c r="O341" s="59" t="str">
        <f t="shared" si="22"/>
        <v/>
      </c>
      <c r="P341" s="59" t="str">
        <f t="shared" si="23"/>
        <v/>
      </c>
    </row>
    <row r="342" spans="3:16" ht="30" customHeight="1" x14ac:dyDescent="0.25">
      <c r="C342" s="42">
        <v>338</v>
      </c>
      <c r="D342" s="67" t="str">
        <f>IF('Prod 1'!D342="","",'Prod 1'!D342)</f>
        <v/>
      </c>
      <c r="E342" s="64"/>
      <c r="F342" s="58"/>
      <c r="G342" s="65"/>
      <c r="H342" s="65"/>
      <c r="I342" s="58"/>
      <c r="J342" s="58"/>
      <c r="K342" s="132" t="str">
        <f t="shared" si="20"/>
        <v/>
      </c>
      <c r="M342" s="68" t="str">
        <f t="shared" si="21"/>
        <v/>
      </c>
      <c r="N342" s="59" t="str">
        <f>IF('Prod 1'!E342="","",'Prod 1'!E342)</f>
        <v/>
      </c>
      <c r="O342" s="59" t="str">
        <f t="shared" si="22"/>
        <v/>
      </c>
      <c r="P342" s="59" t="str">
        <f t="shared" si="23"/>
        <v/>
      </c>
    </row>
    <row r="343" spans="3:16" ht="30" customHeight="1" x14ac:dyDescent="0.25">
      <c r="C343" s="42">
        <v>339</v>
      </c>
      <c r="D343" s="67" t="str">
        <f>IF('Prod 1'!D343="","",'Prod 1'!D343)</f>
        <v/>
      </c>
      <c r="E343" s="64"/>
      <c r="F343" s="58"/>
      <c r="G343" s="65"/>
      <c r="H343" s="65"/>
      <c r="I343" s="58"/>
      <c r="J343" s="58"/>
      <c r="K343" s="132" t="str">
        <f t="shared" si="20"/>
        <v/>
      </c>
      <c r="M343" s="68" t="str">
        <f t="shared" si="21"/>
        <v/>
      </c>
      <c r="N343" s="59" t="str">
        <f>IF('Prod 1'!E343="","",'Prod 1'!E343)</f>
        <v/>
      </c>
      <c r="O343" s="59" t="str">
        <f t="shared" si="22"/>
        <v/>
      </c>
      <c r="P343" s="59" t="str">
        <f t="shared" si="23"/>
        <v/>
      </c>
    </row>
    <row r="344" spans="3:16" ht="30" customHeight="1" x14ac:dyDescent="0.25">
      <c r="C344" s="42">
        <v>340</v>
      </c>
      <c r="D344" s="67" t="str">
        <f>IF('Prod 1'!D344="","",'Prod 1'!D344)</f>
        <v/>
      </c>
      <c r="E344" s="64"/>
      <c r="F344" s="58"/>
      <c r="G344" s="65"/>
      <c r="H344" s="65"/>
      <c r="I344" s="58"/>
      <c r="J344" s="58"/>
      <c r="K344" s="132" t="str">
        <f t="shared" si="20"/>
        <v/>
      </c>
      <c r="M344" s="68" t="str">
        <f t="shared" si="21"/>
        <v/>
      </c>
      <c r="N344" s="59" t="str">
        <f>IF('Prod 1'!E344="","",'Prod 1'!E344)</f>
        <v/>
      </c>
      <c r="O344" s="59" t="str">
        <f t="shared" si="22"/>
        <v/>
      </c>
      <c r="P344" s="59" t="str">
        <f t="shared" si="23"/>
        <v/>
      </c>
    </row>
    <row r="345" spans="3:16" ht="30" customHeight="1" x14ac:dyDescent="0.25">
      <c r="C345" s="42">
        <v>341</v>
      </c>
      <c r="D345" s="67" t="str">
        <f>IF('Prod 1'!D345="","",'Prod 1'!D345)</f>
        <v/>
      </c>
      <c r="E345" s="64"/>
      <c r="F345" s="58"/>
      <c r="G345" s="65"/>
      <c r="H345" s="65"/>
      <c r="I345" s="58"/>
      <c r="J345" s="58"/>
      <c r="K345" s="132" t="str">
        <f t="shared" si="20"/>
        <v/>
      </c>
      <c r="M345" s="68" t="str">
        <f t="shared" si="21"/>
        <v/>
      </c>
      <c r="N345" s="59" t="str">
        <f>IF('Prod 1'!E345="","",'Prod 1'!E345)</f>
        <v/>
      </c>
      <c r="O345" s="59" t="str">
        <f t="shared" si="22"/>
        <v/>
      </c>
      <c r="P345" s="59" t="str">
        <f t="shared" si="23"/>
        <v/>
      </c>
    </row>
    <row r="346" spans="3:16" ht="30" customHeight="1" x14ac:dyDescent="0.25">
      <c r="C346" s="42">
        <v>342</v>
      </c>
      <c r="D346" s="67" t="str">
        <f>IF('Prod 1'!D346="","",'Prod 1'!D346)</f>
        <v/>
      </c>
      <c r="E346" s="64"/>
      <c r="F346" s="58"/>
      <c r="G346" s="65"/>
      <c r="H346" s="65"/>
      <c r="I346" s="58"/>
      <c r="J346" s="58"/>
      <c r="K346" s="132" t="str">
        <f t="shared" si="20"/>
        <v/>
      </c>
      <c r="M346" s="68" t="str">
        <f t="shared" si="21"/>
        <v/>
      </c>
      <c r="N346" s="59" t="str">
        <f>IF('Prod 1'!E346="","",'Prod 1'!E346)</f>
        <v/>
      </c>
      <c r="O346" s="59" t="str">
        <f t="shared" si="22"/>
        <v/>
      </c>
      <c r="P346" s="59" t="str">
        <f t="shared" si="23"/>
        <v/>
      </c>
    </row>
    <row r="347" spans="3:16" ht="30" customHeight="1" x14ac:dyDescent="0.25">
      <c r="C347" s="42">
        <v>343</v>
      </c>
      <c r="D347" s="67" t="str">
        <f>IF('Prod 1'!D347="","",'Prod 1'!D347)</f>
        <v/>
      </c>
      <c r="E347" s="64"/>
      <c r="F347" s="58"/>
      <c r="G347" s="65"/>
      <c r="H347" s="65"/>
      <c r="I347" s="58"/>
      <c r="J347" s="58"/>
      <c r="K347" s="132" t="str">
        <f t="shared" si="20"/>
        <v/>
      </c>
      <c r="M347" s="68" t="str">
        <f t="shared" si="21"/>
        <v/>
      </c>
      <c r="N347" s="59" t="str">
        <f>IF('Prod 1'!E347="","",'Prod 1'!E347)</f>
        <v/>
      </c>
      <c r="O347" s="59" t="str">
        <f t="shared" si="22"/>
        <v/>
      </c>
      <c r="P347" s="59" t="str">
        <f t="shared" si="23"/>
        <v/>
      </c>
    </row>
    <row r="348" spans="3:16" ht="30" customHeight="1" x14ac:dyDescent="0.25">
      <c r="C348" s="42">
        <v>344</v>
      </c>
      <c r="D348" s="67" t="str">
        <f>IF('Prod 1'!D348="","",'Prod 1'!D348)</f>
        <v/>
      </c>
      <c r="E348" s="64"/>
      <c r="F348" s="58"/>
      <c r="G348" s="65"/>
      <c r="H348" s="65"/>
      <c r="I348" s="58"/>
      <c r="J348" s="58"/>
      <c r="K348" s="132" t="str">
        <f t="shared" si="20"/>
        <v/>
      </c>
      <c r="M348" s="68" t="str">
        <f t="shared" si="21"/>
        <v/>
      </c>
      <c r="N348" s="59" t="str">
        <f>IF('Prod 1'!E348="","",'Prod 1'!E348)</f>
        <v/>
      </c>
      <c r="O348" s="59" t="str">
        <f t="shared" si="22"/>
        <v/>
      </c>
      <c r="P348" s="59" t="str">
        <f t="shared" si="23"/>
        <v/>
      </c>
    </row>
    <row r="349" spans="3:16" ht="30" customHeight="1" x14ac:dyDescent="0.25">
      <c r="C349" s="42">
        <v>345</v>
      </c>
      <c r="D349" s="67" t="str">
        <f>IF('Prod 1'!D349="","",'Prod 1'!D349)</f>
        <v/>
      </c>
      <c r="E349" s="64"/>
      <c r="F349" s="58"/>
      <c r="G349" s="65"/>
      <c r="H349" s="65"/>
      <c r="I349" s="58"/>
      <c r="J349" s="58"/>
      <c r="K349" s="132" t="str">
        <f t="shared" si="20"/>
        <v/>
      </c>
      <c r="M349" s="68" t="str">
        <f t="shared" si="21"/>
        <v/>
      </c>
      <c r="N349" s="59" t="str">
        <f>IF('Prod 1'!E349="","",'Prod 1'!E349)</f>
        <v/>
      </c>
      <c r="O349" s="59" t="str">
        <f t="shared" si="22"/>
        <v/>
      </c>
      <c r="P349" s="59" t="str">
        <f t="shared" si="23"/>
        <v/>
      </c>
    </row>
    <row r="350" spans="3:16" ht="30" customHeight="1" x14ac:dyDescent="0.25">
      <c r="C350" s="42">
        <v>346</v>
      </c>
      <c r="D350" s="67" t="str">
        <f>IF('Prod 1'!D350="","",'Prod 1'!D350)</f>
        <v/>
      </c>
      <c r="E350" s="64"/>
      <c r="F350" s="58"/>
      <c r="G350" s="65"/>
      <c r="H350" s="65"/>
      <c r="I350" s="58"/>
      <c r="J350" s="58"/>
      <c r="K350" s="132" t="str">
        <f t="shared" si="20"/>
        <v/>
      </c>
      <c r="M350" s="68" t="str">
        <f t="shared" si="21"/>
        <v/>
      </c>
      <c r="N350" s="59" t="str">
        <f>IF('Prod 1'!E350="","",'Prod 1'!E350)</f>
        <v/>
      </c>
      <c r="O350" s="59" t="str">
        <f t="shared" si="22"/>
        <v/>
      </c>
      <c r="P350" s="59" t="str">
        <f t="shared" si="23"/>
        <v/>
      </c>
    </row>
    <row r="351" spans="3:16" ht="30" customHeight="1" x14ac:dyDescent="0.25">
      <c r="C351" s="42">
        <v>347</v>
      </c>
      <c r="D351" s="67" t="str">
        <f>IF('Prod 1'!D351="","",'Prod 1'!D351)</f>
        <v/>
      </c>
      <c r="E351" s="64"/>
      <c r="F351" s="58"/>
      <c r="G351" s="65"/>
      <c r="H351" s="65"/>
      <c r="I351" s="58"/>
      <c r="J351" s="58"/>
      <c r="K351" s="132" t="str">
        <f t="shared" si="20"/>
        <v/>
      </c>
      <c r="M351" s="68" t="str">
        <f t="shared" si="21"/>
        <v/>
      </c>
      <c r="N351" s="59" t="str">
        <f>IF('Prod 1'!E351="","",'Prod 1'!E351)</f>
        <v/>
      </c>
      <c r="O351" s="59" t="str">
        <f t="shared" si="22"/>
        <v/>
      </c>
      <c r="P351" s="59" t="str">
        <f t="shared" si="23"/>
        <v/>
      </c>
    </row>
    <row r="352" spans="3:16" ht="30" customHeight="1" x14ac:dyDescent="0.25">
      <c r="C352" s="42">
        <v>348</v>
      </c>
      <c r="D352" s="67" t="str">
        <f>IF('Prod 1'!D352="","",'Prod 1'!D352)</f>
        <v/>
      </c>
      <c r="E352" s="64"/>
      <c r="F352" s="58"/>
      <c r="G352" s="65"/>
      <c r="H352" s="65"/>
      <c r="I352" s="58"/>
      <c r="J352" s="58"/>
      <c r="K352" s="132" t="str">
        <f t="shared" si="20"/>
        <v/>
      </c>
      <c r="M352" s="68" t="str">
        <f t="shared" si="21"/>
        <v/>
      </c>
      <c r="N352" s="59" t="str">
        <f>IF('Prod 1'!E352="","",'Prod 1'!E352)</f>
        <v/>
      </c>
      <c r="O352" s="59" t="str">
        <f t="shared" si="22"/>
        <v/>
      </c>
      <c r="P352" s="59" t="str">
        <f t="shared" si="23"/>
        <v/>
      </c>
    </row>
    <row r="353" spans="3:16" ht="30" customHeight="1" x14ac:dyDescent="0.25">
      <c r="C353" s="42">
        <v>349</v>
      </c>
      <c r="D353" s="67" t="str">
        <f>IF('Prod 1'!D353="","",'Prod 1'!D353)</f>
        <v/>
      </c>
      <c r="E353" s="64"/>
      <c r="F353" s="58"/>
      <c r="G353" s="65"/>
      <c r="H353" s="65"/>
      <c r="I353" s="58"/>
      <c r="J353" s="58"/>
      <c r="K353" s="132" t="str">
        <f t="shared" si="20"/>
        <v/>
      </c>
      <c r="M353" s="68" t="str">
        <f t="shared" si="21"/>
        <v/>
      </c>
      <c r="N353" s="59" t="str">
        <f>IF('Prod 1'!E353="","",'Prod 1'!E353)</f>
        <v/>
      </c>
      <c r="O353" s="59" t="str">
        <f t="shared" si="22"/>
        <v/>
      </c>
      <c r="P353" s="59" t="str">
        <f t="shared" si="23"/>
        <v/>
      </c>
    </row>
    <row r="354" spans="3:16" ht="30" customHeight="1" x14ac:dyDescent="0.25">
      <c r="C354" s="42">
        <v>350</v>
      </c>
      <c r="D354" s="67" t="str">
        <f>IF('Prod 1'!D354="","",'Prod 1'!D354)</f>
        <v/>
      </c>
      <c r="E354" s="64"/>
      <c r="F354" s="58"/>
      <c r="G354" s="65"/>
      <c r="H354" s="65"/>
      <c r="I354" s="58"/>
      <c r="J354" s="58"/>
      <c r="K354" s="132" t="str">
        <f t="shared" si="20"/>
        <v/>
      </c>
      <c r="M354" s="68" t="str">
        <f t="shared" si="21"/>
        <v/>
      </c>
      <c r="N354" s="59" t="str">
        <f>IF('Prod 1'!E354="","",'Prod 1'!E354)</f>
        <v/>
      </c>
      <c r="O354" s="59" t="str">
        <f t="shared" si="22"/>
        <v/>
      </c>
      <c r="P354" s="59" t="str">
        <f t="shared" si="23"/>
        <v/>
      </c>
    </row>
    <row r="355" spans="3:16" ht="30" customHeight="1" x14ac:dyDescent="0.25">
      <c r="C355" s="42">
        <v>351</v>
      </c>
      <c r="D355" s="67" t="str">
        <f>IF('Prod 1'!D355="","",'Prod 1'!D355)</f>
        <v/>
      </c>
      <c r="E355" s="64"/>
      <c r="F355" s="58"/>
      <c r="G355" s="65"/>
      <c r="H355" s="65"/>
      <c r="I355" s="58"/>
      <c r="J355" s="58"/>
      <c r="K355" s="132" t="str">
        <f t="shared" si="20"/>
        <v/>
      </c>
      <c r="M355" s="68" t="str">
        <f t="shared" si="21"/>
        <v/>
      </c>
      <c r="N355" s="59" t="str">
        <f>IF('Prod 1'!E355="","",'Prod 1'!E355)</f>
        <v/>
      </c>
      <c r="O355" s="59" t="str">
        <f t="shared" si="22"/>
        <v/>
      </c>
      <c r="P355" s="59" t="str">
        <f t="shared" si="23"/>
        <v/>
      </c>
    </row>
    <row r="356" spans="3:16" ht="30" customHeight="1" x14ac:dyDescent="0.25">
      <c r="C356" s="42">
        <v>352</v>
      </c>
      <c r="D356" s="67" t="str">
        <f>IF('Prod 1'!D356="","",'Prod 1'!D356)</f>
        <v/>
      </c>
      <c r="E356" s="64"/>
      <c r="F356" s="58"/>
      <c r="G356" s="65"/>
      <c r="H356" s="65"/>
      <c r="I356" s="58"/>
      <c r="J356" s="58"/>
      <c r="K356" s="132" t="str">
        <f t="shared" si="20"/>
        <v/>
      </c>
      <c r="M356" s="68" t="str">
        <f t="shared" si="21"/>
        <v/>
      </c>
      <c r="N356" s="59" t="str">
        <f>IF('Prod 1'!E356="","",'Prod 1'!E356)</f>
        <v/>
      </c>
      <c r="O356" s="59" t="str">
        <f t="shared" si="22"/>
        <v/>
      </c>
      <c r="P356" s="59" t="str">
        <f t="shared" si="23"/>
        <v/>
      </c>
    </row>
    <row r="357" spans="3:16" ht="30" customHeight="1" x14ac:dyDescent="0.25">
      <c r="C357" s="42">
        <v>353</v>
      </c>
      <c r="D357" s="67" t="str">
        <f>IF('Prod 1'!D357="","",'Prod 1'!D357)</f>
        <v/>
      </c>
      <c r="E357" s="64"/>
      <c r="F357" s="58"/>
      <c r="G357" s="65"/>
      <c r="H357" s="65"/>
      <c r="I357" s="58"/>
      <c r="J357" s="58"/>
      <c r="K357" s="132" t="str">
        <f t="shared" si="20"/>
        <v/>
      </c>
      <c r="M357" s="68" t="str">
        <f t="shared" si="21"/>
        <v/>
      </c>
      <c r="N357" s="59" t="str">
        <f>IF('Prod 1'!E357="","",'Prod 1'!E357)</f>
        <v/>
      </c>
      <c r="O357" s="59" t="str">
        <f t="shared" si="22"/>
        <v/>
      </c>
      <c r="P357" s="59" t="str">
        <f t="shared" si="23"/>
        <v/>
      </c>
    </row>
    <row r="358" spans="3:16" ht="30" customHeight="1" x14ac:dyDescent="0.25">
      <c r="C358" s="42">
        <v>354</v>
      </c>
      <c r="D358" s="67" t="str">
        <f>IF('Prod 1'!D358="","",'Prod 1'!D358)</f>
        <v/>
      </c>
      <c r="E358" s="64"/>
      <c r="F358" s="58"/>
      <c r="G358" s="65"/>
      <c r="H358" s="65"/>
      <c r="I358" s="58"/>
      <c r="J358" s="58"/>
      <c r="K358" s="132" t="str">
        <f t="shared" si="20"/>
        <v/>
      </c>
      <c r="M358" s="68" t="str">
        <f t="shared" si="21"/>
        <v/>
      </c>
      <c r="N358" s="59" t="str">
        <f>IF('Prod 1'!E358="","",'Prod 1'!E358)</f>
        <v/>
      </c>
      <c r="O358" s="59" t="str">
        <f t="shared" si="22"/>
        <v/>
      </c>
      <c r="P358" s="59" t="str">
        <f t="shared" si="23"/>
        <v/>
      </c>
    </row>
    <row r="359" spans="3:16" ht="30" customHeight="1" x14ac:dyDescent="0.25">
      <c r="C359" s="42">
        <v>355</v>
      </c>
      <c r="D359" s="67" t="str">
        <f>IF('Prod 1'!D359="","",'Prod 1'!D359)</f>
        <v/>
      </c>
      <c r="E359" s="64"/>
      <c r="F359" s="58"/>
      <c r="G359" s="65"/>
      <c r="H359" s="65"/>
      <c r="I359" s="58"/>
      <c r="J359" s="58"/>
      <c r="K359" s="132" t="str">
        <f t="shared" si="20"/>
        <v/>
      </c>
      <c r="M359" s="68" t="str">
        <f t="shared" si="21"/>
        <v/>
      </c>
      <c r="N359" s="59" t="str">
        <f>IF('Prod 1'!E359="","",'Prod 1'!E359)</f>
        <v/>
      </c>
      <c r="O359" s="59" t="str">
        <f t="shared" si="22"/>
        <v/>
      </c>
      <c r="P359" s="59" t="str">
        <f t="shared" si="23"/>
        <v/>
      </c>
    </row>
    <row r="360" spans="3:16" ht="30" customHeight="1" x14ac:dyDescent="0.25">
      <c r="C360" s="42">
        <v>356</v>
      </c>
      <c r="D360" s="67" t="str">
        <f>IF('Prod 1'!D360="","",'Prod 1'!D360)</f>
        <v/>
      </c>
      <c r="E360" s="64"/>
      <c r="F360" s="58"/>
      <c r="G360" s="65"/>
      <c r="H360" s="65"/>
      <c r="I360" s="58"/>
      <c r="J360" s="58"/>
      <c r="K360" s="132" t="str">
        <f t="shared" si="20"/>
        <v/>
      </c>
      <c r="M360" s="68" t="str">
        <f t="shared" si="21"/>
        <v/>
      </c>
      <c r="N360" s="59" t="str">
        <f>IF('Prod 1'!E360="","",'Prod 1'!E360)</f>
        <v/>
      </c>
      <c r="O360" s="59" t="str">
        <f t="shared" si="22"/>
        <v/>
      </c>
      <c r="P360" s="59" t="str">
        <f t="shared" si="23"/>
        <v/>
      </c>
    </row>
    <row r="361" spans="3:16" ht="30" customHeight="1" x14ac:dyDescent="0.25">
      <c r="C361" s="42">
        <v>357</v>
      </c>
      <c r="D361" s="67" t="str">
        <f>IF('Prod 1'!D361="","",'Prod 1'!D361)</f>
        <v/>
      </c>
      <c r="E361" s="64"/>
      <c r="F361" s="58"/>
      <c r="G361" s="65"/>
      <c r="H361" s="65"/>
      <c r="I361" s="58"/>
      <c r="J361" s="58"/>
      <c r="K361" s="132" t="str">
        <f t="shared" si="20"/>
        <v/>
      </c>
      <c r="M361" s="68" t="str">
        <f t="shared" si="21"/>
        <v/>
      </c>
      <c r="N361" s="59" t="str">
        <f>IF('Prod 1'!E361="","",'Prod 1'!E361)</f>
        <v/>
      </c>
      <c r="O361" s="59" t="str">
        <f t="shared" si="22"/>
        <v/>
      </c>
      <c r="P361" s="59" t="str">
        <f t="shared" si="23"/>
        <v/>
      </c>
    </row>
    <row r="362" spans="3:16" ht="30" customHeight="1" x14ac:dyDescent="0.25">
      <c r="C362" s="42">
        <v>358</v>
      </c>
      <c r="D362" s="67" t="str">
        <f>IF('Prod 1'!D362="","",'Prod 1'!D362)</f>
        <v/>
      </c>
      <c r="E362" s="64"/>
      <c r="F362" s="58"/>
      <c r="G362" s="65"/>
      <c r="H362" s="65"/>
      <c r="I362" s="58"/>
      <c r="J362" s="58"/>
      <c r="K362" s="132" t="str">
        <f t="shared" si="20"/>
        <v/>
      </c>
      <c r="M362" s="68" t="str">
        <f t="shared" si="21"/>
        <v/>
      </c>
      <c r="N362" s="59" t="str">
        <f>IF('Prod 1'!E362="","",'Prod 1'!E362)</f>
        <v/>
      </c>
      <c r="O362" s="59" t="str">
        <f t="shared" si="22"/>
        <v/>
      </c>
      <c r="P362" s="59" t="str">
        <f t="shared" si="23"/>
        <v/>
      </c>
    </row>
    <row r="363" spans="3:16" ht="30" customHeight="1" x14ac:dyDescent="0.25">
      <c r="C363" s="42">
        <v>359</v>
      </c>
      <c r="D363" s="67" t="str">
        <f>IF('Prod 1'!D363="","",'Prod 1'!D363)</f>
        <v/>
      </c>
      <c r="E363" s="64"/>
      <c r="F363" s="58"/>
      <c r="G363" s="65"/>
      <c r="H363" s="65"/>
      <c r="I363" s="58"/>
      <c r="J363" s="58"/>
      <c r="K363" s="132" t="str">
        <f t="shared" si="20"/>
        <v/>
      </c>
      <c r="M363" s="68" t="str">
        <f t="shared" si="21"/>
        <v/>
      </c>
      <c r="N363" s="59" t="str">
        <f>IF('Prod 1'!E363="","",'Prod 1'!E363)</f>
        <v/>
      </c>
      <c r="O363" s="59" t="str">
        <f t="shared" si="22"/>
        <v/>
      </c>
      <c r="P363" s="59" t="str">
        <f t="shared" si="23"/>
        <v/>
      </c>
    </row>
    <row r="364" spans="3:16" ht="30" customHeight="1" x14ac:dyDescent="0.25">
      <c r="C364" s="42">
        <v>360</v>
      </c>
      <c r="D364" s="67" t="str">
        <f>IF('Prod 1'!D364="","",'Prod 1'!D364)</f>
        <v/>
      </c>
      <c r="E364" s="64"/>
      <c r="F364" s="58"/>
      <c r="G364" s="65"/>
      <c r="H364" s="65"/>
      <c r="I364" s="58"/>
      <c r="J364" s="58"/>
      <c r="K364" s="132" t="str">
        <f t="shared" si="20"/>
        <v/>
      </c>
      <c r="M364" s="68" t="str">
        <f t="shared" si="21"/>
        <v/>
      </c>
      <c r="N364" s="59" t="str">
        <f>IF('Prod 1'!E364="","",'Prod 1'!E364)</f>
        <v/>
      </c>
      <c r="O364" s="59" t="str">
        <f t="shared" si="22"/>
        <v/>
      </c>
      <c r="P364" s="59" t="str">
        <f t="shared" si="23"/>
        <v/>
      </c>
    </row>
    <row r="365" spans="3:16" ht="30" customHeight="1" x14ac:dyDescent="0.25">
      <c r="C365" s="42">
        <v>361</v>
      </c>
      <c r="D365" s="67" t="str">
        <f>IF('Prod 1'!D365="","",'Prod 1'!D365)</f>
        <v/>
      </c>
      <c r="E365" s="64"/>
      <c r="F365" s="58"/>
      <c r="G365" s="65"/>
      <c r="H365" s="65"/>
      <c r="I365" s="58"/>
      <c r="J365" s="58"/>
      <c r="K365" s="132" t="str">
        <f t="shared" si="20"/>
        <v/>
      </c>
      <c r="M365" s="68" t="str">
        <f t="shared" si="21"/>
        <v/>
      </c>
      <c r="N365" s="59" t="str">
        <f>IF('Prod 1'!E365="","",'Prod 1'!E365)</f>
        <v/>
      </c>
      <c r="O365" s="59" t="str">
        <f t="shared" si="22"/>
        <v/>
      </c>
      <c r="P365" s="59" t="str">
        <f t="shared" si="23"/>
        <v/>
      </c>
    </row>
    <row r="366" spans="3:16" ht="30" customHeight="1" x14ac:dyDescent="0.25">
      <c r="C366" s="42">
        <v>362</v>
      </c>
      <c r="D366" s="67" t="str">
        <f>IF('Prod 1'!D366="","",'Prod 1'!D366)</f>
        <v/>
      </c>
      <c r="E366" s="64"/>
      <c r="F366" s="58"/>
      <c r="G366" s="65"/>
      <c r="H366" s="65"/>
      <c r="I366" s="58"/>
      <c r="J366" s="58"/>
      <c r="K366" s="132" t="str">
        <f t="shared" si="20"/>
        <v/>
      </c>
      <c r="M366" s="68" t="str">
        <f t="shared" si="21"/>
        <v/>
      </c>
      <c r="N366" s="59" t="str">
        <f>IF('Prod 1'!E366="","",'Prod 1'!E366)</f>
        <v/>
      </c>
      <c r="O366" s="59" t="str">
        <f t="shared" si="22"/>
        <v/>
      </c>
      <c r="P366" s="59" t="str">
        <f t="shared" si="23"/>
        <v/>
      </c>
    </row>
    <row r="367" spans="3:16" ht="30" customHeight="1" x14ac:dyDescent="0.25">
      <c r="C367" s="42">
        <v>363</v>
      </c>
      <c r="D367" s="67" t="str">
        <f>IF('Prod 1'!D367="","",'Prod 1'!D367)</f>
        <v/>
      </c>
      <c r="E367" s="64"/>
      <c r="F367" s="58"/>
      <c r="G367" s="65"/>
      <c r="H367" s="65"/>
      <c r="I367" s="58"/>
      <c r="J367" s="58"/>
      <c r="K367" s="132" t="str">
        <f t="shared" si="20"/>
        <v/>
      </c>
      <c r="M367" s="68" t="str">
        <f t="shared" si="21"/>
        <v/>
      </c>
      <c r="N367" s="59" t="str">
        <f>IF('Prod 1'!E367="","",'Prod 1'!E367)</f>
        <v/>
      </c>
      <c r="O367" s="59" t="str">
        <f t="shared" si="22"/>
        <v/>
      </c>
      <c r="P367" s="59" t="str">
        <f t="shared" si="23"/>
        <v/>
      </c>
    </row>
    <row r="368" spans="3:16" ht="30" customHeight="1" x14ac:dyDescent="0.25">
      <c r="C368" s="42">
        <v>364</v>
      </c>
      <c r="D368" s="67" t="str">
        <f>IF('Prod 1'!D368="","",'Prod 1'!D368)</f>
        <v/>
      </c>
      <c r="E368" s="64"/>
      <c r="F368" s="58"/>
      <c r="G368" s="65"/>
      <c r="H368" s="65"/>
      <c r="I368" s="58"/>
      <c r="J368" s="58"/>
      <c r="K368" s="132" t="str">
        <f t="shared" si="20"/>
        <v/>
      </c>
      <c r="M368" s="68" t="str">
        <f t="shared" si="21"/>
        <v/>
      </c>
      <c r="N368" s="59" t="str">
        <f>IF('Prod 1'!E368="","",'Prod 1'!E368)</f>
        <v/>
      </c>
      <c r="O368" s="59" t="str">
        <f t="shared" si="22"/>
        <v/>
      </c>
      <c r="P368" s="59" t="str">
        <f t="shared" si="23"/>
        <v/>
      </c>
    </row>
    <row r="369" spans="3:16" ht="30" customHeight="1" x14ac:dyDescent="0.25">
      <c r="C369" s="42">
        <v>365</v>
      </c>
      <c r="D369" s="67" t="str">
        <f>IF('Prod 1'!D369="","",'Prod 1'!D369)</f>
        <v/>
      </c>
      <c r="E369" s="64"/>
      <c r="F369" s="58"/>
      <c r="G369" s="65"/>
      <c r="H369" s="65"/>
      <c r="I369" s="58"/>
      <c r="J369" s="58"/>
      <c r="K369" s="132" t="str">
        <f t="shared" si="20"/>
        <v/>
      </c>
      <c r="M369" s="68" t="str">
        <f t="shared" si="21"/>
        <v/>
      </c>
      <c r="N369" s="59" t="str">
        <f>IF('Prod 1'!E369="","",'Prod 1'!E369)</f>
        <v/>
      </c>
      <c r="O369" s="59" t="str">
        <f t="shared" si="22"/>
        <v/>
      </c>
      <c r="P369" s="59" t="str">
        <f t="shared" si="23"/>
        <v/>
      </c>
    </row>
    <row r="370" spans="3:16" ht="30" customHeight="1" x14ac:dyDescent="0.25">
      <c r="C370" s="42">
        <v>366</v>
      </c>
      <c r="D370" s="67" t="str">
        <f>IF('Prod 1'!D370="","",'Prod 1'!D370)</f>
        <v/>
      </c>
      <c r="E370" s="64"/>
      <c r="F370" s="58"/>
      <c r="G370" s="65"/>
      <c r="H370" s="65"/>
      <c r="I370" s="58"/>
      <c r="J370" s="58"/>
      <c r="K370" s="132" t="str">
        <f t="shared" si="20"/>
        <v/>
      </c>
      <c r="M370" s="68" t="str">
        <f t="shared" si="21"/>
        <v/>
      </c>
      <c r="N370" s="59" t="str">
        <f>IF('Prod 1'!E370="","",'Prod 1'!E370)</f>
        <v/>
      </c>
      <c r="O370" s="59" t="str">
        <f t="shared" si="22"/>
        <v/>
      </c>
      <c r="P370" s="59" t="str">
        <f t="shared" si="23"/>
        <v/>
      </c>
    </row>
    <row r="371" spans="3:16" ht="30" customHeight="1" x14ac:dyDescent="0.25">
      <c r="C371" s="42">
        <v>367</v>
      </c>
      <c r="D371" s="67" t="str">
        <f>IF('Prod 1'!D371="","",'Prod 1'!D371)</f>
        <v/>
      </c>
      <c r="E371" s="64"/>
      <c r="F371" s="58"/>
      <c r="G371" s="65"/>
      <c r="H371" s="65"/>
      <c r="I371" s="58"/>
      <c r="J371" s="58"/>
      <c r="K371" s="132" t="str">
        <f t="shared" si="20"/>
        <v/>
      </c>
      <c r="M371" s="68" t="str">
        <f t="shared" si="21"/>
        <v/>
      </c>
      <c r="N371" s="59" t="str">
        <f>IF('Prod 1'!E371="","",'Prod 1'!E371)</f>
        <v/>
      </c>
      <c r="O371" s="59" t="str">
        <f t="shared" si="22"/>
        <v/>
      </c>
      <c r="P371" s="59" t="str">
        <f t="shared" si="23"/>
        <v/>
      </c>
    </row>
    <row r="372" spans="3:16" ht="30" customHeight="1" x14ac:dyDescent="0.25">
      <c r="C372" s="42">
        <v>368</v>
      </c>
      <c r="D372" s="67" t="str">
        <f>IF('Prod 1'!D372="","",'Prod 1'!D372)</f>
        <v/>
      </c>
      <c r="E372" s="64"/>
      <c r="F372" s="58"/>
      <c r="G372" s="65"/>
      <c r="H372" s="65"/>
      <c r="I372" s="58"/>
      <c r="J372" s="58"/>
      <c r="K372" s="132" t="str">
        <f t="shared" si="20"/>
        <v/>
      </c>
      <c r="M372" s="68" t="str">
        <f t="shared" si="21"/>
        <v/>
      </c>
      <c r="N372" s="59" t="str">
        <f>IF('Prod 1'!E372="","",'Prod 1'!E372)</f>
        <v/>
      </c>
      <c r="O372" s="59" t="str">
        <f t="shared" si="22"/>
        <v/>
      </c>
      <c r="P372" s="59" t="str">
        <f t="shared" si="23"/>
        <v/>
      </c>
    </row>
    <row r="373" spans="3:16" ht="30" customHeight="1" x14ac:dyDescent="0.25">
      <c r="C373" s="42">
        <v>369</v>
      </c>
      <c r="D373" s="67" t="str">
        <f>IF('Prod 1'!D373="","",'Prod 1'!D373)</f>
        <v/>
      </c>
      <c r="E373" s="64"/>
      <c r="F373" s="58"/>
      <c r="G373" s="65"/>
      <c r="H373" s="65"/>
      <c r="I373" s="58"/>
      <c r="J373" s="58"/>
      <c r="K373" s="132" t="str">
        <f t="shared" si="20"/>
        <v/>
      </c>
      <c r="M373" s="68" t="str">
        <f t="shared" si="21"/>
        <v/>
      </c>
      <c r="N373" s="59" t="str">
        <f>IF('Prod 1'!E373="","",'Prod 1'!E373)</f>
        <v/>
      </c>
      <c r="O373" s="59" t="str">
        <f t="shared" si="22"/>
        <v/>
      </c>
      <c r="P373" s="59" t="str">
        <f t="shared" si="23"/>
        <v/>
      </c>
    </row>
    <row r="374" spans="3:16" ht="30" customHeight="1" x14ac:dyDescent="0.25">
      <c r="C374" s="42">
        <v>370</v>
      </c>
      <c r="D374" s="67" t="str">
        <f>IF('Prod 1'!D374="","",'Prod 1'!D374)</f>
        <v/>
      </c>
      <c r="E374" s="64"/>
      <c r="F374" s="58"/>
      <c r="G374" s="65"/>
      <c r="H374" s="65"/>
      <c r="I374" s="58"/>
      <c r="J374" s="58"/>
      <c r="K374" s="132" t="str">
        <f t="shared" si="20"/>
        <v/>
      </c>
      <c r="M374" s="68" t="str">
        <f t="shared" si="21"/>
        <v/>
      </c>
      <c r="N374" s="59" t="str">
        <f>IF('Prod 1'!E374="","",'Prod 1'!E374)</f>
        <v/>
      </c>
      <c r="O374" s="59" t="str">
        <f t="shared" si="22"/>
        <v/>
      </c>
      <c r="P374" s="59" t="str">
        <f t="shared" si="23"/>
        <v/>
      </c>
    </row>
    <row r="375" spans="3:16" ht="30" customHeight="1" x14ac:dyDescent="0.25">
      <c r="C375" s="42">
        <v>371</v>
      </c>
      <c r="D375" s="67" t="str">
        <f>IF('Prod 1'!D375="","",'Prod 1'!D375)</f>
        <v/>
      </c>
      <c r="E375" s="64"/>
      <c r="F375" s="58"/>
      <c r="G375" s="65"/>
      <c r="H375" s="65"/>
      <c r="I375" s="58"/>
      <c r="J375" s="58"/>
      <c r="K375" s="132" t="str">
        <f t="shared" si="20"/>
        <v/>
      </c>
      <c r="M375" s="68" t="str">
        <f t="shared" si="21"/>
        <v/>
      </c>
      <c r="N375" s="59" t="str">
        <f>IF('Prod 1'!E375="","",'Prod 1'!E375)</f>
        <v/>
      </c>
      <c r="O375" s="59" t="str">
        <f t="shared" si="22"/>
        <v/>
      </c>
      <c r="P375" s="59" t="str">
        <f t="shared" si="23"/>
        <v/>
      </c>
    </row>
    <row r="376" spans="3:16" ht="30" customHeight="1" x14ac:dyDescent="0.25">
      <c r="C376" s="42">
        <v>372</v>
      </c>
      <c r="D376" s="67" t="str">
        <f>IF('Prod 1'!D376="","",'Prod 1'!D376)</f>
        <v/>
      </c>
      <c r="E376" s="64"/>
      <c r="F376" s="58"/>
      <c r="G376" s="65"/>
      <c r="H376" s="65"/>
      <c r="I376" s="58"/>
      <c r="J376" s="58"/>
      <c r="K376" s="132" t="str">
        <f t="shared" si="20"/>
        <v/>
      </c>
      <c r="M376" s="68" t="str">
        <f t="shared" si="21"/>
        <v/>
      </c>
      <c r="N376" s="59" t="str">
        <f>IF('Prod 1'!E376="","",'Prod 1'!E376)</f>
        <v/>
      </c>
      <c r="O376" s="59" t="str">
        <f t="shared" si="22"/>
        <v/>
      </c>
      <c r="P376" s="59" t="str">
        <f t="shared" si="23"/>
        <v/>
      </c>
    </row>
    <row r="377" spans="3:16" ht="30" customHeight="1" x14ac:dyDescent="0.25">
      <c r="C377" s="42">
        <v>373</v>
      </c>
      <c r="D377" s="67" t="str">
        <f>IF('Prod 1'!D377="","",'Prod 1'!D377)</f>
        <v/>
      </c>
      <c r="E377" s="64"/>
      <c r="F377" s="58"/>
      <c r="G377" s="65"/>
      <c r="H377" s="65"/>
      <c r="I377" s="58"/>
      <c r="J377" s="58"/>
      <c r="K377" s="132" t="str">
        <f t="shared" si="20"/>
        <v/>
      </c>
      <c r="M377" s="68" t="str">
        <f t="shared" si="21"/>
        <v/>
      </c>
      <c r="N377" s="59" t="str">
        <f>IF('Prod 1'!E377="","",'Prod 1'!E377)</f>
        <v/>
      </c>
      <c r="O377" s="59" t="str">
        <f t="shared" si="22"/>
        <v/>
      </c>
      <c r="P377" s="59" t="str">
        <f t="shared" si="23"/>
        <v/>
      </c>
    </row>
    <row r="378" spans="3:16" ht="30" customHeight="1" x14ac:dyDescent="0.25">
      <c r="C378" s="42">
        <v>374</v>
      </c>
      <c r="D378" s="67" t="str">
        <f>IF('Prod 1'!D378="","",'Prod 1'!D378)</f>
        <v/>
      </c>
      <c r="E378" s="64"/>
      <c r="F378" s="58"/>
      <c r="G378" s="65"/>
      <c r="H378" s="65"/>
      <c r="I378" s="58"/>
      <c r="J378" s="58"/>
      <c r="K378" s="132" t="str">
        <f t="shared" si="20"/>
        <v/>
      </c>
      <c r="M378" s="68" t="str">
        <f t="shared" si="21"/>
        <v/>
      </c>
      <c r="N378" s="59" t="str">
        <f>IF('Prod 1'!E378="","",'Prod 1'!E378)</f>
        <v/>
      </c>
      <c r="O378" s="59" t="str">
        <f t="shared" si="22"/>
        <v/>
      </c>
      <c r="P378" s="59" t="str">
        <f t="shared" si="23"/>
        <v/>
      </c>
    </row>
    <row r="379" spans="3:16" ht="30" customHeight="1" x14ac:dyDescent="0.25">
      <c r="C379" s="42">
        <v>375</v>
      </c>
      <c r="D379" s="67" t="str">
        <f>IF('Prod 1'!D379="","",'Prod 1'!D379)</f>
        <v/>
      </c>
      <c r="E379" s="64"/>
      <c r="F379" s="58"/>
      <c r="G379" s="65"/>
      <c r="H379" s="65"/>
      <c r="I379" s="58"/>
      <c r="J379" s="58"/>
      <c r="K379" s="132" t="str">
        <f t="shared" si="20"/>
        <v/>
      </c>
      <c r="M379" s="68" t="str">
        <f t="shared" si="21"/>
        <v/>
      </c>
      <c r="N379" s="59" t="str">
        <f>IF('Prod 1'!E379="","",'Prod 1'!E379)</f>
        <v/>
      </c>
      <c r="O379" s="59" t="str">
        <f t="shared" si="22"/>
        <v/>
      </c>
      <c r="P379" s="59" t="str">
        <f t="shared" si="23"/>
        <v/>
      </c>
    </row>
    <row r="380" spans="3:16" ht="30" customHeight="1" x14ac:dyDescent="0.25">
      <c r="C380" s="42">
        <v>376</v>
      </c>
      <c r="D380" s="67" t="str">
        <f>IF('Prod 1'!D380="","",'Prod 1'!D380)</f>
        <v/>
      </c>
      <c r="E380" s="64"/>
      <c r="F380" s="58"/>
      <c r="G380" s="65"/>
      <c r="H380" s="65"/>
      <c r="I380" s="58"/>
      <c r="J380" s="58"/>
      <c r="K380" s="132" t="str">
        <f t="shared" si="20"/>
        <v/>
      </c>
      <c r="M380" s="68" t="str">
        <f t="shared" si="21"/>
        <v/>
      </c>
      <c r="N380" s="59" t="str">
        <f>IF('Prod 1'!E380="","",'Prod 1'!E380)</f>
        <v/>
      </c>
      <c r="O380" s="59" t="str">
        <f t="shared" si="22"/>
        <v/>
      </c>
      <c r="P380" s="59" t="str">
        <f t="shared" si="23"/>
        <v/>
      </c>
    </row>
    <row r="381" spans="3:16" ht="30" customHeight="1" x14ac:dyDescent="0.25">
      <c r="C381" s="42">
        <v>377</v>
      </c>
      <c r="D381" s="67" t="str">
        <f>IF('Prod 1'!D381="","",'Prod 1'!D381)</f>
        <v/>
      </c>
      <c r="E381" s="64"/>
      <c r="F381" s="58"/>
      <c r="G381" s="65"/>
      <c r="H381" s="65"/>
      <c r="I381" s="58"/>
      <c r="J381" s="58"/>
      <c r="K381" s="132" t="str">
        <f t="shared" si="20"/>
        <v/>
      </c>
      <c r="M381" s="68" t="str">
        <f t="shared" si="21"/>
        <v/>
      </c>
      <c r="N381" s="59" t="str">
        <f>IF('Prod 1'!E381="","",'Prod 1'!E381)</f>
        <v/>
      </c>
      <c r="O381" s="59" t="str">
        <f t="shared" si="22"/>
        <v/>
      </c>
      <c r="P381" s="59" t="str">
        <f t="shared" si="23"/>
        <v/>
      </c>
    </row>
    <row r="382" spans="3:16" ht="30" customHeight="1" x14ac:dyDescent="0.25">
      <c r="C382" s="42">
        <v>378</v>
      </c>
      <c r="D382" s="67" t="str">
        <f>IF('Prod 1'!D382="","",'Prod 1'!D382)</f>
        <v/>
      </c>
      <c r="E382" s="64"/>
      <c r="F382" s="58"/>
      <c r="G382" s="65"/>
      <c r="H382" s="65"/>
      <c r="I382" s="58"/>
      <c r="J382" s="58"/>
      <c r="K382" s="132" t="str">
        <f t="shared" si="20"/>
        <v/>
      </c>
      <c r="M382" s="68" t="str">
        <f t="shared" si="21"/>
        <v/>
      </c>
      <c r="N382" s="59" t="str">
        <f>IF('Prod 1'!E382="","",'Prod 1'!E382)</f>
        <v/>
      </c>
      <c r="O382" s="59" t="str">
        <f t="shared" si="22"/>
        <v/>
      </c>
      <c r="P382" s="59" t="str">
        <f t="shared" si="23"/>
        <v/>
      </c>
    </row>
    <row r="383" spans="3:16" ht="30" customHeight="1" x14ac:dyDescent="0.25">
      <c r="C383" s="42">
        <v>379</v>
      </c>
      <c r="D383" s="67" t="str">
        <f>IF('Prod 1'!D383="","",'Prod 1'!D383)</f>
        <v/>
      </c>
      <c r="E383" s="64"/>
      <c r="F383" s="58"/>
      <c r="G383" s="65"/>
      <c r="H383" s="65"/>
      <c r="I383" s="58"/>
      <c r="J383" s="58"/>
      <c r="K383" s="132" t="str">
        <f t="shared" si="20"/>
        <v/>
      </c>
      <c r="M383" s="68" t="str">
        <f t="shared" si="21"/>
        <v/>
      </c>
      <c r="N383" s="59" t="str">
        <f>IF('Prod 1'!E383="","",'Prod 1'!E383)</f>
        <v/>
      </c>
      <c r="O383" s="59" t="str">
        <f t="shared" si="22"/>
        <v/>
      </c>
      <c r="P383" s="59" t="str">
        <f t="shared" si="23"/>
        <v/>
      </c>
    </row>
    <row r="384" spans="3:16" ht="30" customHeight="1" x14ac:dyDescent="0.25">
      <c r="C384" s="42">
        <v>380</v>
      </c>
      <c r="D384" s="67" t="str">
        <f>IF('Prod 1'!D384="","",'Prod 1'!D384)</f>
        <v/>
      </c>
      <c r="E384" s="64"/>
      <c r="F384" s="58"/>
      <c r="G384" s="65"/>
      <c r="H384" s="65"/>
      <c r="I384" s="58"/>
      <c r="J384" s="58"/>
      <c r="K384" s="132" t="str">
        <f t="shared" si="20"/>
        <v/>
      </c>
      <c r="M384" s="68" t="str">
        <f t="shared" si="21"/>
        <v/>
      </c>
      <c r="N384" s="59" t="str">
        <f>IF('Prod 1'!E384="","",'Prod 1'!E384)</f>
        <v/>
      </c>
      <c r="O384" s="59" t="str">
        <f t="shared" si="22"/>
        <v/>
      </c>
      <c r="P384" s="59" t="str">
        <f t="shared" si="23"/>
        <v/>
      </c>
    </row>
    <row r="385" spans="3:16" ht="30" customHeight="1" x14ac:dyDescent="0.25">
      <c r="C385" s="42">
        <v>381</v>
      </c>
      <c r="D385" s="67" t="str">
        <f>IF('Prod 1'!D385="","",'Prod 1'!D385)</f>
        <v/>
      </c>
      <c r="E385" s="64"/>
      <c r="F385" s="58"/>
      <c r="G385" s="65"/>
      <c r="H385" s="65"/>
      <c r="I385" s="58"/>
      <c r="J385" s="58"/>
      <c r="K385" s="132" t="str">
        <f t="shared" si="20"/>
        <v/>
      </c>
      <c r="M385" s="68" t="str">
        <f t="shared" si="21"/>
        <v/>
      </c>
      <c r="N385" s="59" t="str">
        <f>IF('Prod 1'!E385="","",'Prod 1'!E385)</f>
        <v/>
      </c>
      <c r="O385" s="59" t="str">
        <f t="shared" si="22"/>
        <v/>
      </c>
      <c r="P385" s="59" t="str">
        <f t="shared" si="23"/>
        <v/>
      </c>
    </row>
    <row r="386" spans="3:16" ht="30" customHeight="1" x14ac:dyDescent="0.25">
      <c r="C386" s="42">
        <v>382</v>
      </c>
      <c r="D386" s="67" t="str">
        <f>IF('Prod 1'!D386="","",'Prod 1'!D386)</f>
        <v/>
      </c>
      <c r="E386" s="64"/>
      <c r="F386" s="58"/>
      <c r="G386" s="65"/>
      <c r="H386" s="65"/>
      <c r="I386" s="58"/>
      <c r="J386" s="58"/>
      <c r="K386" s="132" t="str">
        <f t="shared" si="20"/>
        <v/>
      </c>
      <c r="M386" s="68" t="str">
        <f t="shared" si="21"/>
        <v/>
      </c>
      <c r="N386" s="59" t="str">
        <f>IF('Prod 1'!E386="","",'Prod 1'!E386)</f>
        <v/>
      </c>
      <c r="O386" s="59" t="str">
        <f t="shared" si="22"/>
        <v/>
      </c>
      <c r="P386" s="59" t="str">
        <f t="shared" si="23"/>
        <v/>
      </c>
    </row>
    <row r="387" spans="3:16" ht="30" customHeight="1" x14ac:dyDescent="0.25">
      <c r="C387" s="42">
        <v>383</v>
      </c>
      <c r="D387" s="67" t="str">
        <f>IF('Prod 1'!D387="","",'Prod 1'!D387)</f>
        <v/>
      </c>
      <c r="E387" s="64"/>
      <c r="F387" s="58"/>
      <c r="G387" s="65"/>
      <c r="H387" s="65"/>
      <c r="I387" s="58"/>
      <c r="J387" s="58"/>
      <c r="K387" s="132" t="str">
        <f t="shared" si="20"/>
        <v/>
      </c>
      <c r="M387" s="68" t="str">
        <f t="shared" si="21"/>
        <v/>
      </c>
      <c r="N387" s="59" t="str">
        <f>IF('Prod 1'!E387="","",'Prod 1'!E387)</f>
        <v/>
      </c>
      <c r="O387" s="59" t="str">
        <f t="shared" si="22"/>
        <v/>
      </c>
      <c r="P387" s="59" t="str">
        <f t="shared" si="23"/>
        <v/>
      </c>
    </row>
    <row r="388" spans="3:16" ht="30" customHeight="1" x14ac:dyDescent="0.25">
      <c r="C388" s="42">
        <v>384</v>
      </c>
      <c r="D388" s="67" t="str">
        <f>IF('Prod 1'!D388="","",'Prod 1'!D388)</f>
        <v/>
      </c>
      <c r="E388" s="64"/>
      <c r="F388" s="58"/>
      <c r="G388" s="65"/>
      <c r="H388" s="65"/>
      <c r="I388" s="58"/>
      <c r="J388" s="58"/>
      <c r="K388" s="132" t="str">
        <f t="shared" si="20"/>
        <v/>
      </c>
      <c r="M388" s="68" t="str">
        <f t="shared" si="21"/>
        <v/>
      </c>
      <c r="N388" s="59" t="str">
        <f>IF('Prod 1'!E388="","",'Prod 1'!E388)</f>
        <v/>
      </c>
      <c r="O388" s="59" t="str">
        <f t="shared" si="22"/>
        <v/>
      </c>
      <c r="P388" s="59" t="str">
        <f t="shared" si="23"/>
        <v/>
      </c>
    </row>
    <row r="389" spans="3:16" ht="30" customHeight="1" x14ac:dyDescent="0.25">
      <c r="C389" s="42">
        <v>385</v>
      </c>
      <c r="D389" s="67" t="str">
        <f>IF('Prod 1'!D389="","",'Prod 1'!D389)</f>
        <v/>
      </c>
      <c r="E389" s="64"/>
      <c r="F389" s="58"/>
      <c r="G389" s="65"/>
      <c r="H389" s="65"/>
      <c r="I389" s="58"/>
      <c r="J389" s="58"/>
      <c r="K389" s="132" t="str">
        <f t="shared" si="20"/>
        <v/>
      </c>
      <c r="M389" s="68" t="str">
        <f t="shared" si="21"/>
        <v/>
      </c>
      <c r="N389" s="59" t="str">
        <f>IF('Prod 1'!E389="","",'Prod 1'!E389)</f>
        <v/>
      </c>
      <c r="O389" s="59" t="str">
        <f t="shared" si="22"/>
        <v/>
      </c>
      <c r="P389" s="59" t="str">
        <f t="shared" si="23"/>
        <v/>
      </c>
    </row>
    <row r="390" spans="3:16" ht="30" customHeight="1" x14ac:dyDescent="0.25">
      <c r="C390" s="42">
        <v>386</v>
      </c>
      <c r="D390" s="67" t="str">
        <f>IF('Prod 1'!D390="","",'Prod 1'!D390)</f>
        <v/>
      </c>
      <c r="E390" s="64"/>
      <c r="F390" s="58"/>
      <c r="G390" s="65"/>
      <c r="H390" s="65"/>
      <c r="I390" s="58"/>
      <c r="J390" s="58"/>
      <c r="K390" s="132" t="str">
        <f t="shared" ref="K390:K453" si="24">IF(E390="","",IF(E390="Produção",SUM(I390:J390)+SUM(O390:P390),F390))</f>
        <v/>
      </c>
      <c r="M390" s="68" t="str">
        <f t="shared" ref="M390:M453" si="25">IFERROR(IF(D390="","",100%),0)</f>
        <v/>
      </c>
      <c r="N390" s="59" t="str">
        <f>IF('Prod 1'!E390="","",'Prod 1'!E390)</f>
        <v/>
      </c>
      <c r="O390" s="59" t="str">
        <f t="shared" ref="O390:O453" si="26">IFERROR(IF(D390="","",N390*G390),0)</f>
        <v/>
      </c>
      <c r="P390" s="59" t="str">
        <f t="shared" ref="P390:P453" si="27">IFERROR(IF(D390="","",N390*H390),0)</f>
        <v/>
      </c>
    </row>
    <row r="391" spans="3:16" ht="30" customHeight="1" x14ac:dyDescent="0.25">
      <c r="C391" s="42">
        <v>387</v>
      </c>
      <c r="D391" s="67" t="str">
        <f>IF('Prod 1'!D391="","",'Prod 1'!D391)</f>
        <v/>
      </c>
      <c r="E391" s="64"/>
      <c r="F391" s="58"/>
      <c r="G391" s="65"/>
      <c r="H391" s="65"/>
      <c r="I391" s="58"/>
      <c r="J391" s="58"/>
      <c r="K391" s="132" t="str">
        <f t="shared" si="24"/>
        <v/>
      </c>
      <c r="M391" s="68" t="str">
        <f t="shared" si="25"/>
        <v/>
      </c>
      <c r="N391" s="59" t="str">
        <f>IF('Prod 1'!E391="","",'Prod 1'!E391)</f>
        <v/>
      </c>
      <c r="O391" s="59" t="str">
        <f t="shared" si="26"/>
        <v/>
      </c>
      <c r="P391" s="59" t="str">
        <f t="shared" si="27"/>
        <v/>
      </c>
    </row>
    <row r="392" spans="3:16" ht="30" customHeight="1" x14ac:dyDescent="0.25">
      <c r="C392" s="42">
        <v>388</v>
      </c>
      <c r="D392" s="67" t="str">
        <f>IF('Prod 1'!D392="","",'Prod 1'!D392)</f>
        <v/>
      </c>
      <c r="E392" s="64"/>
      <c r="F392" s="58"/>
      <c r="G392" s="65"/>
      <c r="H392" s="65"/>
      <c r="I392" s="58"/>
      <c r="J392" s="58"/>
      <c r="K392" s="132" t="str">
        <f t="shared" si="24"/>
        <v/>
      </c>
      <c r="M392" s="68" t="str">
        <f t="shared" si="25"/>
        <v/>
      </c>
      <c r="N392" s="59" t="str">
        <f>IF('Prod 1'!E392="","",'Prod 1'!E392)</f>
        <v/>
      </c>
      <c r="O392" s="59" t="str">
        <f t="shared" si="26"/>
        <v/>
      </c>
      <c r="P392" s="59" t="str">
        <f t="shared" si="27"/>
        <v/>
      </c>
    </row>
    <row r="393" spans="3:16" ht="30" customHeight="1" x14ac:dyDescent="0.25">
      <c r="C393" s="42">
        <v>389</v>
      </c>
      <c r="D393" s="67" t="str">
        <f>IF('Prod 1'!D393="","",'Prod 1'!D393)</f>
        <v/>
      </c>
      <c r="E393" s="64"/>
      <c r="F393" s="58"/>
      <c r="G393" s="65"/>
      <c r="H393" s="65"/>
      <c r="I393" s="58"/>
      <c r="J393" s="58"/>
      <c r="K393" s="132" t="str">
        <f t="shared" si="24"/>
        <v/>
      </c>
      <c r="M393" s="68" t="str">
        <f t="shared" si="25"/>
        <v/>
      </c>
      <c r="N393" s="59" t="str">
        <f>IF('Prod 1'!E393="","",'Prod 1'!E393)</f>
        <v/>
      </c>
      <c r="O393" s="59" t="str">
        <f t="shared" si="26"/>
        <v/>
      </c>
      <c r="P393" s="59" t="str">
        <f t="shared" si="27"/>
        <v/>
      </c>
    </row>
    <row r="394" spans="3:16" ht="30" customHeight="1" x14ac:dyDescent="0.25">
      <c r="C394" s="42">
        <v>390</v>
      </c>
      <c r="D394" s="67" t="str">
        <f>IF('Prod 1'!D394="","",'Prod 1'!D394)</f>
        <v/>
      </c>
      <c r="E394" s="64"/>
      <c r="F394" s="58"/>
      <c r="G394" s="65"/>
      <c r="H394" s="65"/>
      <c r="I394" s="58"/>
      <c r="J394" s="58"/>
      <c r="K394" s="132" t="str">
        <f t="shared" si="24"/>
        <v/>
      </c>
      <c r="M394" s="68" t="str">
        <f t="shared" si="25"/>
        <v/>
      </c>
      <c r="N394" s="59" t="str">
        <f>IF('Prod 1'!E394="","",'Prod 1'!E394)</f>
        <v/>
      </c>
      <c r="O394" s="59" t="str">
        <f t="shared" si="26"/>
        <v/>
      </c>
      <c r="P394" s="59" t="str">
        <f t="shared" si="27"/>
        <v/>
      </c>
    </row>
    <row r="395" spans="3:16" ht="30" customHeight="1" x14ac:dyDescent="0.25">
      <c r="C395" s="42">
        <v>391</v>
      </c>
      <c r="D395" s="67" t="str">
        <f>IF('Prod 1'!D395="","",'Prod 1'!D395)</f>
        <v/>
      </c>
      <c r="E395" s="64"/>
      <c r="F395" s="58"/>
      <c r="G395" s="65"/>
      <c r="H395" s="65"/>
      <c r="I395" s="58"/>
      <c r="J395" s="58"/>
      <c r="K395" s="132" t="str">
        <f t="shared" si="24"/>
        <v/>
      </c>
      <c r="M395" s="68" t="str">
        <f t="shared" si="25"/>
        <v/>
      </c>
      <c r="N395" s="59" t="str">
        <f>IF('Prod 1'!E395="","",'Prod 1'!E395)</f>
        <v/>
      </c>
      <c r="O395" s="59" t="str">
        <f t="shared" si="26"/>
        <v/>
      </c>
      <c r="P395" s="59" t="str">
        <f t="shared" si="27"/>
        <v/>
      </c>
    </row>
    <row r="396" spans="3:16" ht="30" customHeight="1" x14ac:dyDescent="0.25">
      <c r="C396" s="42">
        <v>392</v>
      </c>
      <c r="D396" s="67" t="str">
        <f>IF('Prod 1'!D396="","",'Prod 1'!D396)</f>
        <v/>
      </c>
      <c r="E396" s="64"/>
      <c r="F396" s="58"/>
      <c r="G396" s="65"/>
      <c r="H396" s="65"/>
      <c r="I396" s="58"/>
      <c r="J396" s="58"/>
      <c r="K396" s="132" t="str">
        <f t="shared" si="24"/>
        <v/>
      </c>
      <c r="M396" s="68" t="str">
        <f t="shared" si="25"/>
        <v/>
      </c>
      <c r="N396" s="59" t="str">
        <f>IF('Prod 1'!E396="","",'Prod 1'!E396)</f>
        <v/>
      </c>
      <c r="O396" s="59" t="str">
        <f t="shared" si="26"/>
        <v/>
      </c>
      <c r="P396" s="59" t="str">
        <f t="shared" si="27"/>
        <v/>
      </c>
    </row>
    <row r="397" spans="3:16" ht="30" customHeight="1" x14ac:dyDescent="0.25">
      <c r="C397" s="42">
        <v>393</v>
      </c>
      <c r="D397" s="67" t="str">
        <f>IF('Prod 1'!D397="","",'Prod 1'!D397)</f>
        <v/>
      </c>
      <c r="E397" s="64"/>
      <c r="F397" s="58"/>
      <c r="G397" s="65"/>
      <c r="H397" s="65"/>
      <c r="I397" s="58"/>
      <c r="J397" s="58"/>
      <c r="K397" s="132" t="str">
        <f t="shared" si="24"/>
        <v/>
      </c>
      <c r="M397" s="68" t="str">
        <f t="shared" si="25"/>
        <v/>
      </c>
      <c r="N397" s="59" t="str">
        <f>IF('Prod 1'!E397="","",'Prod 1'!E397)</f>
        <v/>
      </c>
      <c r="O397" s="59" t="str">
        <f t="shared" si="26"/>
        <v/>
      </c>
      <c r="P397" s="59" t="str">
        <f t="shared" si="27"/>
        <v/>
      </c>
    </row>
    <row r="398" spans="3:16" ht="30" customHeight="1" x14ac:dyDescent="0.25">
      <c r="C398" s="42">
        <v>394</v>
      </c>
      <c r="D398" s="67" t="str">
        <f>IF('Prod 1'!D398="","",'Prod 1'!D398)</f>
        <v/>
      </c>
      <c r="E398" s="64"/>
      <c r="F398" s="58"/>
      <c r="G398" s="65"/>
      <c r="H398" s="65"/>
      <c r="I398" s="58"/>
      <c r="J398" s="58"/>
      <c r="K398" s="132" t="str">
        <f t="shared" si="24"/>
        <v/>
      </c>
      <c r="M398" s="68" t="str">
        <f t="shared" si="25"/>
        <v/>
      </c>
      <c r="N398" s="59" t="str">
        <f>IF('Prod 1'!E398="","",'Prod 1'!E398)</f>
        <v/>
      </c>
      <c r="O398" s="59" t="str">
        <f t="shared" si="26"/>
        <v/>
      </c>
      <c r="P398" s="59" t="str">
        <f t="shared" si="27"/>
        <v/>
      </c>
    </row>
    <row r="399" spans="3:16" ht="30" customHeight="1" x14ac:dyDescent="0.25">
      <c r="C399" s="42">
        <v>395</v>
      </c>
      <c r="D399" s="67" t="str">
        <f>IF('Prod 1'!D399="","",'Prod 1'!D399)</f>
        <v/>
      </c>
      <c r="E399" s="64"/>
      <c r="F399" s="58"/>
      <c r="G399" s="65"/>
      <c r="H399" s="65"/>
      <c r="I399" s="58"/>
      <c r="J399" s="58"/>
      <c r="K399" s="132" t="str">
        <f t="shared" si="24"/>
        <v/>
      </c>
      <c r="M399" s="68" t="str">
        <f t="shared" si="25"/>
        <v/>
      </c>
      <c r="N399" s="59" t="str">
        <f>IF('Prod 1'!E399="","",'Prod 1'!E399)</f>
        <v/>
      </c>
      <c r="O399" s="59" t="str">
        <f t="shared" si="26"/>
        <v/>
      </c>
      <c r="P399" s="59" t="str">
        <f t="shared" si="27"/>
        <v/>
      </c>
    </row>
    <row r="400" spans="3:16" ht="30" customHeight="1" x14ac:dyDescent="0.25">
      <c r="C400" s="42">
        <v>396</v>
      </c>
      <c r="D400" s="67" t="str">
        <f>IF('Prod 1'!D400="","",'Prod 1'!D400)</f>
        <v/>
      </c>
      <c r="E400" s="64"/>
      <c r="F400" s="58"/>
      <c r="G400" s="65"/>
      <c r="H400" s="65"/>
      <c r="I400" s="58"/>
      <c r="J400" s="58"/>
      <c r="K400" s="132" t="str">
        <f t="shared" si="24"/>
        <v/>
      </c>
      <c r="M400" s="68" t="str">
        <f t="shared" si="25"/>
        <v/>
      </c>
      <c r="N400" s="59" t="str">
        <f>IF('Prod 1'!E400="","",'Prod 1'!E400)</f>
        <v/>
      </c>
      <c r="O400" s="59" t="str">
        <f t="shared" si="26"/>
        <v/>
      </c>
      <c r="P400" s="59" t="str">
        <f t="shared" si="27"/>
        <v/>
      </c>
    </row>
    <row r="401" spans="3:16" ht="30" customHeight="1" x14ac:dyDescent="0.25">
      <c r="C401" s="42">
        <v>397</v>
      </c>
      <c r="D401" s="67" t="str">
        <f>IF('Prod 1'!D401="","",'Prod 1'!D401)</f>
        <v/>
      </c>
      <c r="E401" s="64"/>
      <c r="F401" s="58"/>
      <c r="G401" s="65"/>
      <c r="H401" s="65"/>
      <c r="I401" s="58"/>
      <c r="J401" s="58"/>
      <c r="K401" s="132" t="str">
        <f t="shared" si="24"/>
        <v/>
      </c>
      <c r="M401" s="68" t="str">
        <f t="shared" si="25"/>
        <v/>
      </c>
      <c r="N401" s="59" t="str">
        <f>IF('Prod 1'!E401="","",'Prod 1'!E401)</f>
        <v/>
      </c>
      <c r="O401" s="59" t="str">
        <f t="shared" si="26"/>
        <v/>
      </c>
      <c r="P401" s="59" t="str">
        <f t="shared" si="27"/>
        <v/>
      </c>
    </row>
    <row r="402" spans="3:16" ht="30" customHeight="1" x14ac:dyDescent="0.25">
      <c r="C402" s="42">
        <v>398</v>
      </c>
      <c r="D402" s="67" t="str">
        <f>IF('Prod 1'!D402="","",'Prod 1'!D402)</f>
        <v/>
      </c>
      <c r="E402" s="64"/>
      <c r="F402" s="58"/>
      <c r="G402" s="65"/>
      <c r="H402" s="65"/>
      <c r="I402" s="58"/>
      <c r="J402" s="58"/>
      <c r="K402" s="132" t="str">
        <f t="shared" si="24"/>
        <v/>
      </c>
      <c r="M402" s="68" t="str">
        <f t="shared" si="25"/>
        <v/>
      </c>
      <c r="N402" s="59" t="str">
        <f>IF('Prod 1'!E402="","",'Prod 1'!E402)</f>
        <v/>
      </c>
      <c r="O402" s="59" t="str">
        <f t="shared" si="26"/>
        <v/>
      </c>
      <c r="P402" s="59" t="str">
        <f t="shared" si="27"/>
        <v/>
      </c>
    </row>
    <row r="403" spans="3:16" ht="30" customHeight="1" x14ac:dyDescent="0.25">
      <c r="C403" s="42">
        <v>399</v>
      </c>
      <c r="D403" s="67" t="str">
        <f>IF('Prod 1'!D403="","",'Prod 1'!D403)</f>
        <v/>
      </c>
      <c r="E403" s="64"/>
      <c r="F403" s="58"/>
      <c r="G403" s="65"/>
      <c r="H403" s="65"/>
      <c r="I403" s="58"/>
      <c r="J403" s="58"/>
      <c r="K403" s="132" t="str">
        <f t="shared" si="24"/>
        <v/>
      </c>
      <c r="M403" s="68" t="str">
        <f t="shared" si="25"/>
        <v/>
      </c>
      <c r="N403" s="59" t="str">
        <f>IF('Prod 1'!E403="","",'Prod 1'!E403)</f>
        <v/>
      </c>
      <c r="O403" s="59" t="str">
        <f t="shared" si="26"/>
        <v/>
      </c>
      <c r="P403" s="59" t="str">
        <f t="shared" si="27"/>
        <v/>
      </c>
    </row>
    <row r="404" spans="3:16" ht="30" customHeight="1" x14ac:dyDescent="0.25">
      <c r="C404" s="42">
        <v>400</v>
      </c>
      <c r="D404" s="67" t="str">
        <f>IF('Prod 1'!D404="","",'Prod 1'!D404)</f>
        <v/>
      </c>
      <c r="E404" s="64"/>
      <c r="F404" s="58"/>
      <c r="G404" s="65"/>
      <c r="H404" s="65"/>
      <c r="I404" s="58"/>
      <c r="J404" s="58"/>
      <c r="K404" s="132" t="str">
        <f t="shared" si="24"/>
        <v/>
      </c>
      <c r="M404" s="68" t="str">
        <f t="shared" si="25"/>
        <v/>
      </c>
      <c r="N404" s="59" t="str">
        <f>IF('Prod 1'!E404="","",'Prod 1'!E404)</f>
        <v/>
      </c>
      <c r="O404" s="59" t="str">
        <f t="shared" si="26"/>
        <v/>
      </c>
      <c r="P404" s="59" t="str">
        <f t="shared" si="27"/>
        <v/>
      </c>
    </row>
    <row r="405" spans="3:16" ht="30" customHeight="1" x14ac:dyDescent="0.25">
      <c r="C405" s="42">
        <v>401</v>
      </c>
      <c r="D405" s="67" t="str">
        <f>IF('Prod 1'!D405="","",'Prod 1'!D405)</f>
        <v/>
      </c>
      <c r="E405" s="64"/>
      <c r="F405" s="58"/>
      <c r="G405" s="65"/>
      <c r="H405" s="65"/>
      <c r="I405" s="58"/>
      <c r="J405" s="58"/>
      <c r="K405" s="132" t="str">
        <f t="shared" si="24"/>
        <v/>
      </c>
      <c r="M405" s="68" t="str">
        <f t="shared" si="25"/>
        <v/>
      </c>
      <c r="N405" s="59" t="str">
        <f>IF('Prod 1'!E405="","",'Prod 1'!E405)</f>
        <v/>
      </c>
      <c r="O405" s="59" t="str">
        <f t="shared" si="26"/>
        <v/>
      </c>
      <c r="P405" s="59" t="str">
        <f t="shared" si="27"/>
        <v/>
      </c>
    </row>
    <row r="406" spans="3:16" ht="30" customHeight="1" x14ac:dyDescent="0.25">
      <c r="C406" s="42">
        <v>402</v>
      </c>
      <c r="D406" s="67" t="str">
        <f>IF('Prod 1'!D406="","",'Prod 1'!D406)</f>
        <v/>
      </c>
      <c r="E406" s="64"/>
      <c r="F406" s="58"/>
      <c r="G406" s="65"/>
      <c r="H406" s="65"/>
      <c r="I406" s="58"/>
      <c r="J406" s="58"/>
      <c r="K406" s="132" t="str">
        <f t="shared" si="24"/>
        <v/>
      </c>
      <c r="M406" s="68" t="str">
        <f t="shared" si="25"/>
        <v/>
      </c>
      <c r="N406" s="59" t="str">
        <f>IF('Prod 1'!E406="","",'Prod 1'!E406)</f>
        <v/>
      </c>
      <c r="O406" s="59" t="str">
        <f t="shared" si="26"/>
        <v/>
      </c>
      <c r="P406" s="59" t="str">
        <f t="shared" si="27"/>
        <v/>
      </c>
    </row>
    <row r="407" spans="3:16" ht="30" customHeight="1" x14ac:dyDescent="0.25">
      <c r="C407" s="42">
        <v>403</v>
      </c>
      <c r="D407" s="67" t="str">
        <f>IF('Prod 1'!D407="","",'Prod 1'!D407)</f>
        <v/>
      </c>
      <c r="E407" s="64"/>
      <c r="F407" s="58"/>
      <c r="G407" s="65"/>
      <c r="H407" s="65"/>
      <c r="I407" s="58"/>
      <c r="J407" s="58"/>
      <c r="K407" s="132" t="str">
        <f t="shared" si="24"/>
        <v/>
      </c>
      <c r="M407" s="68" t="str">
        <f t="shared" si="25"/>
        <v/>
      </c>
      <c r="N407" s="59" t="str">
        <f>IF('Prod 1'!E407="","",'Prod 1'!E407)</f>
        <v/>
      </c>
      <c r="O407" s="59" t="str">
        <f t="shared" si="26"/>
        <v/>
      </c>
      <c r="P407" s="59" t="str">
        <f t="shared" si="27"/>
        <v/>
      </c>
    </row>
    <row r="408" spans="3:16" ht="30" customHeight="1" x14ac:dyDescent="0.25">
      <c r="C408" s="42">
        <v>404</v>
      </c>
      <c r="D408" s="67" t="str">
        <f>IF('Prod 1'!D408="","",'Prod 1'!D408)</f>
        <v/>
      </c>
      <c r="E408" s="64"/>
      <c r="F408" s="58"/>
      <c r="G408" s="65"/>
      <c r="H408" s="65"/>
      <c r="I408" s="58"/>
      <c r="J408" s="58"/>
      <c r="K408" s="132" t="str">
        <f t="shared" si="24"/>
        <v/>
      </c>
      <c r="M408" s="68" t="str">
        <f t="shared" si="25"/>
        <v/>
      </c>
      <c r="N408" s="59" t="str">
        <f>IF('Prod 1'!E408="","",'Prod 1'!E408)</f>
        <v/>
      </c>
      <c r="O408" s="59" t="str">
        <f t="shared" si="26"/>
        <v/>
      </c>
      <c r="P408" s="59" t="str">
        <f t="shared" si="27"/>
        <v/>
      </c>
    </row>
    <row r="409" spans="3:16" ht="30" customHeight="1" x14ac:dyDescent="0.25">
      <c r="C409" s="42">
        <v>405</v>
      </c>
      <c r="D409" s="67" t="str">
        <f>IF('Prod 1'!D409="","",'Prod 1'!D409)</f>
        <v/>
      </c>
      <c r="E409" s="64"/>
      <c r="F409" s="58"/>
      <c r="G409" s="65"/>
      <c r="H409" s="65"/>
      <c r="I409" s="58"/>
      <c r="J409" s="58"/>
      <c r="K409" s="132" t="str">
        <f t="shared" si="24"/>
        <v/>
      </c>
      <c r="M409" s="68" t="str">
        <f t="shared" si="25"/>
        <v/>
      </c>
      <c r="N409" s="59" t="str">
        <f>IF('Prod 1'!E409="","",'Prod 1'!E409)</f>
        <v/>
      </c>
      <c r="O409" s="59" t="str">
        <f t="shared" si="26"/>
        <v/>
      </c>
      <c r="P409" s="59" t="str">
        <f t="shared" si="27"/>
        <v/>
      </c>
    </row>
    <row r="410" spans="3:16" ht="30" customHeight="1" x14ac:dyDescent="0.25">
      <c r="C410" s="42">
        <v>406</v>
      </c>
      <c r="D410" s="67" t="str">
        <f>IF('Prod 1'!D410="","",'Prod 1'!D410)</f>
        <v/>
      </c>
      <c r="E410" s="64"/>
      <c r="F410" s="58"/>
      <c r="G410" s="65"/>
      <c r="H410" s="65"/>
      <c r="I410" s="58"/>
      <c r="J410" s="58"/>
      <c r="K410" s="132" t="str">
        <f t="shared" si="24"/>
        <v/>
      </c>
      <c r="M410" s="68" t="str">
        <f t="shared" si="25"/>
        <v/>
      </c>
      <c r="N410" s="59" t="str">
        <f>IF('Prod 1'!E410="","",'Prod 1'!E410)</f>
        <v/>
      </c>
      <c r="O410" s="59" t="str">
        <f t="shared" si="26"/>
        <v/>
      </c>
      <c r="P410" s="59" t="str">
        <f t="shared" si="27"/>
        <v/>
      </c>
    </row>
    <row r="411" spans="3:16" ht="30" customHeight="1" x14ac:dyDescent="0.25">
      <c r="C411" s="42">
        <v>407</v>
      </c>
      <c r="D411" s="67" t="str">
        <f>IF('Prod 1'!D411="","",'Prod 1'!D411)</f>
        <v/>
      </c>
      <c r="E411" s="64"/>
      <c r="F411" s="58"/>
      <c r="G411" s="65"/>
      <c r="H411" s="65"/>
      <c r="I411" s="58"/>
      <c r="J411" s="58"/>
      <c r="K411" s="132" t="str">
        <f t="shared" si="24"/>
        <v/>
      </c>
      <c r="M411" s="68" t="str">
        <f t="shared" si="25"/>
        <v/>
      </c>
      <c r="N411" s="59" t="str">
        <f>IF('Prod 1'!E411="","",'Prod 1'!E411)</f>
        <v/>
      </c>
      <c r="O411" s="59" t="str">
        <f t="shared" si="26"/>
        <v/>
      </c>
      <c r="P411" s="59" t="str">
        <f t="shared" si="27"/>
        <v/>
      </c>
    </row>
    <row r="412" spans="3:16" ht="30" customHeight="1" x14ac:dyDescent="0.25">
      <c r="C412" s="42">
        <v>408</v>
      </c>
      <c r="D412" s="67" t="str">
        <f>IF('Prod 1'!D412="","",'Prod 1'!D412)</f>
        <v/>
      </c>
      <c r="E412" s="64"/>
      <c r="F412" s="58"/>
      <c r="G412" s="65"/>
      <c r="H412" s="65"/>
      <c r="I412" s="58"/>
      <c r="J412" s="58"/>
      <c r="K412" s="132" t="str">
        <f t="shared" si="24"/>
        <v/>
      </c>
      <c r="M412" s="68" t="str">
        <f t="shared" si="25"/>
        <v/>
      </c>
      <c r="N412" s="59" t="str">
        <f>IF('Prod 1'!E412="","",'Prod 1'!E412)</f>
        <v/>
      </c>
      <c r="O412" s="59" t="str">
        <f t="shared" si="26"/>
        <v/>
      </c>
      <c r="P412" s="59" t="str">
        <f t="shared" si="27"/>
        <v/>
      </c>
    </row>
    <row r="413" spans="3:16" ht="30" customHeight="1" x14ac:dyDescent="0.25">
      <c r="C413" s="42">
        <v>409</v>
      </c>
      <c r="D413" s="67" t="str">
        <f>IF('Prod 1'!D413="","",'Prod 1'!D413)</f>
        <v/>
      </c>
      <c r="E413" s="64"/>
      <c r="F413" s="58"/>
      <c r="G413" s="65"/>
      <c r="H413" s="65"/>
      <c r="I413" s="58"/>
      <c r="J413" s="58"/>
      <c r="K413" s="132" t="str">
        <f t="shared" si="24"/>
        <v/>
      </c>
      <c r="M413" s="68" t="str">
        <f t="shared" si="25"/>
        <v/>
      </c>
      <c r="N413" s="59" t="str">
        <f>IF('Prod 1'!E413="","",'Prod 1'!E413)</f>
        <v/>
      </c>
      <c r="O413" s="59" t="str">
        <f t="shared" si="26"/>
        <v/>
      </c>
      <c r="P413" s="59" t="str">
        <f t="shared" si="27"/>
        <v/>
      </c>
    </row>
    <row r="414" spans="3:16" ht="30" customHeight="1" x14ac:dyDescent="0.25">
      <c r="C414" s="42">
        <v>410</v>
      </c>
      <c r="D414" s="67" t="str">
        <f>IF('Prod 1'!D414="","",'Prod 1'!D414)</f>
        <v/>
      </c>
      <c r="E414" s="64"/>
      <c r="F414" s="58"/>
      <c r="G414" s="65"/>
      <c r="H414" s="65"/>
      <c r="I414" s="58"/>
      <c r="J414" s="58"/>
      <c r="K414" s="132" t="str">
        <f t="shared" si="24"/>
        <v/>
      </c>
      <c r="M414" s="68" t="str">
        <f t="shared" si="25"/>
        <v/>
      </c>
      <c r="N414" s="59" t="str">
        <f>IF('Prod 1'!E414="","",'Prod 1'!E414)</f>
        <v/>
      </c>
      <c r="O414" s="59" t="str">
        <f t="shared" si="26"/>
        <v/>
      </c>
      <c r="P414" s="59" t="str">
        <f t="shared" si="27"/>
        <v/>
      </c>
    </row>
    <row r="415" spans="3:16" ht="30" customHeight="1" x14ac:dyDescent="0.25">
      <c r="C415" s="42">
        <v>411</v>
      </c>
      <c r="D415" s="67" t="str">
        <f>IF('Prod 1'!D415="","",'Prod 1'!D415)</f>
        <v/>
      </c>
      <c r="E415" s="64"/>
      <c r="F415" s="58"/>
      <c r="G415" s="65"/>
      <c r="H415" s="65"/>
      <c r="I415" s="58"/>
      <c r="J415" s="58"/>
      <c r="K415" s="132" t="str">
        <f t="shared" si="24"/>
        <v/>
      </c>
      <c r="M415" s="68" t="str">
        <f t="shared" si="25"/>
        <v/>
      </c>
      <c r="N415" s="59" t="str">
        <f>IF('Prod 1'!E415="","",'Prod 1'!E415)</f>
        <v/>
      </c>
      <c r="O415" s="59" t="str">
        <f t="shared" si="26"/>
        <v/>
      </c>
      <c r="P415" s="59" t="str">
        <f t="shared" si="27"/>
        <v/>
      </c>
    </row>
    <row r="416" spans="3:16" ht="30" customHeight="1" x14ac:dyDescent="0.25">
      <c r="C416" s="42">
        <v>412</v>
      </c>
      <c r="D416" s="67" t="str">
        <f>IF('Prod 1'!D416="","",'Prod 1'!D416)</f>
        <v/>
      </c>
      <c r="E416" s="64"/>
      <c r="F416" s="58"/>
      <c r="G416" s="65"/>
      <c r="H416" s="65"/>
      <c r="I416" s="58"/>
      <c r="J416" s="58"/>
      <c r="K416" s="132" t="str">
        <f t="shared" si="24"/>
        <v/>
      </c>
      <c r="M416" s="68" t="str">
        <f t="shared" si="25"/>
        <v/>
      </c>
      <c r="N416" s="59" t="str">
        <f>IF('Prod 1'!E416="","",'Prod 1'!E416)</f>
        <v/>
      </c>
      <c r="O416" s="59" t="str">
        <f t="shared" si="26"/>
        <v/>
      </c>
      <c r="P416" s="59" t="str">
        <f t="shared" si="27"/>
        <v/>
      </c>
    </row>
    <row r="417" spans="3:16" ht="30" customHeight="1" x14ac:dyDescent="0.25">
      <c r="C417" s="42">
        <v>413</v>
      </c>
      <c r="D417" s="67" t="str">
        <f>IF('Prod 1'!D417="","",'Prod 1'!D417)</f>
        <v/>
      </c>
      <c r="E417" s="64"/>
      <c r="F417" s="58"/>
      <c r="G417" s="65"/>
      <c r="H417" s="65"/>
      <c r="I417" s="58"/>
      <c r="J417" s="58"/>
      <c r="K417" s="132" t="str">
        <f t="shared" si="24"/>
        <v/>
      </c>
      <c r="M417" s="68" t="str">
        <f t="shared" si="25"/>
        <v/>
      </c>
      <c r="N417" s="59" t="str">
        <f>IF('Prod 1'!E417="","",'Prod 1'!E417)</f>
        <v/>
      </c>
      <c r="O417" s="59" t="str">
        <f t="shared" si="26"/>
        <v/>
      </c>
      <c r="P417" s="59" t="str">
        <f t="shared" si="27"/>
        <v/>
      </c>
    </row>
    <row r="418" spans="3:16" ht="30" customHeight="1" x14ac:dyDescent="0.25">
      <c r="C418" s="42">
        <v>414</v>
      </c>
      <c r="D418" s="67" t="str">
        <f>IF('Prod 1'!D418="","",'Prod 1'!D418)</f>
        <v/>
      </c>
      <c r="E418" s="64"/>
      <c r="F418" s="58"/>
      <c r="G418" s="65"/>
      <c r="H418" s="65"/>
      <c r="I418" s="58"/>
      <c r="J418" s="58"/>
      <c r="K418" s="132" t="str">
        <f t="shared" si="24"/>
        <v/>
      </c>
      <c r="M418" s="68" t="str">
        <f t="shared" si="25"/>
        <v/>
      </c>
      <c r="N418" s="59" t="str">
        <f>IF('Prod 1'!E418="","",'Prod 1'!E418)</f>
        <v/>
      </c>
      <c r="O418" s="59" t="str">
        <f t="shared" si="26"/>
        <v/>
      </c>
      <c r="P418" s="59" t="str">
        <f t="shared" si="27"/>
        <v/>
      </c>
    </row>
    <row r="419" spans="3:16" ht="30" customHeight="1" x14ac:dyDescent="0.25">
      <c r="C419" s="42">
        <v>415</v>
      </c>
      <c r="D419" s="67" t="str">
        <f>IF('Prod 1'!D419="","",'Prod 1'!D419)</f>
        <v/>
      </c>
      <c r="E419" s="64"/>
      <c r="F419" s="58"/>
      <c r="G419" s="65"/>
      <c r="H419" s="65"/>
      <c r="I419" s="58"/>
      <c r="J419" s="58"/>
      <c r="K419" s="132" t="str">
        <f t="shared" si="24"/>
        <v/>
      </c>
      <c r="M419" s="68" t="str">
        <f t="shared" si="25"/>
        <v/>
      </c>
      <c r="N419" s="59" t="str">
        <f>IF('Prod 1'!E419="","",'Prod 1'!E419)</f>
        <v/>
      </c>
      <c r="O419" s="59" t="str">
        <f t="shared" si="26"/>
        <v/>
      </c>
      <c r="P419" s="59" t="str">
        <f t="shared" si="27"/>
        <v/>
      </c>
    </row>
    <row r="420" spans="3:16" ht="30" customHeight="1" x14ac:dyDescent="0.25">
      <c r="C420" s="42">
        <v>416</v>
      </c>
      <c r="D420" s="67" t="str">
        <f>IF('Prod 1'!D420="","",'Prod 1'!D420)</f>
        <v/>
      </c>
      <c r="E420" s="64"/>
      <c r="F420" s="58"/>
      <c r="G420" s="65"/>
      <c r="H420" s="65"/>
      <c r="I420" s="58"/>
      <c r="J420" s="58"/>
      <c r="K420" s="132" t="str">
        <f t="shared" si="24"/>
        <v/>
      </c>
      <c r="M420" s="68" t="str">
        <f t="shared" si="25"/>
        <v/>
      </c>
      <c r="N420" s="59" t="str">
        <f>IF('Prod 1'!E420="","",'Prod 1'!E420)</f>
        <v/>
      </c>
      <c r="O420" s="59" t="str">
        <f t="shared" si="26"/>
        <v/>
      </c>
      <c r="P420" s="59" t="str">
        <f t="shared" si="27"/>
        <v/>
      </c>
    </row>
    <row r="421" spans="3:16" ht="30" customHeight="1" x14ac:dyDescent="0.25">
      <c r="C421" s="42">
        <v>417</v>
      </c>
      <c r="D421" s="67" t="str">
        <f>IF('Prod 1'!D421="","",'Prod 1'!D421)</f>
        <v/>
      </c>
      <c r="E421" s="64"/>
      <c r="F421" s="58"/>
      <c r="G421" s="65"/>
      <c r="H421" s="65"/>
      <c r="I421" s="58"/>
      <c r="J421" s="58"/>
      <c r="K421" s="132" t="str">
        <f t="shared" si="24"/>
        <v/>
      </c>
      <c r="M421" s="68" t="str">
        <f t="shared" si="25"/>
        <v/>
      </c>
      <c r="N421" s="59" t="str">
        <f>IF('Prod 1'!E421="","",'Prod 1'!E421)</f>
        <v/>
      </c>
      <c r="O421" s="59" t="str">
        <f t="shared" si="26"/>
        <v/>
      </c>
      <c r="P421" s="59" t="str">
        <f t="shared" si="27"/>
        <v/>
      </c>
    </row>
    <row r="422" spans="3:16" ht="30" customHeight="1" x14ac:dyDescent="0.25">
      <c r="C422" s="42">
        <v>418</v>
      </c>
      <c r="D422" s="67" t="str">
        <f>IF('Prod 1'!D422="","",'Prod 1'!D422)</f>
        <v/>
      </c>
      <c r="E422" s="64"/>
      <c r="F422" s="58"/>
      <c r="G422" s="65"/>
      <c r="H422" s="65"/>
      <c r="I422" s="58"/>
      <c r="J422" s="58"/>
      <c r="K422" s="132" t="str">
        <f t="shared" si="24"/>
        <v/>
      </c>
      <c r="M422" s="68" t="str">
        <f t="shared" si="25"/>
        <v/>
      </c>
      <c r="N422" s="59" t="str">
        <f>IF('Prod 1'!E422="","",'Prod 1'!E422)</f>
        <v/>
      </c>
      <c r="O422" s="59" t="str">
        <f t="shared" si="26"/>
        <v/>
      </c>
      <c r="P422" s="59" t="str">
        <f t="shared" si="27"/>
        <v/>
      </c>
    </row>
    <row r="423" spans="3:16" ht="30" customHeight="1" x14ac:dyDescent="0.25">
      <c r="C423" s="42">
        <v>419</v>
      </c>
      <c r="D423" s="67" t="str">
        <f>IF('Prod 1'!D423="","",'Prod 1'!D423)</f>
        <v/>
      </c>
      <c r="E423" s="64"/>
      <c r="F423" s="58"/>
      <c r="G423" s="65"/>
      <c r="H423" s="65"/>
      <c r="I423" s="58"/>
      <c r="J423" s="58"/>
      <c r="K423" s="132" t="str">
        <f t="shared" si="24"/>
        <v/>
      </c>
      <c r="M423" s="68" t="str">
        <f t="shared" si="25"/>
        <v/>
      </c>
      <c r="N423" s="59" t="str">
        <f>IF('Prod 1'!E423="","",'Prod 1'!E423)</f>
        <v/>
      </c>
      <c r="O423" s="59" t="str">
        <f t="shared" si="26"/>
        <v/>
      </c>
      <c r="P423" s="59" t="str">
        <f t="shared" si="27"/>
        <v/>
      </c>
    </row>
    <row r="424" spans="3:16" ht="30" customHeight="1" x14ac:dyDescent="0.25">
      <c r="C424" s="42">
        <v>420</v>
      </c>
      <c r="D424" s="67" t="str">
        <f>IF('Prod 1'!D424="","",'Prod 1'!D424)</f>
        <v/>
      </c>
      <c r="E424" s="64"/>
      <c r="F424" s="58"/>
      <c r="G424" s="65"/>
      <c r="H424" s="65"/>
      <c r="I424" s="58"/>
      <c r="J424" s="58"/>
      <c r="K424" s="132" t="str">
        <f t="shared" si="24"/>
        <v/>
      </c>
      <c r="M424" s="68" t="str">
        <f t="shared" si="25"/>
        <v/>
      </c>
      <c r="N424" s="59" t="str">
        <f>IF('Prod 1'!E424="","",'Prod 1'!E424)</f>
        <v/>
      </c>
      <c r="O424" s="59" t="str">
        <f t="shared" si="26"/>
        <v/>
      </c>
      <c r="P424" s="59" t="str">
        <f t="shared" si="27"/>
        <v/>
      </c>
    </row>
    <row r="425" spans="3:16" ht="30" customHeight="1" x14ac:dyDescent="0.25">
      <c r="C425" s="42">
        <v>421</v>
      </c>
      <c r="D425" s="67" t="str">
        <f>IF('Prod 1'!D425="","",'Prod 1'!D425)</f>
        <v/>
      </c>
      <c r="E425" s="64"/>
      <c r="F425" s="58"/>
      <c r="G425" s="65"/>
      <c r="H425" s="65"/>
      <c r="I425" s="58"/>
      <c r="J425" s="58"/>
      <c r="K425" s="132" t="str">
        <f t="shared" si="24"/>
        <v/>
      </c>
      <c r="M425" s="68" t="str">
        <f t="shared" si="25"/>
        <v/>
      </c>
      <c r="N425" s="59" t="str">
        <f>IF('Prod 1'!E425="","",'Prod 1'!E425)</f>
        <v/>
      </c>
      <c r="O425" s="59" t="str">
        <f t="shared" si="26"/>
        <v/>
      </c>
      <c r="P425" s="59" t="str">
        <f t="shared" si="27"/>
        <v/>
      </c>
    </row>
    <row r="426" spans="3:16" ht="30" customHeight="1" x14ac:dyDescent="0.25">
      <c r="C426" s="42">
        <v>422</v>
      </c>
      <c r="D426" s="67" t="str">
        <f>IF('Prod 1'!D426="","",'Prod 1'!D426)</f>
        <v/>
      </c>
      <c r="E426" s="64"/>
      <c r="F426" s="58"/>
      <c r="G426" s="65"/>
      <c r="H426" s="65"/>
      <c r="I426" s="58"/>
      <c r="J426" s="58"/>
      <c r="K426" s="132" t="str">
        <f t="shared" si="24"/>
        <v/>
      </c>
      <c r="M426" s="68" t="str">
        <f t="shared" si="25"/>
        <v/>
      </c>
      <c r="N426" s="59" t="str">
        <f>IF('Prod 1'!E426="","",'Prod 1'!E426)</f>
        <v/>
      </c>
      <c r="O426" s="59" t="str">
        <f t="shared" si="26"/>
        <v/>
      </c>
      <c r="P426" s="59" t="str">
        <f t="shared" si="27"/>
        <v/>
      </c>
    </row>
    <row r="427" spans="3:16" ht="30" customHeight="1" x14ac:dyDescent="0.25">
      <c r="C427" s="42">
        <v>423</v>
      </c>
      <c r="D427" s="67" t="str">
        <f>IF('Prod 1'!D427="","",'Prod 1'!D427)</f>
        <v/>
      </c>
      <c r="E427" s="64"/>
      <c r="F427" s="58"/>
      <c r="G427" s="65"/>
      <c r="H427" s="65"/>
      <c r="I427" s="58"/>
      <c r="J427" s="58"/>
      <c r="K427" s="132" t="str">
        <f t="shared" si="24"/>
        <v/>
      </c>
      <c r="M427" s="68" t="str">
        <f t="shared" si="25"/>
        <v/>
      </c>
      <c r="N427" s="59" t="str">
        <f>IF('Prod 1'!E427="","",'Prod 1'!E427)</f>
        <v/>
      </c>
      <c r="O427" s="59" t="str">
        <f t="shared" si="26"/>
        <v/>
      </c>
      <c r="P427" s="59" t="str">
        <f t="shared" si="27"/>
        <v/>
      </c>
    </row>
    <row r="428" spans="3:16" ht="30" customHeight="1" x14ac:dyDescent="0.25">
      <c r="C428" s="42">
        <v>424</v>
      </c>
      <c r="D428" s="67" t="str">
        <f>IF('Prod 1'!D428="","",'Prod 1'!D428)</f>
        <v/>
      </c>
      <c r="E428" s="64"/>
      <c r="F428" s="58"/>
      <c r="G428" s="65"/>
      <c r="H428" s="65"/>
      <c r="I428" s="58"/>
      <c r="J428" s="58"/>
      <c r="K428" s="132" t="str">
        <f t="shared" si="24"/>
        <v/>
      </c>
      <c r="M428" s="68" t="str">
        <f t="shared" si="25"/>
        <v/>
      </c>
      <c r="N428" s="59" t="str">
        <f>IF('Prod 1'!E428="","",'Prod 1'!E428)</f>
        <v/>
      </c>
      <c r="O428" s="59" t="str">
        <f t="shared" si="26"/>
        <v/>
      </c>
      <c r="P428" s="59" t="str">
        <f t="shared" si="27"/>
        <v/>
      </c>
    </row>
    <row r="429" spans="3:16" ht="30" customHeight="1" x14ac:dyDescent="0.25">
      <c r="C429" s="42">
        <v>425</v>
      </c>
      <c r="D429" s="67" t="str">
        <f>IF('Prod 1'!D429="","",'Prod 1'!D429)</f>
        <v/>
      </c>
      <c r="E429" s="64"/>
      <c r="F429" s="58"/>
      <c r="G429" s="65"/>
      <c r="H429" s="65"/>
      <c r="I429" s="58"/>
      <c r="J429" s="58"/>
      <c r="K429" s="132" t="str">
        <f t="shared" si="24"/>
        <v/>
      </c>
      <c r="M429" s="68" t="str">
        <f t="shared" si="25"/>
        <v/>
      </c>
      <c r="N429" s="59" t="str">
        <f>IF('Prod 1'!E429="","",'Prod 1'!E429)</f>
        <v/>
      </c>
      <c r="O429" s="59" t="str">
        <f t="shared" si="26"/>
        <v/>
      </c>
      <c r="P429" s="59" t="str">
        <f t="shared" si="27"/>
        <v/>
      </c>
    </row>
    <row r="430" spans="3:16" ht="30" customHeight="1" x14ac:dyDescent="0.25">
      <c r="C430" s="42">
        <v>426</v>
      </c>
      <c r="D430" s="67" t="str">
        <f>IF('Prod 1'!D430="","",'Prod 1'!D430)</f>
        <v/>
      </c>
      <c r="E430" s="64"/>
      <c r="F430" s="58"/>
      <c r="G430" s="65"/>
      <c r="H430" s="65"/>
      <c r="I430" s="58"/>
      <c r="J430" s="58"/>
      <c r="K430" s="132" t="str">
        <f t="shared" si="24"/>
        <v/>
      </c>
      <c r="M430" s="68" t="str">
        <f t="shared" si="25"/>
        <v/>
      </c>
      <c r="N430" s="59" t="str">
        <f>IF('Prod 1'!E430="","",'Prod 1'!E430)</f>
        <v/>
      </c>
      <c r="O430" s="59" t="str">
        <f t="shared" si="26"/>
        <v/>
      </c>
      <c r="P430" s="59" t="str">
        <f t="shared" si="27"/>
        <v/>
      </c>
    </row>
    <row r="431" spans="3:16" ht="30" customHeight="1" x14ac:dyDescent="0.25">
      <c r="C431" s="42">
        <v>427</v>
      </c>
      <c r="D431" s="67" t="str">
        <f>IF('Prod 1'!D431="","",'Prod 1'!D431)</f>
        <v/>
      </c>
      <c r="E431" s="64"/>
      <c r="F431" s="58"/>
      <c r="G431" s="65"/>
      <c r="H431" s="65"/>
      <c r="I431" s="58"/>
      <c r="J431" s="58"/>
      <c r="K431" s="132" t="str">
        <f t="shared" si="24"/>
        <v/>
      </c>
      <c r="M431" s="68" t="str">
        <f t="shared" si="25"/>
        <v/>
      </c>
      <c r="N431" s="59" t="str">
        <f>IF('Prod 1'!E431="","",'Prod 1'!E431)</f>
        <v/>
      </c>
      <c r="O431" s="59" t="str">
        <f t="shared" si="26"/>
        <v/>
      </c>
      <c r="P431" s="59" t="str">
        <f t="shared" si="27"/>
        <v/>
      </c>
    </row>
    <row r="432" spans="3:16" ht="30" customHeight="1" x14ac:dyDescent="0.25">
      <c r="C432" s="42">
        <v>428</v>
      </c>
      <c r="D432" s="67" t="str">
        <f>IF('Prod 1'!D432="","",'Prod 1'!D432)</f>
        <v/>
      </c>
      <c r="E432" s="64"/>
      <c r="F432" s="58"/>
      <c r="G432" s="65"/>
      <c r="H432" s="65"/>
      <c r="I432" s="58"/>
      <c r="J432" s="58"/>
      <c r="K432" s="132" t="str">
        <f t="shared" si="24"/>
        <v/>
      </c>
      <c r="M432" s="68" t="str">
        <f t="shared" si="25"/>
        <v/>
      </c>
      <c r="N432" s="59" t="str">
        <f>IF('Prod 1'!E432="","",'Prod 1'!E432)</f>
        <v/>
      </c>
      <c r="O432" s="59" t="str">
        <f t="shared" si="26"/>
        <v/>
      </c>
      <c r="P432" s="59" t="str">
        <f t="shared" si="27"/>
        <v/>
      </c>
    </row>
    <row r="433" spans="3:16" ht="30" customHeight="1" x14ac:dyDescent="0.25">
      <c r="C433" s="42">
        <v>429</v>
      </c>
      <c r="D433" s="67" t="str">
        <f>IF('Prod 1'!D433="","",'Prod 1'!D433)</f>
        <v/>
      </c>
      <c r="E433" s="64"/>
      <c r="F433" s="58"/>
      <c r="G433" s="65"/>
      <c r="H433" s="65"/>
      <c r="I433" s="58"/>
      <c r="J433" s="58"/>
      <c r="K433" s="132" t="str">
        <f t="shared" si="24"/>
        <v/>
      </c>
      <c r="M433" s="68" t="str">
        <f t="shared" si="25"/>
        <v/>
      </c>
      <c r="N433" s="59" t="str">
        <f>IF('Prod 1'!E433="","",'Prod 1'!E433)</f>
        <v/>
      </c>
      <c r="O433" s="59" t="str">
        <f t="shared" si="26"/>
        <v/>
      </c>
      <c r="P433" s="59" t="str">
        <f t="shared" si="27"/>
        <v/>
      </c>
    </row>
    <row r="434" spans="3:16" ht="30" customHeight="1" x14ac:dyDescent="0.25">
      <c r="C434" s="42">
        <v>430</v>
      </c>
      <c r="D434" s="67" t="str">
        <f>IF('Prod 1'!D434="","",'Prod 1'!D434)</f>
        <v/>
      </c>
      <c r="E434" s="64"/>
      <c r="F434" s="58"/>
      <c r="G434" s="65"/>
      <c r="H434" s="65"/>
      <c r="I434" s="58"/>
      <c r="J434" s="58"/>
      <c r="K434" s="132" t="str">
        <f t="shared" si="24"/>
        <v/>
      </c>
      <c r="M434" s="68" t="str">
        <f t="shared" si="25"/>
        <v/>
      </c>
      <c r="N434" s="59" t="str">
        <f>IF('Prod 1'!E434="","",'Prod 1'!E434)</f>
        <v/>
      </c>
      <c r="O434" s="59" t="str">
        <f t="shared" si="26"/>
        <v/>
      </c>
      <c r="P434" s="59" t="str">
        <f t="shared" si="27"/>
        <v/>
      </c>
    </row>
    <row r="435" spans="3:16" ht="30" customHeight="1" x14ac:dyDescent="0.25">
      <c r="C435" s="42">
        <v>431</v>
      </c>
      <c r="D435" s="67" t="str">
        <f>IF('Prod 1'!D435="","",'Prod 1'!D435)</f>
        <v/>
      </c>
      <c r="E435" s="64"/>
      <c r="F435" s="58"/>
      <c r="G435" s="65"/>
      <c r="H435" s="65"/>
      <c r="I435" s="58"/>
      <c r="J435" s="58"/>
      <c r="K435" s="132" t="str">
        <f t="shared" si="24"/>
        <v/>
      </c>
      <c r="M435" s="68" t="str">
        <f t="shared" si="25"/>
        <v/>
      </c>
      <c r="N435" s="59" t="str">
        <f>IF('Prod 1'!E435="","",'Prod 1'!E435)</f>
        <v/>
      </c>
      <c r="O435" s="59" t="str">
        <f t="shared" si="26"/>
        <v/>
      </c>
      <c r="P435" s="59" t="str">
        <f t="shared" si="27"/>
        <v/>
      </c>
    </row>
    <row r="436" spans="3:16" ht="30" customHeight="1" x14ac:dyDescent="0.25">
      <c r="C436" s="42">
        <v>432</v>
      </c>
      <c r="D436" s="67" t="str">
        <f>IF('Prod 1'!D436="","",'Prod 1'!D436)</f>
        <v/>
      </c>
      <c r="E436" s="64"/>
      <c r="F436" s="58"/>
      <c r="G436" s="65"/>
      <c r="H436" s="65"/>
      <c r="I436" s="58"/>
      <c r="J436" s="58"/>
      <c r="K436" s="132" t="str">
        <f t="shared" si="24"/>
        <v/>
      </c>
      <c r="M436" s="68" t="str">
        <f t="shared" si="25"/>
        <v/>
      </c>
      <c r="N436" s="59" t="str">
        <f>IF('Prod 1'!E436="","",'Prod 1'!E436)</f>
        <v/>
      </c>
      <c r="O436" s="59" t="str">
        <f t="shared" si="26"/>
        <v/>
      </c>
      <c r="P436" s="59" t="str">
        <f t="shared" si="27"/>
        <v/>
      </c>
    </row>
    <row r="437" spans="3:16" ht="30" customHeight="1" x14ac:dyDescent="0.25">
      <c r="C437" s="42">
        <v>433</v>
      </c>
      <c r="D437" s="67" t="str">
        <f>IF('Prod 1'!D437="","",'Prod 1'!D437)</f>
        <v/>
      </c>
      <c r="E437" s="64"/>
      <c r="F437" s="58"/>
      <c r="G437" s="65"/>
      <c r="H437" s="65"/>
      <c r="I437" s="58"/>
      <c r="J437" s="58"/>
      <c r="K437" s="132" t="str">
        <f t="shared" si="24"/>
        <v/>
      </c>
      <c r="M437" s="68" t="str">
        <f t="shared" si="25"/>
        <v/>
      </c>
      <c r="N437" s="59" t="str">
        <f>IF('Prod 1'!E437="","",'Prod 1'!E437)</f>
        <v/>
      </c>
      <c r="O437" s="59" t="str">
        <f t="shared" si="26"/>
        <v/>
      </c>
      <c r="P437" s="59" t="str">
        <f t="shared" si="27"/>
        <v/>
      </c>
    </row>
    <row r="438" spans="3:16" ht="30" customHeight="1" x14ac:dyDescent="0.25">
      <c r="C438" s="42">
        <v>434</v>
      </c>
      <c r="D438" s="67" t="str">
        <f>IF('Prod 1'!D438="","",'Prod 1'!D438)</f>
        <v/>
      </c>
      <c r="E438" s="64"/>
      <c r="F438" s="58"/>
      <c r="G438" s="65"/>
      <c r="H438" s="65"/>
      <c r="I438" s="58"/>
      <c r="J438" s="58"/>
      <c r="K438" s="132" t="str">
        <f t="shared" si="24"/>
        <v/>
      </c>
      <c r="M438" s="68" t="str">
        <f t="shared" si="25"/>
        <v/>
      </c>
      <c r="N438" s="59" t="str">
        <f>IF('Prod 1'!E438="","",'Prod 1'!E438)</f>
        <v/>
      </c>
      <c r="O438" s="59" t="str">
        <f t="shared" si="26"/>
        <v/>
      </c>
      <c r="P438" s="59" t="str">
        <f t="shared" si="27"/>
        <v/>
      </c>
    </row>
    <row r="439" spans="3:16" ht="30" customHeight="1" x14ac:dyDescent="0.25">
      <c r="C439" s="42">
        <v>435</v>
      </c>
      <c r="D439" s="67" t="str">
        <f>IF('Prod 1'!D439="","",'Prod 1'!D439)</f>
        <v/>
      </c>
      <c r="E439" s="64"/>
      <c r="F439" s="58"/>
      <c r="G439" s="65"/>
      <c r="H439" s="65"/>
      <c r="I439" s="58"/>
      <c r="J439" s="58"/>
      <c r="K439" s="132" t="str">
        <f t="shared" si="24"/>
        <v/>
      </c>
      <c r="M439" s="68" t="str">
        <f t="shared" si="25"/>
        <v/>
      </c>
      <c r="N439" s="59" t="str">
        <f>IF('Prod 1'!E439="","",'Prod 1'!E439)</f>
        <v/>
      </c>
      <c r="O439" s="59" t="str">
        <f t="shared" si="26"/>
        <v/>
      </c>
      <c r="P439" s="59" t="str">
        <f t="shared" si="27"/>
        <v/>
      </c>
    </row>
    <row r="440" spans="3:16" ht="30" customHeight="1" x14ac:dyDescent="0.25">
      <c r="C440" s="42">
        <v>436</v>
      </c>
      <c r="D440" s="67" t="str">
        <f>IF('Prod 1'!D440="","",'Prod 1'!D440)</f>
        <v/>
      </c>
      <c r="E440" s="64"/>
      <c r="F440" s="58"/>
      <c r="G440" s="65"/>
      <c r="H440" s="65"/>
      <c r="I440" s="58"/>
      <c r="J440" s="58"/>
      <c r="K440" s="132" t="str">
        <f t="shared" si="24"/>
        <v/>
      </c>
      <c r="M440" s="68" t="str">
        <f t="shared" si="25"/>
        <v/>
      </c>
      <c r="N440" s="59" t="str">
        <f>IF('Prod 1'!E440="","",'Prod 1'!E440)</f>
        <v/>
      </c>
      <c r="O440" s="59" t="str">
        <f t="shared" si="26"/>
        <v/>
      </c>
      <c r="P440" s="59" t="str">
        <f t="shared" si="27"/>
        <v/>
      </c>
    </row>
    <row r="441" spans="3:16" ht="30" customHeight="1" x14ac:dyDescent="0.25">
      <c r="C441" s="42">
        <v>437</v>
      </c>
      <c r="D441" s="67" t="str">
        <f>IF('Prod 1'!D441="","",'Prod 1'!D441)</f>
        <v/>
      </c>
      <c r="E441" s="64"/>
      <c r="F441" s="58"/>
      <c r="G441" s="65"/>
      <c r="H441" s="65"/>
      <c r="I441" s="58"/>
      <c r="J441" s="58"/>
      <c r="K441" s="132" t="str">
        <f t="shared" si="24"/>
        <v/>
      </c>
      <c r="M441" s="68" t="str">
        <f t="shared" si="25"/>
        <v/>
      </c>
      <c r="N441" s="59" t="str">
        <f>IF('Prod 1'!E441="","",'Prod 1'!E441)</f>
        <v/>
      </c>
      <c r="O441" s="59" t="str">
        <f t="shared" si="26"/>
        <v/>
      </c>
      <c r="P441" s="59" t="str">
        <f t="shared" si="27"/>
        <v/>
      </c>
    </row>
    <row r="442" spans="3:16" ht="30" customHeight="1" x14ac:dyDescent="0.25">
      <c r="C442" s="42">
        <v>438</v>
      </c>
      <c r="D442" s="67" t="str">
        <f>IF('Prod 1'!D442="","",'Prod 1'!D442)</f>
        <v/>
      </c>
      <c r="E442" s="64"/>
      <c r="F442" s="58"/>
      <c r="G442" s="65"/>
      <c r="H442" s="65"/>
      <c r="I442" s="58"/>
      <c r="J442" s="58"/>
      <c r="K442" s="132" t="str">
        <f t="shared" si="24"/>
        <v/>
      </c>
      <c r="M442" s="68" t="str">
        <f t="shared" si="25"/>
        <v/>
      </c>
      <c r="N442" s="59" t="str">
        <f>IF('Prod 1'!E442="","",'Prod 1'!E442)</f>
        <v/>
      </c>
      <c r="O442" s="59" t="str">
        <f t="shared" si="26"/>
        <v/>
      </c>
      <c r="P442" s="59" t="str">
        <f t="shared" si="27"/>
        <v/>
      </c>
    </row>
    <row r="443" spans="3:16" ht="30" customHeight="1" x14ac:dyDescent="0.25">
      <c r="C443" s="42">
        <v>439</v>
      </c>
      <c r="D443" s="67" t="str">
        <f>IF('Prod 1'!D443="","",'Prod 1'!D443)</f>
        <v/>
      </c>
      <c r="E443" s="64"/>
      <c r="F443" s="58"/>
      <c r="G443" s="65"/>
      <c r="H443" s="65"/>
      <c r="I443" s="58"/>
      <c r="J443" s="58"/>
      <c r="K443" s="132" t="str">
        <f t="shared" si="24"/>
        <v/>
      </c>
      <c r="M443" s="68" t="str">
        <f t="shared" si="25"/>
        <v/>
      </c>
      <c r="N443" s="59" t="str">
        <f>IF('Prod 1'!E443="","",'Prod 1'!E443)</f>
        <v/>
      </c>
      <c r="O443" s="59" t="str">
        <f t="shared" si="26"/>
        <v/>
      </c>
      <c r="P443" s="59" t="str">
        <f t="shared" si="27"/>
        <v/>
      </c>
    </row>
    <row r="444" spans="3:16" ht="30" customHeight="1" x14ac:dyDescent="0.25">
      <c r="C444" s="42">
        <v>440</v>
      </c>
      <c r="D444" s="67" t="str">
        <f>IF('Prod 1'!D444="","",'Prod 1'!D444)</f>
        <v/>
      </c>
      <c r="E444" s="64"/>
      <c r="F444" s="58"/>
      <c r="G444" s="65"/>
      <c r="H444" s="65"/>
      <c r="I444" s="58"/>
      <c r="J444" s="58"/>
      <c r="K444" s="132" t="str">
        <f t="shared" si="24"/>
        <v/>
      </c>
      <c r="M444" s="68" t="str">
        <f t="shared" si="25"/>
        <v/>
      </c>
      <c r="N444" s="59" t="str">
        <f>IF('Prod 1'!E444="","",'Prod 1'!E444)</f>
        <v/>
      </c>
      <c r="O444" s="59" t="str">
        <f t="shared" si="26"/>
        <v/>
      </c>
      <c r="P444" s="59" t="str">
        <f t="shared" si="27"/>
        <v/>
      </c>
    </row>
    <row r="445" spans="3:16" ht="30" customHeight="1" x14ac:dyDescent="0.25">
      <c r="C445" s="42">
        <v>441</v>
      </c>
      <c r="D445" s="67" t="str">
        <f>IF('Prod 1'!D445="","",'Prod 1'!D445)</f>
        <v/>
      </c>
      <c r="E445" s="64"/>
      <c r="F445" s="58"/>
      <c r="G445" s="65"/>
      <c r="H445" s="65"/>
      <c r="I445" s="58"/>
      <c r="J445" s="58"/>
      <c r="K445" s="132" t="str">
        <f t="shared" si="24"/>
        <v/>
      </c>
      <c r="M445" s="68" t="str">
        <f t="shared" si="25"/>
        <v/>
      </c>
      <c r="N445" s="59" t="str">
        <f>IF('Prod 1'!E445="","",'Prod 1'!E445)</f>
        <v/>
      </c>
      <c r="O445" s="59" t="str">
        <f t="shared" si="26"/>
        <v/>
      </c>
      <c r="P445" s="59" t="str">
        <f t="shared" si="27"/>
        <v/>
      </c>
    </row>
    <row r="446" spans="3:16" ht="30" customHeight="1" x14ac:dyDescent="0.25">
      <c r="C446" s="42">
        <v>442</v>
      </c>
      <c r="D446" s="67" t="str">
        <f>IF('Prod 1'!D446="","",'Prod 1'!D446)</f>
        <v/>
      </c>
      <c r="E446" s="64"/>
      <c r="F446" s="58"/>
      <c r="G446" s="65"/>
      <c r="H446" s="65"/>
      <c r="I446" s="58"/>
      <c r="J446" s="58"/>
      <c r="K446" s="132" t="str">
        <f t="shared" si="24"/>
        <v/>
      </c>
      <c r="M446" s="68" t="str">
        <f t="shared" si="25"/>
        <v/>
      </c>
      <c r="N446" s="59" t="str">
        <f>IF('Prod 1'!E446="","",'Prod 1'!E446)</f>
        <v/>
      </c>
      <c r="O446" s="59" t="str">
        <f t="shared" si="26"/>
        <v/>
      </c>
      <c r="P446" s="59" t="str">
        <f t="shared" si="27"/>
        <v/>
      </c>
    </row>
    <row r="447" spans="3:16" ht="30" customHeight="1" x14ac:dyDescent="0.25">
      <c r="C447" s="42">
        <v>443</v>
      </c>
      <c r="D447" s="67" t="str">
        <f>IF('Prod 1'!D447="","",'Prod 1'!D447)</f>
        <v/>
      </c>
      <c r="E447" s="64"/>
      <c r="F447" s="58"/>
      <c r="G447" s="65"/>
      <c r="H447" s="65"/>
      <c r="I447" s="58"/>
      <c r="J447" s="58"/>
      <c r="K447" s="132" t="str">
        <f t="shared" si="24"/>
        <v/>
      </c>
      <c r="M447" s="68" t="str">
        <f t="shared" si="25"/>
        <v/>
      </c>
      <c r="N447" s="59" t="str">
        <f>IF('Prod 1'!E447="","",'Prod 1'!E447)</f>
        <v/>
      </c>
      <c r="O447" s="59" t="str">
        <f t="shared" si="26"/>
        <v/>
      </c>
      <c r="P447" s="59" t="str">
        <f t="shared" si="27"/>
        <v/>
      </c>
    </row>
    <row r="448" spans="3:16" ht="30" customHeight="1" x14ac:dyDescent="0.25">
      <c r="C448" s="42">
        <v>444</v>
      </c>
      <c r="D448" s="67" t="str">
        <f>IF('Prod 1'!D448="","",'Prod 1'!D448)</f>
        <v/>
      </c>
      <c r="E448" s="64"/>
      <c r="F448" s="58"/>
      <c r="G448" s="65"/>
      <c r="H448" s="65"/>
      <c r="I448" s="58"/>
      <c r="J448" s="58"/>
      <c r="K448" s="132" t="str">
        <f t="shared" si="24"/>
        <v/>
      </c>
      <c r="M448" s="68" t="str">
        <f t="shared" si="25"/>
        <v/>
      </c>
      <c r="N448" s="59" t="str">
        <f>IF('Prod 1'!E448="","",'Prod 1'!E448)</f>
        <v/>
      </c>
      <c r="O448" s="59" t="str">
        <f t="shared" si="26"/>
        <v/>
      </c>
      <c r="P448" s="59" t="str">
        <f t="shared" si="27"/>
        <v/>
      </c>
    </row>
    <row r="449" spans="3:16" ht="30" customHeight="1" x14ac:dyDescent="0.25">
      <c r="C449" s="42">
        <v>445</v>
      </c>
      <c r="D449" s="67" t="str">
        <f>IF('Prod 1'!D449="","",'Prod 1'!D449)</f>
        <v/>
      </c>
      <c r="E449" s="64"/>
      <c r="F449" s="58"/>
      <c r="G449" s="65"/>
      <c r="H449" s="65"/>
      <c r="I449" s="58"/>
      <c r="J449" s="58"/>
      <c r="K449" s="132" t="str">
        <f t="shared" si="24"/>
        <v/>
      </c>
      <c r="M449" s="68" t="str">
        <f t="shared" si="25"/>
        <v/>
      </c>
      <c r="N449" s="59" t="str">
        <f>IF('Prod 1'!E449="","",'Prod 1'!E449)</f>
        <v/>
      </c>
      <c r="O449" s="59" t="str">
        <f t="shared" si="26"/>
        <v/>
      </c>
      <c r="P449" s="59" t="str">
        <f t="shared" si="27"/>
        <v/>
      </c>
    </row>
    <row r="450" spans="3:16" ht="30" customHeight="1" x14ac:dyDescent="0.25">
      <c r="C450" s="42">
        <v>446</v>
      </c>
      <c r="D450" s="67" t="str">
        <f>IF('Prod 1'!D450="","",'Prod 1'!D450)</f>
        <v/>
      </c>
      <c r="E450" s="64"/>
      <c r="F450" s="58"/>
      <c r="G450" s="65"/>
      <c r="H450" s="65"/>
      <c r="I450" s="58"/>
      <c r="J450" s="58"/>
      <c r="K450" s="132" t="str">
        <f t="shared" si="24"/>
        <v/>
      </c>
      <c r="M450" s="68" t="str">
        <f t="shared" si="25"/>
        <v/>
      </c>
      <c r="N450" s="59" t="str">
        <f>IF('Prod 1'!E450="","",'Prod 1'!E450)</f>
        <v/>
      </c>
      <c r="O450" s="59" t="str">
        <f t="shared" si="26"/>
        <v/>
      </c>
      <c r="P450" s="59" t="str">
        <f t="shared" si="27"/>
        <v/>
      </c>
    </row>
    <row r="451" spans="3:16" ht="30" customHeight="1" x14ac:dyDescent="0.25">
      <c r="C451" s="42">
        <v>447</v>
      </c>
      <c r="D451" s="67" t="str">
        <f>IF('Prod 1'!D451="","",'Prod 1'!D451)</f>
        <v/>
      </c>
      <c r="E451" s="64"/>
      <c r="F451" s="58"/>
      <c r="G451" s="65"/>
      <c r="H451" s="65"/>
      <c r="I451" s="58"/>
      <c r="J451" s="58"/>
      <c r="K451" s="132" t="str">
        <f t="shared" si="24"/>
        <v/>
      </c>
      <c r="M451" s="68" t="str">
        <f t="shared" si="25"/>
        <v/>
      </c>
      <c r="N451" s="59" t="str">
        <f>IF('Prod 1'!E451="","",'Prod 1'!E451)</f>
        <v/>
      </c>
      <c r="O451" s="59" t="str">
        <f t="shared" si="26"/>
        <v/>
      </c>
      <c r="P451" s="59" t="str">
        <f t="shared" si="27"/>
        <v/>
      </c>
    </row>
    <row r="452" spans="3:16" ht="30" customHeight="1" x14ac:dyDescent="0.25">
      <c r="C452" s="42">
        <v>448</v>
      </c>
      <c r="D452" s="67" t="str">
        <f>IF('Prod 1'!D452="","",'Prod 1'!D452)</f>
        <v/>
      </c>
      <c r="E452" s="64"/>
      <c r="F452" s="58"/>
      <c r="G452" s="65"/>
      <c r="H452" s="65"/>
      <c r="I452" s="58"/>
      <c r="J452" s="58"/>
      <c r="K452" s="132" t="str">
        <f t="shared" si="24"/>
        <v/>
      </c>
      <c r="M452" s="68" t="str">
        <f t="shared" si="25"/>
        <v/>
      </c>
      <c r="N452" s="59" t="str">
        <f>IF('Prod 1'!E452="","",'Prod 1'!E452)</f>
        <v/>
      </c>
      <c r="O452" s="59" t="str">
        <f t="shared" si="26"/>
        <v/>
      </c>
      <c r="P452" s="59" t="str">
        <f t="shared" si="27"/>
        <v/>
      </c>
    </row>
    <row r="453" spans="3:16" ht="30" customHeight="1" x14ac:dyDescent="0.25">
      <c r="C453" s="42">
        <v>449</v>
      </c>
      <c r="D453" s="67" t="str">
        <f>IF('Prod 1'!D453="","",'Prod 1'!D453)</f>
        <v/>
      </c>
      <c r="E453" s="64"/>
      <c r="F453" s="58"/>
      <c r="G453" s="65"/>
      <c r="H453" s="65"/>
      <c r="I453" s="58"/>
      <c r="J453" s="58"/>
      <c r="K453" s="132" t="str">
        <f t="shared" si="24"/>
        <v/>
      </c>
      <c r="M453" s="68" t="str">
        <f t="shared" si="25"/>
        <v/>
      </c>
      <c r="N453" s="59" t="str">
        <f>IF('Prod 1'!E453="","",'Prod 1'!E453)</f>
        <v/>
      </c>
      <c r="O453" s="59" t="str">
        <f t="shared" si="26"/>
        <v/>
      </c>
      <c r="P453" s="59" t="str">
        <f t="shared" si="27"/>
        <v/>
      </c>
    </row>
    <row r="454" spans="3:16" ht="30" customHeight="1" x14ac:dyDescent="0.25">
      <c r="C454" s="42">
        <v>450</v>
      </c>
      <c r="D454" s="67" t="str">
        <f>IF('Prod 1'!D454="","",'Prod 1'!D454)</f>
        <v/>
      </c>
      <c r="E454" s="64"/>
      <c r="F454" s="58"/>
      <c r="G454" s="65"/>
      <c r="H454" s="65"/>
      <c r="I454" s="58"/>
      <c r="J454" s="58"/>
      <c r="K454" s="132" t="str">
        <f t="shared" ref="K454:K517" si="28">IF(E454="","",IF(E454="Produção",SUM(I454:J454)+SUM(O454:P454),F454))</f>
        <v/>
      </c>
      <c r="M454" s="68" t="str">
        <f t="shared" ref="M454:M517" si="29">IFERROR(IF(D454="","",100%),0)</f>
        <v/>
      </c>
      <c r="N454" s="59" t="str">
        <f>IF('Prod 1'!E454="","",'Prod 1'!E454)</f>
        <v/>
      </c>
      <c r="O454" s="59" t="str">
        <f t="shared" ref="O454:O517" si="30">IFERROR(IF(D454="","",N454*G454),0)</f>
        <v/>
      </c>
      <c r="P454" s="59" t="str">
        <f t="shared" ref="P454:P517" si="31">IFERROR(IF(D454="","",N454*H454),0)</f>
        <v/>
      </c>
    </row>
    <row r="455" spans="3:16" ht="30" customHeight="1" x14ac:dyDescent="0.25">
      <c r="C455" s="42">
        <v>451</v>
      </c>
      <c r="D455" s="67" t="str">
        <f>IF('Prod 1'!D455="","",'Prod 1'!D455)</f>
        <v/>
      </c>
      <c r="E455" s="64"/>
      <c r="F455" s="58"/>
      <c r="G455" s="65"/>
      <c r="H455" s="65"/>
      <c r="I455" s="58"/>
      <c r="J455" s="58"/>
      <c r="K455" s="132" t="str">
        <f t="shared" si="28"/>
        <v/>
      </c>
      <c r="M455" s="68" t="str">
        <f t="shared" si="29"/>
        <v/>
      </c>
      <c r="N455" s="59" t="str">
        <f>IF('Prod 1'!E455="","",'Prod 1'!E455)</f>
        <v/>
      </c>
      <c r="O455" s="59" t="str">
        <f t="shared" si="30"/>
        <v/>
      </c>
      <c r="P455" s="59" t="str">
        <f t="shared" si="31"/>
        <v/>
      </c>
    </row>
    <row r="456" spans="3:16" ht="30" customHeight="1" x14ac:dyDescent="0.25">
      <c r="C456" s="42">
        <v>452</v>
      </c>
      <c r="D456" s="67" t="str">
        <f>IF('Prod 1'!D456="","",'Prod 1'!D456)</f>
        <v/>
      </c>
      <c r="E456" s="64"/>
      <c r="F456" s="58"/>
      <c r="G456" s="65"/>
      <c r="H456" s="65"/>
      <c r="I456" s="58"/>
      <c r="J456" s="58"/>
      <c r="K456" s="132" t="str">
        <f t="shared" si="28"/>
        <v/>
      </c>
      <c r="M456" s="68" t="str">
        <f t="shared" si="29"/>
        <v/>
      </c>
      <c r="N456" s="59" t="str">
        <f>IF('Prod 1'!E456="","",'Prod 1'!E456)</f>
        <v/>
      </c>
      <c r="O456" s="59" t="str">
        <f t="shared" si="30"/>
        <v/>
      </c>
      <c r="P456" s="59" t="str">
        <f t="shared" si="31"/>
        <v/>
      </c>
    </row>
    <row r="457" spans="3:16" ht="30" customHeight="1" x14ac:dyDescent="0.25">
      <c r="C457" s="42">
        <v>453</v>
      </c>
      <c r="D457" s="67" t="str">
        <f>IF('Prod 1'!D457="","",'Prod 1'!D457)</f>
        <v/>
      </c>
      <c r="E457" s="64"/>
      <c r="F457" s="58"/>
      <c r="G457" s="65"/>
      <c r="H457" s="65"/>
      <c r="I457" s="58"/>
      <c r="J457" s="58"/>
      <c r="K457" s="132" t="str">
        <f t="shared" si="28"/>
        <v/>
      </c>
      <c r="M457" s="68" t="str">
        <f t="shared" si="29"/>
        <v/>
      </c>
      <c r="N457" s="59" t="str">
        <f>IF('Prod 1'!E457="","",'Prod 1'!E457)</f>
        <v/>
      </c>
      <c r="O457" s="59" t="str">
        <f t="shared" si="30"/>
        <v/>
      </c>
      <c r="P457" s="59" t="str">
        <f t="shared" si="31"/>
        <v/>
      </c>
    </row>
    <row r="458" spans="3:16" ht="30" customHeight="1" x14ac:dyDescent="0.25">
      <c r="C458" s="42">
        <v>454</v>
      </c>
      <c r="D458" s="67" t="str">
        <f>IF('Prod 1'!D458="","",'Prod 1'!D458)</f>
        <v/>
      </c>
      <c r="E458" s="64"/>
      <c r="F458" s="58"/>
      <c r="G458" s="65"/>
      <c r="H458" s="65"/>
      <c r="I458" s="58"/>
      <c r="J458" s="58"/>
      <c r="K458" s="132" t="str">
        <f t="shared" si="28"/>
        <v/>
      </c>
      <c r="M458" s="68" t="str">
        <f t="shared" si="29"/>
        <v/>
      </c>
      <c r="N458" s="59" t="str">
        <f>IF('Prod 1'!E458="","",'Prod 1'!E458)</f>
        <v/>
      </c>
      <c r="O458" s="59" t="str">
        <f t="shared" si="30"/>
        <v/>
      </c>
      <c r="P458" s="59" t="str">
        <f t="shared" si="31"/>
        <v/>
      </c>
    </row>
    <row r="459" spans="3:16" ht="30" customHeight="1" x14ac:dyDescent="0.25">
      <c r="C459" s="42">
        <v>455</v>
      </c>
      <c r="D459" s="67" t="str">
        <f>IF('Prod 1'!D459="","",'Prod 1'!D459)</f>
        <v/>
      </c>
      <c r="E459" s="64"/>
      <c r="F459" s="58"/>
      <c r="G459" s="65"/>
      <c r="H459" s="65"/>
      <c r="I459" s="58"/>
      <c r="J459" s="58"/>
      <c r="K459" s="132" t="str">
        <f t="shared" si="28"/>
        <v/>
      </c>
      <c r="M459" s="68" t="str">
        <f t="shared" si="29"/>
        <v/>
      </c>
      <c r="N459" s="59" t="str">
        <f>IF('Prod 1'!E459="","",'Prod 1'!E459)</f>
        <v/>
      </c>
      <c r="O459" s="59" t="str">
        <f t="shared" si="30"/>
        <v/>
      </c>
      <c r="P459" s="59" t="str">
        <f t="shared" si="31"/>
        <v/>
      </c>
    </row>
    <row r="460" spans="3:16" ht="30" customHeight="1" x14ac:dyDescent="0.25">
      <c r="C460" s="42">
        <v>456</v>
      </c>
      <c r="D460" s="67" t="str">
        <f>IF('Prod 1'!D460="","",'Prod 1'!D460)</f>
        <v/>
      </c>
      <c r="E460" s="64"/>
      <c r="F460" s="58"/>
      <c r="G460" s="65"/>
      <c r="H460" s="65"/>
      <c r="I460" s="58"/>
      <c r="J460" s="58"/>
      <c r="K460" s="132" t="str">
        <f t="shared" si="28"/>
        <v/>
      </c>
      <c r="M460" s="68" t="str">
        <f t="shared" si="29"/>
        <v/>
      </c>
      <c r="N460" s="59" t="str">
        <f>IF('Prod 1'!E460="","",'Prod 1'!E460)</f>
        <v/>
      </c>
      <c r="O460" s="59" t="str">
        <f t="shared" si="30"/>
        <v/>
      </c>
      <c r="P460" s="59" t="str">
        <f t="shared" si="31"/>
        <v/>
      </c>
    </row>
    <row r="461" spans="3:16" ht="30" customHeight="1" x14ac:dyDescent="0.25">
      <c r="C461" s="42">
        <v>457</v>
      </c>
      <c r="D461" s="67" t="str">
        <f>IF('Prod 1'!D461="","",'Prod 1'!D461)</f>
        <v/>
      </c>
      <c r="E461" s="64"/>
      <c r="F461" s="58"/>
      <c r="G461" s="65"/>
      <c r="H461" s="65"/>
      <c r="I461" s="58"/>
      <c r="J461" s="58"/>
      <c r="K461" s="132" t="str">
        <f t="shared" si="28"/>
        <v/>
      </c>
      <c r="M461" s="68" t="str">
        <f t="shared" si="29"/>
        <v/>
      </c>
      <c r="N461" s="59" t="str">
        <f>IF('Prod 1'!E461="","",'Prod 1'!E461)</f>
        <v/>
      </c>
      <c r="O461" s="59" t="str">
        <f t="shared" si="30"/>
        <v/>
      </c>
      <c r="P461" s="59" t="str">
        <f t="shared" si="31"/>
        <v/>
      </c>
    </row>
    <row r="462" spans="3:16" ht="30" customHeight="1" x14ac:dyDescent="0.25">
      <c r="C462" s="42">
        <v>458</v>
      </c>
      <c r="D462" s="67" t="str">
        <f>IF('Prod 1'!D462="","",'Prod 1'!D462)</f>
        <v/>
      </c>
      <c r="E462" s="64"/>
      <c r="F462" s="58"/>
      <c r="G462" s="65"/>
      <c r="H462" s="65"/>
      <c r="I462" s="58"/>
      <c r="J462" s="58"/>
      <c r="K462" s="132" t="str">
        <f t="shared" si="28"/>
        <v/>
      </c>
      <c r="M462" s="68" t="str">
        <f t="shared" si="29"/>
        <v/>
      </c>
      <c r="N462" s="59" t="str">
        <f>IF('Prod 1'!E462="","",'Prod 1'!E462)</f>
        <v/>
      </c>
      <c r="O462" s="59" t="str">
        <f t="shared" si="30"/>
        <v/>
      </c>
      <c r="P462" s="59" t="str">
        <f t="shared" si="31"/>
        <v/>
      </c>
    </row>
    <row r="463" spans="3:16" ht="30" customHeight="1" x14ac:dyDescent="0.25">
      <c r="C463" s="42">
        <v>459</v>
      </c>
      <c r="D463" s="67" t="str">
        <f>IF('Prod 1'!D463="","",'Prod 1'!D463)</f>
        <v/>
      </c>
      <c r="E463" s="64"/>
      <c r="F463" s="58"/>
      <c r="G463" s="65"/>
      <c r="H463" s="65"/>
      <c r="I463" s="58"/>
      <c r="J463" s="58"/>
      <c r="K463" s="132" t="str">
        <f t="shared" si="28"/>
        <v/>
      </c>
      <c r="M463" s="68" t="str">
        <f t="shared" si="29"/>
        <v/>
      </c>
      <c r="N463" s="59" t="str">
        <f>IF('Prod 1'!E463="","",'Prod 1'!E463)</f>
        <v/>
      </c>
      <c r="O463" s="59" t="str">
        <f t="shared" si="30"/>
        <v/>
      </c>
      <c r="P463" s="59" t="str">
        <f t="shared" si="31"/>
        <v/>
      </c>
    </row>
    <row r="464" spans="3:16" ht="30" customHeight="1" x14ac:dyDescent="0.25">
      <c r="C464" s="42">
        <v>460</v>
      </c>
      <c r="D464" s="67" t="str">
        <f>IF('Prod 1'!D464="","",'Prod 1'!D464)</f>
        <v/>
      </c>
      <c r="E464" s="64"/>
      <c r="F464" s="58"/>
      <c r="G464" s="65"/>
      <c r="H464" s="65"/>
      <c r="I464" s="58"/>
      <c r="J464" s="58"/>
      <c r="K464" s="132" t="str">
        <f t="shared" si="28"/>
        <v/>
      </c>
      <c r="M464" s="68" t="str">
        <f t="shared" si="29"/>
        <v/>
      </c>
      <c r="N464" s="59" t="str">
        <f>IF('Prod 1'!E464="","",'Prod 1'!E464)</f>
        <v/>
      </c>
      <c r="O464" s="59" t="str">
        <f t="shared" si="30"/>
        <v/>
      </c>
      <c r="P464" s="59" t="str">
        <f t="shared" si="31"/>
        <v/>
      </c>
    </row>
    <row r="465" spans="3:16" ht="30" customHeight="1" x14ac:dyDescent="0.25">
      <c r="C465" s="42">
        <v>461</v>
      </c>
      <c r="D465" s="67" t="str">
        <f>IF('Prod 1'!D465="","",'Prod 1'!D465)</f>
        <v/>
      </c>
      <c r="E465" s="64"/>
      <c r="F465" s="58"/>
      <c r="G465" s="65"/>
      <c r="H465" s="65"/>
      <c r="I465" s="58"/>
      <c r="J465" s="58"/>
      <c r="K465" s="132" t="str">
        <f t="shared" si="28"/>
        <v/>
      </c>
      <c r="M465" s="68" t="str">
        <f t="shared" si="29"/>
        <v/>
      </c>
      <c r="N465" s="59" t="str">
        <f>IF('Prod 1'!E465="","",'Prod 1'!E465)</f>
        <v/>
      </c>
      <c r="O465" s="59" t="str">
        <f t="shared" si="30"/>
        <v/>
      </c>
      <c r="P465" s="59" t="str">
        <f t="shared" si="31"/>
        <v/>
      </c>
    </row>
    <row r="466" spans="3:16" ht="30" customHeight="1" x14ac:dyDescent="0.25">
      <c r="C466" s="42">
        <v>462</v>
      </c>
      <c r="D466" s="67" t="str">
        <f>IF('Prod 1'!D466="","",'Prod 1'!D466)</f>
        <v/>
      </c>
      <c r="E466" s="64"/>
      <c r="F466" s="58"/>
      <c r="G466" s="65"/>
      <c r="H466" s="65"/>
      <c r="I466" s="58"/>
      <c r="J466" s="58"/>
      <c r="K466" s="132" t="str">
        <f t="shared" si="28"/>
        <v/>
      </c>
      <c r="M466" s="68" t="str">
        <f t="shared" si="29"/>
        <v/>
      </c>
      <c r="N466" s="59" t="str">
        <f>IF('Prod 1'!E466="","",'Prod 1'!E466)</f>
        <v/>
      </c>
      <c r="O466" s="59" t="str">
        <f t="shared" si="30"/>
        <v/>
      </c>
      <c r="P466" s="59" t="str">
        <f t="shared" si="31"/>
        <v/>
      </c>
    </row>
    <row r="467" spans="3:16" ht="30" customHeight="1" x14ac:dyDescent="0.25">
      <c r="C467" s="42">
        <v>463</v>
      </c>
      <c r="D467" s="67" t="str">
        <f>IF('Prod 1'!D467="","",'Prod 1'!D467)</f>
        <v/>
      </c>
      <c r="E467" s="64"/>
      <c r="F467" s="58"/>
      <c r="G467" s="65"/>
      <c r="H467" s="65"/>
      <c r="I467" s="58"/>
      <c r="J467" s="58"/>
      <c r="K467" s="132" t="str">
        <f t="shared" si="28"/>
        <v/>
      </c>
      <c r="M467" s="68" t="str">
        <f t="shared" si="29"/>
        <v/>
      </c>
      <c r="N467" s="59" t="str">
        <f>IF('Prod 1'!E467="","",'Prod 1'!E467)</f>
        <v/>
      </c>
      <c r="O467" s="59" t="str">
        <f t="shared" si="30"/>
        <v/>
      </c>
      <c r="P467" s="59" t="str">
        <f t="shared" si="31"/>
        <v/>
      </c>
    </row>
    <row r="468" spans="3:16" ht="30" customHeight="1" x14ac:dyDescent="0.25">
      <c r="C468" s="42">
        <v>464</v>
      </c>
      <c r="D468" s="67" t="str">
        <f>IF('Prod 1'!D468="","",'Prod 1'!D468)</f>
        <v/>
      </c>
      <c r="E468" s="64"/>
      <c r="F468" s="58"/>
      <c r="G468" s="65"/>
      <c r="H468" s="65"/>
      <c r="I468" s="58"/>
      <c r="J468" s="58"/>
      <c r="K468" s="132" t="str">
        <f t="shared" si="28"/>
        <v/>
      </c>
      <c r="M468" s="68" t="str">
        <f t="shared" si="29"/>
        <v/>
      </c>
      <c r="N468" s="59" t="str">
        <f>IF('Prod 1'!E468="","",'Prod 1'!E468)</f>
        <v/>
      </c>
      <c r="O468" s="59" t="str">
        <f t="shared" si="30"/>
        <v/>
      </c>
      <c r="P468" s="59" t="str">
        <f t="shared" si="31"/>
        <v/>
      </c>
    </row>
    <row r="469" spans="3:16" ht="30" customHeight="1" x14ac:dyDescent="0.25">
      <c r="C469" s="42">
        <v>465</v>
      </c>
      <c r="D469" s="67" t="str">
        <f>IF('Prod 1'!D469="","",'Prod 1'!D469)</f>
        <v/>
      </c>
      <c r="E469" s="64"/>
      <c r="F469" s="58"/>
      <c r="G469" s="65"/>
      <c r="H469" s="65"/>
      <c r="I469" s="58"/>
      <c r="J469" s="58"/>
      <c r="K469" s="132" t="str">
        <f t="shared" si="28"/>
        <v/>
      </c>
      <c r="M469" s="68" t="str">
        <f t="shared" si="29"/>
        <v/>
      </c>
      <c r="N469" s="59" t="str">
        <f>IF('Prod 1'!E469="","",'Prod 1'!E469)</f>
        <v/>
      </c>
      <c r="O469" s="59" t="str">
        <f t="shared" si="30"/>
        <v/>
      </c>
      <c r="P469" s="59" t="str">
        <f t="shared" si="31"/>
        <v/>
      </c>
    </row>
    <row r="470" spans="3:16" ht="30" customHeight="1" x14ac:dyDescent="0.25">
      <c r="C470" s="42">
        <v>466</v>
      </c>
      <c r="D470" s="67" t="str">
        <f>IF('Prod 1'!D470="","",'Prod 1'!D470)</f>
        <v/>
      </c>
      <c r="E470" s="64"/>
      <c r="F470" s="58"/>
      <c r="G470" s="65"/>
      <c r="H470" s="65"/>
      <c r="I470" s="58"/>
      <c r="J470" s="58"/>
      <c r="K470" s="132" t="str">
        <f t="shared" si="28"/>
        <v/>
      </c>
      <c r="M470" s="68" t="str">
        <f t="shared" si="29"/>
        <v/>
      </c>
      <c r="N470" s="59" t="str">
        <f>IF('Prod 1'!E470="","",'Prod 1'!E470)</f>
        <v/>
      </c>
      <c r="O470" s="59" t="str">
        <f t="shared" si="30"/>
        <v/>
      </c>
      <c r="P470" s="59" t="str">
        <f t="shared" si="31"/>
        <v/>
      </c>
    </row>
    <row r="471" spans="3:16" ht="30" customHeight="1" x14ac:dyDescent="0.25">
      <c r="C471" s="42">
        <v>467</v>
      </c>
      <c r="D471" s="67" t="str">
        <f>IF('Prod 1'!D471="","",'Prod 1'!D471)</f>
        <v/>
      </c>
      <c r="E471" s="64"/>
      <c r="F471" s="58"/>
      <c r="G471" s="65"/>
      <c r="H471" s="65"/>
      <c r="I471" s="58"/>
      <c r="J471" s="58"/>
      <c r="K471" s="132" t="str">
        <f t="shared" si="28"/>
        <v/>
      </c>
      <c r="M471" s="68" t="str">
        <f t="shared" si="29"/>
        <v/>
      </c>
      <c r="N471" s="59" t="str">
        <f>IF('Prod 1'!E471="","",'Prod 1'!E471)</f>
        <v/>
      </c>
      <c r="O471" s="59" t="str">
        <f t="shared" si="30"/>
        <v/>
      </c>
      <c r="P471" s="59" t="str">
        <f t="shared" si="31"/>
        <v/>
      </c>
    </row>
    <row r="472" spans="3:16" ht="30" customHeight="1" x14ac:dyDescent="0.25">
      <c r="C472" s="42">
        <v>468</v>
      </c>
      <c r="D472" s="67" t="str">
        <f>IF('Prod 1'!D472="","",'Prod 1'!D472)</f>
        <v/>
      </c>
      <c r="E472" s="64"/>
      <c r="F472" s="58"/>
      <c r="G472" s="65"/>
      <c r="H472" s="65"/>
      <c r="I472" s="58"/>
      <c r="J472" s="58"/>
      <c r="K472" s="132" t="str">
        <f t="shared" si="28"/>
        <v/>
      </c>
      <c r="M472" s="68" t="str">
        <f t="shared" si="29"/>
        <v/>
      </c>
      <c r="N472" s="59" t="str">
        <f>IF('Prod 1'!E472="","",'Prod 1'!E472)</f>
        <v/>
      </c>
      <c r="O472" s="59" t="str">
        <f t="shared" si="30"/>
        <v/>
      </c>
      <c r="P472" s="59" t="str">
        <f t="shared" si="31"/>
        <v/>
      </c>
    </row>
    <row r="473" spans="3:16" ht="30" customHeight="1" x14ac:dyDescent="0.25">
      <c r="C473" s="42">
        <v>469</v>
      </c>
      <c r="D473" s="67" t="str">
        <f>IF('Prod 1'!D473="","",'Prod 1'!D473)</f>
        <v/>
      </c>
      <c r="E473" s="64"/>
      <c r="F473" s="58"/>
      <c r="G473" s="65"/>
      <c r="H473" s="65"/>
      <c r="I473" s="58"/>
      <c r="J473" s="58"/>
      <c r="K473" s="132" t="str">
        <f t="shared" si="28"/>
        <v/>
      </c>
      <c r="M473" s="68" t="str">
        <f t="shared" si="29"/>
        <v/>
      </c>
      <c r="N473" s="59" t="str">
        <f>IF('Prod 1'!E473="","",'Prod 1'!E473)</f>
        <v/>
      </c>
      <c r="O473" s="59" t="str">
        <f t="shared" si="30"/>
        <v/>
      </c>
      <c r="P473" s="59" t="str">
        <f t="shared" si="31"/>
        <v/>
      </c>
    </row>
    <row r="474" spans="3:16" ht="30" customHeight="1" x14ac:dyDescent="0.25">
      <c r="C474" s="42">
        <v>470</v>
      </c>
      <c r="D474" s="67" t="str">
        <f>IF('Prod 1'!D474="","",'Prod 1'!D474)</f>
        <v/>
      </c>
      <c r="E474" s="64"/>
      <c r="F474" s="58"/>
      <c r="G474" s="65"/>
      <c r="H474" s="65"/>
      <c r="I474" s="58"/>
      <c r="J474" s="58"/>
      <c r="K474" s="132" t="str">
        <f t="shared" si="28"/>
        <v/>
      </c>
      <c r="M474" s="68" t="str">
        <f t="shared" si="29"/>
        <v/>
      </c>
      <c r="N474" s="59" t="str">
        <f>IF('Prod 1'!E474="","",'Prod 1'!E474)</f>
        <v/>
      </c>
      <c r="O474" s="59" t="str">
        <f t="shared" si="30"/>
        <v/>
      </c>
      <c r="P474" s="59" t="str">
        <f t="shared" si="31"/>
        <v/>
      </c>
    </row>
    <row r="475" spans="3:16" ht="30" customHeight="1" x14ac:dyDescent="0.25">
      <c r="C475" s="42">
        <v>471</v>
      </c>
      <c r="D475" s="67" t="str">
        <f>IF('Prod 1'!D475="","",'Prod 1'!D475)</f>
        <v/>
      </c>
      <c r="E475" s="64"/>
      <c r="F475" s="58"/>
      <c r="G475" s="65"/>
      <c r="H475" s="65"/>
      <c r="I475" s="58"/>
      <c r="J475" s="58"/>
      <c r="K475" s="132" t="str">
        <f t="shared" si="28"/>
        <v/>
      </c>
      <c r="M475" s="68" t="str">
        <f t="shared" si="29"/>
        <v/>
      </c>
      <c r="N475" s="59" t="str">
        <f>IF('Prod 1'!E475="","",'Prod 1'!E475)</f>
        <v/>
      </c>
      <c r="O475" s="59" t="str">
        <f t="shared" si="30"/>
        <v/>
      </c>
      <c r="P475" s="59" t="str">
        <f t="shared" si="31"/>
        <v/>
      </c>
    </row>
    <row r="476" spans="3:16" ht="30" customHeight="1" x14ac:dyDescent="0.25">
      <c r="C476" s="42">
        <v>472</v>
      </c>
      <c r="D476" s="67" t="str">
        <f>IF('Prod 1'!D476="","",'Prod 1'!D476)</f>
        <v/>
      </c>
      <c r="E476" s="64"/>
      <c r="F476" s="58"/>
      <c r="G476" s="65"/>
      <c r="H476" s="65"/>
      <c r="I476" s="58"/>
      <c r="J476" s="58"/>
      <c r="K476" s="132" t="str">
        <f t="shared" si="28"/>
        <v/>
      </c>
      <c r="M476" s="68" t="str">
        <f t="shared" si="29"/>
        <v/>
      </c>
      <c r="N476" s="59" t="str">
        <f>IF('Prod 1'!E476="","",'Prod 1'!E476)</f>
        <v/>
      </c>
      <c r="O476" s="59" t="str">
        <f t="shared" si="30"/>
        <v/>
      </c>
      <c r="P476" s="59" t="str">
        <f t="shared" si="31"/>
        <v/>
      </c>
    </row>
    <row r="477" spans="3:16" ht="30" customHeight="1" x14ac:dyDescent="0.25">
      <c r="C477" s="42">
        <v>473</v>
      </c>
      <c r="D477" s="67" t="str">
        <f>IF('Prod 1'!D477="","",'Prod 1'!D477)</f>
        <v/>
      </c>
      <c r="E477" s="64"/>
      <c r="F477" s="58"/>
      <c r="G477" s="65"/>
      <c r="H477" s="65"/>
      <c r="I477" s="58"/>
      <c r="J477" s="58"/>
      <c r="K477" s="132" t="str">
        <f t="shared" si="28"/>
        <v/>
      </c>
      <c r="M477" s="68" t="str">
        <f t="shared" si="29"/>
        <v/>
      </c>
      <c r="N477" s="59" t="str">
        <f>IF('Prod 1'!E477="","",'Prod 1'!E477)</f>
        <v/>
      </c>
      <c r="O477" s="59" t="str">
        <f t="shared" si="30"/>
        <v/>
      </c>
      <c r="P477" s="59" t="str">
        <f t="shared" si="31"/>
        <v/>
      </c>
    </row>
    <row r="478" spans="3:16" ht="30" customHeight="1" x14ac:dyDescent="0.25">
      <c r="C478" s="42">
        <v>474</v>
      </c>
      <c r="D478" s="67" t="str">
        <f>IF('Prod 1'!D478="","",'Prod 1'!D478)</f>
        <v/>
      </c>
      <c r="E478" s="64"/>
      <c r="F478" s="58"/>
      <c r="G478" s="65"/>
      <c r="H478" s="65"/>
      <c r="I478" s="58"/>
      <c r="J478" s="58"/>
      <c r="K478" s="132" t="str">
        <f t="shared" si="28"/>
        <v/>
      </c>
      <c r="M478" s="68" t="str">
        <f t="shared" si="29"/>
        <v/>
      </c>
      <c r="N478" s="59" t="str">
        <f>IF('Prod 1'!E478="","",'Prod 1'!E478)</f>
        <v/>
      </c>
      <c r="O478" s="59" t="str">
        <f t="shared" si="30"/>
        <v/>
      </c>
      <c r="P478" s="59" t="str">
        <f t="shared" si="31"/>
        <v/>
      </c>
    </row>
    <row r="479" spans="3:16" ht="30" customHeight="1" x14ac:dyDescent="0.25">
      <c r="C479" s="42">
        <v>475</v>
      </c>
      <c r="D479" s="67" t="str">
        <f>IF('Prod 1'!D479="","",'Prod 1'!D479)</f>
        <v/>
      </c>
      <c r="E479" s="64"/>
      <c r="F479" s="58"/>
      <c r="G479" s="65"/>
      <c r="H479" s="65"/>
      <c r="I479" s="58"/>
      <c r="J479" s="58"/>
      <c r="K479" s="132" t="str">
        <f t="shared" si="28"/>
        <v/>
      </c>
      <c r="M479" s="68" t="str">
        <f t="shared" si="29"/>
        <v/>
      </c>
      <c r="N479" s="59" t="str">
        <f>IF('Prod 1'!E479="","",'Prod 1'!E479)</f>
        <v/>
      </c>
      <c r="O479" s="59" t="str">
        <f t="shared" si="30"/>
        <v/>
      </c>
      <c r="P479" s="59" t="str">
        <f t="shared" si="31"/>
        <v/>
      </c>
    </row>
    <row r="480" spans="3:16" ht="30" customHeight="1" x14ac:dyDescent="0.25">
      <c r="C480" s="42">
        <v>476</v>
      </c>
      <c r="D480" s="67" t="str">
        <f>IF('Prod 1'!D480="","",'Prod 1'!D480)</f>
        <v/>
      </c>
      <c r="E480" s="64"/>
      <c r="F480" s="58"/>
      <c r="G480" s="65"/>
      <c r="H480" s="65"/>
      <c r="I480" s="58"/>
      <c r="J480" s="58"/>
      <c r="K480" s="132" t="str">
        <f t="shared" si="28"/>
        <v/>
      </c>
      <c r="M480" s="68" t="str">
        <f t="shared" si="29"/>
        <v/>
      </c>
      <c r="N480" s="59" t="str">
        <f>IF('Prod 1'!E480="","",'Prod 1'!E480)</f>
        <v/>
      </c>
      <c r="O480" s="59" t="str">
        <f t="shared" si="30"/>
        <v/>
      </c>
      <c r="P480" s="59" t="str">
        <f t="shared" si="31"/>
        <v/>
      </c>
    </row>
    <row r="481" spans="3:16" ht="30" customHeight="1" x14ac:dyDescent="0.25">
      <c r="C481" s="42">
        <v>477</v>
      </c>
      <c r="D481" s="67" t="str">
        <f>IF('Prod 1'!D481="","",'Prod 1'!D481)</f>
        <v/>
      </c>
      <c r="E481" s="64"/>
      <c r="F481" s="58"/>
      <c r="G481" s="65"/>
      <c r="H481" s="65"/>
      <c r="I481" s="58"/>
      <c r="J481" s="58"/>
      <c r="K481" s="132" t="str">
        <f t="shared" si="28"/>
        <v/>
      </c>
      <c r="M481" s="68" t="str">
        <f t="shared" si="29"/>
        <v/>
      </c>
      <c r="N481" s="59" t="str">
        <f>IF('Prod 1'!E481="","",'Prod 1'!E481)</f>
        <v/>
      </c>
      <c r="O481" s="59" t="str">
        <f t="shared" si="30"/>
        <v/>
      </c>
      <c r="P481" s="59" t="str">
        <f t="shared" si="31"/>
        <v/>
      </c>
    </row>
    <row r="482" spans="3:16" ht="30" customHeight="1" x14ac:dyDescent="0.25">
      <c r="C482" s="42">
        <v>478</v>
      </c>
      <c r="D482" s="67" t="str">
        <f>IF('Prod 1'!D482="","",'Prod 1'!D482)</f>
        <v/>
      </c>
      <c r="E482" s="64"/>
      <c r="F482" s="58"/>
      <c r="G482" s="65"/>
      <c r="H482" s="65"/>
      <c r="I482" s="58"/>
      <c r="J482" s="58"/>
      <c r="K482" s="132" t="str">
        <f t="shared" si="28"/>
        <v/>
      </c>
      <c r="M482" s="68" t="str">
        <f t="shared" si="29"/>
        <v/>
      </c>
      <c r="N482" s="59" t="str">
        <f>IF('Prod 1'!E482="","",'Prod 1'!E482)</f>
        <v/>
      </c>
      <c r="O482" s="59" t="str">
        <f t="shared" si="30"/>
        <v/>
      </c>
      <c r="P482" s="59" t="str">
        <f t="shared" si="31"/>
        <v/>
      </c>
    </row>
    <row r="483" spans="3:16" ht="30" customHeight="1" x14ac:dyDescent="0.25">
      <c r="C483" s="42">
        <v>479</v>
      </c>
      <c r="D483" s="67" t="str">
        <f>IF('Prod 1'!D483="","",'Prod 1'!D483)</f>
        <v/>
      </c>
      <c r="E483" s="64"/>
      <c r="F483" s="58"/>
      <c r="G483" s="65"/>
      <c r="H483" s="65"/>
      <c r="I483" s="58"/>
      <c r="J483" s="58"/>
      <c r="K483" s="132" t="str">
        <f t="shared" si="28"/>
        <v/>
      </c>
      <c r="M483" s="68" t="str">
        <f t="shared" si="29"/>
        <v/>
      </c>
      <c r="N483" s="59" t="str">
        <f>IF('Prod 1'!E483="","",'Prod 1'!E483)</f>
        <v/>
      </c>
      <c r="O483" s="59" t="str">
        <f t="shared" si="30"/>
        <v/>
      </c>
      <c r="P483" s="59" t="str">
        <f t="shared" si="31"/>
        <v/>
      </c>
    </row>
    <row r="484" spans="3:16" ht="30" customHeight="1" x14ac:dyDescent="0.25">
      <c r="C484" s="42">
        <v>480</v>
      </c>
      <c r="D484" s="67" t="str">
        <f>IF('Prod 1'!D484="","",'Prod 1'!D484)</f>
        <v/>
      </c>
      <c r="E484" s="64"/>
      <c r="F484" s="58"/>
      <c r="G484" s="65"/>
      <c r="H484" s="65"/>
      <c r="I484" s="58"/>
      <c r="J484" s="58"/>
      <c r="K484" s="132" t="str">
        <f t="shared" si="28"/>
        <v/>
      </c>
      <c r="M484" s="68" t="str">
        <f t="shared" si="29"/>
        <v/>
      </c>
      <c r="N484" s="59" t="str">
        <f>IF('Prod 1'!E484="","",'Prod 1'!E484)</f>
        <v/>
      </c>
      <c r="O484" s="59" t="str">
        <f t="shared" si="30"/>
        <v/>
      </c>
      <c r="P484" s="59" t="str">
        <f t="shared" si="31"/>
        <v/>
      </c>
    </row>
    <row r="485" spans="3:16" ht="30" customHeight="1" x14ac:dyDescent="0.25">
      <c r="C485" s="42">
        <v>481</v>
      </c>
      <c r="D485" s="67" t="str">
        <f>IF('Prod 1'!D485="","",'Prod 1'!D485)</f>
        <v/>
      </c>
      <c r="E485" s="64"/>
      <c r="F485" s="58"/>
      <c r="G485" s="65"/>
      <c r="H485" s="65"/>
      <c r="I485" s="58"/>
      <c r="J485" s="58"/>
      <c r="K485" s="132" t="str">
        <f t="shared" si="28"/>
        <v/>
      </c>
      <c r="M485" s="68" t="str">
        <f t="shared" si="29"/>
        <v/>
      </c>
      <c r="N485" s="59" t="str">
        <f>IF('Prod 1'!E485="","",'Prod 1'!E485)</f>
        <v/>
      </c>
      <c r="O485" s="59" t="str">
        <f t="shared" si="30"/>
        <v/>
      </c>
      <c r="P485" s="59" t="str">
        <f t="shared" si="31"/>
        <v/>
      </c>
    </row>
    <row r="486" spans="3:16" ht="30" customHeight="1" x14ac:dyDescent="0.25">
      <c r="C486" s="42">
        <v>482</v>
      </c>
      <c r="D486" s="67" t="str">
        <f>IF('Prod 1'!D486="","",'Prod 1'!D486)</f>
        <v/>
      </c>
      <c r="E486" s="64"/>
      <c r="F486" s="58"/>
      <c r="G486" s="65"/>
      <c r="H486" s="65"/>
      <c r="I486" s="58"/>
      <c r="J486" s="58"/>
      <c r="K486" s="132" t="str">
        <f t="shared" si="28"/>
        <v/>
      </c>
      <c r="M486" s="68" t="str">
        <f t="shared" si="29"/>
        <v/>
      </c>
      <c r="N486" s="59" t="str">
        <f>IF('Prod 1'!E486="","",'Prod 1'!E486)</f>
        <v/>
      </c>
      <c r="O486" s="59" t="str">
        <f t="shared" si="30"/>
        <v/>
      </c>
      <c r="P486" s="59" t="str">
        <f t="shared" si="31"/>
        <v/>
      </c>
    </row>
    <row r="487" spans="3:16" ht="30" customHeight="1" x14ac:dyDescent="0.25">
      <c r="C487" s="42">
        <v>483</v>
      </c>
      <c r="D487" s="67" t="str">
        <f>IF('Prod 1'!D487="","",'Prod 1'!D487)</f>
        <v/>
      </c>
      <c r="E487" s="64"/>
      <c r="F487" s="58"/>
      <c r="G487" s="65"/>
      <c r="H487" s="65"/>
      <c r="I487" s="58"/>
      <c r="J487" s="58"/>
      <c r="K487" s="132" t="str">
        <f t="shared" si="28"/>
        <v/>
      </c>
      <c r="M487" s="68" t="str">
        <f t="shared" si="29"/>
        <v/>
      </c>
      <c r="N487" s="59" t="str">
        <f>IF('Prod 1'!E487="","",'Prod 1'!E487)</f>
        <v/>
      </c>
      <c r="O487" s="59" t="str">
        <f t="shared" si="30"/>
        <v/>
      </c>
      <c r="P487" s="59" t="str">
        <f t="shared" si="31"/>
        <v/>
      </c>
    </row>
    <row r="488" spans="3:16" ht="30" customHeight="1" x14ac:dyDescent="0.25">
      <c r="C488" s="42">
        <v>484</v>
      </c>
      <c r="D488" s="67" t="str">
        <f>IF('Prod 1'!D488="","",'Prod 1'!D488)</f>
        <v/>
      </c>
      <c r="E488" s="64"/>
      <c r="F488" s="58"/>
      <c r="G488" s="65"/>
      <c r="H488" s="65"/>
      <c r="I488" s="58"/>
      <c r="J488" s="58"/>
      <c r="K488" s="132" t="str">
        <f t="shared" si="28"/>
        <v/>
      </c>
      <c r="M488" s="68" t="str">
        <f t="shared" si="29"/>
        <v/>
      </c>
      <c r="N488" s="59" t="str">
        <f>IF('Prod 1'!E488="","",'Prod 1'!E488)</f>
        <v/>
      </c>
      <c r="O488" s="59" t="str">
        <f t="shared" si="30"/>
        <v/>
      </c>
      <c r="P488" s="59" t="str">
        <f t="shared" si="31"/>
        <v/>
      </c>
    </row>
    <row r="489" spans="3:16" ht="30" customHeight="1" x14ac:dyDescent="0.25">
      <c r="C489" s="42">
        <v>485</v>
      </c>
      <c r="D489" s="67" t="str">
        <f>IF('Prod 1'!D489="","",'Prod 1'!D489)</f>
        <v/>
      </c>
      <c r="E489" s="64"/>
      <c r="F489" s="58"/>
      <c r="G489" s="65"/>
      <c r="H489" s="65"/>
      <c r="I489" s="58"/>
      <c r="J489" s="58"/>
      <c r="K489" s="132" t="str">
        <f t="shared" si="28"/>
        <v/>
      </c>
      <c r="M489" s="68" t="str">
        <f t="shared" si="29"/>
        <v/>
      </c>
      <c r="N489" s="59" t="str">
        <f>IF('Prod 1'!E489="","",'Prod 1'!E489)</f>
        <v/>
      </c>
      <c r="O489" s="59" t="str">
        <f t="shared" si="30"/>
        <v/>
      </c>
      <c r="P489" s="59" t="str">
        <f t="shared" si="31"/>
        <v/>
      </c>
    </row>
    <row r="490" spans="3:16" ht="30" customHeight="1" x14ac:dyDescent="0.25">
      <c r="C490" s="42">
        <v>486</v>
      </c>
      <c r="D490" s="67" t="str">
        <f>IF('Prod 1'!D490="","",'Prod 1'!D490)</f>
        <v/>
      </c>
      <c r="E490" s="64"/>
      <c r="F490" s="58"/>
      <c r="G490" s="65"/>
      <c r="H490" s="65"/>
      <c r="I490" s="58"/>
      <c r="J490" s="58"/>
      <c r="K490" s="132" t="str">
        <f t="shared" si="28"/>
        <v/>
      </c>
      <c r="M490" s="68" t="str">
        <f t="shared" si="29"/>
        <v/>
      </c>
      <c r="N490" s="59" t="str">
        <f>IF('Prod 1'!E490="","",'Prod 1'!E490)</f>
        <v/>
      </c>
      <c r="O490" s="59" t="str">
        <f t="shared" si="30"/>
        <v/>
      </c>
      <c r="P490" s="59" t="str">
        <f t="shared" si="31"/>
        <v/>
      </c>
    </row>
    <row r="491" spans="3:16" ht="30" customHeight="1" x14ac:dyDescent="0.25">
      <c r="C491" s="42">
        <v>487</v>
      </c>
      <c r="D491" s="67" t="str">
        <f>IF('Prod 1'!D491="","",'Prod 1'!D491)</f>
        <v/>
      </c>
      <c r="E491" s="64"/>
      <c r="F491" s="58"/>
      <c r="G491" s="65"/>
      <c r="H491" s="65"/>
      <c r="I491" s="58"/>
      <c r="J491" s="58"/>
      <c r="K491" s="132" t="str">
        <f t="shared" si="28"/>
        <v/>
      </c>
      <c r="M491" s="68" t="str">
        <f t="shared" si="29"/>
        <v/>
      </c>
      <c r="N491" s="59" t="str">
        <f>IF('Prod 1'!E491="","",'Prod 1'!E491)</f>
        <v/>
      </c>
      <c r="O491" s="59" t="str">
        <f t="shared" si="30"/>
        <v/>
      </c>
      <c r="P491" s="59" t="str">
        <f t="shared" si="31"/>
        <v/>
      </c>
    </row>
    <row r="492" spans="3:16" ht="30" customHeight="1" x14ac:dyDescent="0.25">
      <c r="C492" s="42">
        <v>488</v>
      </c>
      <c r="D492" s="67" t="str">
        <f>IF('Prod 1'!D492="","",'Prod 1'!D492)</f>
        <v/>
      </c>
      <c r="E492" s="64"/>
      <c r="F492" s="58"/>
      <c r="G492" s="65"/>
      <c r="H492" s="65"/>
      <c r="I492" s="58"/>
      <c r="J492" s="58"/>
      <c r="K492" s="132" t="str">
        <f t="shared" si="28"/>
        <v/>
      </c>
      <c r="M492" s="68" t="str">
        <f t="shared" si="29"/>
        <v/>
      </c>
      <c r="N492" s="59" t="str">
        <f>IF('Prod 1'!E492="","",'Prod 1'!E492)</f>
        <v/>
      </c>
      <c r="O492" s="59" t="str">
        <f t="shared" si="30"/>
        <v/>
      </c>
      <c r="P492" s="59" t="str">
        <f t="shared" si="31"/>
        <v/>
      </c>
    </row>
    <row r="493" spans="3:16" ht="30" customHeight="1" x14ac:dyDescent="0.25">
      <c r="C493" s="42">
        <v>489</v>
      </c>
      <c r="D493" s="67" t="str">
        <f>IF('Prod 1'!D493="","",'Prod 1'!D493)</f>
        <v/>
      </c>
      <c r="E493" s="64"/>
      <c r="F493" s="58"/>
      <c r="G493" s="65"/>
      <c r="H493" s="65"/>
      <c r="I493" s="58"/>
      <c r="J493" s="58"/>
      <c r="K493" s="132" t="str">
        <f t="shared" si="28"/>
        <v/>
      </c>
      <c r="M493" s="68" t="str">
        <f t="shared" si="29"/>
        <v/>
      </c>
      <c r="N493" s="59" t="str">
        <f>IF('Prod 1'!E493="","",'Prod 1'!E493)</f>
        <v/>
      </c>
      <c r="O493" s="59" t="str">
        <f t="shared" si="30"/>
        <v/>
      </c>
      <c r="P493" s="59" t="str">
        <f t="shared" si="31"/>
        <v/>
      </c>
    </row>
    <row r="494" spans="3:16" ht="30" customHeight="1" x14ac:dyDescent="0.25">
      <c r="C494" s="42">
        <v>490</v>
      </c>
      <c r="D494" s="67" t="str">
        <f>IF('Prod 1'!D494="","",'Prod 1'!D494)</f>
        <v/>
      </c>
      <c r="E494" s="64"/>
      <c r="F494" s="58"/>
      <c r="G494" s="65"/>
      <c r="H494" s="65"/>
      <c r="I494" s="58"/>
      <c r="J494" s="58"/>
      <c r="K494" s="132" t="str">
        <f t="shared" si="28"/>
        <v/>
      </c>
      <c r="M494" s="68" t="str">
        <f t="shared" si="29"/>
        <v/>
      </c>
      <c r="N494" s="59" t="str">
        <f>IF('Prod 1'!E494="","",'Prod 1'!E494)</f>
        <v/>
      </c>
      <c r="O494" s="59" t="str">
        <f t="shared" si="30"/>
        <v/>
      </c>
      <c r="P494" s="59" t="str">
        <f t="shared" si="31"/>
        <v/>
      </c>
    </row>
    <row r="495" spans="3:16" ht="30" customHeight="1" x14ac:dyDescent="0.25">
      <c r="C495" s="42">
        <v>491</v>
      </c>
      <c r="D495" s="67" t="str">
        <f>IF('Prod 1'!D495="","",'Prod 1'!D495)</f>
        <v/>
      </c>
      <c r="E495" s="64"/>
      <c r="F495" s="58"/>
      <c r="G495" s="65"/>
      <c r="H495" s="65"/>
      <c r="I495" s="58"/>
      <c r="J495" s="58"/>
      <c r="K495" s="132" t="str">
        <f t="shared" si="28"/>
        <v/>
      </c>
      <c r="M495" s="68" t="str">
        <f t="shared" si="29"/>
        <v/>
      </c>
      <c r="N495" s="59" t="str">
        <f>IF('Prod 1'!E495="","",'Prod 1'!E495)</f>
        <v/>
      </c>
      <c r="O495" s="59" t="str">
        <f t="shared" si="30"/>
        <v/>
      </c>
      <c r="P495" s="59" t="str">
        <f t="shared" si="31"/>
        <v/>
      </c>
    </row>
    <row r="496" spans="3:16" ht="30" customHeight="1" x14ac:dyDescent="0.25">
      <c r="C496" s="42">
        <v>492</v>
      </c>
      <c r="D496" s="67" t="str">
        <f>IF('Prod 1'!D496="","",'Prod 1'!D496)</f>
        <v/>
      </c>
      <c r="E496" s="64"/>
      <c r="F496" s="58"/>
      <c r="G496" s="65"/>
      <c r="H496" s="65"/>
      <c r="I496" s="58"/>
      <c r="J496" s="58"/>
      <c r="K496" s="132" t="str">
        <f t="shared" si="28"/>
        <v/>
      </c>
      <c r="M496" s="68" t="str">
        <f t="shared" si="29"/>
        <v/>
      </c>
      <c r="N496" s="59" t="str">
        <f>IF('Prod 1'!E496="","",'Prod 1'!E496)</f>
        <v/>
      </c>
      <c r="O496" s="59" t="str">
        <f t="shared" si="30"/>
        <v/>
      </c>
      <c r="P496" s="59" t="str">
        <f t="shared" si="31"/>
        <v/>
      </c>
    </row>
    <row r="497" spans="3:16" ht="30" customHeight="1" x14ac:dyDescent="0.25">
      <c r="C497" s="42">
        <v>493</v>
      </c>
      <c r="D497" s="67" t="str">
        <f>IF('Prod 1'!D497="","",'Prod 1'!D497)</f>
        <v/>
      </c>
      <c r="E497" s="64"/>
      <c r="F497" s="58"/>
      <c r="G497" s="65"/>
      <c r="H497" s="65"/>
      <c r="I497" s="58"/>
      <c r="J497" s="58"/>
      <c r="K497" s="132" t="str">
        <f t="shared" si="28"/>
        <v/>
      </c>
      <c r="M497" s="68" t="str">
        <f t="shared" si="29"/>
        <v/>
      </c>
      <c r="N497" s="59" t="str">
        <f>IF('Prod 1'!E497="","",'Prod 1'!E497)</f>
        <v/>
      </c>
      <c r="O497" s="59" t="str">
        <f t="shared" si="30"/>
        <v/>
      </c>
      <c r="P497" s="59" t="str">
        <f t="shared" si="31"/>
        <v/>
      </c>
    </row>
    <row r="498" spans="3:16" ht="30" customHeight="1" x14ac:dyDescent="0.25">
      <c r="C498" s="42">
        <v>494</v>
      </c>
      <c r="D498" s="67" t="str">
        <f>IF('Prod 1'!D498="","",'Prod 1'!D498)</f>
        <v/>
      </c>
      <c r="E498" s="64"/>
      <c r="F498" s="58"/>
      <c r="G498" s="65"/>
      <c r="H498" s="65"/>
      <c r="I498" s="58"/>
      <c r="J498" s="58"/>
      <c r="K498" s="132" t="str">
        <f t="shared" si="28"/>
        <v/>
      </c>
      <c r="M498" s="68" t="str">
        <f t="shared" si="29"/>
        <v/>
      </c>
      <c r="N498" s="59" t="str">
        <f>IF('Prod 1'!E498="","",'Prod 1'!E498)</f>
        <v/>
      </c>
      <c r="O498" s="59" t="str">
        <f t="shared" si="30"/>
        <v/>
      </c>
      <c r="P498" s="59" t="str">
        <f t="shared" si="31"/>
        <v/>
      </c>
    </row>
    <row r="499" spans="3:16" ht="30" customHeight="1" x14ac:dyDescent="0.25">
      <c r="C499" s="42">
        <v>495</v>
      </c>
      <c r="D499" s="67" t="str">
        <f>IF('Prod 1'!D499="","",'Prod 1'!D499)</f>
        <v/>
      </c>
      <c r="E499" s="64"/>
      <c r="F499" s="58"/>
      <c r="G499" s="65"/>
      <c r="H499" s="65"/>
      <c r="I499" s="58"/>
      <c r="J499" s="58"/>
      <c r="K499" s="132" t="str">
        <f t="shared" si="28"/>
        <v/>
      </c>
      <c r="M499" s="68" t="str">
        <f t="shared" si="29"/>
        <v/>
      </c>
      <c r="N499" s="59" t="str">
        <f>IF('Prod 1'!E499="","",'Prod 1'!E499)</f>
        <v/>
      </c>
      <c r="O499" s="59" t="str">
        <f t="shared" si="30"/>
        <v/>
      </c>
      <c r="P499" s="59" t="str">
        <f t="shared" si="31"/>
        <v/>
      </c>
    </row>
    <row r="500" spans="3:16" ht="30" customHeight="1" x14ac:dyDescent="0.25">
      <c r="C500" s="42">
        <v>496</v>
      </c>
      <c r="D500" s="67" t="str">
        <f>IF('Prod 1'!D500="","",'Prod 1'!D500)</f>
        <v/>
      </c>
      <c r="E500" s="64"/>
      <c r="F500" s="58"/>
      <c r="G500" s="65"/>
      <c r="H500" s="65"/>
      <c r="I500" s="58"/>
      <c r="J500" s="58"/>
      <c r="K500" s="132" t="str">
        <f t="shared" si="28"/>
        <v/>
      </c>
      <c r="M500" s="68" t="str">
        <f t="shared" si="29"/>
        <v/>
      </c>
      <c r="N500" s="59" t="str">
        <f>IF('Prod 1'!E500="","",'Prod 1'!E500)</f>
        <v/>
      </c>
      <c r="O500" s="59" t="str">
        <f t="shared" si="30"/>
        <v/>
      </c>
      <c r="P500" s="59" t="str">
        <f t="shared" si="31"/>
        <v/>
      </c>
    </row>
    <row r="501" spans="3:16" ht="30" customHeight="1" x14ac:dyDescent="0.25">
      <c r="C501" s="42">
        <v>497</v>
      </c>
      <c r="D501" s="67" t="str">
        <f>IF('Prod 1'!D501="","",'Prod 1'!D501)</f>
        <v/>
      </c>
      <c r="E501" s="64"/>
      <c r="F501" s="58"/>
      <c r="G501" s="65"/>
      <c r="H501" s="65"/>
      <c r="I501" s="58"/>
      <c r="J501" s="58"/>
      <c r="K501" s="132" t="str">
        <f t="shared" si="28"/>
        <v/>
      </c>
      <c r="M501" s="68" t="str">
        <f t="shared" si="29"/>
        <v/>
      </c>
      <c r="N501" s="59" t="str">
        <f>IF('Prod 1'!E501="","",'Prod 1'!E501)</f>
        <v/>
      </c>
      <c r="O501" s="59" t="str">
        <f t="shared" si="30"/>
        <v/>
      </c>
      <c r="P501" s="59" t="str">
        <f t="shared" si="31"/>
        <v/>
      </c>
    </row>
    <row r="502" spans="3:16" ht="30" customHeight="1" x14ac:dyDescent="0.25">
      <c r="C502" s="42">
        <v>498</v>
      </c>
      <c r="D502" s="67" t="str">
        <f>IF('Prod 1'!D502="","",'Prod 1'!D502)</f>
        <v/>
      </c>
      <c r="E502" s="64"/>
      <c r="F502" s="58"/>
      <c r="G502" s="65"/>
      <c r="H502" s="65"/>
      <c r="I502" s="58"/>
      <c r="J502" s="58"/>
      <c r="K502" s="132" t="str">
        <f t="shared" si="28"/>
        <v/>
      </c>
      <c r="M502" s="68" t="str">
        <f t="shared" si="29"/>
        <v/>
      </c>
      <c r="N502" s="59" t="str">
        <f>IF('Prod 1'!E502="","",'Prod 1'!E502)</f>
        <v/>
      </c>
      <c r="O502" s="59" t="str">
        <f t="shared" si="30"/>
        <v/>
      </c>
      <c r="P502" s="59" t="str">
        <f t="shared" si="31"/>
        <v/>
      </c>
    </row>
    <row r="503" spans="3:16" ht="30" customHeight="1" x14ac:dyDescent="0.25">
      <c r="C503" s="42">
        <v>499</v>
      </c>
      <c r="D503" s="67" t="str">
        <f>IF('Prod 1'!D503="","",'Prod 1'!D503)</f>
        <v/>
      </c>
      <c r="E503" s="64"/>
      <c r="F503" s="58"/>
      <c r="G503" s="65"/>
      <c r="H503" s="65"/>
      <c r="I503" s="58"/>
      <c r="J503" s="58"/>
      <c r="K503" s="132" t="str">
        <f t="shared" si="28"/>
        <v/>
      </c>
      <c r="M503" s="68" t="str">
        <f t="shared" si="29"/>
        <v/>
      </c>
      <c r="N503" s="59" t="str">
        <f>IF('Prod 1'!E503="","",'Prod 1'!E503)</f>
        <v/>
      </c>
      <c r="O503" s="59" t="str">
        <f t="shared" si="30"/>
        <v/>
      </c>
      <c r="P503" s="59" t="str">
        <f t="shared" si="31"/>
        <v/>
      </c>
    </row>
    <row r="504" spans="3:16" ht="30" customHeight="1" x14ac:dyDescent="0.25">
      <c r="C504" s="42">
        <v>500</v>
      </c>
      <c r="D504" s="67" t="str">
        <f>IF('Prod 1'!D504="","",'Prod 1'!D504)</f>
        <v/>
      </c>
      <c r="E504" s="64"/>
      <c r="F504" s="58"/>
      <c r="G504" s="65"/>
      <c r="H504" s="65"/>
      <c r="I504" s="58"/>
      <c r="J504" s="58"/>
      <c r="K504" s="132" t="str">
        <f t="shared" si="28"/>
        <v/>
      </c>
      <c r="M504" s="68" t="str">
        <f t="shared" si="29"/>
        <v/>
      </c>
      <c r="N504" s="59" t="str">
        <f>IF('Prod 1'!E504="","",'Prod 1'!E504)</f>
        <v/>
      </c>
      <c r="O504" s="59" t="str">
        <f t="shared" si="30"/>
        <v/>
      </c>
      <c r="P504" s="59" t="str">
        <f t="shared" si="31"/>
        <v/>
      </c>
    </row>
    <row r="505" spans="3:16" ht="30" customHeight="1" x14ac:dyDescent="0.25">
      <c r="C505" s="42">
        <v>501</v>
      </c>
      <c r="D505" s="67" t="str">
        <f>IF('Prod 1'!D505="","",'Prod 1'!D505)</f>
        <v/>
      </c>
      <c r="E505" s="64"/>
      <c r="F505" s="58"/>
      <c r="G505" s="65"/>
      <c r="H505" s="65"/>
      <c r="I505" s="58"/>
      <c r="J505" s="58"/>
      <c r="K505" s="132" t="str">
        <f t="shared" si="28"/>
        <v/>
      </c>
      <c r="M505" s="68" t="str">
        <f t="shared" si="29"/>
        <v/>
      </c>
      <c r="N505" s="59" t="str">
        <f>IF('Prod 1'!E505="","",'Prod 1'!E505)</f>
        <v/>
      </c>
      <c r="O505" s="59" t="str">
        <f t="shared" si="30"/>
        <v/>
      </c>
      <c r="P505" s="59" t="str">
        <f t="shared" si="31"/>
        <v/>
      </c>
    </row>
    <row r="506" spans="3:16" ht="30" customHeight="1" x14ac:dyDescent="0.25">
      <c r="C506" s="42">
        <v>502</v>
      </c>
      <c r="D506" s="67" t="str">
        <f>IF('Prod 1'!D506="","",'Prod 1'!D506)</f>
        <v/>
      </c>
      <c r="E506" s="64"/>
      <c r="F506" s="58"/>
      <c r="G506" s="65"/>
      <c r="H506" s="65"/>
      <c r="I506" s="58"/>
      <c r="J506" s="58"/>
      <c r="K506" s="132" t="str">
        <f t="shared" si="28"/>
        <v/>
      </c>
      <c r="M506" s="68" t="str">
        <f t="shared" si="29"/>
        <v/>
      </c>
      <c r="N506" s="59" t="str">
        <f>IF('Prod 1'!E506="","",'Prod 1'!E506)</f>
        <v/>
      </c>
      <c r="O506" s="59" t="str">
        <f t="shared" si="30"/>
        <v/>
      </c>
      <c r="P506" s="59" t="str">
        <f t="shared" si="31"/>
        <v/>
      </c>
    </row>
    <row r="507" spans="3:16" ht="30" customHeight="1" x14ac:dyDescent="0.25">
      <c r="C507" s="42">
        <v>503</v>
      </c>
      <c r="D507" s="67" t="str">
        <f>IF('Prod 1'!D507="","",'Prod 1'!D507)</f>
        <v/>
      </c>
      <c r="E507" s="64"/>
      <c r="F507" s="58"/>
      <c r="G507" s="65"/>
      <c r="H507" s="65"/>
      <c r="I507" s="58"/>
      <c r="J507" s="58"/>
      <c r="K507" s="132" t="str">
        <f t="shared" si="28"/>
        <v/>
      </c>
      <c r="M507" s="68" t="str">
        <f t="shared" si="29"/>
        <v/>
      </c>
      <c r="N507" s="59" t="str">
        <f>IF('Prod 1'!E507="","",'Prod 1'!E507)</f>
        <v/>
      </c>
      <c r="O507" s="59" t="str">
        <f t="shared" si="30"/>
        <v/>
      </c>
      <c r="P507" s="59" t="str">
        <f t="shared" si="31"/>
        <v/>
      </c>
    </row>
    <row r="508" spans="3:16" ht="30" customHeight="1" x14ac:dyDescent="0.25">
      <c r="C508" s="42">
        <v>504</v>
      </c>
      <c r="D508" s="67" t="str">
        <f>IF('Prod 1'!D508="","",'Prod 1'!D508)</f>
        <v/>
      </c>
      <c r="E508" s="64"/>
      <c r="F508" s="58"/>
      <c r="G508" s="65"/>
      <c r="H508" s="65"/>
      <c r="I508" s="58"/>
      <c r="J508" s="58"/>
      <c r="K508" s="132" t="str">
        <f t="shared" si="28"/>
        <v/>
      </c>
      <c r="M508" s="68" t="str">
        <f t="shared" si="29"/>
        <v/>
      </c>
      <c r="N508" s="59" t="str">
        <f>IF('Prod 1'!E508="","",'Prod 1'!E508)</f>
        <v/>
      </c>
      <c r="O508" s="59" t="str">
        <f t="shared" si="30"/>
        <v/>
      </c>
      <c r="P508" s="59" t="str">
        <f t="shared" si="31"/>
        <v/>
      </c>
    </row>
    <row r="509" spans="3:16" ht="30" customHeight="1" x14ac:dyDescent="0.25">
      <c r="C509" s="42">
        <v>505</v>
      </c>
      <c r="D509" s="67" t="str">
        <f>IF('Prod 1'!D509="","",'Prod 1'!D509)</f>
        <v/>
      </c>
      <c r="E509" s="64"/>
      <c r="F509" s="58"/>
      <c r="G509" s="65"/>
      <c r="H509" s="65"/>
      <c r="I509" s="58"/>
      <c r="J509" s="58"/>
      <c r="K509" s="132" t="str">
        <f t="shared" si="28"/>
        <v/>
      </c>
      <c r="M509" s="68" t="str">
        <f t="shared" si="29"/>
        <v/>
      </c>
      <c r="N509" s="59" t="str">
        <f>IF('Prod 1'!E509="","",'Prod 1'!E509)</f>
        <v/>
      </c>
      <c r="O509" s="59" t="str">
        <f t="shared" si="30"/>
        <v/>
      </c>
      <c r="P509" s="59" t="str">
        <f t="shared" si="31"/>
        <v/>
      </c>
    </row>
    <row r="510" spans="3:16" ht="30" customHeight="1" x14ac:dyDescent="0.25">
      <c r="C510" s="42">
        <v>506</v>
      </c>
      <c r="D510" s="67" t="str">
        <f>IF('Prod 1'!D510="","",'Prod 1'!D510)</f>
        <v/>
      </c>
      <c r="E510" s="64"/>
      <c r="F510" s="58"/>
      <c r="G510" s="65"/>
      <c r="H510" s="65"/>
      <c r="I510" s="58"/>
      <c r="J510" s="58"/>
      <c r="K510" s="132" t="str">
        <f t="shared" si="28"/>
        <v/>
      </c>
      <c r="M510" s="68" t="str">
        <f t="shared" si="29"/>
        <v/>
      </c>
      <c r="N510" s="59" t="str">
        <f>IF('Prod 1'!E510="","",'Prod 1'!E510)</f>
        <v/>
      </c>
      <c r="O510" s="59" t="str">
        <f t="shared" si="30"/>
        <v/>
      </c>
      <c r="P510" s="59" t="str">
        <f t="shared" si="31"/>
        <v/>
      </c>
    </row>
    <row r="511" spans="3:16" ht="30" customHeight="1" x14ac:dyDescent="0.25">
      <c r="C511" s="42">
        <v>507</v>
      </c>
      <c r="D511" s="67" t="str">
        <f>IF('Prod 1'!D511="","",'Prod 1'!D511)</f>
        <v/>
      </c>
      <c r="E511" s="64"/>
      <c r="F511" s="58"/>
      <c r="G511" s="65"/>
      <c r="H511" s="65"/>
      <c r="I511" s="58"/>
      <c r="J511" s="58"/>
      <c r="K511" s="132" t="str">
        <f t="shared" si="28"/>
        <v/>
      </c>
      <c r="M511" s="68" t="str">
        <f t="shared" si="29"/>
        <v/>
      </c>
      <c r="N511" s="59" t="str">
        <f>IF('Prod 1'!E511="","",'Prod 1'!E511)</f>
        <v/>
      </c>
      <c r="O511" s="59" t="str">
        <f t="shared" si="30"/>
        <v/>
      </c>
      <c r="P511" s="59" t="str">
        <f t="shared" si="31"/>
        <v/>
      </c>
    </row>
    <row r="512" spans="3:16" ht="30" customHeight="1" x14ac:dyDescent="0.25">
      <c r="C512" s="42">
        <v>508</v>
      </c>
      <c r="D512" s="67" t="str">
        <f>IF('Prod 1'!D512="","",'Prod 1'!D512)</f>
        <v/>
      </c>
      <c r="E512" s="64"/>
      <c r="F512" s="58"/>
      <c r="G512" s="65"/>
      <c r="H512" s="65"/>
      <c r="I512" s="58"/>
      <c r="J512" s="58"/>
      <c r="K512" s="132" t="str">
        <f t="shared" si="28"/>
        <v/>
      </c>
      <c r="M512" s="68" t="str">
        <f t="shared" si="29"/>
        <v/>
      </c>
      <c r="N512" s="59" t="str">
        <f>IF('Prod 1'!E512="","",'Prod 1'!E512)</f>
        <v/>
      </c>
      <c r="O512" s="59" t="str">
        <f t="shared" si="30"/>
        <v/>
      </c>
      <c r="P512" s="59" t="str">
        <f t="shared" si="31"/>
        <v/>
      </c>
    </row>
    <row r="513" spans="3:16" ht="30" customHeight="1" x14ac:dyDescent="0.25">
      <c r="C513" s="42">
        <v>509</v>
      </c>
      <c r="D513" s="67" t="str">
        <f>IF('Prod 1'!D513="","",'Prod 1'!D513)</f>
        <v/>
      </c>
      <c r="E513" s="64"/>
      <c r="F513" s="58"/>
      <c r="G513" s="65"/>
      <c r="H513" s="65"/>
      <c r="I513" s="58"/>
      <c r="J513" s="58"/>
      <c r="K513" s="132" t="str">
        <f t="shared" si="28"/>
        <v/>
      </c>
      <c r="M513" s="68" t="str">
        <f t="shared" si="29"/>
        <v/>
      </c>
      <c r="N513" s="59" t="str">
        <f>IF('Prod 1'!E513="","",'Prod 1'!E513)</f>
        <v/>
      </c>
      <c r="O513" s="59" t="str">
        <f t="shared" si="30"/>
        <v/>
      </c>
      <c r="P513" s="59" t="str">
        <f t="shared" si="31"/>
        <v/>
      </c>
    </row>
    <row r="514" spans="3:16" ht="30" customHeight="1" x14ac:dyDescent="0.25">
      <c r="C514" s="42">
        <v>510</v>
      </c>
      <c r="D514" s="67" t="str">
        <f>IF('Prod 1'!D514="","",'Prod 1'!D514)</f>
        <v/>
      </c>
      <c r="E514" s="64"/>
      <c r="F514" s="58"/>
      <c r="G514" s="65"/>
      <c r="H514" s="65"/>
      <c r="I514" s="58"/>
      <c r="J514" s="58"/>
      <c r="K514" s="132" t="str">
        <f t="shared" si="28"/>
        <v/>
      </c>
      <c r="M514" s="68" t="str">
        <f t="shared" si="29"/>
        <v/>
      </c>
      <c r="N514" s="59" t="str">
        <f>IF('Prod 1'!E514="","",'Prod 1'!E514)</f>
        <v/>
      </c>
      <c r="O514" s="59" t="str">
        <f t="shared" si="30"/>
        <v/>
      </c>
      <c r="P514" s="59" t="str">
        <f t="shared" si="31"/>
        <v/>
      </c>
    </row>
    <row r="515" spans="3:16" ht="30" customHeight="1" x14ac:dyDescent="0.25">
      <c r="C515" s="42">
        <v>511</v>
      </c>
      <c r="D515" s="67" t="str">
        <f>IF('Prod 1'!D515="","",'Prod 1'!D515)</f>
        <v/>
      </c>
      <c r="E515" s="64"/>
      <c r="F515" s="58"/>
      <c r="G515" s="65"/>
      <c r="H515" s="65"/>
      <c r="I515" s="58"/>
      <c r="J515" s="58"/>
      <c r="K515" s="132" t="str">
        <f t="shared" si="28"/>
        <v/>
      </c>
      <c r="M515" s="68" t="str">
        <f t="shared" si="29"/>
        <v/>
      </c>
      <c r="N515" s="59" t="str">
        <f>IF('Prod 1'!E515="","",'Prod 1'!E515)</f>
        <v/>
      </c>
      <c r="O515" s="59" t="str">
        <f t="shared" si="30"/>
        <v/>
      </c>
      <c r="P515" s="59" t="str">
        <f t="shared" si="31"/>
        <v/>
      </c>
    </row>
    <row r="516" spans="3:16" ht="30" customHeight="1" x14ac:dyDescent="0.25">
      <c r="C516" s="42">
        <v>512</v>
      </c>
      <c r="D516" s="67" t="str">
        <f>IF('Prod 1'!D516="","",'Prod 1'!D516)</f>
        <v/>
      </c>
      <c r="E516" s="64"/>
      <c r="F516" s="58"/>
      <c r="G516" s="65"/>
      <c r="H516" s="65"/>
      <c r="I516" s="58"/>
      <c r="J516" s="58"/>
      <c r="K516" s="132" t="str">
        <f t="shared" si="28"/>
        <v/>
      </c>
      <c r="M516" s="68" t="str">
        <f t="shared" si="29"/>
        <v/>
      </c>
      <c r="N516" s="59" t="str">
        <f>IF('Prod 1'!E516="","",'Prod 1'!E516)</f>
        <v/>
      </c>
      <c r="O516" s="59" t="str">
        <f t="shared" si="30"/>
        <v/>
      </c>
      <c r="P516" s="59" t="str">
        <f t="shared" si="31"/>
        <v/>
      </c>
    </row>
    <row r="517" spans="3:16" ht="30" customHeight="1" x14ac:dyDescent="0.25">
      <c r="C517" s="42">
        <v>513</v>
      </c>
      <c r="D517" s="67" t="str">
        <f>IF('Prod 1'!D517="","",'Prod 1'!D517)</f>
        <v/>
      </c>
      <c r="E517" s="64"/>
      <c r="F517" s="58"/>
      <c r="G517" s="65"/>
      <c r="H517" s="65"/>
      <c r="I517" s="58"/>
      <c r="J517" s="58"/>
      <c r="K517" s="132" t="str">
        <f t="shared" si="28"/>
        <v/>
      </c>
      <c r="M517" s="68" t="str">
        <f t="shared" si="29"/>
        <v/>
      </c>
      <c r="N517" s="59" t="str">
        <f>IF('Prod 1'!E517="","",'Prod 1'!E517)</f>
        <v/>
      </c>
      <c r="O517" s="59" t="str">
        <f t="shared" si="30"/>
        <v/>
      </c>
      <c r="P517" s="59" t="str">
        <f t="shared" si="31"/>
        <v/>
      </c>
    </row>
    <row r="518" spans="3:16" ht="30" customHeight="1" x14ac:dyDescent="0.25">
      <c r="C518" s="42">
        <v>514</v>
      </c>
      <c r="D518" s="67" t="str">
        <f>IF('Prod 1'!D518="","",'Prod 1'!D518)</f>
        <v/>
      </c>
      <c r="E518" s="64"/>
      <c r="F518" s="58"/>
      <c r="G518" s="65"/>
      <c r="H518" s="65"/>
      <c r="I518" s="58"/>
      <c r="J518" s="58"/>
      <c r="K518" s="132" t="str">
        <f t="shared" ref="K518:K581" si="32">IF(E518="","",IF(E518="Produção",SUM(I518:J518)+SUM(O518:P518),F518))</f>
        <v/>
      </c>
      <c r="M518" s="68" t="str">
        <f t="shared" ref="M518:M581" si="33">IFERROR(IF(D518="","",100%),0)</f>
        <v/>
      </c>
      <c r="N518" s="59" t="str">
        <f>IF('Prod 1'!E518="","",'Prod 1'!E518)</f>
        <v/>
      </c>
      <c r="O518" s="59" t="str">
        <f t="shared" ref="O518:O581" si="34">IFERROR(IF(D518="","",N518*G518),0)</f>
        <v/>
      </c>
      <c r="P518" s="59" t="str">
        <f t="shared" ref="P518:P581" si="35">IFERROR(IF(D518="","",N518*H518),0)</f>
        <v/>
      </c>
    </row>
    <row r="519" spans="3:16" ht="30" customHeight="1" x14ac:dyDescent="0.25">
      <c r="C519" s="42">
        <v>515</v>
      </c>
      <c r="D519" s="67" t="str">
        <f>IF('Prod 1'!D519="","",'Prod 1'!D519)</f>
        <v/>
      </c>
      <c r="E519" s="64"/>
      <c r="F519" s="58"/>
      <c r="G519" s="65"/>
      <c r="H519" s="65"/>
      <c r="I519" s="58"/>
      <c r="J519" s="58"/>
      <c r="K519" s="132" t="str">
        <f t="shared" si="32"/>
        <v/>
      </c>
      <c r="M519" s="68" t="str">
        <f t="shared" si="33"/>
        <v/>
      </c>
      <c r="N519" s="59" t="str">
        <f>IF('Prod 1'!E519="","",'Prod 1'!E519)</f>
        <v/>
      </c>
      <c r="O519" s="59" t="str">
        <f t="shared" si="34"/>
        <v/>
      </c>
      <c r="P519" s="59" t="str">
        <f t="shared" si="35"/>
        <v/>
      </c>
    </row>
    <row r="520" spans="3:16" ht="30" customHeight="1" x14ac:dyDescent="0.25">
      <c r="C520" s="42">
        <v>516</v>
      </c>
      <c r="D520" s="67" t="str">
        <f>IF('Prod 1'!D520="","",'Prod 1'!D520)</f>
        <v/>
      </c>
      <c r="E520" s="64"/>
      <c r="F520" s="58"/>
      <c r="G520" s="65"/>
      <c r="H520" s="65"/>
      <c r="I520" s="58"/>
      <c r="J520" s="58"/>
      <c r="K520" s="132" t="str">
        <f t="shared" si="32"/>
        <v/>
      </c>
      <c r="M520" s="68" t="str">
        <f t="shared" si="33"/>
        <v/>
      </c>
      <c r="N520" s="59" t="str">
        <f>IF('Prod 1'!E520="","",'Prod 1'!E520)</f>
        <v/>
      </c>
      <c r="O520" s="59" t="str">
        <f t="shared" si="34"/>
        <v/>
      </c>
      <c r="P520" s="59" t="str">
        <f t="shared" si="35"/>
        <v/>
      </c>
    </row>
    <row r="521" spans="3:16" ht="30" customHeight="1" x14ac:dyDescent="0.25">
      <c r="C521" s="42">
        <v>517</v>
      </c>
      <c r="D521" s="67" t="str">
        <f>IF('Prod 1'!D521="","",'Prod 1'!D521)</f>
        <v/>
      </c>
      <c r="E521" s="64"/>
      <c r="F521" s="58"/>
      <c r="G521" s="65"/>
      <c r="H521" s="65"/>
      <c r="I521" s="58"/>
      <c r="J521" s="58"/>
      <c r="K521" s="132" t="str">
        <f t="shared" si="32"/>
        <v/>
      </c>
      <c r="M521" s="68" t="str">
        <f t="shared" si="33"/>
        <v/>
      </c>
      <c r="N521" s="59" t="str">
        <f>IF('Prod 1'!E521="","",'Prod 1'!E521)</f>
        <v/>
      </c>
      <c r="O521" s="59" t="str">
        <f t="shared" si="34"/>
        <v/>
      </c>
      <c r="P521" s="59" t="str">
        <f t="shared" si="35"/>
        <v/>
      </c>
    </row>
    <row r="522" spans="3:16" ht="30" customHeight="1" x14ac:dyDescent="0.25">
      <c r="C522" s="42">
        <v>518</v>
      </c>
      <c r="D522" s="67" t="str">
        <f>IF('Prod 1'!D522="","",'Prod 1'!D522)</f>
        <v/>
      </c>
      <c r="E522" s="64"/>
      <c r="F522" s="58"/>
      <c r="G522" s="65"/>
      <c r="H522" s="65"/>
      <c r="I522" s="58"/>
      <c r="J522" s="58"/>
      <c r="K522" s="132" t="str">
        <f t="shared" si="32"/>
        <v/>
      </c>
      <c r="M522" s="68" t="str">
        <f t="shared" si="33"/>
        <v/>
      </c>
      <c r="N522" s="59" t="str">
        <f>IF('Prod 1'!E522="","",'Prod 1'!E522)</f>
        <v/>
      </c>
      <c r="O522" s="59" t="str">
        <f t="shared" si="34"/>
        <v/>
      </c>
      <c r="P522" s="59" t="str">
        <f t="shared" si="35"/>
        <v/>
      </c>
    </row>
    <row r="523" spans="3:16" ht="30" customHeight="1" x14ac:dyDescent="0.25">
      <c r="C523" s="42">
        <v>519</v>
      </c>
      <c r="D523" s="67" t="str">
        <f>IF('Prod 1'!D523="","",'Prod 1'!D523)</f>
        <v/>
      </c>
      <c r="E523" s="64"/>
      <c r="F523" s="58"/>
      <c r="G523" s="65"/>
      <c r="H523" s="65"/>
      <c r="I523" s="58"/>
      <c r="J523" s="58"/>
      <c r="K523" s="132" t="str">
        <f t="shared" si="32"/>
        <v/>
      </c>
      <c r="M523" s="68" t="str">
        <f t="shared" si="33"/>
        <v/>
      </c>
      <c r="N523" s="59" t="str">
        <f>IF('Prod 1'!E523="","",'Prod 1'!E523)</f>
        <v/>
      </c>
      <c r="O523" s="59" t="str">
        <f t="shared" si="34"/>
        <v/>
      </c>
      <c r="P523" s="59" t="str">
        <f t="shared" si="35"/>
        <v/>
      </c>
    </row>
    <row r="524" spans="3:16" ht="30" customHeight="1" x14ac:dyDescent="0.25">
      <c r="C524" s="42">
        <v>520</v>
      </c>
      <c r="D524" s="67" t="str">
        <f>IF('Prod 1'!D524="","",'Prod 1'!D524)</f>
        <v/>
      </c>
      <c r="E524" s="64"/>
      <c r="F524" s="58"/>
      <c r="G524" s="65"/>
      <c r="H524" s="65"/>
      <c r="I524" s="58"/>
      <c r="J524" s="58"/>
      <c r="K524" s="132" t="str">
        <f t="shared" si="32"/>
        <v/>
      </c>
      <c r="M524" s="68" t="str">
        <f t="shared" si="33"/>
        <v/>
      </c>
      <c r="N524" s="59" t="str">
        <f>IF('Prod 1'!E524="","",'Prod 1'!E524)</f>
        <v/>
      </c>
      <c r="O524" s="59" t="str">
        <f t="shared" si="34"/>
        <v/>
      </c>
      <c r="P524" s="59" t="str">
        <f t="shared" si="35"/>
        <v/>
      </c>
    </row>
    <row r="525" spans="3:16" ht="30" customHeight="1" x14ac:dyDescent="0.25">
      <c r="C525" s="42">
        <v>521</v>
      </c>
      <c r="D525" s="67" t="str">
        <f>IF('Prod 1'!D525="","",'Prod 1'!D525)</f>
        <v/>
      </c>
      <c r="E525" s="64"/>
      <c r="F525" s="58"/>
      <c r="G525" s="65"/>
      <c r="H525" s="65"/>
      <c r="I525" s="58"/>
      <c r="J525" s="58"/>
      <c r="K525" s="132" t="str">
        <f t="shared" si="32"/>
        <v/>
      </c>
      <c r="M525" s="68" t="str">
        <f t="shared" si="33"/>
        <v/>
      </c>
      <c r="N525" s="59" t="str">
        <f>IF('Prod 1'!E525="","",'Prod 1'!E525)</f>
        <v/>
      </c>
      <c r="O525" s="59" t="str">
        <f t="shared" si="34"/>
        <v/>
      </c>
      <c r="P525" s="59" t="str">
        <f t="shared" si="35"/>
        <v/>
      </c>
    </row>
    <row r="526" spans="3:16" ht="30" customHeight="1" x14ac:dyDescent="0.25">
      <c r="C526" s="42">
        <v>522</v>
      </c>
      <c r="D526" s="67" t="str">
        <f>IF('Prod 1'!D526="","",'Prod 1'!D526)</f>
        <v/>
      </c>
      <c r="E526" s="64"/>
      <c r="F526" s="58"/>
      <c r="G526" s="65"/>
      <c r="H526" s="65"/>
      <c r="I526" s="58"/>
      <c r="J526" s="58"/>
      <c r="K526" s="132" t="str">
        <f t="shared" si="32"/>
        <v/>
      </c>
      <c r="M526" s="68" t="str">
        <f t="shared" si="33"/>
        <v/>
      </c>
      <c r="N526" s="59" t="str">
        <f>IF('Prod 1'!E526="","",'Prod 1'!E526)</f>
        <v/>
      </c>
      <c r="O526" s="59" t="str">
        <f t="shared" si="34"/>
        <v/>
      </c>
      <c r="P526" s="59" t="str">
        <f t="shared" si="35"/>
        <v/>
      </c>
    </row>
    <row r="527" spans="3:16" ht="30" customHeight="1" x14ac:dyDescent="0.25">
      <c r="C527" s="42">
        <v>523</v>
      </c>
      <c r="D527" s="67" t="str">
        <f>IF('Prod 1'!D527="","",'Prod 1'!D527)</f>
        <v/>
      </c>
      <c r="E527" s="64"/>
      <c r="F527" s="58"/>
      <c r="G527" s="65"/>
      <c r="H527" s="65"/>
      <c r="I527" s="58"/>
      <c r="J527" s="58"/>
      <c r="K527" s="132" t="str">
        <f t="shared" si="32"/>
        <v/>
      </c>
      <c r="M527" s="68" t="str">
        <f t="shared" si="33"/>
        <v/>
      </c>
      <c r="N527" s="59" t="str">
        <f>IF('Prod 1'!E527="","",'Prod 1'!E527)</f>
        <v/>
      </c>
      <c r="O527" s="59" t="str">
        <f t="shared" si="34"/>
        <v/>
      </c>
      <c r="P527" s="59" t="str">
        <f t="shared" si="35"/>
        <v/>
      </c>
    </row>
    <row r="528" spans="3:16" ht="30" customHeight="1" x14ac:dyDescent="0.25">
      <c r="C528" s="42">
        <v>524</v>
      </c>
      <c r="D528" s="67" t="str">
        <f>IF('Prod 1'!D528="","",'Prod 1'!D528)</f>
        <v/>
      </c>
      <c r="E528" s="64"/>
      <c r="F528" s="58"/>
      <c r="G528" s="65"/>
      <c r="H528" s="65"/>
      <c r="I528" s="58"/>
      <c r="J528" s="58"/>
      <c r="K528" s="132" t="str">
        <f t="shared" si="32"/>
        <v/>
      </c>
      <c r="M528" s="68" t="str">
        <f t="shared" si="33"/>
        <v/>
      </c>
      <c r="N528" s="59" t="str">
        <f>IF('Prod 1'!E528="","",'Prod 1'!E528)</f>
        <v/>
      </c>
      <c r="O528" s="59" t="str">
        <f t="shared" si="34"/>
        <v/>
      </c>
      <c r="P528" s="59" t="str">
        <f t="shared" si="35"/>
        <v/>
      </c>
    </row>
    <row r="529" spans="3:16" ht="30" customHeight="1" x14ac:dyDescent="0.25">
      <c r="C529" s="42">
        <v>525</v>
      </c>
      <c r="D529" s="67" t="str">
        <f>IF('Prod 1'!D529="","",'Prod 1'!D529)</f>
        <v/>
      </c>
      <c r="E529" s="64"/>
      <c r="F529" s="58"/>
      <c r="G529" s="65"/>
      <c r="H529" s="65"/>
      <c r="I529" s="58"/>
      <c r="J529" s="58"/>
      <c r="K529" s="132" t="str">
        <f t="shared" si="32"/>
        <v/>
      </c>
      <c r="M529" s="68" t="str">
        <f t="shared" si="33"/>
        <v/>
      </c>
      <c r="N529" s="59" t="str">
        <f>IF('Prod 1'!E529="","",'Prod 1'!E529)</f>
        <v/>
      </c>
      <c r="O529" s="59" t="str">
        <f t="shared" si="34"/>
        <v/>
      </c>
      <c r="P529" s="59" t="str">
        <f t="shared" si="35"/>
        <v/>
      </c>
    </row>
    <row r="530" spans="3:16" ht="30" customHeight="1" x14ac:dyDescent="0.25">
      <c r="C530" s="42">
        <v>526</v>
      </c>
      <c r="D530" s="67" t="str">
        <f>IF('Prod 1'!D530="","",'Prod 1'!D530)</f>
        <v/>
      </c>
      <c r="E530" s="64"/>
      <c r="F530" s="58"/>
      <c r="G530" s="65"/>
      <c r="H530" s="65"/>
      <c r="I530" s="58"/>
      <c r="J530" s="58"/>
      <c r="K530" s="132" t="str">
        <f t="shared" si="32"/>
        <v/>
      </c>
      <c r="M530" s="68" t="str">
        <f t="shared" si="33"/>
        <v/>
      </c>
      <c r="N530" s="59" t="str">
        <f>IF('Prod 1'!E530="","",'Prod 1'!E530)</f>
        <v/>
      </c>
      <c r="O530" s="59" t="str">
        <f t="shared" si="34"/>
        <v/>
      </c>
      <c r="P530" s="59" t="str">
        <f t="shared" si="35"/>
        <v/>
      </c>
    </row>
    <row r="531" spans="3:16" ht="30" customHeight="1" x14ac:dyDescent="0.25">
      <c r="C531" s="42">
        <v>527</v>
      </c>
      <c r="D531" s="67" t="str">
        <f>IF('Prod 1'!D531="","",'Prod 1'!D531)</f>
        <v/>
      </c>
      <c r="E531" s="64"/>
      <c r="F531" s="58"/>
      <c r="G531" s="65"/>
      <c r="H531" s="65"/>
      <c r="I531" s="58"/>
      <c r="J531" s="58"/>
      <c r="K531" s="132" t="str">
        <f t="shared" si="32"/>
        <v/>
      </c>
      <c r="M531" s="68" t="str">
        <f t="shared" si="33"/>
        <v/>
      </c>
      <c r="N531" s="59" t="str">
        <f>IF('Prod 1'!E531="","",'Prod 1'!E531)</f>
        <v/>
      </c>
      <c r="O531" s="59" t="str">
        <f t="shared" si="34"/>
        <v/>
      </c>
      <c r="P531" s="59" t="str">
        <f t="shared" si="35"/>
        <v/>
      </c>
    </row>
    <row r="532" spans="3:16" ht="30" customHeight="1" x14ac:dyDescent="0.25">
      <c r="C532" s="42">
        <v>528</v>
      </c>
      <c r="D532" s="67" t="str">
        <f>IF('Prod 1'!D532="","",'Prod 1'!D532)</f>
        <v/>
      </c>
      <c r="E532" s="64"/>
      <c r="F532" s="58"/>
      <c r="G532" s="65"/>
      <c r="H532" s="65"/>
      <c r="I532" s="58"/>
      <c r="J532" s="58"/>
      <c r="K532" s="132" t="str">
        <f t="shared" si="32"/>
        <v/>
      </c>
      <c r="M532" s="68" t="str">
        <f t="shared" si="33"/>
        <v/>
      </c>
      <c r="N532" s="59" t="str">
        <f>IF('Prod 1'!E532="","",'Prod 1'!E532)</f>
        <v/>
      </c>
      <c r="O532" s="59" t="str">
        <f t="shared" si="34"/>
        <v/>
      </c>
      <c r="P532" s="59" t="str">
        <f t="shared" si="35"/>
        <v/>
      </c>
    </row>
    <row r="533" spans="3:16" ht="30" customHeight="1" x14ac:dyDescent="0.25">
      <c r="C533" s="42">
        <v>529</v>
      </c>
      <c r="D533" s="67" t="str">
        <f>IF('Prod 1'!D533="","",'Prod 1'!D533)</f>
        <v/>
      </c>
      <c r="E533" s="64"/>
      <c r="F533" s="58"/>
      <c r="G533" s="65"/>
      <c r="H533" s="65"/>
      <c r="I533" s="58"/>
      <c r="J533" s="58"/>
      <c r="K533" s="132" t="str">
        <f t="shared" si="32"/>
        <v/>
      </c>
      <c r="M533" s="68" t="str">
        <f t="shared" si="33"/>
        <v/>
      </c>
      <c r="N533" s="59" t="str">
        <f>IF('Prod 1'!E533="","",'Prod 1'!E533)</f>
        <v/>
      </c>
      <c r="O533" s="59" t="str">
        <f t="shared" si="34"/>
        <v/>
      </c>
      <c r="P533" s="59" t="str">
        <f t="shared" si="35"/>
        <v/>
      </c>
    </row>
    <row r="534" spans="3:16" ht="30" customHeight="1" x14ac:dyDescent="0.25">
      <c r="C534" s="42">
        <v>530</v>
      </c>
      <c r="D534" s="67" t="str">
        <f>IF('Prod 1'!D534="","",'Prod 1'!D534)</f>
        <v/>
      </c>
      <c r="E534" s="64"/>
      <c r="F534" s="58"/>
      <c r="G534" s="65"/>
      <c r="H534" s="65"/>
      <c r="I534" s="58"/>
      <c r="J534" s="58"/>
      <c r="K534" s="132" t="str">
        <f t="shared" si="32"/>
        <v/>
      </c>
      <c r="M534" s="68" t="str">
        <f t="shared" si="33"/>
        <v/>
      </c>
      <c r="N534" s="59" t="str">
        <f>IF('Prod 1'!E534="","",'Prod 1'!E534)</f>
        <v/>
      </c>
      <c r="O534" s="59" t="str">
        <f t="shared" si="34"/>
        <v/>
      </c>
      <c r="P534" s="59" t="str">
        <f t="shared" si="35"/>
        <v/>
      </c>
    </row>
    <row r="535" spans="3:16" ht="30" customHeight="1" x14ac:dyDescent="0.25">
      <c r="C535" s="42">
        <v>531</v>
      </c>
      <c r="D535" s="67" t="str">
        <f>IF('Prod 1'!D535="","",'Prod 1'!D535)</f>
        <v/>
      </c>
      <c r="E535" s="64"/>
      <c r="F535" s="58"/>
      <c r="G535" s="65"/>
      <c r="H535" s="65"/>
      <c r="I535" s="58"/>
      <c r="J535" s="58"/>
      <c r="K535" s="132" t="str">
        <f t="shared" si="32"/>
        <v/>
      </c>
      <c r="M535" s="68" t="str">
        <f t="shared" si="33"/>
        <v/>
      </c>
      <c r="N535" s="59" t="str">
        <f>IF('Prod 1'!E535="","",'Prod 1'!E535)</f>
        <v/>
      </c>
      <c r="O535" s="59" t="str">
        <f t="shared" si="34"/>
        <v/>
      </c>
      <c r="P535" s="59" t="str">
        <f t="shared" si="35"/>
        <v/>
      </c>
    </row>
    <row r="536" spans="3:16" ht="30" customHeight="1" x14ac:dyDescent="0.25">
      <c r="C536" s="42">
        <v>532</v>
      </c>
      <c r="D536" s="67" t="str">
        <f>IF('Prod 1'!D536="","",'Prod 1'!D536)</f>
        <v/>
      </c>
      <c r="E536" s="64"/>
      <c r="F536" s="58"/>
      <c r="G536" s="65"/>
      <c r="H536" s="65"/>
      <c r="I536" s="58"/>
      <c r="J536" s="58"/>
      <c r="K536" s="132" t="str">
        <f t="shared" si="32"/>
        <v/>
      </c>
      <c r="M536" s="68" t="str">
        <f t="shared" si="33"/>
        <v/>
      </c>
      <c r="N536" s="59" t="str">
        <f>IF('Prod 1'!E536="","",'Prod 1'!E536)</f>
        <v/>
      </c>
      <c r="O536" s="59" t="str">
        <f t="shared" si="34"/>
        <v/>
      </c>
      <c r="P536" s="59" t="str">
        <f t="shared" si="35"/>
        <v/>
      </c>
    </row>
    <row r="537" spans="3:16" ht="30" customHeight="1" x14ac:dyDescent="0.25">
      <c r="C537" s="42">
        <v>533</v>
      </c>
      <c r="D537" s="67" t="str">
        <f>IF('Prod 1'!D537="","",'Prod 1'!D537)</f>
        <v/>
      </c>
      <c r="E537" s="64"/>
      <c r="F537" s="58"/>
      <c r="G537" s="65"/>
      <c r="H537" s="65"/>
      <c r="I537" s="58"/>
      <c r="J537" s="58"/>
      <c r="K537" s="132" t="str">
        <f t="shared" si="32"/>
        <v/>
      </c>
      <c r="M537" s="68" t="str">
        <f t="shared" si="33"/>
        <v/>
      </c>
      <c r="N537" s="59" t="str">
        <f>IF('Prod 1'!E537="","",'Prod 1'!E537)</f>
        <v/>
      </c>
      <c r="O537" s="59" t="str">
        <f t="shared" si="34"/>
        <v/>
      </c>
      <c r="P537" s="59" t="str">
        <f t="shared" si="35"/>
        <v/>
      </c>
    </row>
    <row r="538" spans="3:16" ht="30" customHeight="1" x14ac:dyDescent="0.25">
      <c r="C538" s="42">
        <v>534</v>
      </c>
      <c r="D538" s="67" t="str">
        <f>IF('Prod 1'!D538="","",'Prod 1'!D538)</f>
        <v/>
      </c>
      <c r="E538" s="64"/>
      <c r="F538" s="58"/>
      <c r="G538" s="65"/>
      <c r="H538" s="65"/>
      <c r="I538" s="58"/>
      <c r="J538" s="58"/>
      <c r="K538" s="132" t="str">
        <f t="shared" si="32"/>
        <v/>
      </c>
      <c r="M538" s="68" t="str">
        <f t="shared" si="33"/>
        <v/>
      </c>
      <c r="N538" s="59" t="str">
        <f>IF('Prod 1'!E538="","",'Prod 1'!E538)</f>
        <v/>
      </c>
      <c r="O538" s="59" t="str">
        <f t="shared" si="34"/>
        <v/>
      </c>
      <c r="P538" s="59" t="str">
        <f t="shared" si="35"/>
        <v/>
      </c>
    </row>
    <row r="539" spans="3:16" ht="30" customHeight="1" x14ac:dyDescent="0.25">
      <c r="C539" s="42">
        <v>535</v>
      </c>
      <c r="D539" s="67" t="str">
        <f>IF('Prod 1'!D539="","",'Prod 1'!D539)</f>
        <v/>
      </c>
      <c r="E539" s="64"/>
      <c r="F539" s="58"/>
      <c r="G539" s="65"/>
      <c r="H539" s="65"/>
      <c r="I539" s="58"/>
      <c r="J539" s="58"/>
      <c r="K539" s="132" t="str">
        <f t="shared" si="32"/>
        <v/>
      </c>
      <c r="M539" s="68" t="str">
        <f t="shared" si="33"/>
        <v/>
      </c>
      <c r="N539" s="59" t="str">
        <f>IF('Prod 1'!E539="","",'Prod 1'!E539)</f>
        <v/>
      </c>
      <c r="O539" s="59" t="str">
        <f t="shared" si="34"/>
        <v/>
      </c>
      <c r="P539" s="59" t="str">
        <f t="shared" si="35"/>
        <v/>
      </c>
    </row>
    <row r="540" spans="3:16" ht="30" customHeight="1" x14ac:dyDescent="0.25">
      <c r="C540" s="42">
        <v>536</v>
      </c>
      <c r="D540" s="67" t="str">
        <f>IF('Prod 1'!D540="","",'Prod 1'!D540)</f>
        <v/>
      </c>
      <c r="E540" s="64"/>
      <c r="F540" s="58"/>
      <c r="G540" s="65"/>
      <c r="H540" s="65"/>
      <c r="I540" s="58"/>
      <c r="J540" s="58"/>
      <c r="K540" s="132" t="str">
        <f t="shared" si="32"/>
        <v/>
      </c>
      <c r="M540" s="68" t="str">
        <f t="shared" si="33"/>
        <v/>
      </c>
      <c r="N540" s="59" t="str">
        <f>IF('Prod 1'!E540="","",'Prod 1'!E540)</f>
        <v/>
      </c>
      <c r="O540" s="59" t="str">
        <f t="shared" si="34"/>
        <v/>
      </c>
      <c r="P540" s="59" t="str">
        <f t="shared" si="35"/>
        <v/>
      </c>
    </row>
    <row r="541" spans="3:16" ht="30" customHeight="1" x14ac:dyDescent="0.25">
      <c r="C541" s="42">
        <v>537</v>
      </c>
      <c r="D541" s="67" t="str">
        <f>IF('Prod 1'!D541="","",'Prod 1'!D541)</f>
        <v/>
      </c>
      <c r="E541" s="64"/>
      <c r="F541" s="58"/>
      <c r="G541" s="65"/>
      <c r="H541" s="65"/>
      <c r="I541" s="58"/>
      <c r="J541" s="58"/>
      <c r="K541" s="132" t="str">
        <f t="shared" si="32"/>
        <v/>
      </c>
      <c r="M541" s="68" t="str">
        <f t="shared" si="33"/>
        <v/>
      </c>
      <c r="N541" s="59" t="str">
        <f>IF('Prod 1'!E541="","",'Prod 1'!E541)</f>
        <v/>
      </c>
      <c r="O541" s="59" t="str">
        <f t="shared" si="34"/>
        <v/>
      </c>
      <c r="P541" s="59" t="str">
        <f t="shared" si="35"/>
        <v/>
      </c>
    </row>
    <row r="542" spans="3:16" ht="30" customHeight="1" x14ac:dyDescent="0.25">
      <c r="C542" s="42">
        <v>538</v>
      </c>
      <c r="D542" s="67" t="str">
        <f>IF('Prod 1'!D542="","",'Prod 1'!D542)</f>
        <v/>
      </c>
      <c r="E542" s="64"/>
      <c r="F542" s="58"/>
      <c r="G542" s="65"/>
      <c r="H542" s="65"/>
      <c r="I542" s="58"/>
      <c r="J542" s="58"/>
      <c r="K542" s="132" t="str">
        <f t="shared" si="32"/>
        <v/>
      </c>
      <c r="M542" s="68" t="str">
        <f t="shared" si="33"/>
        <v/>
      </c>
      <c r="N542" s="59" t="str">
        <f>IF('Prod 1'!E542="","",'Prod 1'!E542)</f>
        <v/>
      </c>
      <c r="O542" s="59" t="str">
        <f t="shared" si="34"/>
        <v/>
      </c>
      <c r="P542" s="59" t="str">
        <f t="shared" si="35"/>
        <v/>
      </c>
    </row>
    <row r="543" spans="3:16" ht="30" customHeight="1" x14ac:dyDescent="0.25">
      <c r="C543" s="42">
        <v>539</v>
      </c>
      <c r="D543" s="67" t="str">
        <f>IF('Prod 1'!D543="","",'Prod 1'!D543)</f>
        <v/>
      </c>
      <c r="E543" s="64"/>
      <c r="F543" s="58"/>
      <c r="G543" s="65"/>
      <c r="H543" s="65"/>
      <c r="I543" s="58"/>
      <c r="J543" s="58"/>
      <c r="K543" s="132" t="str">
        <f t="shared" si="32"/>
        <v/>
      </c>
      <c r="M543" s="68" t="str">
        <f t="shared" si="33"/>
        <v/>
      </c>
      <c r="N543" s="59" t="str">
        <f>IF('Prod 1'!E543="","",'Prod 1'!E543)</f>
        <v/>
      </c>
      <c r="O543" s="59" t="str">
        <f t="shared" si="34"/>
        <v/>
      </c>
      <c r="P543" s="59" t="str">
        <f t="shared" si="35"/>
        <v/>
      </c>
    </row>
    <row r="544" spans="3:16" ht="30" customHeight="1" x14ac:dyDescent="0.25">
      <c r="C544" s="42">
        <v>540</v>
      </c>
      <c r="D544" s="67" t="str">
        <f>IF('Prod 1'!D544="","",'Prod 1'!D544)</f>
        <v/>
      </c>
      <c r="E544" s="64"/>
      <c r="F544" s="58"/>
      <c r="G544" s="65"/>
      <c r="H544" s="65"/>
      <c r="I544" s="58"/>
      <c r="J544" s="58"/>
      <c r="K544" s="132" t="str">
        <f t="shared" si="32"/>
        <v/>
      </c>
      <c r="M544" s="68" t="str">
        <f t="shared" si="33"/>
        <v/>
      </c>
      <c r="N544" s="59" t="str">
        <f>IF('Prod 1'!E544="","",'Prod 1'!E544)</f>
        <v/>
      </c>
      <c r="O544" s="59" t="str">
        <f t="shared" si="34"/>
        <v/>
      </c>
      <c r="P544" s="59" t="str">
        <f t="shared" si="35"/>
        <v/>
      </c>
    </row>
    <row r="545" spans="3:16" ht="30" customHeight="1" x14ac:dyDescent="0.25">
      <c r="C545" s="42">
        <v>541</v>
      </c>
      <c r="D545" s="67" t="str">
        <f>IF('Prod 1'!D545="","",'Prod 1'!D545)</f>
        <v/>
      </c>
      <c r="E545" s="64"/>
      <c r="F545" s="58"/>
      <c r="G545" s="65"/>
      <c r="H545" s="65"/>
      <c r="I545" s="58"/>
      <c r="J545" s="58"/>
      <c r="K545" s="132" t="str">
        <f t="shared" si="32"/>
        <v/>
      </c>
      <c r="M545" s="68" t="str">
        <f t="shared" si="33"/>
        <v/>
      </c>
      <c r="N545" s="59" t="str">
        <f>IF('Prod 1'!E545="","",'Prod 1'!E545)</f>
        <v/>
      </c>
      <c r="O545" s="59" t="str">
        <f t="shared" si="34"/>
        <v/>
      </c>
      <c r="P545" s="59" t="str">
        <f t="shared" si="35"/>
        <v/>
      </c>
    </row>
    <row r="546" spans="3:16" ht="30" customHeight="1" x14ac:dyDescent="0.25">
      <c r="C546" s="42">
        <v>542</v>
      </c>
      <c r="D546" s="67" t="str">
        <f>IF('Prod 1'!D546="","",'Prod 1'!D546)</f>
        <v/>
      </c>
      <c r="E546" s="64"/>
      <c r="F546" s="58"/>
      <c r="G546" s="65"/>
      <c r="H546" s="65"/>
      <c r="I546" s="58"/>
      <c r="J546" s="58"/>
      <c r="K546" s="132" t="str">
        <f t="shared" si="32"/>
        <v/>
      </c>
      <c r="M546" s="68" t="str">
        <f t="shared" si="33"/>
        <v/>
      </c>
      <c r="N546" s="59" t="str">
        <f>IF('Prod 1'!E546="","",'Prod 1'!E546)</f>
        <v/>
      </c>
      <c r="O546" s="59" t="str">
        <f t="shared" si="34"/>
        <v/>
      </c>
      <c r="P546" s="59" t="str">
        <f t="shared" si="35"/>
        <v/>
      </c>
    </row>
    <row r="547" spans="3:16" ht="30" customHeight="1" x14ac:dyDescent="0.25">
      <c r="C547" s="42">
        <v>543</v>
      </c>
      <c r="D547" s="67" t="str">
        <f>IF('Prod 1'!D547="","",'Prod 1'!D547)</f>
        <v/>
      </c>
      <c r="E547" s="64"/>
      <c r="F547" s="58"/>
      <c r="G547" s="65"/>
      <c r="H547" s="65"/>
      <c r="I547" s="58"/>
      <c r="J547" s="58"/>
      <c r="K547" s="132" t="str">
        <f t="shared" si="32"/>
        <v/>
      </c>
      <c r="M547" s="68" t="str">
        <f t="shared" si="33"/>
        <v/>
      </c>
      <c r="N547" s="59" t="str">
        <f>IF('Prod 1'!E547="","",'Prod 1'!E547)</f>
        <v/>
      </c>
      <c r="O547" s="59" t="str">
        <f t="shared" si="34"/>
        <v/>
      </c>
      <c r="P547" s="59" t="str">
        <f t="shared" si="35"/>
        <v/>
      </c>
    </row>
    <row r="548" spans="3:16" ht="30" customHeight="1" x14ac:dyDescent="0.25">
      <c r="C548" s="42">
        <v>544</v>
      </c>
      <c r="D548" s="67" t="str">
        <f>IF('Prod 1'!D548="","",'Prod 1'!D548)</f>
        <v/>
      </c>
      <c r="E548" s="64"/>
      <c r="F548" s="58"/>
      <c r="G548" s="65"/>
      <c r="H548" s="65"/>
      <c r="I548" s="58"/>
      <c r="J548" s="58"/>
      <c r="K548" s="132" t="str">
        <f t="shared" si="32"/>
        <v/>
      </c>
      <c r="M548" s="68" t="str">
        <f t="shared" si="33"/>
        <v/>
      </c>
      <c r="N548" s="59" t="str">
        <f>IF('Prod 1'!E548="","",'Prod 1'!E548)</f>
        <v/>
      </c>
      <c r="O548" s="59" t="str">
        <f t="shared" si="34"/>
        <v/>
      </c>
      <c r="P548" s="59" t="str">
        <f t="shared" si="35"/>
        <v/>
      </c>
    </row>
    <row r="549" spans="3:16" ht="30" customHeight="1" x14ac:dyDescent="0.25">
      <c r="C549" s="42">
        <v>545</v>
      </c>
      <c r="D549" s="67" t="str">
        <f>IF('Prod 1'!D549="","",'Prod 1'!D549)</f>
        <v/>
      </c>
      <c r="E549" s="64"/>
      <c r="F549" s="58"/>
      <c r="G549" s="65"/>
      <c r="H549" s="65"/>
      <c r="I549" s="58"/>
      <c r="J549" s="58"/>
      <c r="K549" s="132" t="str">
        <f t="shared" si="32"/>
        <v/>
      </c>
      <c r="M549" s="68" t="str">
        <f t="shared" si="33"/>
        <v/>
      </c>
      <c r="N549" s="59" t="str">
        <f>IF('Prod 1'!E549="","",'Prod 1'!E549)</f>
        <v/>
      </c>
      <c r="O549" s="59" t="str">
        <f t="shared" si="34"/>
        <v/>
      </c>
      <c r="P549" s="59" t="str">
        <f t="shared" si="35"/>
        <v/>
      </c>
    </row>
    <row r="550" spans="3:16" ht="30" customHeight="1" x14ac:dyDescent="0.25">
      <c r="C550" s="42">
        <v>546</v>
      </c>
      <c r="D550" s="67" t="str">
        <f>IF('Prod 1'!D550="","",'Prod 1'!D550)</f>
        <v/>
      </c>
      <c r="E550" s="64"/>
      <c r="F550" s="58"/>
      <c r="G550" s="65"/>
      <c r="H550" s="65"/>
      <c r="I550" s="58"/>
      <c r="J550" s="58"/>
      <c r="K550" s="132" t="str">
        <f t="shared" si="32"/>
        <v/>
      </c>
      <c r="M550" s="68" t="str">
        <f t="shared" si="33"/>
        <v/>
      </c>
      <c r="N550" s="59" t="str">
        <f>IF('Prod 1'!E550="","",'Prod 1'!E550)</f>
        <v/>
      </c>
      <c r="O550" s="59" t="str">
        <f t="shared" si="34"/>
        <v/>
      </c>
      <c r="P550" s="59" t="str">
        <f t="shared" si="35"/>
        <v/>
      </c>
    </row>
    <row r="551" spans="3:16" ht="30" customHeight="1" x14ac:dyDescent="0.25">
      <c r="C551" s="42">
        <v>547</v>
      </c>
      <c r="D551" s="67" t="str">
        <f>IF('Prod 1'!D551="","",'Prod 1'!D551)</f>
        <v/>
      </c>
      <c r="E551" s="64"/>
      <c r="F551" s="58"/>
      <c r="G551" s="65"/>
      <c r="H551" s="65"/>
      <c r="I551" s="58"/>
      <c r="J551" s="58"/>
      <c r="K551" s="132" t="str">
        <f t="shared" si="32"/>
        <v/>
      </c>
      <c r="M551" s="68" t="str">
        <f t="shared" si="33"/>
        <v/>
      </c>
      <c r="N551" s="59" t="str">
        <f>IF('Prod 1'!E551="","",'Prod 1'!E551)</f>
        <v/>
      </c>
      <c r="O551" s="59" t="str">
        <f t="shared" si="34"/>
        <v/>
      </c>
      <c r="P551" s="59" t="str">
        <f t="shared" si="35"/>
        <v/>
      </c>
    </row>
    <row r="552" spans="3:16" ht="30" customHeight="1" x14ac:dyDescent="0.25">
      <c r="C552" s="42">
        <v>548</v>
      </c>
      <c r="D552" s="67" t="str">
        <f>IF('Prod 1'!D552="","",'Prod 1'!D552)</f>
        <v/>
      </c>
      <c r="E552" s="64"/>
      <c r="F552" s="58"/>
      <c r="G552" s="65"/>
      <c r="H552" s="65"/>
      <c r="I552" s="58"/>
      <c r="J552" s="58"/>
      <c r="K552" s="132" t="str">
        <f t="shared" si="32"/>
        <v/>
      </c>
      <c r="M552" s="68" t="str">
        <f t="shared" si="33"/>
        <v/>
      </c>
      <c r="N552" s="59" t="str">
        <f>IF('Prod 1'!E552="","",'Prod 1'!E552)</f>
        <v/>
      </c>
      <c r="O552" s="59" t="str">
        <f t="shared" si="34"/>
        <v/>
      </c>
      <c r="P552" s="59" t="str">
        <f t="shared" si="35"/>
        <v/>
      </c>
    </row>
    <row r="553" spans="3:16" ht="30" customHeight="1" x14ac:dyDescent="0.25">
      <c r="C553" s="42">
        <v>549</v>
      </c>
      <c r="D553" s="67" t="str">
        <f>IF('Prod 1'!D553="","",'Prod 1'!D553)</f>
        <v/>
      </c>
      <c r="E553" s="64"/>
      <c r="F553" s="58"/>
      <c r="G553" s="65"/>
      <c r="H553" s="65"/>
      <c r="I553" s="58"/>
      <c r="J553" s="58"/>
      <c r="K553" s="132" t="str">
        <f t="shared" si="32"/>
        <v/>
      </c>
      <c r="M553" s="68" t="str">
        <f t="shared" si="33"/>
        <v/>
      </c>
      <c r="N553" s="59" t="str">
        <f>IF('Prod 1'!E553="","",'Prod 1'!E553)</f>
        <v/>
      </c>
      <c r="O553" s="59" t="str">
        <f t="shared" si="34"/>
        <v/>
      </c>
      <c r="P553" s="59" t="str">
        <f t="shared" si="35"/>
        <v/>
      </c>
    </row>
    <row r="554" spans="3:16" ht="30" customHeight="1" x14ac:dyDescent="0.25">
      <c r="C554" s="42">
        <v>550</v>
      </c>
      <c r="D554" s="67" t="str">
        <f>IF('Prod 1'!D554="","",'Prod 1'!D554)</f>
        <v/>
      </c>
      <c r="E554" s="64"/>
      <c r="F554" s="58"/>
      <c r="G554" s="65"/>
      <c r="H554" s="65"/>
      <c r="I554" s="58"/>
      <c r="J554" s="58"/>
      <c r="K554" s="132" t="str">
        <f t="shared" si="32"/>
        <v/>
      </c>
      <c r="M554" s="68" t="str">
        <f t="shared" si="33"/>
        <v/>
      </c>
      <c r="N554" s="59" t="str">
        <f>IF('Prod 1'!E554="","",'Prod 1'!E554)</f>
        <v/>
      </c>
      <c r="O554" s="59" t="str">
        <f t="shared" si="34"/>
        <v/>
      </c>
      <c r="P554" s="59" t="str">
        <f t="shared" si="35"/>
        <v/>
      </c>
    </row>
    <row r="555" spans="3:16" ht="30" customHeight="1" x14ac:dyDescent="0.25">
      <c r="C555" s="42">
        <v>551</v>
      </c>
      <c r="D555" s="67" t="str">
        <f>IF('Prod 1'!D555="","",'Prod 1'!D555)</f>
        <v/>
      </c>
      <c r="E555" s="64"/>
      <c r="F555" s="58"/>
      <c r="G555" s="65"/>
      <c r="H555" s="65"/>
      <c r="I555" s="58"/>
      <c r="J555" s="58"/>
      <c r="K555" s="132" t="str">
        <f t="shared" si="32"/>
        <v/>
      </c>
      <c r="M555" s="68" t="str">
        <f t="shared" si="33"/>
        <v/>
      </c>
      <c r="N555" s="59" t="str">
        <f>IF('Prod 1'!E555="","",'Prod 1'!E555)</f>
        <v/>
      </c>
      <c r="O555" s="59" t="str">
        <f t="shared" si="34"/>
        <v/>
      </c>
      <c r="P555" s="59" t="str">
        <f t="shared" si="35"/>
        <v/>
      </c>
    </row>
    <row r="556" spans="3:16" ht="30" customHeight="1" x14ac:dyDescent="0.25">
      <c r="C556" s="42">
        <v>552</v>
      </c>
      <c r="D556" s="67" t="str">
        <f>IF('Prod 1'!D556="","",'Prod 1'!D556)</f>
        <v/>
      </c>
      <c r="E556" s="64"/>
      <c r="F556" s="58"/>
      <c r="G556" s="65"/>
      <c r="H556" s="65"/>
      <c r="I556" s="58"/>
      <c r="J556" s="58"/>
      <c r="K556" s="132" t="str">
        <f t="shared" si="32"/>
        <v/>
      </c>
      <c r="M556" s="68" t="str">
        <f t="shared" si="33"/>
        <v/>
      </c>
      <c r="N556" s="59" t="str">
        <f>IF('Prod 1'!E556="","",'Prod 1'!E556)</f>
        <v/>
      </c>
      <c r="O556" s="59" t="str">
        <f t="shared" si="34"/>
        <v/>
      </c>
      <c r="P556" s="59" t="str">
        <f t="shared" si="35"/>
        <v/>
      </c>
    </row>
    <row r="557" spans="3:16" ht="30" customHeight="1" x14ac:dyDescent="0.25">
      <c r="C557" s="42">
        <v>553</v>
      </c>
      <c r="D557" s="67" t="str">
        <f>IF('Prod 1'!D557="","",'Prod 1'!D557)</f>
        <v/>
      </c>
      <c r="E557" s="64"/>
      <c r="F557" s="58"/>
      <c r="G557" s="65"/>
      <c r="H557" s="65"/>
      <c r="I557" s="58"/>
      <c r="J557" s="58"/>
      <c r="K557" s="132" t="str">
        <f t="shared" si="32"/>
        <v/>
      </c>
      <c r="M557" s="68" t="str">
        <f t="shared" si="33"/>
        <v/>
      </c>
      <c r="N557" s="59" t="str">
        <f>IF('Prod 1'!E557="","",'Prod 1'!E557)</f>
        <v/>
      </c>
      <c r="O557" s="59" t="str">
        <f t="shared" si="34"/>
        <v/>
      </c>
      <c r="P557" s="59" t="str">
        <f t="shared" si="35"/>
        <v/>
      </c>
    </row>
    <row r="558" spans="3:16" ht="30" customHeight="1" x14ac:dyDescent="0.25">
      <c r="C558" s="42">
        <v>554</v>
      </c>
      <c r="D558" s="67" t="str">
        <f>IF('Prod 1'!D558="","",'Prod 1'!D558)</f>
        <v/>
      </c>
      <c r="E558" s="64"/>
      <c r="F558" s="58"/>
      <c r="G558" s="65"/>
      <c r="H558" s="65"/>
      <c r="I558" s="58"/>
      <c r="J558" s="58"/>
      <c r="K558" s="132" t="str">
        <f t="shared" si="32"/>
        <v/>
      </c>
      <c r="M558" s="68" t="str">
        <f t="shared" si="33"/>
        <v/>
      </c>
      <c r="N558" s="59" t="str">
        <f>IF('Prod 1'!E558="","",'Prod 1'!E558)</f>
        <v/>
      </c>
      <c r="O558" s="59" t="str">
        <f t="shared" si="34"/>
        <v/>
      </c>
      <c r="P558" s="59" t="str">
        <f t="shared" si="35"/>
        <v/>
      </c>
    </row>
    <row r="559" spans="3:16" ht="30" customHeight="1" x14ac:dyDescent="0.25">
      <c r="C559" s="42">
        <v>555</v>
      </c>
      <c r="D559" s="67" t="str">
        <f>IF('Prod 1'!D559="","",'Prod 1'!D559)</f>
        <v/>
      </c>
      <c r="E559" s="64"/>
      <c r="F559" s="58"/>
      <c r="G559" s="65"/>
      <c r="H559" s="65"/>
      <c r="I559" s="58"/>
      <c r="J559" s="58"/>
      <c r="K559" s="132" t="str">
        <f t="shared" si="32"/>
        <v/>
      </c>
      <c r="M559" s="68" t="str">
        <f t="shared" si="33"/>
        <v/>
      </c>
      <c r="N559" s="59" t="str">
        <f>IF('Prod 1'!E559="","",'Prod 1'!E559)</f>
        <v/>
      </c>
      <c r="O559" s="59" t="str">
        <f t="shared" si="34"/>
        <v/>
      </c>
      <c r="P559" s="59" t="str">
        <f t="shared" si="35"/>
        <v/>
      </c>
    </row>
    <row r="560" spans="3:16" ht="30" customHeight="1" x14ac:dyDescent="0.25">
      <c r="C560" s="42">
        <v>556</v>
      </c>
      <c r="D560" s="67" t="str">
        <f>IF('Prod 1'!D560="","",'Prod 1'!D560)</f>
        <v/>
      </c>
      <c r="E560" s="64"/>
      <c r="F560" s="58"/>
      <c r="G560" s="65"/>
      <c r="H560" s="65"/>
      <c r="I560" s="58"/>
      <c r="J560" s="58"/>
      <c r="K560" s="132" t="str">
        <f t="shared" si="32"/>
        <v/>
      </c>
      <c r="M560" s="68" t="str">
        <f t="shared" si="33"/>
        <v/>
      </c>
      <c r="N560" s="59" t="str">
        <f>IF('Prod 1'!E560="","",'Prod 1'!E560)</f>
        <v/>
      </c>
      <c r="O560" s="59" t="str">
        <f t="shared" si="34"/>
        <v/>
      </c>
      <c r="P560" s="59" t="str">
        <f t="shared" si="35"/>
        <v/>
      </c>
    </row>
    <row r="561" spans="3:16" ht="30" customHeight="1" x14ac:dyDescent="0.25">
      <c r="C561" s="42">
        <v>557</v>
      </c>
      <c r="D561" s="67" t="str">
        <f>IF('Prod 1'!D561="","",'Prod 1'!D561)</f>
        <v/>
      </c>
      <c r="E561" s="64"/>
      <c r="F561" s="58"/>
      <c r="G561" s="65"/>
      <c r="H561" s="65"/>
      <c r="I561" s="58"/>
      <c r="J561" s="58"/>
      <c r="K561" s="132" t="str">
        <f t="shared" si="32"/>
        <v/>
      </c>
      <c r="M561" s="68" t="str">
        <f t="shared" si="33"/>
        <v/>
      </c>
      <c r="N561" s="59" t="str">
        <f>IF('Prod 1'!E561="","",'Prod 1'!E561)</f>
        <v/>
      </c>
      <c r="O561" s="59" t="str">
        <f t="shared" si="34"/>
        <v/>
      </c>
      <c r="P561" s="59" t="str">
        <f t="shared" si="35"/>
        <v/>
      </c>
    </row>
    <row r="562" spans="3:16" ht="30" customHeight="1" x14ac:dyDescent="0.25">
      <c r="C562" s="42">
        <v>558</v>
      </c>
      <c r="D562" s="67" t="str">
        <f>IF('Prod 1'!D562="","",'Prod 1'!D562)</f>
        <v/>
      </c>
      <c r="E562" s="64"/>
      <c r="F562" s="58"/>
      <c r="G562" s="65"/>
      <c r="H562" s="65"/>
      <c r="I562" s="58"/>
      <c r="J562" s="58"/>
      <c r="K562" s="132" t="str">
        <f t="shared" si="32"/>
        <v/>
      </c>
      <c r="M562" s="68" t="str">
        <f t="shared" si="33"/>
        <v/>
      </c>
      <c r="N562" s="59" t="str">
        <f>IF('Prod 1'!E562="","",'Prod 1'!E562)</f>
        <v/>
      </c>
      <c r="O562" s="59" t="str">
        <f t="shared" si="34"/>
        <v/>
      </c>
      <c r="P562" s="59" t="str">
        <f t="shared" si="35"/>
        <v/>
      </c>
    </row>
    <row r="563" spans="3:16" ht="30" customHeight="1" x14ac:dyDescent="0.25">
      <c r="C563" s="42">
        <v>559</v>
      </c>
      <c r="D563" s="67" t="str">
        <f>IF('Prod 1'!D563="","",'Prod 1'!D563)</f>
        <v/>
      </c>
      <c r="E563" s="64"/>
      <c r="F563" s="58"/>
      <c r="G563" s="65"/>
      <c r="H563" s="65"/>
      <c r="I563" s="58"/>
      <c r="J563" s="58"/>
      <c r="K563" s="132" t="str">
        <f t="shared" si="32"/>
        <v/>
      </c>
      <c r="M563" s="68" t="str">
        <f t="shared" si="33"/>
        <v/>
      </c>
      <c r="N563" s="59" t="str">
        <f>IF('Prod 1'!E563="","",'Prod 1'!E563)</f>
        <v/>
      </c>
      <c r="O563" s="59" t="str">
        <f t="shared" si="34"/>
        <v/>
      </c>
      <c r="P563" s="59" t="str">
        <f t="shared" si="35"/>
        <v/>
      </c>
    </row>
    <row r="564" spans="3:16" ht="30" customHeight="1" x14ac:dyDescent="0.25">
      <c r="C564" s="42">
        <v>560</v>
      </c>
      <c r="D564" s="67" t="str">
        <f>IF('Prod 1'!D564="","",'Prod 1'!D564)</f>
        <v/>
      </c>
      <c r="E564" s="64"/>
      <c r="F564" s="58"/>
      <c r="G564" s="65"/>
      <c r="H564" s="65"/>
      <c r="I564" s="58"/>
      <c r="J564" s="58"/>
      <c r="K564" s="132" t="str">
        <f t="shared" si="32"/>
        <v/>
      </c>
      <c r="M564" s="68" t="str">
        <f t="shared" si="33"/>
        <v/>
      </c>
      <c r="N564" s="59" t="str">
        <f>IF('Prod 1'!E564="","",'Prod 1'!E564)</f>
        <v/>
      </c>
      <c r="O564" s="59" t="str">
        <f t="shared" si="34"/>
        <v/>
      </c>
      <c r="P564" s="59" t="str">
        <f t="shared" si="35"/>
        <v/>
      </c>
    </row>
    <row r="565" spans="3:16" ht="30" customHeight="1" x14ac:dyDescent="0.25">
      <c r="C565" s="42">
        <v>561</v>
      </c>
      <c r="D565" s="67" t="str">
        <f>IF('Prod 1'!D565="","",'Prod 1'!D565)</f>
        <v/>
      </c>
      <c r="E565" s="64"/>
      <c r="F565" s="58"/>
      <c r="G565" s="65"/>
      <c r="H565" s="65"/>
      <c r="I565" s="58"/>
      <c r="J565" s="58"/>
      <c r="K565" s="132" t="str">
        <f t="shared" si="32"/>
        <v/>
      </c>
      <c r="M565" s="68" t="str">
        <f t="shared" si="33"/>
        <v/>
      </c>
      <c r="N565" s="59" t="str">
        <f>IF('Prod 1'!E565="","",'Prod 1'!E565)</f>
        <v/>
      </c>
      <c r="O565" s="59" t="str">
        <f t="shared" si="34"/>
        <v/>
      </c>
      <c r="P565" s="59" t="str">
        <f t="shared" si="35"/>
        <v/>
      </c>
    </row>
    <row r="566" spans="3:16" ht="30" customHeight="1" x14ac:dyDescent="0.25">
      <c r="C566" s="42">
        <v>562</v>
      </c>
      <c r="D566" s="67" t="str">
        <f>IF('Prod 1'!D566="","",'Prod 1'!D566)</f>
        <v/>
      </c>
      <c r="E566" s="64"/>
      <c r="F566" s="58"/>
      <c r="G566" s="65"/>
      <c r="H566" s="65"/>
      <c r="I566" s="58"/>
      <c r="J566" s="58"/>
      <c r="K566" s="132" t="str">
        <f t="shared" si="32"/>
        <v/>
      </c>
      <c r="M566" s="68" t="str">
        <f t="shared" si="33"/>
        <v/>
      </c>
      <c r="N566" s="59" t="str">
        <f>IF('Prod 1'!E566="","",'Prod 1'!E566)</f>
        <v/>
      </c>
      <c r="O566" s="59" t="str">
        <f t="shared" si="34"/>
        <v/>
      </c>
      <c r="P566" s="59" t="str">
        <f t="shared" si="35"/>
        <v/>
      </c>
    </row>
    <row r="567" spans="3:16" ht="30" customHeight="1" x14ac:dyDescent="0.25">
      <c r="C567" s="42">
        <v>563</v>
      </c>
      <c r="D567" s="67" t="str">
        <f>IF('Prod 1'!D567="","",'Prod 1'!D567)</f>
        <v/>
      </c>
      <c r="E567" s="64"/>
      <c r="F567" s="58"/>
      <c r="G567" s="65"/>
      <c r="H567" s="65"/>
      <c r="I567" s="58"/>
      <c r="J567" s="58"/>
      <c r="K567" s="132" t="str">
        <f t="shared" si="32"/>
        <v/>
      </c>
      <c r="M567" s="68" t="str">
        <f t="shared" si="33"/>
        <v/>
      </c>
      <c r="N567" s="59" t="str">
        <f>IF('Prod 1'!E567="","",'Prod 1'!E567)</f>
        <v/>
      </c>
      <c r="O567" s="59" t="str">
        <f t="shared" si="34"/>
        <v/>
      </c>
      <c r="P567" s="59" t="str">
        <f t="shared" si="35"/>
        <v/>
      </c>
    </row>
    <row r="568" spans="3:16" ht="30" customHeight="1" x14ac:dyDescent="0.25">
      <c r="C568" s="42">
        <v>564</v>
      </c>
      <c r="D568" s="67" t="str">
        <f>IF('Prod 1'!D568="","",'Prod 1'!D568)</f>
        <v/>
      </c>
      <c r="E568" s="64"/>
      <c r="F568" s="58"/>
      <c r="G568" s="65"/>
      <c r="H568" s="65"/>
      <c r="I568" s="58"/>
      <c r="J568" s="58"/>
      <c r="K568" s="132" t="str">
        <f t="shared" si="32"/>
        <v/>
      </c>
      <c r="M568" s="68" t="str">
        <f t="shared" si="33"/>
        <v/>
      </c>
      <c r="N568" s="59" t="str">
        <f>IF('Prod 1'!E568="","",'Prod 1'!E568)</f>
        <v/>
      </c>
      <c r="O568" s="59" t="str">
        <f t="shared" si="34"/>
        <v/>
      </c>
      <c r="P568" s="59" t="str">
        <f t="shared" si="35"/>
        <v/>
      </c>
    </row>
    <row r="569" spans="3:16" ht="30" customHeight="1" x14ac:dyDescent="0.25">
      <c r="C569" s="42">
        <v>565</v>
      </c>
      <c r="D569" s="67" t="str">
        <f>IF('Prod 1'!D569="","",'Prod 1'!D569)</f>
        <v/>
      </c>
      <c r="E569" s="64"/>
      <c r="F569" s="58"/>
      <c r="G569" s="65"/>
      <c r="H569" s="65"/>
      <c r="I569" s="58"/>
      <c r="J569" s="58"/>
      <c r="K569" s="132" t="str">
        <f t="shared" si="32"/>
        <v/>
      </c>
      <c r="M569" s="68" t="str">
        <f t="shared" si="33"/>
        <v/>
      </c>
      <c r="N569" s="59" t="str">
        <f>IF('Prod 1'!E569="","",'Prod 1'!E569)</f>
        <v/>
      </c>
      <c r="O569" s="59" t="str">
        <f t="shared" si="34"/>
        <v/>
      </c>
      <c r="P569" s="59" t="str">
        <f t="shared" si="35"/>
        <v/>
      </c>
    </row>
    <row r="570" spans="3:16" ht="30" customHeight="1" x14ac:dyDescent="0.25">
      <c r="C570" s="42">
        <v>566</v>
      </c>
      <c r="D570" s="67" t="str">
        <f>IF('Prod 1'!D570="","",'Prod 1'!D570)</f>
        <v/>
      </c>
      <c r="E570" s="64"/>
      <c r="F570" s="58"/>
      <c r="G570" s="65"/>
      <c r="H570" s="65"/>
      <c r="I570" s="58"/>
      <c r="J570" s="58"/>
      <c r="K570" s="132" t="str">
        <f t="shared" si="32"/>
        <v/>
      </c>
      <c r="M570" s="68" t="str">
        <f t="shared" si="33"/>
        <v/>
      </c>
      <c r="N570" s="59" t="str">
        <f>IF('Prod 1'!E570="","",'Prod 1'!E570)</f>
        <v/>
      </c>
      <c r="O570" s="59" t="str">
        <f t="shared" si="34"/>
        <v/>
      </c>
      <c r="P570" s="59" t="str">
        <f t="shared" si="35"/>
        <v/>
      </c>
    </row>
    <row r="571" spans="3:16" ht="30" customHeight="1" x14ac:dyDescent="0.25">
      <c r="C571" s="42">
        <v>567</v>
      </c>
      <c r="D571" s="67" t="str">
        <f>IF('Prod 1'!D571="","",'Prod 1'!D571)</f>
        <v/>
      </c>
      <c r="E571" s="64"/>
      <c r="F571" s="58"/>
      <c r="G571" s="65"/>
      <c r="H571" s="65"/>
      <c r="I571" s="58"/>
      <c r="J571" s="58"/>
      <c r="K571" s="132" t="str">
        <f t="shared" si="32"/>
        <v/>
      </c>
      <c r="M571" s="68" t="str">
        <f t="shared" si="33"/>
        <v/>
      </c>
      <c r="N571" s="59" t="str">
        <f>IF('Prod 1'!E571="","",'Prod 1'!E571)</f>
        <v/>
      </c>
      <c r="O571" s="59" t="str">
        <f t="shared" si="34"/>
        <v/>
      </c>
      <c r="P571" s="59" t="str">
        <f t="shared" si="35"/>
        <v/>
      </c>
    </row>
    <row r="572" spans="3:16" ht="30" customHeight="1" x14ac:dyDescent="0.25">
      <c r="C572" s="42">
        <v>568</v>
      </c>
      <c r="D572" s="67" t="str">
        <f>IF('Prod 1'!D572="","",'Prod 1'!D572)</f>
        <v/>
      </c>
      <c r="E572" s="64"/>
      <c r="F572" s="58"/>
      <c r="G572" s="65"/>
      <c r="H572" s="65"/>
      <c r="I572" s="58"/>
      <c r="J572" s="58"/>
      <c r="K572" s="132" t="str">
        <f t="shared" si="32"/>
        <v/>
      </c>
      <c r="M572" s="68" t="str">
        <f t="shared" si="33"/>
        <v/>
      </c>
      <c r="N572" s="59" t="str">
        <f>IF('Prod 1'!E572="","",'Prod 1'!E572)</f>
        <v/>
      </c>
      <c r="O572" s="59" t="str">
        <f t="shared" si="34"/>
        <v/>
      </c>
      <c r="P572" s="59" t="str">
        <f t="shared" si="35"/>
        <v/>
      </c>
    </row>
    <row r="573" spans="3:16" ht="30" customHeight="1" x14ac:dyDescent="0.25">
      <c r="C573" s="42">
        <v>569</v>
      </c>
      <c r="D573" s="67" t="str">
        <f>IF('Prod 1'!D573="","",'Prod 1'!D573)</f>
        <v/>
      </c>
      <c r="E573" s="64"/>
      <c r="F573" s="58"/>
      <c r="G573" s="65"/>
      <c r="H573" s="65"/>
      <c r="I573" s="58"/>
      <c r="J573" s="58"/>
      <c r="K573" s="132" t="str">
        <f t="shared" si="32"/>
        <v/>
      </c>
      <c r="M573" s="68" t="str">
        <f t="shared" si="33"/>
        <v/>
      </c>
      <c r="N573" s="59" t="str">
        <f>IF('Prod 1'!E573="","",'Prod 1'!E573)</f>
        <v/>
      </c>
      <c r="O573" s="59" t="str">
        <f t="shared" si="34"/>
        <v/>
      </c>
      <c r="P573" s="59" t="str">
        <f t="shared" si="35"/>
        <v/>
      </c>
    </row>
    <row r="574" spans="3:16" ht="30" customHeight="1" x14ac:dyDescent="0.25">
      <c r="C574" s="42">
        <v>570</v>
      </c>
      <c r="D574" s="67" t="str">
        <f>IF('Prod 1'!D574="","",'Prod 1'!D574)</f>
        <v/>
      </c>
      <c r="E574" s="64"/>
      <c r="F574" s="58"/>
      <c r="G574" s="65"/>
      <c r="H574" s="65"/>
      <c r="I574" s="58"/>
      <c r="J574" s="58"/>
      <c r="K574" s="132" t="str">
        <f t="shared" si="32"/>
        <v/>
      </c>
      <c r="M574" s="68" t="str">
        <f t="shared" si="33"/>
        <v/>
      </c>
      <c r="N574" s="59" t="str">
        <f>IF('Prod 1'!E574="","",'Prod 1'!E574)</f>
        <v/>
      </c>
      <c r="O574" s="59" t="str">
        <f t="shared" si="34"/>
        <v/>
      </c>
      <c r="P574" s="59" t="str">
        <f t="shared" si="35"/>
        <v/>
      </c>
    </row>
    <row r="575" spans="3:16" ht="30" customHeight="1" x14ac:dyDescent="0.25">
      <c r="C575" s="42">
        <v>571</v>
      </c>
      <c r="D575" s="67" t="str">
        <f>IF('Prod 1'!D575="","",'Prod 1'!D575)</f>
        <v/>
      </c>
      <c r="E575" s="64"/>
      <c r="F575" s="58"/>
      <c r="G575" s="65"/>
      <c r="H575" s="65"/>
      <c r="I575" s="58"/>
      <c r="J575" s="58"/>
      <c r="K575" s="132" t="str">
        <f t="shared" si="32"/>
        <v/>
      </c>
      <c r="M575" s="68" t="str">
        <f t="shared" si="33"/>
        <v/>
      </c>
      <c r="N575" s="59" t="str">
        <f>IF('Prod 1'!E575="","",'Prod 1'!E575)</f>
        <v/>
      </c>
      <c r="O575" s="59" t="str">
        <f t="shared" si="34"/>
        <v/>
      </c>
      <c r="P575" s="59" t="str">
        <f t="shared" si="35"/>
        <v/>
      </c>
    </row>
    <row r="576" spans="3:16" ht="30" customHeight="1" x14ac:dyDescent="0.25">
      <c r="C576" s="42">
        <v>572</v>
      </c>
      <c r="D576" s="67" t="str">
        <f>IF('Prod 1'!D576="","",'Prod 1'!D576)</f>
        <v/>
      </c>
      <c r="E576" s="64"/>
      <c r="F576" s="58"/>
      <c r="G576" s="65"/>
      <c r="H576" s="65"/>
      <c r="I576" s="58"/>
      <c r="J576" s="58"/>
      <c r="K576" s="132" t="str">
        <f t="shared" si="32"/>
        <v/>
      </c>
      <c r="M576" s="68" t="str">
        <f t="shared" si="33"/>
        <v/>
      </c>
      <c r="N576" s="59" t="str">
        <f>IF('Prod 1'!E576="","",'Prod 1'!E576)</f>
        <v/>
      </c>
      <c r="O576" s="59" t="str">
        <f t="shared" si="34"/>
        <v/>
      </c>
      <c r="P576" s="59" t="str">
        <f t="shared" si="35"/>
        <v/>
      </c>
    </row>
    <row r="577" spans="3:16" ht="30" customHeight="1" x14ac:dyDescent="0.25">
      <c r="C577" s="42">
        <v>573</v>
      </c>
      <c r="D577" s="67" t="str">
        <f>IF('Prod 1'!D577="","",'Prod 1'!D577)</f>
        <v/>
      </c>
      <c r="E577" s="64"/>
      <c r="F577" s="58"/>
      <c r="G577" s="65"/>
      <c r="H577" s="65"/>
      <c r="I577" s="58"/>
      <c r="J577" s="58"/>
      <c r="K577" s="132" t="str">
        <f t="shared" si="32"/>
        <v/>
      </c>
      <c r="M577" s="68" t="str">
        <f t="shared" si="33"/>
        <v/>
      </c>
      <c r="N577" s="59" t="str">
        <f>IF('Prod 1'!E577="","",'Prod 1'!E577)</f>
        <v/>
      </c>
      <c r="O577" s="59" t="str">
        <f t="shared" si="34"/>
        <v/>
      </c>
      <c r="P577" s="59" t="str">
        <f t="shared" si="35"/>
        <v/>
      </c>
    </row>
    <row r="578" spans="3:16" ht="30" customHeight="1" x14ac:dyDescent="0.25">
      <c r="C578" s="42">
        <v>574</v>
      </c>
      <c r="D578" s="67" t="str">
        <f>IF('Prod 1'!D578="","",'Prod 1'!D578)</f>
        <v/>
      </c>
      <c r="E578" s="64"/>
      <c r="F578" s="58"/>
      <c r="G578" s="65"/>
      <c r="H578" s="65"/>
      <c r="I578" s="58"/>
      <c r="J578" s="58"/>
      <c r="K578" s="132" t="str">
        <f t="shared" si="32"/>
        <v/>
      </c>
      <c r="M578" s="68" t="str">
        <f t="shared" si="33"/>
        <v/>
      </c>
      <c r="N578" s="59" t="str">
        <f>IF('Prod 1'!E578="","",'Prod 1'!E578)</f>
        <v/>
      </c>
      <c r="O578" s="59" t="str">
        <f t="shared" si="34"/>
        <v/>
      </c>
      <c r="P578" s="59" t="str">
        <f t="shared" si="35"/>
        <v/>
      </c>
    </row>
    <row r="579" spans="3:16" ht="30" customHeight="1" x14ac:dyDescent="0.25">
      <c r="C579" s="42">
        <v>575</v>
      </c>
      <c r="D579" s="67" t="str">
        <f>IF('Prod 1'!D579="","",'Prod 1'!D579)</f>
        <v/>
      </c>
      <c r="E579" s="64"/>
      <c r="F579" s="58"/>
      <c r="G579" s="65"/>
      <c r="H579" s="65"/>
      <c r="I579" s="58"/>
      <c r="J579" s="58"/>
      <c r="K579" s="132" t="str">
        <f t="shared" si="32"/>
        <v/>
      </c>
      <c r="M579" s="68" t="str">
        <f t="shared" si="33"/>
        <v/>
      </c>
      <c r="N579" s="59" t="str">
        <f>IF('Prod 1'!E579="","",'Prod 1'!E579)</f>
        <v/>
      </c>
      <c r="O579" s="59" t="str">
        <f t="shared" si="34"/>
        <v/>
      </c>
      <c r="P579" s="59" t="str">
        <f t="shared" si="35"/>
        <v/>
      </c>
    </row>
    <row r="580" spans="3:16" ht="30" customHeight="1" x14ac:dyDescent="0.25">
      <c r="C580" s="42">
        <v>576</v>
      </c>
      <c r="D580" s="67" t="str">
        <f>IF('Prod 1'!D580="","",'Prod 1'!D580)</f>
        <v/>
      </c>
      <c r="E580" s="64"/>
      <c r="F580" s="58"/>
      <c r="G580" s="65"/>
      <c r="H580" s="65"/>
      <c r="I580" s="58"/>
      <c r="J580" s="58"/>
      <c r="K580" s="132" t="str">
        <f t="shared" si="32"/>
        <v/>
      </c>
      <c r="M580" s="68" t="str">
        <f t="shared" si="33"/>
        <v/>
      </c>
      <c r="N580" s="59" t="str">
        <f>IF('Prod 1'!E580="","",'Prod 1'!E580)</f>
        <v/>
      </c>
      <c r="O580" s="59" t="str">
        <f t="shared" si="34"/>
        <v/>
      </c>
      <c r="P580" s="59" t="str">
        <f t="shared" si="35"/>
        <v/>
      </c>
    </row>
    <row r="581" spans="3:16" ht="30" customHeight="1" x14ac:dyDescent="0.25">
      <c r="C581" s="42">
        <v>577</v>
      </c>
      <c r="D581" s="67" t="str">
        <f>IF('Prod 1'!D581="","",'Prod 1'!D581)</f>
        <v/>
      </c>
      <c r="E581" s="64"/>
      <c r="F581" s="58"/>
      <c r="G581" s="65"/>
      <c r="H581" s="65"/>
      <c r="I581" s="58"/>
      <c r="J581" s="58"/>
      <c r="K581" s="132" t="str">
        <f t="shared" si="32"/>
        <v/>
      </c>
      <c r="M581" s="68" t="str">
        <f t="shared" si="33"/>
        <v/>
      </c>
      <c r="N581" s="59" t="str">
        <f>IF('Prod 1'!E581="","",'Prod 1'!E581)</f>
        <v/>
      </c>
      <c r="O581" s="59" t="str">
        <f t="shared" si="34"/>
        <v/>
      </c>
      <c r="P581" s="59" t="str">
        <f t="shared" si="35"/>
        <v/>
      </c>
    </row>
    <row r="582" spans="3:16" ht="30" customHeight="1" x14ac:dyDescent="0.25">
      <c r="C582" s="42">
        <v>578</v>
      </c>
      <c r="D582" s="67" t="str">
        <f>IF('Prod 1'!D582="","",'Prod 1'!D582)</f>
        <v/>
      </c>
      <c r="E582" s="64"/>
      <c r="F582" s="58"/>
      <c r="G582" s="65"/>
      <c r="H582" s="65"/>
      <c r="I582" s="58"/>
      <c r="J582" s="58"/>
      <c r="K582" s="132" t="str">
        <f t="shared" ref="K582:K645" si="36">IF(E582="","",IF(E582="Produção",SUM(I582:J582)+SUM(O582:P582),F582))</f>
        <v/>
      </c>
      <c r="M582" s="68" t="str">
        <f t="shared" ref="M582:M645" si="37">IFERROR(IF(D582="","",100%),0)</f>
        <v/>
      </c>
      <c r="N582" s="59" t="str">
        <f>IF('Prod 1'!E582="","",'Prod 1'!E582)</f>
        <v/>
      </c>
      <c r="O582" s="59" t="str">
        <f t="shared" ref="O582:O645" si="38">IFERROR(IF(D582="","",N582*G582),0)</f>
        <v/>
      </c>
      <c r="P582" s="59" t="str">
        <f t="shared" ref="P582:P645" si="39">IFERROR(IF(D582="","",N582*H582),0)</f>
        <v/>
      </c>
    </row>
    <row r="583" spans="3:16" ht="30" customHeight="1" x14ac:dyDescent="0.25">
      <c r="C583" s="42">
        <v>579</v>
      </c>
      <c r="D583" s="67" t="str">
        <f>IF('Prod 1'!D583="","",'Prod 1'!D583)</f>
        <v/>
      </c>
      <c r="E583" s="64"/>
      <c r="F583" s="58"/>
      <c r="G583" s="65"/>
      <c r="H583" s="65"/>
      <c r="I583" s="58"/>
      <c r="J583" s="58"/>
      <c r="K583" s="132" t="str">
        <f t="shared" si="36"/>
        <v/>
      </c>
      <c r="M583" s="68" t="str">
        <f t="shared" si="37"/>
        <v/>
      </c>
      <c r="N583" s="59" t="str">
        <f>IF('Prod 1'!E583="","",'Prod 1'!E583)</f>
        <v/>
      </c>
      <c r="O583" s="59" t="str">
        <f t="shared" si="38"/>
        <v/>
      </c>
      <c r="P583" s="59" t="str">
        <f t="shared" si="39"/>
        <v/>
      </c>
    </row>
    <row r="584" spans="3:16" ht="30" customHeight="1" x14ac:dyDescent="0.25">
      <c r="C584" s="42">
        <v>580</v>
      </c>
      <c r="D584" s="67" t="str">
        <f>IF('Prod 1'!D584="","",'Prod 1'!D584)</f>
        <v/>
      </c>
      <c r="E584" s="64"/>
      <c r="F584" s="58"/>
      <c r="G584" s="65"/>
      <c r="H584" s="65"/>
      <c r="I584" s="58"/>
      <c r="J584" s="58"/>
      <c r="K584" s="132" t="str">
        <f t="shared" si="36"/>
        <v/>
      </c>
      <c r="M584" s="68" t="str">
        <f t="shared" si="37"/>
        <v/>
      </c>
      <c r="N584" s="59" t="str">
        <f>IF('Prod 1'!E584="","",'Prod 1'!E584)</f>
        <v/>
      </c>
      <c r="O584" s="59" t="str">
        <f t="shared" si="38"/>
        <v/>
      </c>
      <c r="P584" s="59" t="str">
        <f t="shared" si="39"/>
        <v/>
      </c>
    </row>
    <row r="585" spans="3:16" ht="30" customHeight="1" x14ac:dyDescent="0.25">
      <c r="C585" s="42">
        <v>581</v>
      </c>
      <c r="D585" s="67" t="str">
        <f>IF('Prod 1'!D585="","",'Prod 1'!D585)</f>
        <v/>
      </c>
      <c r="E585" s="64"/>
      <c r="F585" s="58"/>
      <c r="G585" s="65"/>
      <c r="H585" s="65"/>
      <c r="I585" s="58"/>
      <c r="J585" s="58"/>
      <c r="K585" s="132" t="str">
        <f t="shared" si="36"/>
        <v/>
      </c>
      <c r="M585" s="68" t="str">
        <f t="shared" si="37"/>
        <v/>
      </c>
      <c r="N585" s="59" t="str">
        <f>IF('Prod 1'!E585="","",'Prod 1'!E585)</f>
        <v/>
      </c>
      <c r="O585" s="59" t="str">
        <f t="shared" si="38"/>
        <v/>
      </c>
      <c r="P585" s="59" t="str">
        <f t="shared" si="39"/>
        <v/>
      </c>
    </row>
    <row r="586" spans="3:16" ht="30" customHeight="1" x14ac:dyDescent="0.25">
      <c r="C586" s="42">
        <v>582</v>
      </c>
      <c r="D586" s="67" t="str">
        <f>IF('Prod 1'!D586="","",'Prod 1'!D586)</f>
        <v/>
      </c>
      <c r="E586" s="64"/>
      <c r="F586" s="58"/>
      <c r="G586" s="65"/>
      <c r="H586" s="65"/>
      <c r="I586" s="58"/>
      <c r="J586" s="58"/>
      <c r="K586" s="132" t="str">
        <f t="shared" si="36"/>
        <v/>
      </c>
      <c r="M586" s="68" t="str">
        <f t="shared" si="37"/>
        <v/>
      </c>
      <c r="N586" s="59" t="str">
        <f>IF('Prod 1'!E586="","",'Prod 1'!E586)</f>
        <v/>
      </c>
      <c r="O586" s="59" t="str">
        <f t="shared" si="38"/>
        <v/>
      </c>
      <c r="P586" s="59" t="str">
        <f t="shared" si="39"/>
        <v/>
      </c>
    </row>
    <row r="587" spans="3:16" ht="30" customHeight="1" x14ac:dyDescent="0.25">
      <c r="C587" s="42">
        <v>583</v>
      </c>
      <c r="D587" s="67" t="str">
        <f>IF('Prod 1'!D587="","",'Prod 1'!D587)</f>
        <v/>
      </c>
      <c r="E587" s="64"/>
      <c r="F587" s="58"/>
      <c r="G587" s="65"/>
      <c r="H587" s="65"/>
      <c r="I587" s="58"/>
      <c r="J587" s="58"/>
      <c r="K587" s="132" t="str">
        <f t="shared" si="36"/>
        <v/>
      </c>
      <c r="M587" s="68" t="str">
        <f t="shared" si="37"/>
        <v/>
      </c>
      <c r="N587" s="59" t="str">
        <f>IF('Prod 1'!E587="","",'Prod 1'!E587)</f>
        <v/>
      </c>
      <c r="O587" s="59" t="str">
        <f t="shared" si="38"/>
        <v/>
      </c>
      <c r="P587" s="59" t="str">
        <f t="shared" si="39"/>
        <v/>
      </c>
    </row>
    <row r="588" spans="3:16" ht="30" customHeight="1" x14ac:dyDescent="0.25">
      <c r="C588" s="42">
        <v>584</v>
      </c>
      <c r="D588" s="67" t="str">
        <f>IF('Prod 1'!D588="","",'Prod 1'!D588)</f>
        <v/>
      </c>
      <c r="E588" s="64"/>
      <c r="F588" s="58"/>
      <c r="G588" s="65"/>
      <c r="H588" s="65"/>
      <c r="I588" s="58"/>
      <c r="J588" s="58"/>
      <c r="K588" s="132" t="str">
        <f t="shared" si="36"/>
        <v/>
      </c>
      <c r="M588" s="68" t="str">
        <f t="shared" si="37"/>
        <v/>
      </c>
      <c r="N588" s="59" t="str">
        <f>IF('Prod 1'!E588="","",'Prod 1'!E588)</f>
        <v/>
      </c>
      <c r="O588" s="59" t="str">
        <f t="shared" si="38"/>
        <v/>
      </c>
      <c r="P588" s="59" t="str">
        <f t="shared" si="39"/>
        <v/>
      </c>
    </row>
    <row r="589" spans="3:16" ht="30" customHeight="1" x14ac:dyDescent="0.25">
      <c r="C589" s="42">
        <v>585</v>
      </c>
      <c r="D589" s="67" t="str">
        <f>IF('Prod 1'!D589="","",'Prod 1'!D589)</f>
        <v/>
      </c>
      <c r="E589" s="64"/>
      <c r="F589" s="58"/>
      <c r="G589" s="65"/>
      <c r="H589" s="65"/>
      <c r="I589" s="58"/>
      <c r="J589" s="58"/>
      <c r="K589" s="132" t="str">
        <f t="shared" si="36"/>
        <v/>
      </c>
      <c r="M589" s="68" t="str">
        <f t="shared" si="37"/>
        <v/>
      </c>
      <c r="N589" s="59" t="str">
        <f>IF('Prod 1'!E589="","",'Prod 1'!E589)</f>
        <v/>
      </c>
      <c r="O589" s="59" t="str">
        <f t="shared" si="38"/>
        <v/>
      </c>
      <c r="P589" s="59" t="str">
        <f t="shared" si="39"/>
        <v/>
      </c>
    </row>
    <row r="590" spans="3:16" ht="30" customHeight="1" x14ac:dyDescent="0.25">
      <c r="C590" s="42">
        <v>586</v>
      </c>
      <c r="D590" s="67" t="str">
        <f>IF('Prod 1'!D590="","",'Prod 1'!D590)</f>
        <v/>
      </c>
      <c r="E590" s="64"/>
      <c r="F590" s="58"/>
      <c r="G590" s="65"/>
      <c r="H590" s="65"/>
      <c r="I590" s="58"/>
      <c r="J590" s="58"/>
      <c r="K590" s="132" t="str">
        <f t="shared" si="36"/>
        <v/>
      </c>
      <c r="M590" s="68" t="str">
        <f t="shared" si="37"/>
        <v/>
      </c>
      <c r="N590" s="59" t="str">
        <f>IF('Prod 1'!E590="","",'Prod 1'!E590)</f>
        <v/>
      </c>
      <c r="O590" s="59" t="str">
        <f t="shared" si="38"/>
        <v/>
      </c>
      <c r="P590" s="59" t="str">
        <f t="shared" si="39"/>
        <v/>
      </c>
    </row>
    <row r="591" spans="3:16" ht="30" customHeight="1" x14ac:dyDescent="0.25">
      <c r="C591" s="42">
        <v>587</v>
      </c>
      <c r="D591" s="67" t="str">
        <f>IF('Prod 1'!D591="","",'Prod 1'!D591)</f>
        <v/>
      </c>
      <c r="E591" s="64"/>
      <c r="F591" s="58"/>
      <c r="G591" s="65"/>
      <c r="H591" s="65"/>
      <c r="I591" s="58"/>
      <c r="J591" s="58"/>
      <c r="K591" s="132" t="str">
        <f t="shared" si="36"/>
        <v/>
      </c>
      <c r="M591" s="68" t="str">
        <f t="shared" si="37"/>
        <v/>
      </c>
      <c r="N591" s="59" t="str">
        <f>IF('Prod 1'!E591="","",'Prod 1'!E591)</f>
        <v/>
      </c>
      <c r="O591" s="59" t="str">
        <f t="shared" si="38"/>
        <v/>
      </c>
      <c r="P591" s="59" t="str">
        <f t="shared" si="39"/>
        <v/>
      </c>
    </row>
    <row r="592" spans="3:16" ht="30" customHeight="1" x14ac:dyDescent="0.25">
      <c r="C592" s="42">
        <v>588</v>
      </c>
      <c r="D592" s="67" t="str">
        <f>IF('Prod 1'!D592="","",'Prod 1'!D592)</f>
        <v/>
      </c>
      <c r="E592" s="64"/>
      <c r="F592" s="58"/>
      <c r="G592" s="65"/>
      <c r="H592" s="65"/>
      <c r="I592" s="58"/>
      <c r="J592" s="58"/>
      <c r="K592" s="132" t="str">
        <f t="shared" si="36"/>
        <v/>
      </c>
      <c r="M592" s="68" t="str">
        <f t="shared" si="37"/>
        <v/>
      </c>
      <c r="N592" s="59" t="str">
        <f>IF('Prod 1'!E592="","",'Prod 1'!E592)</f>
        <v/>
      </c>
      <c r="O592" s="59" t="str">
        <f t="shared" si="38"/>
        <v/>
      </c>
      <c r="P592" s="59" t="str">
        <f t="shared" si="39"/>
        <v/>
      </c>
    </row>
    <row r="593" spans="3:16" ht="30" customHeight="1" x14ac:dyDescent="0.25">
      <c r="C593" s="42">
        <v>589</v>
      </c>
      <c r="D593" s="67" t="str">
        <f>IF('Prod 1'!D593="","",'Prod 1'!D593)</f>
        <v/>
      </c>
      <c r="E593" s="64"/>
      <c r="F593" s="58"/>
      <c r="G593" s="65"/>
      <c r="H593" s="65"/>
      <c r="I593" s="58"/>
      <c r="J593" s="58"/>
      <c r="K593" s="132" t="str">
        <f t="shared" si="36"/>
        <v/>
      </c>
      <c r="M593" s="68" t="str">
        <f t="shared" si="37"/>
        <v/>
      </c>
      <c r="N593" s="59" t="str">
        <f>IF('Prod 1'!E593="","",'Prod 1'!E593)</f>
        <v/>
      </c>
      <c r="O593" s="59" t="str">
        <f t="shared" si="38"/>
        <v/>
      </c>
      <c r="P593" s="59" t="str">
        <f t="shared" si="39"/>
        <v/>
      </c>
    </row>
    <row r="594" spans="3:16" ht="30" customHeight="1" x14ac:dyDescent="0.25">
      <c r="C594" s="42">
        <v>590</v>
      </c>
      <c r="D594" s="67" t="str">
        <f>IF('Prod 1'!D594="","",'Prod 1'!D594)</f>
        <v/>
      </c>
      <c r="E594" s="64"/>
      <c r="F594" s="58"/>
      <c r="G594" s="65"/>
      <c r="H594" s="65"/>
      <c r="I594" s="58"/>
      <c r="J594" s="58"/>
      <c r="K594" s="132" t="str">
        <f t="shared" si="36"/>
        <v/>
      </c>
      <c r="M594" s="68" t="str">
        <f t="shared" si="37"/>
        <v/>
      </c>
      <c r="N594" s="59" t="str">
        <f>IF('Prod 1'!E594="","",'Prod 1'!E594)</f>
        <v/>
      </c>
      <c r="O594" s="59" t="str">
        <f t="shared" si="38"/>
        <v/>
      </c>
      <c r="P594" s="59" t="str">
        <f t="shared" si="39"/>
        <v/>
      </c>
    </row>
    <row r="595" spans="3:16" ht="30" customHeight="1" x14ac:dyDescent="0.25">
      <c r="C595" s="42">
        <v>591</v>
      </c>
      <c r="D595" s="67" t="str">
        <f>IF('Prod 1'!D595="","",'Prod 1'!D595)</f>
        <v/>
      </c>
      <c r="E595" s="64"/>
      <c r="F595" s="58"/>
      <c r="G595" s="65"/>
      <c r="H595" s="65"/>
      <c r="I595" s="58"/>
      <c r="J595" s="58"/>
      <c r="K595" s="132" t="str">
        <f t="shared" si="36"/>
        <v/>
      </c>
      <c r="M595" s="68" t="str">
        <f t="shared" si="37"/>
        <v/>
      </c>
      <c r="N595" s="59" t="str">
        <f>IF('Prod 1'!E595="","",'Prod 1'!E595)</f>
        <v/>
      </c>
      <c r="O595" s="59" t="str">
        <f t="shared" si="38"/>
        <v/>
      </c>
      <c r="P595" s="59" t="str">
        <f t="shared" si="39"/>
        <v/>
      </c>
    </row>
    <row r="596" spans="3:16" ht="30" customHeight="1" x14ac:dyDescent="0.25">
      <c r="C596" s="42">
        <v>592</v>
      </c>
      <c r="D596" s="67" t="str">
        <f>IF('Prod 1'!D596="","",'Prod 1'!D596)</f>
        <v/>
      </c>
      <c r="E596" s="64"/>
      <c r="F596" s="58"/>
      <c r="G596" s="65"/>
      <c r="H596" s="65"/>
      <c r="I596" s="58"/>
      <c r="J596" s="58"/>
      <c r="K596" s="132" t="str">
        <f t="shared" si="36"/>
        <v/>
      </c>
      <c r="M596" s="68" t="str">
        <f t="shared" si="37"/>
        <v/>
      </c>
      <c r="N596" s="59" t="str">
        <f>IF('Prod 1'!E596="","",'Prod 1'!E596)</f>
        <v/>
      </c>
      <c r="O596" s="59" t="str">
        <f t="shared" si="38"/>
        <v/>
      </c>
      <c r="P596" s="59" t="str">
        <f t="shared" si="39"/>
        <v/>
      </c>
    </row>
    <row r="597" spans="3:16" ht="30" customHeight="1" x14ac:dyDescent="0.25">
      <c r="C597" s="42">
        <v>593</v>
      </c>
      <c r="D597" s="67" t="str">
        <f>IF('Prod 1'!D597="","",'Prod 1'!D597)</f>
        <v/>
      </c>
      <c r="E597" s="64"/>
      <c r="F597" s="58"/>
      <c r="G597" s="65"/>
      <c r="H597" s="65"/>
      <c r="I597" s="58"/>
      <c r="J597" s="58"/>
      <c r="K597" s="132" t="str">
        <f t="shared" si="36"/>
        <v/>
      </c>
      <c r="M597" s="68" t="str">
        <f t="shared" si="37"/>
        <v/>
      </c>
      <c r="N597" s="59" t="str">
        <f>IF('Prod 1'!E597="","",'Prod 1'!E597)</f>
        <v/>
      </c>
      <c r="O597" s="59" t="str">
        <f t="shared" si="38"/>
        <v/>
      </c>
      <c r="P597" s="59" t="str">
        <f t="shared" si="39"/>
        <v/>
      </c>
    </row>
    <row r="598" spans="3:16" ht="30" customHeight="1" x14ac:dyDescent="0.25">
      <c r="C598" s="42">
        <v>594</v>
      </c>
      <c r="D598" s="67" t="str">
        <f>IF('Prod 1'!D598="","",'Prod 1'!D598)</f>
        <v/>
      </c>
      <c r="E598" s="64"/>
      <c r="F598" s="58"/>
      <c r="G598" s="65"/>
      <c r="H598" s="65"/>
      <c r="I598" s="58"/>
      <c r="J598" s="58"/>
      <c r="K598" s="132" t="str">
        <f t="shared" si="36"/>
        <v/>
      </c>
      <c r="M598" s="68" t="str">
        <f t="shared" si="37"/>
        <v/>
      </c>
      <c r="N598" s="59" t="str">
        <f>IF('Prod 1'!E598="","",'Prod 1'!E598)</f>
        <v/>
      </c>
      <c r="O598" s="59" t="str">
        <f t="shared" si="38"/>
        <v/>
      </c>
      <c r="P598" s="59" t="str">
        <f t="shared" si="39"/>
        <v/>
      </c>
    </row>
    <row r="599" spans="3:16" ht="30" customHeight="1" x14ac:dyDescent="0.25">
      <c r="C599" s="42">
        <v>595</v>
      </c>
      <c r="D599" s="67" t="str">
        <f>IF('Prod 1'!D599="","",'Prod 1'!D599)</f>
        <v/>
      </c>
      <c r="E599" s="64"/>
      <c r="F599" s="58"/>
      <c r="G599" s="65"/>
      <c r="H599" s="65"/>
      <c r="I599" s="58"/>
      <c r="J599" s="58"/>
      <c r="K599" s="132" t="str">
        <f t="shared" si="36"/>
        <v/>
      </c>
      <c r="M599" s="68" t="str">
        <f t="shared" si="37"/>
        <v/>
      </c>
      <c r="N599" s="59" t="str">
        <f>IF('Prod 1'!E599="","",'Prod 1'!E599)</f>
        <v/>
      </c>
      <c r="O599" s="59" t="str">
        <f t="shared" si="38"/>
        <v/>
      </c>
      <c r="P599" s="59" t="str">
        <f t="shared" si="39"/>
        <v/>
      </c>
    </row>
    <row r="600" spans="3:16" ht="30" customHeight="1" x14ac:dyDescent="0.25">
      <c r="C600" s="42">
        <v>596</v>
      </c>
      <c r="D600" s="67" t="str">
        <f>IF('Prod 1'!D600="","",'Prod 1'!D600)</f>
        <v/>
      </c>
      <c r="E600" s="64"/>
      <c r="F600" s="58"/>
      <c r="G600" s="65"/>
      <c r="H600" s="65"/>
      <c r="I600" s="58"/>
      <c r="J600" s="58"/>
      <c r="K600" s="132" t="str">
        <f t="shared" si="36"/>
        <v/>
      </c>
      <c r="M600" s="68" t="str">
        <f t="shared" si="37"/>
        <v/>
      </c>
      <c r="N600" s="59" t="str">
        <f>IF('Prod 1'!E600="","",'Prod 1'!E600)</f>
        <v/>
      </c>
      <c r="O600" s="59" t="str">
        <f t="shared" si="38"/>
        <v/>
      </c>
      <c r="P600" s="59" t="str">
        <f t="shared" si="39"/>
        <v/>
      </c>
    </row>
    <row r="601" spans="3:16" ht="30" customHeight="1" x14ac:dyDescent="0.25">
      <c r="C601" s="42">
        <v>597</v>
      </c>
      <c r="D601" s="67" t="str">
        <f>IF('Prod 1'!D601="","",'Prod 1'!D601)</f>
        <v/>
      </c>
      <c r="E601" s="64"/>
      <c r="F601" s="58"/>
      <c r="G601" s="65"/>
      <c r="H601" s="65"/>
      <c r="I601" s="58"/>
      <c r="J601" s="58"/>
      <c r="K601" s="132" t="str">
        <f t="shared" si="36"/>
        <v/>
      </c>
      <c r="M601" s="68" t="str">
        <f t="shared" si="37"/>
        <v/>
      </c>
      <c r="N601" s="59" t="str">
        <f>IF('Prod 1'!E601="","",'Prod 1'!E601)</f>
        <v/>
      </c>
      <c r="O601" s="59" t="str">
        <f t="shared" si="38"/>
        <v/>
      </c>
      <c r="P601" s="59" t="str">
        <f t="shared" si="39"/>
        <v/>
      </c>
    </row>
    <row r="602" spans="3:16" ht="30" customHeight="1" x14ac:dyDescent="0.25">
      <c r="C602" s="42">
        <v>598</v>
      </c>
      <c r="D602" s="67" t="str">
        <f>IF('Prod 1'!D602="","",'Prod 1'!D602)</f>
        <v/>
      </c>
      <c r="E602" s="64"/>
      <c r="F602" s="58"/>
      <c r="G602" s="65"/>
      <c r="H602" s="65"/>
      <c r="I602" s="58"/>
      <c r="J602" s="58"/>
      <c r="K602" s="132" t="str">
        <f t="shared" si="36"/>
        <v/>
      </c>
      <c r="M602" s="68" t="str">
        <f t="shared" si="37"/>
        <v/>
      </c>
      <c r="N602" s="59" t="str">
        <f>IF('Prod 1'!E602="","",'Prod 1'!E602)</f>
        <v/>
      </c>
      <c r="O602" s="59" t="str">
        <f t="shared" si="38"/>
        <v/>
      </c>
      <c r="P602" s="59" t="str">
        <f t="shared" si="39"/>
        <v/>
      </c>
    </row>
    <row r="603" spans="3:16" ht="30" customHeight="1" x14ac:dyDescent="0.25">
      <c r="C603" s="42">
        <v>599</v>
      </c>
      <c r="D603" s="67" t="str">
        <f>IF('Prod 1'!D603="","",'Prod 1'!D603)</f>
        <v/>
      </c>
      <c r="E603" s="64"/>
      <c r="F603" s="58"/>
      <c r="G603" s="65"/>
      <c r="H603" s="65"/>
      <c r="I603" s="58"/>
      <c r="J603" s="58"/>
      <c r="K603" s="132" t="str">
        <f t="shared" si="36"/>
        <v/>
      </c>
      <c r="M603" s="68" t="str">
        <f t="shared" si="37"/>
        <v/>
      </c>
      <c r="N603" s="59" t="str">
        <f>IF('Prod 1'!E603="","",'Prod 1'!E603)</f>
        <v/>
      </c>
      <c r="O603" s="59" t="str">
        <f t="shared" si="38"/>
        <v/>
      </c>
      <c r="P603" s="59" t="str">
        <f t="shared" si="39"/>
        <v/>
      </c>
    </row>
    <row r="604" spans="3:16" ht="30" customHeight="1" x14ac:dyDescent="0.25">
      <c r="C604" s="42">
        <v>600</v>
      </c>
      <c r="D604" s="67" t="str">
        <f>IF('Prod 1'!D604="","",'Prod 1'!D604)</f>
        <v/>
      </c>
      <c r="E604" s="64"/>
      <c r="F604" s="58"/>
      <c r="G604" s="65"/>
      <c r="H604" s="65"/>
      <c r="I604" s="58"/>
      <c r="J604" s="58"/>
      <c r="K604" s="132" t="str">
        <f t="shared" si="36"/>
        <v/>
      </c>
      <c r="M604" s="68" t="str">
        <f t="shared" si="37"/>
        <v/>
      </c>
      <c r="N604" s="59" t="str">
        <f>IF('Prod 1'!E604="","",'Prod 1'!E604)</f>
        <v/>
      </c>
      <c r="O604" s="59" t="str">
        <f t="shared" si="38"/>
        <v/>
      </c>
      <c r="P604" s="59" t="str">
        <f t="shared" si="39"/>
        <v/>
      </c>
    </row>
    <row r="605" spans="3:16" ht="30" customHeight="1" x14ac:dyDescent="0.25">
      <c r="C605" s="42">
        <v>601</v>
      </c>
      <c r="D605" s="67" t="str">
        <f>IF('Prod 1'!D605="","",'Prod 1'!D605)</f>
        <v/>
      </c>
      <c r="E605" s="64"/>
      <c r="F605" s="58"/>
      <c r="G605" s="65"/>
      <c r="H605" s="65"/>
      <c r="I605" s="58"/>
      <c r="J605" s="58"/>
      <c r="K605" s="132" t="str">
        <f t="shared" si="36"/>
        <v/>
      </c>
      <c r="M605" s="68" t="str">
        <f t="shared" si="37"/>
        <v/>
      </c>
      <c r="N605" s="59" t="str">
        <f>IF('Prod 1'!E605="","",'Prod 1'!E605)</f>
        <v/>
      </c>
      <c r="O605" s="59" t="str">
        <f t="shared" si="38"/>
        <v/>
      </c>
      <c r="P605" s="59" t="str">
        <f t="shared" si="39"/>
        <v/>
      </c>
    </row>
    <row r="606" spans="3:16" ht="30" customHeight="1" x14ac:dyDescent="0.25">
      <c r="C606" s="42">
        <v>602</v>
      </c>
      <c r="D606" s="67" t="str">
        <f>IF('Prod 1'!D606="","",'Prod 1'!D606)</f>
        <v/>
      </c>
      <c r="E606" s="64"/>
      <c r="F606" s="58"/>
      <c r="G606" s="65"/>
      <c r="H606" s="65"/>
      <c r="I606" s="58"/>
      <c r="J606" s="58"/>
      <c r="K606" s="132" t="str">
        <f t="shared" si="36"/>
        <v/>
      </c>
      <c r="M606" s="68" t="str">
        <f t="shared" si="37"/>
        <v/>
      </c>
      <c r="N606" s="59" t="str">
        <f>IF('Prod 1'!E606="","",'Prod 1'!E606)</f>
        <v/>
      </c>
      <c r="O606" s="59" t="str">
        <f t="shared" si="38"/>
        <v/>
      </c>
      <c r="P606" s="59" t="str">
        <f t="shared" si="39"/>
        <v/>
      </c>
    </row>
    <row r="607" spans="3:16" ht="30" customHeight="1" x14ac:dyDescent="0.25">
      <c r="C607" s="42">
        <v>603</v>
      </c>
      <c r="D607" s="67" t="str">
        <f>IF('Prod 1'!D607="","",'Prod 1'!D607)</f>
        <v/>
      </c>
      <c r="E607" s="64"/>
      <c r="F607" s="58"/>
      <c r="G607" s="65"/>
      <c r="H607" s="65"/>
      <c r="I607" s="58"/>
      <c r="J607" s="58"/>
      <c r="K607" s="132" t="str">
        <f t="shared" si="36"/>
        <v/>
      </c>
      <c r="M607" s="68" t="str">
        <f t="shared" si="37"/>
        <v/>
      </c>
      <c r="N607" s="59" t="str">
        <f>IF('Prod 1'!E607="","",'Prod 1'!E607)</f>
        <v/>
      </c>
      <c r="O607" s="59" t="str">
        <f t="shared" si="38"/>
        <v/>
      </c>
      <c r="P607" s="59" t="str">
        <f t="shared" si="39"/>
        <v/>
      </c>
    </row>
    <row r="608" spans="3:16" ht="30" customHeight="1" x14ac:dyDescent="0.25">
      <c r="C608" s="42">
        <v>604</v>
      </c>
      <c r="D608" s="67" t="str">
        <f>IF('Prod 1'!D608="","",'Prod 1'!D608)</f>
        <v/>
      </c>
      <c r="E608" s="64"/>
      <c r="F608" s="58"/>
      <c r="G608" s="65"/>
      <c r="H608" s="65"/>
      <c r="I608" s="58"/>
      <c r="J608" s="58"/>
      <c r="K608" s="132" t="str">
        <f t="shared" si="36"/>
        <v/>
      </c>
      <c r="M608" s="68" t="str">
        <f t="shared" si="37"/>
        <v/>
      </c>
      <c r="N608" s="59" t="str">
        <f>IF('Prod 1'!E608="","",'Prod 1'!E608)</f>
        <v/>
      </c>
      <c r="O608" s="59" t="str">
        <f t="shared" si="38"/>
        <v/>
      </c>
      <c r="P608" s="59" t="str">
        <f t="shared" si="39"/>
        <v/>
      </c>
    </row>
    <row r="609" spans="3:16" ht="30" customHeight="1" x14ac:dyDescent="0.25">
      <c r="C609" s="42">
        <v>605</v>
      </c>
      <c r="D609" s="67" t="str">
        <f>IF('Prod 1'!D609="","",'Prod 1'!D609)</f>
        <v/>
      </c>
      <c r="E609" s="64"/>
      <c r="F609" s="58"/>
      <c r="G609" s="65"/>
      <c r="H609" s="65"/>
      <c r="I609" s="58"/>
      <c r="J609" s="58"/>
      <c r="K609" s="132" t="str">
        <f t="shared" si="36"/>
        <v/>
      </c>
      <c r="M609" s="68" t="str">
        <f t="shared" si="37"/>
        <v/>
      </c>
      <c r="N609" s="59" t="str">
        <f>IF('Prod 1'!E609="","",'Prod 1'!E609)</f>
        <v/>
      </c>
      <c r="O609" s="59" t="str">
        <f t="shared" si="38"/>
        <v/>
      </c>
      <c r="P609" s="59" t="str">
        <f t="shared" si="39"/>
        <v/>
      </c>
    </row>
    <row r="610" spans="3:16" ht="30" customHeight="1" x14ac:dyDescent="0.25">
      <c r="C610" s="42">
        <v>606</v>
      </c>
      <c r="D610" s="67" t="str">
        <f>IF('Prod 1'!D610="","",'Prod 1'!D610)</f>
        <v/>
      </c>
      <c r="E610" s="64"/>
      <c r="F610" s="58"/>
      <c r="G610" s="65"/>
      <c r="H610" s="65"/>
      <c r="I610" s="58"/>
      <c r="J610" s="58"/>
      <c r="K610" s="132" t="str">
        <f t="shared" si="36"/>
        <v/>
      </c>
      <c r="M610" s="68" t="str">
        <f t="shared" si="37"/>
        <v/>
      </c>
      <c r="N610" s="59" t="str">
        <f>IF('Prod 1'!E610="","",'Prod 1'!E610)</f>
        <v/>
      </c>
      <c r="O610" s="59" t="str">
        <f t="shared" si="38"/>
        <v/>
      </c>
      <c r="P610" s="59" t="str">
        <f t="shared" si="39"/>
        <v/>
      </c>
    </row>
    <row r="611" spans="3:16" ht="30" customHeight="1" x14ac:dyDescent="0.25">
      <c r="C611" s="42">
        <v>607</v>
      </c>
      <c r="D611" s="67" t="str">
        <f>IF('Prod 1'!D611="","",'Prod 1'!D611)</f>
        <v/>
      </c>
      <c r="E611" s="64"/>
      <c r="F611" s="58"/>
      <c r="G611" s="65"/>
      <c r="H611" s="65"/>
      <c r="I611" s="58"/>
      <c r="J611" s="58"/>
      <c r="K611" s="132" t="str">
        <f t="shared" si="36"/>
        <v/>
      </c>
      <c r="M611" s="68" t="str">
        <f t="shared" si="37"/>
        <v/>
      </c>
      <c r="N611" s="59" t="str">
        <f>IF('Prod 1'!E611="","",'Prod 1'!E611)</f>
        <v/>
      </c>
      <c r="O611" s="59" t="str">
        <f t="shared" si="38"/>
        <v/>
      </c>
      <c r="P611" s="59" t="str">
        <f t="shared" si="39"/>
        <v/>
      </c>
    </row>
    <row r="612" spans="3:16" ht="30" customHeight="1" x14ac:dyDescent="0.25">
      <c r="C612" s="42">
        <v>608</v>
      </c>
      <c r="D612" s="67" t="str">
        <f>IF('Prod 1'!D612="","",'Prod 1'!D612)</f>
        <v/>
      </c>
      <c r="E612" s="64"/>
      <c r="F612" s="58"/>
      <c r="G612" s="65"/>
      <c r="H612" s="65"/>
      <c r="I612" s="58"/>
      <c r="J612" s="58"/>
      <c r="K612" s="132" t="str">
        <f t="shared" si="36"/>
        <v/>
      </c>
      <c r="M612" s="68" t="str">
        <f t="shared" si="37"/>
        <v/>
      </c>
      <c r="N612" s="59" t="str">
        <f>IF('Prod 1'!E612="","",'Prod 1'!E612)</f>
        <v/>
      </c>
      <c r="O612" s="59" t="str">
        <f t="shared" si="38"/>
        <v/>
      </c>
      <c r="P612" s="59" t="str">
        <f t="shared" si="39"/>
        <v/>
      </c>
    </row>
    <row r="613" spans="3:16" ht="30" customHeight="1" x14ac:dyDescent="0.25">
      <c r="C613" s="42">
        <v>609</v>
      </c>
      <c r="D613" s="67" t="str">
        <f>IF('Prod 1'!D613="","",'Prod 1'!D613)</f>
        <v/>
      </c>
      <c r="E613" s="64"/>
      <c r="F613" s="58"/>
      <c r="G613" s="65"/>
      <c r="H613" s="65"/>
      <c r="I613" s="58"/>
      <c r="J613" s="58"/>
      <c r="K613" s="132" t="str">
        <f t="shared" si="36"/>
        <v/>
      </c>
      <c r="M613" s="68" t="str">
        <f t="shared" si="37"/>
        <v/>
      </c>
      <c r="N613" s="59" t="str">
        <f>IF('Prod 1'!E613="","",'Prod 1'!E613)</f>
        <v/>
      </c>
      <c r="O613" s="59" t="str">
        <f t="shared" si="38"/>
        <v/>
      </c>
      <c r="P613" s="59" t="str">
        <f t="shared" si="39"/>
        <v/>
      </c>
    </row>
    <row r="614" spans="3:16" ht="30" customHeight="1" x14ac:dyDescent="0.25">
      <c r="C614" s="42">
        <v>610</v>
      </c>
      <c r="D614" s="67" t="str">
        <f>IF('Prod 1'!D614="","",'Prod 1'!D614)</f>
        <v/>
      </c>
      <c r="E614" s="64"/>
      <c r="F614" s="58"/>
      <c r="G614" s="65"/>
      <c r="H614" s="65"/>
      <c r="I614" s="58"/>
      <c r="J614" s="58"/>
      <c r="K614" s="132" t="str">
        <f t="shared" si="36"/>
        <v/>
      </c>
      <c r="M614" s="68" t="str">
        <f t="shared" si="37"/>
        <v/>
      </c>
      <c r="N614" s="59" t="str">
        <f>IF('Prod 1'!E614="","",'Prod 1'!E614)</f>
        <v/>
      </c>
      <c r="O614" s="59" t="str">
        <f t="shared" si="38"/>
        <v/>
      </c>
      <c r="P614" s="59" t="str">
        <f t="shared" si="39"/>
        <v/>
      </c>
    </row>
    <row r="615" spans="3:16" ht="30" customHeight="1" x14ac:dyDescent="0.25">
      <c r="C615" s="42">
        <v>611</v>
      </c>
      <c r="D615" s="67" t="str">
        <f>IF('Prod 1'!D615="","",'Prod 1'!D615)</f>
        <v/>
      </c>
      <c r="E615" s="64"/>
      <c r="F615" s="58"/>
      <c r="G615" s="65"/>
      <c r="H615" s="65"/>
      <c r="I615" s="58"/>
      <c r="J615" s="58"/>
      <c r="K615" s="132" t="str">
        <f t="shared" si="36"/>
        <v/>
      </c>
      <c r="M615" s="68" t="str">
        <f t="shared" si="37"/>
        <v/>
      </c>
      <c r="N615" s="59" t="str">
        <f>IF('Prod 1'!E615="","",'Prod 1'!E615)</f>
        <v/>
      </c>
      <c r="O615" s="59" t="str">
        <f t="shared" si="38"/>
        <v/>
      </c>
      <c r="P615" s="59" t="str">
        <f t="shared" si="39"/>
        <v/>
      </c>
    </row>
    <row r="616" spans="3:16" ht="30" customHeight="1" x14ac:dyDescent="0.25">
      <c r="C616" s="42">
        <v>612</v>
      </c>
      <c r="D616" s="67" t="str">
        <f>IF('Prod 1'!D616="","",'Prod 1'!D616)</f>
        <v/>
      </c>
      <c r="E616" s="64"/>
      <c r="F616" s="58"/>
      <c r="G616" s="65"/>
      <c r="H616" s="65"/>
      <c r="I616" s="58"/>
      <c r="J616" s="58"/>
      <c r="K616" s="132" t="str">
        <f t="shared" si="36"/>
        <v/>
      </c>
      <c r="M616" s="68" t="str">
        <f t="shared" si="37"/>
        <v/>
      </c>
      <c r="N616" s="59" t="str">
        <f>IF('Prod 1'!E616="","",'Prod 1'!E616)</f>
        <v/>
      </c>
      <c r="O616" s="59" t="str">
        <f t="shared" si="38"/>
        <v/>
      </c>
      <c r="P616" s="59" t="str">
        <f t="shared" si="39"/>
        <v/>
      </c>
    </row>
    <row r="617" spans="3:16" ht="30" customHeight="1" x14ac:dyDescent="0.25">
      <c r="C617" s="42">
        <v>613</v>
      </c>
      <c r="D617" s="67" t="str">
        <f>IF('Prod 1'!D617="","",'Prod 1'!D617)</f>
        <v/>
      </c>
      <c r="E617" s="64"/>
      <c r="F617" s="58"/>
      <c r="G617" s="65"/>
      <c r="H617" s="65"/>
      <c r="I617" s="58"/>
      <c r="J617" s="58"/>
      <c r="K617" s="132" t="str">
        <f t="shared" si="36"/>
        <v/>
      </c>
      <c r="M617" s="68" t="str">
        <f t="shared" si="37"/>
        <v/>
      </c>
      <c r="N617" s="59" t="str">
        <f>IF('Prod 1'!E617="","",'Prod 1'!E617)</f>
        <v/>
      </c>
      <c r="O617" s="59" t="str">
        <f t="shared" si="38"/>
        <v/>
      </c>
      <c r="P617" s="59" t="str">
        <f t="shared" si="39"/>
        <v/>
      </c>
    </row>
    <row r="618" spans="3:16" ht="30" customHeight="1" x14ac:dyDescent="0.25">
      <c r="C618" s="42">
        <v>614</v>
      </c>
      <c r="D618" s="67" t="str">
        <f>IF('Prod 1'!D618="","",'Prod 1'!D618)</f>
        <v/>
      </c>
      <c r="E618" s="64"/>
      <c r="F618" s="58"/>
      <c r="G618" s="65"/>
      <c r="H618" s="65"/>
      <c r="I618" s="58"/>
      <c r="J618" s="58"/>
      <c r="K618" s="132" t="str">
        <f t="shared" si="36"/>
        <v/>
      </c>
      <c r="M618" s="68" t="str">
        <f t="shared" si="37"/>
        <v/>
      </c>
      <c r="N618" s="59" t="str">
        <f>IF('Prod 1'!E618="","",'Prod 1'!E618)</f>
        <v/>
      </c>
      <c r="O618" s="59" t="str">
        <f t="shared" si="38"/>
        <v/>
      </c>
      <c r="P618" s="59" t="str">
        <f t="shared" si="39"/>
        <v/>
      </c>
    </row>
    <row r="619" spans="3:16" ht="30" customHeight="1" x14ac:dyDescent="0.25">
      <c r="C619" s="42">
        <v>615</v>
      </c>
      <c r="D619" s="67" t="str">
        <f>IF('Prod 1'!D619="","",'Prod 1'!D619)</f>
        <v/>
      </c>
      <c r="E619" s="64"/>
      <c r="F619" s="58"/>
      <c r="G619" s="65"/>
      <c r="H619" s="65"/>
      <c r="I619" s="58"/>
      <c r="J619" s="58"/>
      <c r="K619" s="132" t="str">
        <f t="shared" si="36"/>
        <v/>
      </c>
      <c r="M619" s="68" t="str">
        <f t="shared" si="37"/>
        <v/>
      </c>
      <c r="N619" s="59" t="str">
        <f>IF('Prod 1'!E619="","",'Prod 1'!E619)</f>
        <v/>
      </c>
      <c r="O619" s="59" t="str">
        <f t="shared" si="38"/>
        <v/>
      </c>
      <c r="P619" s="59" t="str">
        <f t="shared" si="39"/>
        <v/>
      </c>
    </row>
    <row r="620" spans="3:16" ht="30" customHeight="1" x14ac:dyDescent="0.25">
      <c r="C620" s="42">
        <v>616</v>
      </c>
      <c r="D620" s="67" t="str">
        <f>IF('Prod 1'!D620="","",'Prod 1'!D620)</f>
        <v/>
      </c>
      <c r="E620" s="64"/>
      <c r="F620" s="58"/>
      <c r="G620" s="65"/>
      <c r="H620" s="65"/>
      <c r="I620" s="58"/>
      <c r="J620" s="58"/>
      <c r="K620" s="132" t="str">
        <f t="shared" si="36"/>
        <v/>
      </c>
      <c r="M620" s="68" t="str">
        <f t="shared" si="37"/>
        <v/>
      </c>
      <c r="N620" s="59" t="str">
        <f>IF('Prod 1'!E620="","",'Prod 1'!E620)</f>
        <v/>
      </c>
      <c r="O620" s="59" t="str">
        <f t="shared" si="38"/>
        <v/>
      </c>
      <c r="P620" s="59" t="str">
        <f t="shared" si="39"/>
        <v/>
      </c>
    </row>
    <row r="621" spans="3:16" ht="30" customHeight="1" x14ac:dyDescent="0.25">
      <c r="C621" s="42">
        <v>617</v>
      </c>
      <c r="D621" s="67" t="str">
        <f>IF('Prod 1'!D621="","",'Prod 1'!D621)</f>
        <v/>
      </c>
      <c r="E621" s="64"/>
      <c r="F621" s="58"/>
      <c r="G621" s="65"/>
      <c r="H621" s="65"/>
      <c r="I621" s="58"/>
      <c r="J621" s="58"/>
      <c r="K621" s="132" t="str">
        <f t="shared" si="36"/>
        <v/>
      </c>
      <c r="M621" s="68" t="str">
        <f t="shared" si="37"/>
        <v/>
      </c>
      <c r="N621" s="59" t="str">
        <f>IF('Prod 1'!E621="","",'Prod 1'!E621)</f>
        <v/>
      </c>
      <c r="O621" s="59" t="str">
        <f t="shared" si="38"/>
        <v/>
      </c>
      <c r="P621" s="59" t="str">
        <f t="shared" si="39"/>
        <v/>
      </c>
    </row>
    <row r="622" spans="3:16" ht="30" customHeight="1" x14ac:dyDescent="0.25">
      <c r="C622" s="42">
        <v>618</v>
      </c>
      <c r="D622" s="67" t="str">
        <f>IF('Prod 1'!D622="","",'Prod 1'!D622)</f>
        <v/>
      </c>
      <c r="E622" s="64"/>
      <c r="F622" s="58"/>
      <c r="G622" s="65"/>
      <c r="H622" s="65"/>
      <c r="I622" s="58"/>
      <c r="J622" s="58"/>
      <c r="K622" s="132" t="str">
        <f t="shared" si="36"/>
        <v/>
      </c>
      <c r="M622" s="68" t="str">
        <f t="shared" si="37"/>
        <v/>
      </c>
      <c r="N622" s="59" t="str">
        <f>IF('Prod 1'!E622="","",'Prod 1'!E622)</f>
        <v/>
      </c>
      <c r="O622" s="59" t="str">
        <f t="shared" si="38"/>
        <v/>
      </c>
      <c r="P622" s="59" t="str">
        <f t="shared" si="39"/>
        <v/>
      </c>
    </row>
    <row r="623" spans="3:16" ht="30" customHeight="1" x14ac:dyDescent="0.25">
      <c r="C623" s="42">
        <v>619</v>
      </c>
      <c r="D623" s="67" t="str">
        <f>IF('Prod 1'!D623="","",'Prod 1'!D623)</f>
        <v/>
      </c>
      <c r="E623" s="64"/>
      <c r="F623" s="58"/>
      <c r="G623" s="65"/>
      <c r="H623" s="65"/>
      <c r="I623" s="58"/>
      <c r="J623" s="58"/>
      <c r="K623" s="132" t="str">
        <f t="shared" si="36"/>
        <v/>
      </c>
      <c r="M623" s="68" t="str">
        <f t="shared" si="37"/>
        <v/>
      </c>
      <c r="N623" s="59" t="str">
        <f>IF('Prod 1'!E623="","",'Prod 1'!E623)</f>
        <v/>
      </c>
      <c r="O623" s="59" t="str">
        <f t="shared" si="38"/>
        <v/>
      </c>
      <c r="P623" s="59" t="str">
        <f t="shared" si="39"/>
        <v/>
      </c>
    </row>
    <row r="624" spans="3:16" ht="30" customHeight="1" x14ac:dyDescent="0.25">
      <c r="C624" s="42">
        <v>620</v>
      </c>
      <c r="D624" s="67" t="str">
        <f>IF('Prod 1'!D624="","",'Prod 1'!D624)</f>
        <v/>
      </c>
      <c r="E624" s="64"/>
      <c r="F624" s="58"/>
      <c r="G624" s="65"/>
      <c r="H624" s="65"/>
      <c r="I624" s="58"/>
      <c r="J624" s="58"/>
      <c r="K624" s="132" t="str">
        <f t="shared" si="36"/>
        <v/>
      </c>
      <c r="M624" s="68" t="str">
        <f t="shared" si="37"/>
        <v/>
      </c>
      <c r="N624" s="59" t="str">
        <f>IF('Prod 1'!E624="","",'Prod 1'!E624)</f>
        <v/>
      </c>
      <c r="O624" s="59" t="str">
        <f t="shared" si="38"/>
        <v/>
      </c>
      <c r="P624" s="59" t="str">
        <f t="shared" si="39"/>
        <v/>
      </c>
    </row>
    <row r="625" spans="3:16" ht="30" customHeight="1" x14ac:dyDescent="0.25">
      <c r="C625" s="42">
        <v>621</v>
      </c>
      <c r="D625" s="67" t="str">
        <f>IF('Prod 1'!D625="","",'Prod 1'!D625)</f>
        <v/>
      </c>
      <c r="E625" s="64"/>
      <c r="F625" s="58"/>
      <c r="G625" s="65"/>
      <c r="H625" s="65"/>
      <c r="I625" s="58"/>
      <c r="J625" s="58"/>
      <c r="K625" s="132" t="str">
        <f t="shared" si="36"/>
        <v/>
      </c>
      <c r="M625" s="68" t="str">
        <f t="shared" si="37"/>
        <v/>
      </c>
      <c r="N625" s="59" t="str">
        <f>IF('Prod 1'!E625="","",'Prod 1'!E625)</f>
        <v/>
      </c>
      <c r="O625" s="59" t="str">
        <f t="shared" si="38"/>
        <v/>
      </c>
      <c r="P625" s="59" t="str">
        <f t="shared" si="39"/>
        <v/>
      </c>
    </row>
    <row r="626" spans="3:16" ht="30" customHeight="1" x14ac:dyDescent="0.25">
      <c r="C626" s="42">
        <v>622</v>
      </c>
      <c r="D626" s="67" t="str">
        <f>IF('Prod 1'!D626="","",'Prod 1'!D626)</f>
        <v/>
      </c>
      <c r="E626" s="64"/>
      <c r="F626" s="58"/>
      <c r="G626" s="65"/>
      <c r="H626" s="65"/>
      <c r="I626" s="58"/>
      <c r="J626" s="58"/>
      <c r="K626" s="132" t="str">
        <f t="shared" si="36"/>
        <v/>
      </c>
      <c r="M626" s="68" t="str">
        <f t="shared" si="37"/>
        <v/>
      </c>
      <c r="N626" s="59" t="str">
        <f>IF('Prod 1'!E626="","",'Prod 1'!E626)</f>
        <v/>
      </c>
      <c r="O626" s="59" t="str">
        <f t="shared" si="38"/>
        <v/>
      </c>
      <c r="P626" s="59" t="str">
        <f t="shared" si="39"/>
        <v/>
      </c>
    </row>
    <row r="627" spans="3:16" ht="30" customHeight="1" x14ac:dyDescent="0.25">
      <c r="C627" s="42">
        <v>623</v>
      </c>
      <c r="D627" s="67" t="str">
        <f>IF('Prod 1'!D627="","",'Prod 1'!D627)</f>
        <v/>
      </c>
      <c r="E627" s="64"/>
      <c r="F627" s="58"/>
      <c r="G627" s="65"/>
      <c r="H627" s="65"/>
      <c r="I627" s="58"/>
      <c r="J627" s="58"/>
      <c r="K627" s="132" t="str">
        <f t="shared" si="36"/>
        <v/>
      </c>
      <c r="M627" s="68" t="str">
        <f t="shared" si="37"/>
        <v/>
      </c>
      <c r="N627" s="59" t="str">
        <f>IF('Prod 1'!E627="","",'Prod 1'!E627)</f>
        <v/>
      </c>
      <c r="O627" s="59" t="str">
        <f t="shared" si="38"/>
        <v/>
      </c>
      <c r="P627" s="59" t="str">
        <f t="shared" si="39"/>
        <v/>
      </c>
    </row>
    <row r="628" spans="3:16" ht="30" customHeight="1" x14ac:dyDescent="0.25">
      <c r="C628" s="42">
        <v>624</v>
      </c>
      <c r="D628" s="67" t="str">
        <f>IF('Prod 1'!D628="","",'Prod 1'!D628)</f>
        <v/>
      </c>
      <c r="E628" s="64"/>
      <c r="F628" s="58"/>
      <c r="G628" s="65"/>
      <c r="H628" s="65"/>
      <c r="I628" s="58"/>
      <c r="J628" s="58"/>
      <c r="K628" s="132" t="str">
        <f t="shared" si="36"/>
        <v/>
      </c>
      <c r="M628" s="68" t="str">
        <f t="shared" si="37"/>
        <v/>
      </c>
      <c r="N628" s="59" t="str">
        <f>IF('Prod 1'!E628="","",'Prod 1'!E628)</f>
        <v/>
      </c>
      <c r="O628" s="59" t="str">
        <f t="shared" si="38"/>
        <v/>
      </c>
      <c r="P628" s="59" t="str">
        <f t="shared" si="39"/>
        <v/>
      </c>
    </row>
    <row r="629" spans="3:16" ht="30" customHeight="1" x14ac:dyDescent="0.25">
      <c r="C629" s="42">
        <v>625</v>
      </c>
      <c r="D629" s="67" t="str">
        <f>IF('Prod 1'!D629="","",'Prod 1'!D629)</f>
        <v/>
      </c>
      <c r="E629" s="64"/>
      <c r="F629" s="58"/>
      <c r="G629" s="65"/>
      <c r="H629" s="65"/>
      <c r="I629" s="58"/>
      <c r="J629" s="58"/>
      <c r="K629" s="132" t="str">
        <f t="shared" si="36"/>
        <v/>
      </c>
      <c r="M629" s="68" t="str">
        <f t="shared" si="37"/>
        <v/>
      </c>
      <c r="N629" s="59" t="str">
        <f>IF('Prod 1'!E629="","",'Prod 1'!E629)</f>
        <v/>
      </c>
      <c r="O629" s="59" t="str">
        <f t="shared" si="38"/>
        <v/>
      </c>
      <c r="P629" s="59" t="str">
        <f t="shared" si="39"/>
        <v/>
      </c>
    </row>
    <row r="630" spans="3:16" ht="30" customHeight="1" x14ac:dyDescent="0.25">
      <c r="C630" s="42">
        <v>626</v>
      </c>
      <c r="D630" s="67" t="str">
        <f>IF('Prod 1'!D630="","",'Prod 1'!D630)</f>
        <v/>
      </c>
      <c r="E630" s="64"/>
      <c r="F630" s="58"/>
      <c r="G630" s="65"/>
      <c r="H630" s="65"/>
      <c r="I630" s="58"/>
      <c r="J630" s="58"/>
      <c r="K630" s="132" t="str">
        <f t="shared" si="36"/>
        <v/>
      </c>
      <c r="M630" s="68" t="str">
        <f t="shared" si="37"/>
        <v/>
      </c>
      <c r="N630" s="59" t="str">
        <f>IF('Prod 1'!E630="","",'Prod 1'!E630)</f>
        <v/>
      </c>
      <c r="O630" s="59" t="str">
        <f t="shared" si="38"/>
        <v/>
      </c>
      <c r="P630" s="59" t="str">
        <f t="shared" si="39"/>
        <v/>
      </c>
    </row>
    <row r="631" spans="3:16" ht="30" customHeight="1" x14ac:dyDescent="0.25">
      <c r="C631" s="42">
        <v>627</v>
      </c>
      <c r="D631" s="67" t="str">
        <f>IF('Prod 1'!D631="","",'Prod 1'!D631)</f>
        <v/>
      </c>
      <c r="E631" s="64"/>
      <c r="F631" s="58"/>
      <c r="G631" s="65"/>
      <c r="H631" s="65"/>
      <c r="I631" s="58"/>
      <c r="J631" s="58"/>
      <c r="K631" s="132" t="str">
        <f t="shared" si="36"/>
        <v/>
      </c>
      <c r="M631" s="68" t="str">
        <f t="shared" si="37"/>
        <v/>
      </c>
      <c r="N631" s="59" t="str">
        <f>IF('Prod 1'!E631="","",'Prod 1'!E631)</f>
        <v/>
      </c>
      <c r="O631" s="59" t="str">
        <f t="shared" si="38"/>
        <v/>
      </c>
      <c r="P631" s="59" t="str">
        <f t="shared" si="39"/>
        <v/>
      </c>
    </row>
    <row r="632" spans="3:16" ht="30" customHeight="1" x14ac:dyDescent="0.25">
      <c r="C632" s="42">
        <v>628</v>
      </c>
      <c r="D632" s="67" t="str">
        <f>IF('Prod 1'!D632="","",'Prod 1'!D632)</f>
        <v/>
      </c>
      <c r="E632" s="64"/>
      <c r="F632" s="58"/>
      <c r="G632" s="65"/>
      <c r="H632" s="65"/>
      <c r="I632" s="58"/>
      <c r="J632" s="58"/>
      <c r="K632" s="132" t="str">
        <f t="shared" si="36"/>
        <v/>
      </c>
      <c r="M632" s="68" t="str">
        <f t="shared" si="37"/>
        <v/>
      </c>
      <c r="N632" s="59" t="str">
        <f>IF('Prod 1'!E632="","",'Prod 1'!E632)</f>
        <v/>
      </c>
      <c r="O632" s="59" t="str">
        <f t="shared" si="38"/>
        <v/>
      </c>
      <c r="P632" s="59" t="str">
        <f t="shared" si="39"/>
        <v/>
      </c>
    </row>
    <row r="633" spans="3:16" ht="30" customHeight="1" x14ac:dyDescent="0.25">
      <c r="C633" s="42">
        <v>629</v>
      </c>
      <c r="D633" s="67" t="str">
        <f>IF('Prod 1'!D633="","",'Prod 1'!D633)</f>
        <v/>
      </c>
      <c r="E633" s="64"/>
      <c r="F633" s="58"/>
      <c r="G633" s="65"/>
      <c r="H633" s="65"/>
      <c r="I633" s="58"/>
      <c r="J633" s="58"/>
      <c r="K633" s="132" t="str">
        <f t="shared" si="36"/>
        <v/>
      </c>
      <c r="M633" s="68" t="str">
        <f t="shared" si="37"/>
        <v/>
      </c>
      <c r="N633" s="59" t="str">
        <f>IF('Prod 1'!E633="","",'Prod 1'!E633)</f>
        <v/>
      </c>
      <c r="O633" s="59" t="str">
        <f t="shared" si="38"/>
        <v/>
      </c>
      <c r="P633" s="59" t="str">
        <f t="shared" si="39"/>
        <v/>
      </c>
    </row>
    <row r="634" spans="3:16" ht="30" customHeight="1" x14ac:dyDescent="0.25">
      <c r="C634" s="42">
        <v>630</v>
      </c>
      <c r="D634" s="67" t="str">
        <f>IF('Prod 1'!D634="","",'Prod 1'!D634)</f>
        <v/>
      </c>
      <c r="E634" s="64"/>
      <c r="F634" s="58"/>
      <c r="G634" s="65"/>
      <c r="H634" s="65"/>
      <c r="I634" s="58"/>
      <c r="J634" s="58"/>
      <c r="K634" s="132" t="str">
        <f t="shared" si="36"/>
        <v/>
      </c>
      <c r="M634" s="68" t="str">
        <f t="shared" si="37"/>
        <v/>
      </c>
      <c r="N634" s="59" t="str">
        <f>IF('Prod 1'!E634="","",'Prod 1'!E634)</f>
        <v/>
      </c>
      <c r="O634" s="59" t="str">
        <f t="shared" si="38"/>
        <v/>
      </c>
      <c r="P634" s="59" t="str">
        <f t="shared" si="39"/>
        <v/>
      </c>
    </row>
    <row r="635" spans="3:16" ht="30" customHeight="1" x14ac:dyDescent="0.25">
      <c r="C635" s="42">
        <v>631</v>
      </c>
      <c r="D635" s="67" t="str">
        <f>IF('Prod 1'!D635="","",'Prod 1'!D635)</f>
        <v/>
      </c>
      <c r="E635" s="64"/>
      <c r="F635" s="58"/>
      <c r="G635" s="65"/>
      <c r="H635" s="65"/>
      <c r="I635" s="58"/>
      <c r="J635" s="58"/>
      <c r="K635" s="132" t="str">
        <f t="shared" si="36"/>
        <v/>
      </c>
      <c r="M635" s="68" t="str">
        <f t="shared" si="37"/>
        <v/>
      </c>
      <c r="N635" s="59" t="str">
        <f>IF('Prod 1'!E635="","",'Prod 1'!E635)</f>
        <v/>
      </c>
      <c r="O635" s="59" t="str">
        <f t="shared" si="38"/>
        <v/>
      </c>
      <c r="P635" s="59" t="str">
        <f t="shared" si="39"/>
        <v/>
      </c>
    </row>
    <row r="636" spans="3:16" ht="30" customHeight="1" x14ac:dyDescent="0.25">
      <c r="C636" s="42">
        <v>632</v>
      </c>
      <c r="D636" s="67" t="str">
        <f>IF('Prod 1'!D636="","",'Prod 1'!D636)</f>
        <v/>
      </c>
      <c r="E636" s="64"/>
      <c r="F636" s="58"/>
      <c r="G636" s="65"/>
      <c r="H636" s="65"/>
      <c r="I636" s="58"/>
      <c r="J636" s="58"/>
      <c r="K636" s="132" t="str">
        <f t="shared" si="36"/>
        <v/>
      </c>
      <c r="M636" s="68" t="str">
        <f t="shared" si="37"/>
        <v/>
      </c>
      <c r="N636" s="59" t="str">
        <f>IF('Prod 1'!E636="","",'Prod 1'!E636)</f>
        <v/>
      </c>
      <c r="O636" s="59" t="str">
        <f t="shared" si="38"/>
        <v/>
      </c>
      <c r="P636" s="59" t="str">
        <f t="shared" si="39"/>
        <v/>
      </c>
    </row>
    <row r="637" spans="3:16" ht="30" customHeight="1" x14ac:dyDescent="0.25">
      <c r="C637" s="42">
        <v>633</v>
      </c>
      <c r="D637" s="67" t="str">
        <f>IF('Prod 1'!D637="","",'Prod 1'!D637)</f>
        <v/>
      </c>
      <c r="E637" s="64"/>
      <c r="F637" s="58"/>
      <c r="G637" s="65"/>
      <c r="H637" s="65"/>
      <c r="I637" s="58"/>
      <c r="J637" s="58"/>
      <c r="K637" s="132" t="str">
        <f t="shared" si="36"/>
        <v/>
      </c>
      <c r="M637" s="68" t="str">
        <f t="shared" si="37"/>
        <v/>
      </c>
      <c r="N637" s="59" t="str">
        <f>IF('Prod 1'!E637="","",'Prod 1'!E637)</f>
        <v/>
      </c>
      <c r="O637" s="59" t="str">
        <f t="shared" si="38"/>
        <v/>
      </c>
      <c r="P637" s="59" t="str">
        <f t="shared" si="39"/>
        <v/>
      </c>
    </row>
    <row r="638" spans="3:16" ht="30" customHeight="1" x14ac:dyDescent="0.25">
      <c r="C638" s="42">
        <v>634</v>
      </c>
      <c r="D638" s="67" t="str">
        <f>IF('Prod 1'!D638="","",'Prod 1'!D638)</f>
        <v/>
      </c>
      <c r="E638" s="64"/>
      <c r="F638" s="58"/>
      <c r="G638" s="65"/>
      <c r="H638" s="65"/>
      <c r="I638" s="58"/>
      <c r="J638" s="58"/>
      <c r="K638" s="132" t="str">
        <f t="shared" si="36"/>
        <v/>
      </c>
      <c r="M638" s="68" t="str">
        <f t="shared" si="37"/>
        <v/>
      </c>
      <c r="N638" s="59" t="str">
        <f>IF('Prod 1'!E638="","",'Prod 1'!E638)</f>
        <v/>
      </c>
      <c r="O638" s="59" t="str">
        <f t="shared" si="38"/>
        <v/>
      </c>
      <c r="P638" s="59" t="str">
        <f t="shared" si="39"/>
        <v/>
      </c>
    </row>
    <row r="639" spans="3:16" ht="30" customHeight="1" x14ac:dyDescent="0.25">
      <c r="C639" s="42">
        <v>635</v>
      </c>
      <c r="D639" s="67" t="str">
        <f>IF('Prod 1'!D639="","",'Prod 1'!D639)</f>
        <v/>
      </c>
      <c r="E639" s="64"/>
      <c r="F639" s="58"/>
      <c r="G639" s="65"/>
      <c r="H639" s="65"/>
      <c r="I639" s="58"/>
      <c r="J639" s="58"/>
      <c r="K639" s="132" t="str">
        <f t="shared" si="36"/>
        <v/>
      </c>
      <c r="M639" s="68" t="str">
        <f t="shared" si="37"/>
        <v/>
      </c>
      <c r="N639" s="59" t="str">
        <f>IF('Prod 1'!E639="","",'Prod 1'!E639)</f>
        <v/>
      </c>
      <c r="O639" s="59" t="str">
        <f t="shared" si="38"/>
        <v/>
      </c>
      <c r="P639" s="59" t="str">
        <f t="shared" si="39"/>
        <v/>
      </c>
    </row>
    <row r="640" spans="3:16" ht="30" customHeight="1" x14ac:dyDescent="0.25">
      <c r="C640" s="42">
        <v>636</v>
      </c>
      <c r="D640" s="67" t="str">
        <f>IF('Prod 1'!D640="","",'Prod 1'!D640)</f>
        <v/>
      </c>
      <c r="E640" s="64"/>
      <c r="F640" s="58"/>
      <c r="G640" s="65"/>
      <c r="H640" s="65"/>
      <c r="I640" s="58"/>
      <c r="J640" s="58"/>
      <c r="K640" s="132" t="str">
        <f t="shared" si="36"/>
        <v/>
      </c>
      <c r="M640" s="68" t="str">
        <f t="shared" si="37"/>
        <v/>
      </c>
      <c r="N640" s="59" t="str">
        <f>IF('Prod 1'!E640="","",'Prod 1'!E640)</f>
        <v/>
      </c>
      <c r="O640" s="59" t="str">
        <f t="shared" si="38"/>
        <v/>
      </c>
      <c r="P640" s="59" t="str">
        <f t="shared" si="39"/>
        <v/>
      </c>
    </row>
    <row r="641" spans="3:16" ht="30" customHeight="1" x14ac:dyDescent="0.25">
      <c r="C641" s="42">
        <v>637</v>
      </c>
      <c r="D641" s="67" t="str">
        <f>IF('Prod 1'!D641="","",'Prod 1'!D641)</f>
        <v/>
      </c>
      <c r="E641" s="64"/>
      <c r="F641" s="58"/>
      <c r="G641" s="65"/>
      <c r="H641" s="65"/>
      <c r="I641" s="58"/>
      <c r="J641" s="58"/>
      <c r="K641" s="132" t="str">
        <f t="shared" si="36"/>
        <v/>
      </c>
      <c r="M641" s="68" t="str">
        <f t="shared" si="37"/>
        <v/>
      </c>
      <c r="N641" s="59" t="str">
        <f>IF('Prod 1'!E641="","",'Prod 1'!E641)</f>
        <v/>
      </c>
      <c r="O641" s="59" t="str">
        <f t="shared" si="38"/>
        <v/>
      </c>
      <c r="P641" s="59" t="str">
        <f t="shared" si="39"/>
        <v/>
      </c>
    </row>
    <row r="642" spans="3:16" ht="30" customHeight="1" x14ac:dyDescent="0.25">
      <c r="C642" s="42">
        <v>638</v>
      </c>
      <c r="D642" s="67" t="str">
        <f>IF('Prod 1'!D642="","",'Prod 1'!D642)</f>
        <v/>
      </c>
      <c r="E642" s="64"/>
      <c r="F642" s="58"/>
      <c r="G642" s="65"/>
      <c r="H642" s="65"/>
      <c r="I642" s="58"/>
      <c r="J642" s="58"/>
      <c r="K642" s="132" t="str">
        <f t="shared" si="36"/>
        <v/>
      </c>
      <c r="M642" s="68" t="str">
        <f t="shared" si="37"/>
        <v/>
      </c>
      <c r="N642" s="59" t="str">
        <f>IF('Prod 1'!E642="","",'Prod 1'!E642)</f>
        <v/>
      </c>
      <c r="O642" s="59" t="str">
        <f t="shared" si="38"/>
        <v/>
      </c>
      <c r="P642" s="59" t="str">
        <f t="shared" si="39"/>
        <v/>
      </c>
    </row>
    <row r="643" spans="3:16" ht="30" customHeight="1" x14ac:dyDescent="0.25">
      <c r="C643" s="42">
        <v>639</v>
      </c>
      <c r="D643" s="67" t="str">
        <f>IF('Prod 1'!D643="","",'Prod 1'!D643)</f>
        <v/>
      </c>
      <c r="E643" s="64"/>
      <c r="F643" s="58"/>
      <c r="G643" s="65"/>
      <c r="H643" s="65"/>
      <c r="I643" s="58"/>
      <c r="J643" s="58"/>
      <c r="K643" s="132" t="str">
        <f t="shared" si="36"/>
        <v/>
      </c>
      <c r="M643" s="68" t="str">
        <f t="shared" si="37"/>
        <v/>
      </c>
      <c r="N643" s="59" t="str">
        <f>IF('Prod 1'!E643="","",'Prod 1'!E643)</f>
        <v/>
      </c>
      <c r="O643" s="59" t="str">
        <f t="shared" si="38"/>
        <v/>
      </c>
      <c r="P643" s="59" t="str">
        <f t="shared" si="39"/>
        <v/>
      </c>
    </row>
    <row r="644" spans="3:16" ht="30" customHeight="1" x14ac:dyDescent="0.25">
      <c r="C644" s="42">
        <v>640</v>
      </c>
      <c r="D644" s="67" t="str">
        <f>IF('Prod 1'!D644="","",'Prod 1'!D644)</f>
        <v/>
      </c>
      <c r="E644" s="64"/>
      <c r="F644" s="58"/>
      <c r="G644" s="65"/>
      <c r="H644" s="65"/>
      <c r="I644" s="58"/>
      <c r="J644" s="58"/>
      <c r="K644" s="132" t="str">
        <f t="shared" si="36"/>
        <v/>
      </c>
      <c r="M644" s="68" t="str">
        <f t="shared" si="37"/>
        <v/>
      </c>
      <c r="N644" s="59" t="str">
        <f>IF('Prod 1'!E644="","",'Prod 1'!E644)</f>
        <v/>
      </c>
      <c r="O644" s="59" t="str">
        <f t="shared" si="38"/>
        <v/>
      </c>
      <c r="P644" s="59" t="str">
        <f t="shared" si="39"/>
        <v/>
      </c>
    </row>
    <row r="645" spans="3:16" ht="30" customHeight="1" x14ac:dyDescent="0.25">
      <c r="C645" s="42">
        <v>641</v>
      </c>
      <c r="D645" s="67" t="str">
        <f>IF('Prod 1'!D645="","",'Prod 1'!D645)</f>
        <v/>
      </c>
      <c r="E645" s="64"/>
      <c r="F645" s="58"/>
      <c r="G645" s="65"/>
      <c r="H645" s="65"/>
      <c r="I645" s="58"/>
      <c r="J645" s="58"/>
      <c r="K645" s="132" t="str">
        <f t="shared" si="36"/>
        <v/>
      </c>
      <c r="M645" s="68" t="str">
        <f t="shared" si="37"/>
        <v/>
      </c>
      <c r="N645" s="59" t="str">
        <f>IF('Prod 1'!E645="","",'Prod 1'!E645)</f>
        <v/>
      </c>
      <c r="O645" s="59" t="str">
        <f t="shared" si="38"/>
        <v/>
      </c>
      <c r="P645" s="59" t="str">
        <f t="shared" si="39"/>
        <v/>
      </c>
    </row>
    <row r="646" spans="3:16" ht="30" customHeight="1" x14ac:dyDescent="0.25">
      <c r="C646" s="42">
        <v>642</v>
      </c>
      <c r="D646" s="67" t="str">
        <f>IF('Prod 1'!D646="","",'Prod 1'!D646)</f>
        <v/>
      </c>
      <c r="E646" s="64"/>
      <c r="F646" s="58"/>
      <c r="G646" s="65"/>
      <c r="H646" s="65"/>
      <c r="I646" s="58"/>
      <c r="J646" s="58"/>
      <c r="K646" s="132" t="str">
        <f t="shared" ref="K646:K709" si="40">IF(E646="","",IF(E646="Produção",SUM(I646:J646)+SUM(O646:P646),F646))</f>
        <v/>
      </c>
      <c r="M646" s="68" t="str">
        <f t="shared" ref="M646:M709" si="41">IFERROR(IF(D646="","",100%),0)</f>
        <v/>
      </c>
      <c r="N646" s="59" t="str">
        <f>IF('Prod 1'!E646="","",'Prod 1'!E646)</f>
        <v/>
      </c>
      <c r="O646" s="59" t="str">
        <f t="shared" ref="O646:O709" si="42">IFERROR(IF(D646="","",N646*G646),0)</f>
        <v/>
      </c>
      <c r="P646" s="59" t="str">
        <f t="shared" ref="P646:P709" si="43">IFERROR(IF(D646="","",N646*H646),0)</f>
        <v/>
      </c>
    </row>
    <row r="647" spans="3:16" ht="30" customHeight="1" x14ac:dyDescent="0.25">
      <c r="C647" s="42">
        <v>643</v>
      </c>
      <c r="D647" s="67" t="str">
        <f>IF('Prod 1'!D647="","",'Prod 1'!D647)</f>
        <v/>
      </c>
      <c r="E647" s="64"/>
      <c r="F647" s="58"/>
      <c r="G647" s="65"/>
      <c r="H647" s="65"/>
      <c r="I647" s="58"/>
      <c r="J647" s="58"/>
      <c r="K647" s="132" t="str">
        <f t="shared" si="40"/>
        <v/>
      </c>
      <c r="M647" s="68" t="str">
        <f t="shared" si="41"/>
        <v/>
      </c>
      <c r="N647" s="59" t="str">
        <f>IF('Prod 1'!E647="","",'Prod 1'!E647)</f>
        <v/>
      </c>
      <c r="O647" s="59" t="str">
        <f t="shared" si="42"/>
        <v/>
      </c>
      <c r="P647" s="59" t="str">
        <f t="shared" si="43"/>
        <v/>
      </c>
    </row>
    <row r="648" spans="3:16" ht="30" customHeight="1" x14ac:dyDescent="0.25">
      <c r="C648" s="42">
        <v>644</v>
      </c>
      <c r="D648" s="67" t="str">
        <f>IF('Prod 1'!D648="","",'Prod 1'!D648)</f>
        <v/>
      </c>
      <c r="E648" s="64"/>
      <c r="F648" s="58"/>
      <c r="G648" s="65"/>
      <c r="H648" s="65"/>
      <c r="I648" s="58"/>
      <c r="J648" s="58"/>
      <c r="K648" s="132" t="str">
        <f t="shared" si="40"/>
        <v/>
      </c>
      <c r="M648" s="68" t="str">
        <f t="shared" si="41"/>
        <v/>
      </c>
      <c r="N648" s="59" t="str">
        <f>IF('Prod 1'!E648="","",'Prod 1'!E648)</f>
        <v/>
      </c>
      <c r="O648" s="59" t="str">
        <f t="shared" si="42"/>
        <v/>
      </c>
      <c r="P648" s="59" t="str">
        <f t="shared" si="43"/>
        <v/>
      </c>
    </row>
    <row r="649" spans="3:16" ht="30" customHeight="1" x14ac:dyDescent="0.25">
      <c r="C649" s="42">
        <v>645</v>
      </c>
      <c r="D649" s="67" t="str">
        <f>IF('Prod 1'!D649="","",'Prod 1'!D649)</f>
        <v/>
      </c>
      <c r="E649" s="64"/>
      <c r="F649" s="58"/>
      <c r="G649" s="65"/>
      <c r="H649" s="65"/>
      <c r="I649" s="58"/>
      <c r="J649" s="58"/>
      <c r="K649" s="132" t="str">
        <f t="shared" si="40"/>
        <v/>
      </c>
      <c r="M649" s="68" t="str">
        <f t="shared" si="41"/>
        <v/>
      </c>
      <c r="N649" s="59" t="str">
        <f>IF('Prod 1'!E649="","",'Prod 1'!E649)</f>
        <v/>
      </c>
      <c r="O649" s="59" t="str">
        <f t="shared" si="42"/>
        <v/>
      </c>
      <c r="P649" s="59" t="str">
        <f t="shared" si="43"/>
        <v/>
      </c>
    </row>
    <row r="650" spans="3:16" ht="30" customHeight="1" x14ac:dyDescent="0.25">
      <c r="C650" s="42">
        <v>646</v>
      </c>
      <c r="D650" s="67" t="str">
        <f>IF('Prod 1'!D650="","",'Prod 1'!D650)</f>
        <v/>
      </c>
      <c r="E650" s="64"/>
      <c r="F650" s="58"/>
      <c r="G650" s="65"/>
      <c r="H650" s="65"/>
      <c r="I650" s="58"/>
      <c r="J650" s="58"/>
      <c r="K650" s="132" t="str">
        <f t="shared" si="40"/>
        <v/>
      </c>
      <c r="M650" s="68" t="str">
        <f t="shared" si="41"/>
        <v/>
      </c>
      <c r="N650" s="59" t="str">
        <f>IF('Prod 1'!E650="","",'Prod 1'!E650)</f>
        <v/>
      </c>
      <c r="O650" s="59" t="str">
        <f t="shared" si="42"/>
        <v/>
      </c>
      <c r="P650" s="59" t="str">
        <f t="shared" si="43"/>
        <v/>
      </c>
    </row>
    <row r="651" spans="3:16" ht="30" customHeight="1" x14ac:dyDescent="0.25">
      <c r="C651" s="42">
        <v>647</v>
      </c>
      <c r="D651" s="67" t="str">
        <f>IF('Prod 1'!D651="","",'Prod 1'!D651)</f>
        <v/>
      </c>
      <c r="E651" s="64"/>
      <c r="F651" s="58"/>
      <c r="G651" s="65"/>
      <c r="H651" s="65"/>
      <c r="I651" s="58"/>
      <c r="J651" s="58"/>
      <c r="K651" s="132" t="str">
        <f t="shared" si="40"/>
        <v/>
      </c>
      <c r="M651" s="68" t="str">
        <f t="shared" si="41"/>
        <v/>
      </c>
      <c r="N651" s="59" t="str">
        <f>IF('Prod 1'!E651="","",'Prod 1'!E651)</f>
        <v/>
      </c>
      <c r="O651" s="59" t="str">
        <f t="shared" si="42"/>
        <v/>
      </c>
      <c r="P651" s="59" t="str">
        <f t="shared" si="43"/>
        <v/>
      </c>
    </row>
    <row r="652" spans="3:16" ht="30" customHeight="1" x14ac:dyDescent="0.25">
      <c r="C652" s="42">
        <v>648</v>
      </c>
      <c r="D652" s="67" t="str">
        <f>IF('Prod 1'!D652="","",'Prod 1'!D652)</f>
        <v/>
      </c>
      <c r="E652" s="64"/>
      <c r="F652" s="58"/>
      <c r="G652" s="65"/>
      <c r="H652" s="65"/>
      <c r="I652" s="58"/>
      <c r="J652" s="58"/>
      <c r="K652" s="132" t="str">
        <f t="shared" si="40"/>
        <v/>
      </c>
      <c r="M652" s="68" t="str">
        <f t="shared" si="41"/>
        <v/>
      </c>
      <c r="N652" s="59" t="str">
        <f>IF('Prod 1'!E652="","",'Prod 1'!E652)</f>
        <v/>
      </c>
      <c r="O652" s="59" t="str">
        <f t="shared" si="42"/>
        <v/>
      </c>
      <c r="P652" s="59" t="str">
        <f t="shared" si="43"/>
        <v/>
      </c>
    </row>
    <row r="653" spans="3:16" ht="30" customHeight="1" x14ac:dyDescent="0.25">
      <c r="C653" s="42">
        <v>649</v>
      </c>
      <c r="D653" s="67" t="str">
        <f>IF('Prod 1'!D653="","",'Prod 1'!D653)</f>
        <v/>
      </c>
      <c r="E653" s="64"/>
      <c r="F653" s="58"/>
      <c r="G653" s="65"/>
      <c r="H653" s="65"/>
      <c r="I653" s="58"/>
      <c r="J653" s="58"/>
      <c r="K653" s="132" t="str">
        <f t="shared" si="40"/>
        <v/>
      </c>
      <c r="M653" s="68" t="str">
        <f t="shared" si="41"/>
        <v/>
      </c>
      <c r="N653" s="59" t="str">
        <f>IF('Prod 1'!E653="","",'Prod 1'!E653)</f>
        <v/>
      </c>
      <c r="O653" s="59" t="str">
        <f t="shared" si="42"/>
        <v/>
      </c>
      <c r="P653" s="59" t="str">
        <f t="shared" si="43"/>
        <v/>
      </c>
    </row>
    <row r="654" spans="3:16" ht="30" customHeight="1" x14ac:dyDescent="0.25">
      <c r="C654" s="42">
        <v>650</v>
      </c>
      <c r="D654" s="67" t="str">
        <f>IF('Prod 1'!D654="","",'Prod 1'!D654)</f>
        <v/>
      </c>
      <c r="E654" s="64"/>
      <c r="F654" s="58"/>
      <c r="G654" s="65"/>
      <c r="H654" s="65"/>
      <c r="I654" s="58"/>
      <c r="J654" s="58"/>
      <c r="K654" s="132" t="str">
        <f t="shared" si="40"/>
        <v/>
      </c>
      <c r="M654" s="68" t="str">
        <f t="shared" si="41"/>
        <v/>
      </c>
      <c r="N654" s="59" t="str">
        <f>IF('Prod 1'!E654="","",'Prod 1'!E654)</f>
        <v/>
      </c>
      <c r="O654" s="59" t="str">
        <f t="shared" si="42"/>
        <v/>
      </c>
      <c r="P654" s="59" t="str">
        <f t="shared" si="43"/>
        <v/>
      </c>
    </row>
    <row r="655" spans="3:16" ht="30" customHeight="1" x14ac:dyDescent="0.25">
      <c r="C655" s="42">
        <v>651</v>
      </c>
      <c r="D655" s="67" t="str">
        <f>IF('Prod 1'!D655="","",'Prod 1'!D655)</f>
        <v/>
      </c>
      <c r="E655" s="64"/>
      <c r="F655" s="58"/>
      <c r="G655" s="65"/>
      <c r="H655" s="65"/>
      <c r="I655" s="58"/>
      <c r="J655" s="58"/>
      <c r="K655" s="132" t="str">
        <f t="shared" si="40"/>
        <v/>
      </c>
      <c r="M655" s="68" t="str">
        <f t="shared" si="41"/>
        <v/>
      </c>
      <c r="N655" s="59" t="str">
        <f>IF('Prod 1'!E655="","",'Prod 1'!E655)</f>
        <v/>
      </c>
      <c r="O655" s="59" t="str">
        <f t="shared" si="42"/>
        <v/>
      </c>
      <c r="P655" s="59" t="str">
        <f t="shared" si="43"/>
        <v/>
      </c>
    </row>
    <row r="656" spans="3:16" ht="30" customHeight="1" x14ac:dyDescent="0.25">
      <c r="C656" s="42">
        <v>652</v>
      </c>
      <c r="D656" s="67" t="str">
        <f>IF('Prod 1'!D656="","",'Prod 1'!D656)</f>
        <v/>
      </c>
      <c r="E656" s="64"/>
      <c r="F656" s="58"/>
      <c r="G656" s="65"/>
      <c r="H656" s="65"/>
      <c r="I656" s="58"/>
      <c r="J656" s="58"/>
      <c r="K656" s="132" t="str">
        <f t="shared" si="40"/>
        <v/>
      </c>
      <c r="M656" s="68" t="str">
        <f t="shared" si="41"/>
        <v/>
      </c>
      <c r="N656" s="59" t="str">
        <f>IF('Prod 1'!E656="","",'Prod 1'!E656)</f>
        <v/>
      </c>
      <c r="O656" s="59" t="str">
        <f t="shared" si="42"/>
        <v/>
      </c>
      <c r="P656" s="59" t="str">
        <f t="shared" si="43"/>
        <v/>
      </c>
    </row>
    <row r="657" spans="3:16" ht="30" customHeight="1" x14ac:dyDescent="0.25">
      <c r="C657" s="42">
        <v>653</v>
      </c>
      <c r="D657" s="67" t="str">
        <f>IF('Prod 1'!D657="","",'Prod 1'!D657)</f>
        <v/>
      </c>
      <c r="E657" s="64"/>
      <c r="F657" s="58"/>
      <c r="G657" s="65"/>
      <c r="H657" s="65"/>
      <c r="I657" s="58"/>
      <c r="J657" s="58"/>
      <c r="K657" s="132" t="str">
        <f t="shared" si="40"/>
        <v/>
      </c>
      <c r="M657" s="68" t="str">
        <f t="shared" si="41"/>
        <v/>
      </c>
      <c r="N657" s="59" t="str">
        <f>IF('Prod 1'!E657="","",'Prod 1'!E657)</f>
        <v/>
      </c>
      <c r="O657" s="59" t="str">
        <f t="shared" si="42"/>
        <v/>
      </c>
      <c r="P657" s="59" t="str">
        <f t="shared" si="43"/>
        <v/>
      </c>
    </row>
    <row r="658" spans="3:16" ht="30" customHeight="1" x14ac:dyDescent="0.25">
      <c r="C658" s="42">
        <v>654</v>
      </c>
      <c r="D658" s="67" t="str">
        <f>IF('Prod 1'!D658="","",'Prod 1'!D658)</f>
        <v/>
      </c>
      <c r="E658" s="64"/>
      <c r="F658" s="58"/>
      <c r="G658" s="65"/>
      <c r="H658" s="65"/>
      <c r="I658" s="58"/>
      <c r="J658" s="58"/>
      <c r="K658" s="132" t="str">
        <f t="shared" si="40"/>
        <v/>
      </c>
      <c r="M658" s="68" t="str">
        <f t="shared" si="41"/>
        <v/>
      </c>
      <c r="N658" s="59" t="str">
        <f>IF('Prod 1'!E658="","",'Prod 1'!E658)</f>
        <v/>
      </c>
      <c r="O658" s="59" t="str">
        <f t="shared" si="42"/>
        <v/>
      </c>
      <c r="P658" s="59" t="str">
        <f t="shared" si="43"/>
        <v/>
      </c>
    </row>
    <row r="659" spans="3:16" ht="30" customHeight="1" x14ac:dyDescent="0.25">
      <c r="C659" s="42">
        <v>655</v>
      </c>
      <c r="D659" s="67" t="str">
        <f>IF('Prod 1'!D659="","",'Prod 1'!D659)</f>
        <v/>
      </c>
      <c r="E659" s="64"/>
      <c r="F659" s="58"/>
      <c r="G659" s="65"/>
      <c r="H659" s="65"/>
      <c r="I659" s="58"/>
      <c r="J659" s="58"/>
      <c r="K659" s="132" t="str">
        <f t="shared" si="40"/>
        <v/>
      </c>
      <c r="M659" s="68" t="str">
        <f t="shared" si="41"/>
        <v/>
      </c>
      <c r="N659" s="59" t="str">
        <f>IF('Prod 1'!E659="","",'Prod 1'!E659)</f>
        <v/>
      </c>
      <c r="O659" s="59" t="str">
        <f t="shared" si="42"/>
        <v/>
      </c>
      <c r="P659" s="59" t="str">
        <f t="shared" si="43"/>
        <v/>
      </c>
    </row>
    <row r="660" spans="3:16" ht="30" customHeight="1" x14ac:dyDescent="0.25">
      <c r="C660" s="42">
        <v>656</v>
      </c>
      <c r="D660" s="67" t="str">
        <f>IF('Prod 1'!D660="","",'Prod 1'!D660)</f>
        <v/>
      </c>
      <c r="E660" s="64"/>
      <c r="F660" s="58"/>
      <c r="G660" s="65"/>
      <c r="H660" s="65"/>
      <c r="I660" s="58"/>
      <c r="J660" s="58"/>
      <c r="K660" s="132" t="str">
        <f t="shared" si="40"/>
        <v/>
      </c>
      <c r="M660" s="68" t="str">
        <f t="shared" si="41"/>
        <v/>
      </c>
      <c r="N660" s="59" t="str">
        <f>IF('Prod 1'!E660="","",'Prod 1'!E660)</f>
        <v/>
      </c>
      <c r="O660" s="59" t="str">
        <f t="shared" si="42"/>
        <v/>
      </c>
      <c r="P660" s="59" t="str">
        <f t="shared" si="43"/>
        <v/>
      </c>
    </row>
    <row r="661" spans="3:16" ht="30" customHeight="1" x14ac:dyDescent="0.25">
      <c r="C661" s="42">
        <v>657</v>
      </c>
      <c r="D661" s="67" t="str">
        <f>IF('Prod 1'!D661="","",'Prod 1'!D661)</f>
        <v/>
      </c>
      <c r="E661" s="64"/>
      <c r="F661" s="58"/>
      <c r="G661" s="65"/>
      <c r="H661" s="65"/>
      <c r="I661" s="58"/>
      <c r="J661" s="58"/>
      <c r="K661" s="132" t="str">
        <f t="shared" si="40"/>
        <v/>
      </c>
      <c r="M661" s="68" t="str">
        <f t="shared" si="41"/>
        <v/>
      </c>
      <c r="N661" s="59" t="str">
        <f>IF('Prod 1'!E661="","",'Prod 1'!E661)</f>
        <v/>
      </c>
      <c r="O661" s="59" t="str">
        <f t="shared" si="42"/>
        <v/>
      </c>
      <c r="P661" s="59" t="str">
        <f t="shared" si="43"/>
        <v/>
      </c>
    </row>
    <row r="662" spans="3:16" ht="30" customHeight="1" x14ac:dyDescent="0.25">
      <c r="C662" s="42">
        <v>658</v>
      </c>
      <c r="D662" s="67" t="str">
        <f>IF('Prod 1'!D662="","",'Prod 1'!D662)</f>
        <v/>
      </c>
      <c r="E662" s="64"/>
      <c r="F662" s="58"/>
      <c r="G662" s="65"/>
      <c r="H662" s="65"/>
      <c r="I662" s="58"/>
      <c r="J662" s="58"/>
      <c r="K662" s="132" t="str">
        <f t="shared" si="40"/>
        <v/>
      </c>
      <c r="M662" s="68" t="str">
        <f t="shared" si="41"/>
        <v/>
      </c>
      <c r="N662" s="59" t="str">
        <f>IF('Prod 1'!E662="","",'Prod 1'!E662)</f>
        <v/>
      </c>
      <c r="O662" s="59" t="str">
        <f t="shared" si="42"/>
        <v/>
      </c>
      <c r="P662" s="59" t="str">
        <f t="shared" si="43"/>
        <v/>
      </c>
    </row>
    <row r="663" spans="3:16" ht="30" customHeight="1" x14ac:dyDescent="0.25">
      <c r="C663" s="42">
        <v>659</v>
      </c>
      <c r="D663" s="67" t="str">
        <f>IF('Prod 1'!D663="","",'Prod 1'!D663)</f>
        <v/>
      </c>
      <c r="E663" s="64"/>
      <c r="F663" s="58"/>
      <c r="G663" s="65"/>
      <c r="H663" s="65"/>
      <c r="I663" s="58"/>
      <c r="J663" s="58"/>
      <c r="K663" s="132" t="str">
        <f t="shared" si="40"/>
        <v/>
      </c>
      <c r="M663" s="68" t="str">
        <f t="shared" si="41"/>
        <v/>
      </c>
      <c r="N663" s="59" t="str">
        <f>IF('Prod 1'!E663="","",'Prod 1'!E663)</f>
        <v/>
      </c>
      <c r="O663" s="59" t="str">
        <f t="shared" si="42"/>
        <v/>
      </c>
      <c r="P663" s="59" t="str">
        <f t="shared" si="43"/>
        <v/>
      </c>
    </row>
    <row r="664" spans="3:16" ht="30" customHeight="1" x14ac:dyDescent="0.25">
      <c r="C664" s="42">
        <v>660</v>
      </c>
      <c r="D664" s="67" t="str">
        <f>IF('Prod 1'!D664="","",'Prod 1'!D664)</f>
        <v/>
      </c>
      <c r="E664" s="64"/>
      <c r="F664" s="58"/>
      <c r="G664" s="65"/>
      <c r="H664" s="65"/>
      <c r="I664" s="58"/>
      <c r="J664" s="58"/>
      <c r="K664" s="132" t="str">
        <f t="shared" si="40"/>
        <v/>
      </c>
      <c r="M664" s="68" t="str">
        <f t="shared" si="41"/>
        <v/>
      </c>
      <c r="N664" s="59" t="str">
        <f>IF('Prod 1'!E664="","",'Prod 1'!E664)</f>
        <v/>
      </c>
      <c r="O664" s="59" t="str">
        <f t="shared" si="42"/>
        <v/>
      </c>
      <c r="P664" s="59" t="str">
        <f t="shared" si="43"/>
        <v/>
      </c>
    </row>
    <row r="665" spans="3:16" ht="30" customHeight="1" x14ac:dyDescent="0.25">
      <c r="C665" s="42">
        <v>661</v>
      </c>
      <c r="D665" s="67" t="str">
        <f>IF('Prod 1'!D665="","",'Prod 1'!D665)</f>
        <v/>
      </c>
      <c r="E665" s="64"/>
      <c r="F665" s="58"/>
      <c r="G665" s="65"/>
      <c r="H665" s="65"/>
      <c r="I665" s="58"/>
      <c r="J665" s="58"/>
      <c r="K665" s="132" t="str">
        <f t="shared" si="40"/>
        <v/>
      </c>
      <c r="M665" s="68" t="str">
        <f t="shared" si="41"/>
        <v/>
      </c>
      <c r="N665" s="59" t="str">
        <f>IF('Prod 1'!E665="","",'Prod 1'!E665)</f>
        <v/>
      </c>
      <c r="O665" s="59" t="str">
        <f t="shared" si="42"/>
        <v/>
      </c>
      <c r="P665" s="59" t="str">
        <f t="shared" si="43"/>
        <v/>
      </c>
    </row>
    <row r="666" spans="3:16" ht="30" customHeight="1" x14ac:dyDescent="0.25">
      <c r="C666" s="42">
        <v>662</v>
      </c>
      <c r="D666" s="67" t="str">
        <f>IF('Prod 1'!D666="","",'Prod 1'!D666)</f>
        <v/>
      </c>
      <c r="E666" s="64"/>
      <c r="F666" s="58"/>
      <c r="G666" s="65"/>
      <c r="H666" s="65"/>
      <c r="I666" s="58"/>
      <c r="J666" s="58"/>
      <c r="K666" s="132" t="str">
        <f t="shared" si="40"/>
        <v/>
      </c>
      <c r="M666" s="68" t="str">
        <f t="shared" si="41"/>
        <v/>
      </c>
      <c r="N666" s="59" t="str">
        <f>IF('Prod 1'!E666="","",'Prod 1'!E666)</f>
        <v/>
      </c>
      <c r="O666" s="59" t="str">
        <f t="shared" si="42"/>
        <v/>
      </c>
      <c r="P666" s="59" t="str">
        <f t="shared" si="43"/>
        <v/>
      </c>
    </row>
    <row r="667" spans="3:16" ht="30" customHeight="1" x14ac:dyDescent="0.25">
      <c r="C667" s="42">
        <v>663</v>
      </c>
      <c r="D667" s="67" t="str">
        <f>IF('Prod 1'!D667="","",'Prod 1'!D667)</f>
        <v/>
      </c>
      <c r="E667" s="64"/>
      <c r="F667" s="58"/>
      <c r="G667" s="65"/>
      <c r="H667" s="65"/>
      <c r="I667" s="58"/>
      <c r="J667" s="58"/>
      <c r="K667" s="132" t="str">
        <f t="shared" si="40"/>
        <v/>
      </c>
      <c r="M667" s="68" t="str">
        <f t="shared" si="41"/>
        <v/>
      </c>
      <c r="N667" s="59" t="str">
        <f>IF('Prod 1'!E667="","",'Prod 1'!E667)</f>
        <v/>
      </c>
      <c r="O667" s="59" t="str">
        <f t="shared" si="42"/>
        <v/>
      </c>
      <c r="P667" s="59" t="str">
        <f t="shared" si="43"/>
        <v/>
      </c>
    </row>
    <row r="668" spans="3:16" ht="30" customHeight="1" x14ac:dyDescent="0.25">
      <c r="C668" s="42">
        <v>664</v>
      </c>
      <c r="D668" s="67" t="str">
        <f>IF('Prod 1'!D668="","",'Prod 1'!D668)</f>
        <v/>
      </c>
      <c r="E668" s="64"/>
      <c r="F668" s="58"/>
      <c r="G668" s="65"/>
      <c r="H668" s="65"/>
      <c r="I668" s="58"/>
      <c r="J668" s="58"/>
      <c r="K668" s="132" t="str">
        <f t="shared" si="40"/>
        <v/>
      </c>
      <c r="M668" s="68" t="str">
        <f t="shared" si="41"/>
        <v/>
      </c>
      <c r="N668" s="59" t="str">
        <f>IF('Prod 1'!E668="","",'Prod 1'!E668)</f>
        <v/>
      </c>
      <c r="O668" s="59" t="str">
        <f t="shared" si="42"/>
        <v/>
      </c>
      <c r="P668" s="59" t="str">
        <f t="shared" si="43"/>
        <v/>
      </c>
    </row>
    <row r="669" spans="3:16" ht="30" customHeight="1" x14ac:dyDescent="0.25">
      <c r="C669" s="42">
        <v>665</v>
      </c>
      <c r="D669" s="67" t="str">
        <f>IF('Prod 1'!D669="","",'Prod 1'!D669)</f>
        <v/>
      </c>
      <c r="E669" s="64"/>
      <c r="F669" s="58"/>
      <c r="G669" s="65"/>
      <c r="H669" s="65"/>
      <c r="I669" s="58"/>
      <c r="J669" s="58"/>
      <c r="K669" s="132" t="str">
        <f t="shared" si="40"/>
        <v/>
      </c>
      <c r="M669" s="68" t="str">
        <f t="shared" si="41"/>
        <v/>
      </c>
      <c r="N669" s="59" t="str">
        <f>IF('Prod 1'!E669="","",'Prod 1'!E669)</f>
        <v/>
      </c>
      <c r="O669" s="59" t="str">
        <f t="shared" si="42"/>
        <v/>
      </c>
      <c r="P669" s="59" t="str">
        <f t="shared" si="43"/>
        <v/>
      </c>
    </row>
    <row r="670" spans="3:16" ht="30" customHeight="1" x14ac:dyDescent="0.25">
      <c r="C670" s="42">
        <v>666</v>
      </c>
      <c r="D670" s="67" t="str">
        <f>IF('Prod 1'!D670="","",'Prod 1'!D670)</f>
        <v/>
      </c>
      <c r="E670" s="64"/>
      <c r="F670" s="58"/>
      <c r="G670" s="65"/>
      <c r="H670" s="65"/>
      <c r="I670" s="58"/>
      <c r="J670" s="58"/>
      <c r="K670" s="132" t="str">
        <f t="shared" si="40"/>
        <v/>
      </c>
      <c r="M670" s="68" t="str">
        <f t="shared" si="41"/>
        <v/>
      </c>
      <c r="N670" s="59" t="str">
        <f>IF('Prod 1'!E670="","",'Prod 1'!E670)</f>
        <v/>
      </c>
      <c r="O670" s="59" t="str">
        <f t="shared" si="42"/>
        <v/>
      </c>
      <c r="P670" s="59" t="str">
        <f t="shared" si="43"/>
        <v/>
      </c>
    </row>
    <row r="671" spans="3:16" ht="30" customHeight="1" x14ac:dyDescent="0.25">
      <c r="C671" s="42">
        <v>667</v>
      </c>
      <c r="D671" s="67" t="str">
        <f>IF('Prod 1'!D671="","",'Prod 1'!D671)</f>
        <v/>
      </c>
      <c r="E671" s="64"/>
      <c r="F671" s="58"/>
      <c r="G671" s="65"/>
      <c r="H671" s="65"/>
      <c r="I671" s="58"/>
      <c r="J671" s="58"/>
      <c r="K671" s="132" t="str">
        <f t="shared" si="40"/>
        <v/>
      </c>
      <c r="M671" s="68" t="str">
        <f t="shared" si="41"/>
        <v/>
      </c>
      <c r="N671" s="59" t="str">
        <f>IF('Prod 1'!E671="","",'Prod 1'!E671)</f>
        <v/>
      </c>
      <c r="O671" s="59" t="str">
        <f t="shared" si="42"/>
        <v/>
      </c>
      <c r="P671" s="59" t="str">
        <f t="shared" si="43"/>
        <v/>
      </c>
    </row>
    <row r="672" spans="3:16" ht="30" customHeight="1" x14ac:dyDescent="0.25">
      <c r="C672" s="42">
        <v>668</v>
      </c>
      <c r="D672" s="67" t="str">
        <f>IF('Prod 1'!D672="","",'Prod 1'!D672)</f>
        <v/>
      </c>
      <c r="E672" s="64"/>
      <c r="F672" s="58"/>
      <c r="G672" s="65"/>
      <c r="H672" s="65"/>
      <c r="I672" s="58"/>
      <c r="J672" s="58"/>
      <c r="K672" s="132" t="str">
        <f t="shared" si="40"/>
        <v/>
      </c>
      <c r="M672" s="68" t="str">
        <f t="shared" si="41"/>
        <v/>
      </c>
      <c r="N672" s="59" t="str">
        <f>IF('Prod 1'!E672="","",'Prod 1'!E672)</f>
        <v/>
      </c>
      <c r="O672" s="59" t="str">
        <f t="shared" si="42"/>
        <v/>
      </c>
      <c r="P672" s="59" t="str">
        <f t="shared" si="43"/>
        <v/>
      </c>
    </row>
    <row r="673" spans="3:16" ht="30" customHeight="1" x14ac:dyDescent="0.25">
      <c r="C673" s="42">
        <v>669</v>
      </c>
      <c r="D673" s="67" t="str">
        <f>IF('Prod 1'!D673="","",'Prod 1'!D673)</f>
        <v/>
      </c>
      <c r="E673" s="64"/>
      <c r="F673" s="58"/>
      <c r="G673" s="65"/>
      <c r="H673" s="65"/>
      <c r="I673" s="58"/>
      <c r="J673" s="58"/>
      <c r="K673" s="132" t="str">
        <f t="shared" si="40"/>
        <v/>
      </c>
      <c r="M673" s="68" t="str">
        <f t="shared" si="41"/>
        <v/>
      </c>
      <c r="N673" s="59" t="str">
        <f>IF('Prod 1'!E673="","",'Prod 1'!E673)</f>
        <v/>
      </c>
      <c r="O673" s="59" t="str">
        <f t="shared" si="42"/>
        <v/>
      </c>
      <c r="P673" s="59" t="str">
        <f t="shared" si="43"/>
        <v/>
      </c>
    </row>
    <row r="674" spans="3:16" ht="30" customHeight="1" x14ac:dyDescent="0.25">
      <c r="C674" s="42">
        <v>670</v>
      </c>
      <c r="D674" s="67" t="str">
        <f>IF('Prod 1'!D674="","",'Prod 1'!D674)</f>
        <v/>
      </c>
      <c r="E674" s="64"/>
      <c r="F674" s="58"/>
      <c r="G674" s="65"/>
      <c r="H674" s="65"/>
      <c r="I674" s="58"/>
      <c r="J674" s="58"/>
      <c r="K674" s="132" t="str">
        <f t="shared" si="40"/>
        <v/>
      </c>
      <c r="M674" s="68" t="str">
        <f t="shared" si="41"/>
        <v/>
      </c>
      <c r="N674" s="59" t="str">
        <f>IF('Prod 1'!E674="","",'Prod 1'!E674)</f>
        <v/>
      </c>
      <c r="O674" s="59" t="str">
        <f t="shared" si="42"/>
        <v/>
      </c>
      <c r="P674" s="59" t="str">
        <f t="shared" si="43"/>
        <v/>
      </c>
    </row>
    <row r="675" spans="3:16" ht="30" customHeight="1" x14ac:dyDescent="0.25">
      <c r="C675" s="42">
        <v>671</v>
      </c>
      <c r="D675" s="67" t="str">
        <f>IF('Prod 1'!D675="","",'Prod 1'!D675)</f>
        <v/>
      </c>
      <c r="E675" s="64"/>
      <c r="F675" s="58"/>
      <c r="G675" s="65"/>
      <c r="H675" s="65"/>
      <c r="I675" s="58"/>
      <c r="J675" s="58"/>
      <c r="K675" s="132" t="str">
        <f t="shared" si="40"/>
        <v/>
      </c>
      <c r="M675" s="68" t="str">
        <f t="shared" si="41"/>
        <v/>
      </c>
      <c r="N675" s="59" t="str">
        <f>IF('Prod 1'!E675="","",'Prod 1'!E675)</f>
        <v/>
      </c>
      <c r="O675" s="59" t="str">
        <f t="shared" si="42"/>
        <v/>
      </c>
      <c r="P675" s="59" t="str">
        <f t="shared" si="43"/>
        <v/>
      </c>
    </row>
    <row r="676" spans="3:16" ht="30" customHeight="1" x14ac:dyDescent="0.25">
      <c r="C676" s="42">
        <v>672</v>
      </c>
      <c r="D676" s="67" t="str">
        <f>IF('Prod 1'!D676="","",'Prod 1'!D676)</f>
        <v/>
      </c>
      <c r="E676" s="64"/>
      <c r="F676" s="58"/>
      <c r="G676" s="65"/>
      <c r="H676" s="65"/>
      <c r="I676" s="58"/>
      <c r="J676" s="58"/>
      <c r="K676" s="132" t="str">
        <f t="shared" si="40"/>
        <v/>
      </c>
      <c r="M676" s="68" t="str">
        <f t="shared" si="41"/>
        <v/>
      </c>
      <c r="N676" s="59" t="str">
        <f>IF('Prod 1'!E676="","",'Prod 1'!E676)</f>
        <v/>
      </c>
      <c r="O676" s="59" t="str">
        <f t="shared" si="42"/>
        <v/>
      </c>
      <c r="P676" s="59" t="str">
        <f t="shared" si="43"/>
        <v/>
      </c>
    </row>
    <row r="677" spans="3:16" ht="30" customHeight="1" x14ac:dyDescent="0.25">
      <c r="C677" s="42">
        <v>673</v>
      </c>
      <c r="D677" s="67" t="str">
        <f>IF('Prod 1'!D677="","",'Prod 1'!D677)</f>
        <v/>
      </c>
      <c r="E677" s="64"/>
      <c r="F677" s="58"/>
      <c r="G677" s="65"/>
      <c r="H677" s="65"/>
      <c r="I677" s="58"/>
      <c r="J677" s="58"/>
      <c r="K677" s="132" t="str">
        <f t="shared" si="40"/>
        <v/>
      </c>
      <c r="M677" s="68" t="str">
        <f t="shared" si="41"/>
        <v/>
      </c>
      <c r="N677" s="59" t="str">
        <f>IF('Prod 1'!E677="","",'Prod 1'!E677)</f>
        <v/>
      </c>
      <c r="O677" s="59" t="str">
        <f t="shared" si="42"/>
        <v/>
      </c>
      <c r="P677" s="59" t="str">
        <f t="shared" si="43"/>
        <v/>
      </c>
    </row>
    <row r="678" spans="3:16" ht="30" customHeight="1" x14ac:dyDescent="0.25">
      <c r="C678" s="42">
        <v>674</v>
      </c>
      <c r="D678" s="67" t="str">
        <f>IF('Prod 1'!D678="","",'Prod 1'!D678)</f>
        <v/>
      </c>
      <c r="E678" s="64"/>
      <c r="F678" s="58"/>
      <c r="G678" s="65"/>
      <c r="H678" s="65"/>
      <c r="I678" s="58"/>
      <c r="J678" s="58"/>
      <c r="K678" s="132" t="str">
        <f t="shared" si="40"/>
        <v/>
      </c>
      <c r="M678" s="68" t="str">
        <f t="shared" si="41"/>
        <v/>
      </c>
      <c r="N678" s="59" t="str">
        <f>IF('Prod 1'!E678="","",'Prod 1'!E678)</f>
        <v/>
      </c>
      <c r="O678" s="59" t="str">
        <f t="shared" si="42"/>
        <v/>
      </c>
      <c r="P678" s="59" t="str">
        <f t="shared" si="43"/>
        <v/>
      </c>
    </row>
    <row r="679" spans="3:16" ht="30" customHeight="1" x14ac:dyDescent="0.25">
      <c r="C679" s="42">
        <v>675</v>
      </c>
      <c r="D679" s="67" t="str">
        <f>IF('Prod 1'!D679="","",'Prod 1'!D679)</f>
        <v/>
      </c>
      <c r="E679" s="64"/>
      <c r="F679" s="58"/>
      <c r="G679" s="65"/>
      <c r="H679" s="65"/>
      <c r="I679" s="58"/>
      <c r="J679" s="58"/>
      <c r="K679" s="132" t="str">
        <f t="shared" si="40"/>
        <v/>
      </c>
      <c r="M679" s="68" t="str">
        <f t="shared" si="41"/>
        <v/>
      </c>
      <c r="N679" s="59" t="str">
        <f>IF('Prod 1'!E679="","",'Prod 1'!E679)</f>
        <v/>
      </c>
      <c r="O679" s="59" t="str">
        <f t="shared" si="42"/>
        <v/>
      </c>
      <c r="P679" s="59" t="str">
        <f t="shared" si="43"/>
        <v/>
      </c>
    </row>
    <row r="680" spans="3:16" ht="30" customHeight="1" x14ac:dyDescent="0.25">
      <c r="C680" s="42">
        <v>676</v>
      </c>
      <c r="D680" s="67" t="str">
        <f>IF('Prod 1'!D680="","",'Prod 1'!D680)</f>
        <v/>
      </c>
      <c r="E680" s="64"/>
      <c r="F680" s="58"/>
      <c r="G680" s="65"/>
      <c r="H680" s="65"/>
      <c r="I680" s="58"/>
      <c r="J680" s="58"/>
      <c r="K680" s="132" t="str">
        <f t="shared" si="40"/>
        <v/>
      </c>
      <c r="M680" s="68" t="str">
        <f t="shared" si="41"/>
        <v/>
      </c>
      <c r="N680" s="59" t="str">
        <f>IF('Prod 1'!E680="","",'Prod 1'!E680)</f>
        <v/>
      </c>
      <c r="O680" s="59" t="str">
        <f t="shared" si="42"/>
        <v/>
      </c>
      <c r="P680" s="59" t="str">
        <f t="shared" si="43"/>
        <v/>
      </c>
    </row>
    <row r="681" spans="3:16" ht="30" customHeight="1" x14ac:dyDescent="0.25">
      <c r="C681" s="42">
        <v>677</v>
      </c>
      <c r="D681" s="67" t="str">
        <f>IF('Prod 1'!D681="","",'Prod 1'!D681)</f>
        <v/>
      </c>
      <c r="E681" s="64"/>
      <c r="F681" s="58"/>
      <c r="G681" s="65"/>
      <c r="H681" s="65"/>
      <c r="I681" s="58"/>
      <c r="J681" s="58"/>
      <c r="K681" s="132" t="str">
        <f t="shared" si="40"/>
        <v/>
      </c>
      <c r="M681" s="68" t="str">
        <f t="shared" si="41"/>
        <v/>
      </c>
      <c r="N681" s="59" t="str">
        <f>IF('Prod 1'!E681="","",'Prod 1'!E681)</f>
        <v/>
      </c>
      <c r="O681" s="59" t="str">
        <f t="shared" si="42"/>
        <v/>
      </c>
      <c r="P681" s="59" t="str">
        <f t="shared" si="43"/>
        <v/>
      </c>
    </row>
    <row r="682" spans="3:16" ht="30" customHeight="1" x14ac:dyDescent="0.25">
      <c r="C682" s="42">
        <v>678</v>
      </c>
      <c r="D682" s="67" t="str">
        <f>IF('Prod 1'!D682="","",'Prod 1'!D682)</f>
        <v/>
      </c>
      <c r="E682" s="64"/>
      <c r="F682" s="58"/>
      <c r="G682" s="65"/>
      <c r="H682" s="65"/>
      <c r="I682" s="58"/>
      <c r="J682" s="58"/>
      <c r="K682" s="132" t="str">
        <f t="shared" si="40"/>
        <v/>
      </c>
      <c r="M682" s="68" t="str">
        <f t="shared" si="41"/>
        <v/>
      </c>
      <c r="N682" s="59" t="str">
        <f>IF('Prod 1'!E682="","",'Prod 1'!E682)</f>
        <v/>
      </c>
      <c r="O682" s="59" t="str">
        <f t="shared" si="42"/>
        <v/>
      </c>
      <c r="P682" s="59" t="str">
        <f t="shared" si="43"/>
        <v/>
      </c>
    </row>
    <row r="683" spans="3:16" ht="30" customHeight="1" x14ac:dyDescent="0.25">
      <c r="C683" s="42">
        <v>679</v>
      </c>
      <c r="D683" s="67" t="str">
        <f>IF('Prod 1'!D683="","",'Prod 1'!D683)</f>
        <v/>
      </c>
      <c r="E683" s="64"/>
      <c r="F683" s="58"/>
      <c r="G683" s="65"/>
      <c r="H683" s="65"/>
      <c r="I683" s="58"/>
      <c r="J683" s="58"/>
      <c r="K683" s="132" t="str">
        <f t="shared" si="40"/>
        <v/>
      </c>
      <c r="M683" s="68" t="str">
        <f t="shared" si="41"/>
        <v/>
      </c>
      <c r="N683" s="59" t="str">
        <f>IF('Prod 1'!E683="","",'Prod 1'!E683)</f>
        <v/>
      </c>
      <c r="O683" s="59" t="str">
        <f t="shared" si="42"/>
        <v/>
      </c>
      <c r="P683" s="59" t="str">
        <f t="shared" si="43"/>
        <v/>
      </c>
    </row>
    <row r="684" spans="3:16" ht="30" customHeight="1" x14ac:dyDescent="0.25">
      <c r="C684" s="42">
        <v>680</v>
      </c>
      <c r="D684" s="67" t="str">
        <f>IF('Prod 1'!D684="","",'Prod 1'!D684)</f>
        <v/>
      </c>
      <c r="E684" s="64"/>
      <c r="F684" s="58"/>
      <c r="G684" s="65"/>
      <c r="H684" s="65"/>
      <c r="I684" s="58"/>
      <c r="J684" s="58"/>
      <c r="K684" s="132" t="str">
        <f t="shared" si="40"/>
        <v/>
      </c>
      <c r="M684" s="68" t="str">
        <f t="shared" si="41"/>
        <v/>
      </c>
      <c r="N684" s="59" t="str">
        <f>IF('Prod 1'!E684="","",'Prod 1'!E684)</f>
        <v/>
      </c>
      <c r="O684" s="59" t="str">
        <f t="shared" si="42"/>
        <v/>
      </c>
      <c r="P684" s="59" t="str">
        <f t="shared" si="43"/>
        <v/>
      </c>
    </row>
    <row r="685" spans="3:16" ht="30" customHeight="1" x14ac:dyDescent="0.25">
      <c r="C685" s="42">
        <v>681</v>
      </c>
      <c r="D685" s="67" t="str">
        <f>IF('Prod 1'!D685="","",'Prod 1'!D685)</f>
        <v/>
      </c>
      <c r="E685" s="64"/>
      <c r="F685" s="58"/>
      <c r="G685" s="65"/>
      <c r="H685" s="65"/>
      <c r="I685" s="58"/>
      <c r="J685" s="58"/>
      <c r="K685" s="132" t="str">
        <f t="shared" si="40"/>
        <v/>
      </c>
      <c r="M685" s="68" t="str">
        <f t="shared" si="41"/>
        <v/>
      </c>
      <c r="N685" s="59" t="str">
        <f>IF('Prod 1'!E685="","",'Prod 1'!E685)</f>
        <v/>
      </c>
      <c r="O685" s="59" t="str">
        <f t="shared" si="42"/>
        <v/>
      </c>
      <c r="P685" s="59" t="str">
        <f t="shared" si="43"/>
        <v/>
      </c>
    </row>
    <row r="686" spans="3:16" ht="30" customHeight="1" x14ac:dyDescent="0.25">
      <c r="C686" s="42">
        <v>682</v>
      </c>
      <c r="D686" s="67" t="str">
        <f>IF('Prod 1'!D686="","",'Prod 1'!D686)</f>
        <v/>
      </c>
      <c r="E686" s="64"/>
      <c r="F686" s="58"/>
      <c r="G686" s="65"/>
      <c r="H686" s="65"/>
      <c r="I686" s="58"/>
      <c r="J686" s="58"/>
      <c r="K686" s="132" t="str">
        <f t="shared" si="40"/>
        <v/>
      </c>
      <c r="M686" s="68" t="str">
        <f t="shared" si="41"/>
        <v/>
      </c>
      <c r="N686" s="59" t="str">
        <f>IF('Prod 1'!E686="","",'Prod 1'!E686)</f>
        <v/>
      </c>
      <c r="O686" s="59" t="str">
        <f t="shared" si="42"/>
        <v/>
      </c>
      <c r="P686" s="59" t="str">
        <f t="shared" si="43"/>
        <v/>
      </c>
    </row>
    <row r="687" spans="3:16" ht="30" customHeight="1" x14ac:dyDescent="0.25">
      <c r="C687" s="42">
        <v>683</v>
      </c>
      <c r="D687" s="67" t="str">
        <f>IF('Prod 1'!D687="","",'Prod 1'!D687)</f>
        <v/>
      </c>
      <c r="E687" s="64"/>
      <c r="F687" s="58"/>
      <c r="G687" s="65"/>
      <c r="H687" s="65"/>
      <c r="I687" s="58"/>
      <c r="J687" s="58"/>
      <c r="K687" s="132" t="str">
        <f t="shared" si="40"/>
        <v/>
      </c>
      <c r="M687" s="68" t="str">
        <f t="shared" si="41"/>
        <v/>
      </c>
      <c r="N687" s="59" t="str">
        <f>IF('Prod 1'!E687="","",'Prod 1'!E687)</f>
        <v/>
      </c>
      <c r="O687" s="59" t="str">
        <f t="shared" si="42"/>
        <v/>
      </c>
      <c r="P687" s="59" t="str">
        <f t="shared" si="43"/>
        <v/>
      </c>
    </row>
    <row r="688" spans="3:16" ht="30" customHeight="1" x14ac:dyDescent="0.25">
      <c r="C688" s="42">
        <v>684</v>
      </c>
      <c r="D688" s="67" t="str">
        <f>IF('Prod 1'!D688="","",'Prod 1'!D688)</f>
        <v/>
      </c>
      <c r="E688" s="64"/>
      <c r="F688" s="58"/>
      <c r="G688" s="65"/>
      <c r="H688" s="65"/>
      <c r="I688" s="58"/>
      <c r="J688" s="58"/>
      <c r="K688" s="132" t="str">
        <f t="shared" si="40"/>
        <v/>
      </c>
      <c r="M688" s="68" t="str">
        <f t="shared" si="41"/>
        <v/>
      </c>
      <c r="N688" s="59" t="str">
        <f>IF('Prod 1'!E688="","",'Prod 1'!E688)</f>
        <v/>
      </c>
      <c r="O688" s="59" t="str">
        <f t="shared" si="42"/>
        <v/>
      </c>
      <c r="P688" s="59" t="str">
        <f t="shared" si="43"/>
        <v/>
      </c>
    </row>
    <row r="689" spans="3:16" ht="30" customHeight="1" x14ac:dyDescent="0.25">
      <c r="C689" s="42">
        <v>685</v>
      </c>
      <c r="D689" s="67" t="str">
        <f>IF('Prod 1'!D689="","",'Prod 1'!D689)</f>
        <v/>
      </c>
      <c r="E689" s="64"/>
      <c r="F689" s="58"/>
      <c r="G689" s="65"/>
      <c r="H689" s="65"/>
      <c r="I689" s="58"/>
      <c r="J689" s="58"/>
      <c r="K689" s="132" t="str">
        <f t="shared" si="40"/>
        <v/>
      </c>
      <c r="M689" s="68" t="str">
        <f t="shared" si="41"/>
        <v/>
      </c>
      <c r="N689" s="59" t="str">
        <f>IF('Prod 1'!E689="","",'Prod 1'!E689)</f>
        <v/>
      </c>
      <c r="O689" s="59" t="str">
        <f t="shared" si="42"/>
        <v/>
      </c>
      <c r="P689" s="59" t="str">
        <f t="shared" si="43"/>
        <v/>
      </c>
    </row>
    <row r="690" spans="3:16" ht="30" customHeight="1" x14ac:dyDescent="0.25">
      <c r="C690" s="42">
        <v>686</v>
      </c>
      <c r="D690" s="67" t="str">
        <f>IF('Prod 1'!D690="","",'Prod 1'!D690)</f>
        <v/>
      </c>
      <c r="E690" s="64"/>
      <c r="F690" s="58"/>
      <c r="G690" s="65"/>
      <c r="H690" s="65"/>
      <c r="I690" s="58"/>
      <c r="J690" s="58"/>
      <c r="K690" s="132" t="str">
        <f t="shared" si="40"/>
        <v/>
      </c>
      <c r="M690" s="68" t="str">
        <f t="shared" si="41"/>
        <v/>
      </c>
      <c r="N690" s="59" t="str">
        <f>IF('Prod 1'!E690="","",'Prod 1'!E690)</f>
        <v/>
      </c>
      <c r="O690" s="59" t="str">
        <f t="shared" si="42"/>
        <v/>
      </c>
      <c r="P690" s="59" t="str">
        <f t="shared" si="43"/>
        <v/>
      </c>
    </row>
    <row r="691" spans="3:16" ht="30" customHeight="1" x14ac:dyDescent="0.25">
      <c r="C691" s="42">
        <v>687</v>
      </c>
      <c r="D691" s="67" t="str">
        <f>IF('Prod 1'!D691="","",'Prod 1'!D691)</f>
        <v/>
      </c>
      <c r="E691" s="64"/>
      <c r="F691" s="58"/>
      <c r="G691" s="65"/>
      <c r="H691" s="65"/>
      <c r="I691" s="58"/>
      <c r="J691" s="58"/>
      <c r="K691" s="132" t="str">
        <f t="shared" si="40"/>
        <v/>
      </c>
      <c r="M691" s="68" t="str">
        <f t="shared" si="41"/>
        <v/>
      </c>
      <c r="N691" s="59" t="str">
        <f>IF('Prod 1'!E691="","",'Prod 1'!E691)</f>
        <v/>
      </c>
      <c r="O691" s="59" t="str">
        <f t="shared" si="42"/>
        <v/>
      </c>
      <c r="P691" s="59" t="str">
        <f t="shared" si="43"/>
        <v/>
      </c>
    </row>
    <row r="692" spans="3:16" ht="30" customHeight="1" x14ac:dyDescent="0.25">
      <c r="C692" s="42">
        <v>688</v>
      </c>
      <c r="D692" s="67" t="str">
        <f>IF('Prod 1'!D692="","",'Prod 1'!D692)</f>
        <v/>
      </c>
      <c r="E692" s="64"/>
      <c r="F692" s="58"/>
      <c r="G692" s="65"/>
      <c r="H692" s="65"/>
      <c r="I692" s="58"/>
      <c r="J692" s="58"/>
      <c r="K692" s="132" t="str">
        <f t="shared" si="40"/>
        <v/>
      </c>
      <c r="M692" s="68" t="str">
        <f t="shared" si="41"/>
        <v/>
      </c>
      <c r="N692" s="59" t="str">
        <f>IF('Prod 1'!E692="","",'Prod 1'!E692)</f>
        <v/>
      </c>
      <c r="O692" s="59" t="str">
        <f t="shared" si="42"/>
        <v/>
      </c>
      <c r="P692" s="59" t="str">
        <f t="shared" si="43"/>
        <v/>
      </c>
    </row>
    <row r="693" spans="3:16" ht="30" customHeight="1" x14ac:dyDescent="0.25">
      <c r="C693" s="42">
        <v>689</v>
      </c>
      <c r="D693" s="67" t="str">
        <f>IF('Prod 1'!D693="","",'Prod 1'!D693)</f>
        <v/>
      </c>
      <c r="E693" s="64"/>
      <c r="F693" s="58"/>
      <c r="G693" s="65"/>
      <c r="H693" s="65"/>
      <c r="I693" s="58"/>
      <c r="J693" s="58"/>
      <c r="K693" s="132" t="str">
        <f t="shared" si="40"/>
        <v/>
      </c>
      <c r="M693" s="68" t="str">
        <f t="shared" si="41"/>
        <v/>
      </c>
      <c r="N693" s="59" t="str">
        <f>IF('Prod 1'!E693="","",'Prod 1'!E693)</f>
        <v/>
      </c>
      <c r="O693" s="59" t="str">
        <f t="shared" si="42"/>
        <v/>
      </c>
      <c r="P693" s="59" t="str">
        <f t="shared" si="43"/>
        <v/>
      </c>
    </row>
    <row r="694" spans="3:16" ht="30" customHeight="1" x14ac:dyDescent="0.25">
      <c r="C694" s="42">
        <v>690</v>
      </c>
      <c r="D694" s="67" t="str">
        <f>IF('Prod 1'!D694="","",'Prod 1'!D694)</f>
        <v/>
      </c>
      <c r="E694" s="64"/>
      <c r="F694" s="58"/>
      <c r="G694" s="65"/>
      <c r="H694" s="65"/>
      <c r="I694" s="58"/>
      <c r="J694" s="58"/>
      <c r="K694" s="132" t="str">
        <f t="shared" si="40"/>
        <v/>
      </c>
      <c r="M694" s="68" t="str">
        <f t="shared" si="41"/>
        <v/>
      </c>
      <c r="N694" s="59" t="str">
        <f>IF('Prod 1'!E694="","",'Prod 1'!E694)</f>
        <v/>
      </c>
      <c r="O694" s="59" t="str">
        <f t="shared" si="42"/>
        <v/>
      </c>
      <c r="P694" s="59" t="str">
        <f t="shared" si="43"/>
        <v/>
      </c>
    </row>
    <row r="695" spans="3:16" ht="30" customHeight="1" x14ac:dyDescent="0.25">
      <c r="C695" s="42">
        <v>691</v>
      </c>
      <c r="D695" s="67" t="str">
        <f>IF('Prod 1'!D695="","",'Prod 1'!D695)</f>
        <v/>
      </c>
      <c r="E695" s="64"/>
      <c r="F695" s="58"/>
      <c r="G695" s="65"/>
      <c r="H695" s="65"/>
      <c r="I695" s="58"/>
      <c r="J695" s="58"/>
      <c r="K695" s="132" t="str">
        <f t="shared" si="40"/>
        <v/>
      </c>
      <c r="M695" s="68" t="str">
        <f t="shared" si="41"/>
        <v/>
      </c>
      <c r="N695" s="59" t="str">
        <f>IF('Prod 1'!E695="","",'Prod 1'!E695)</f>
        <v/>
      </c>
      <c r="O695" s="59" t="str">
        <f t="shared" si="42"/>
        <v/>
      </c>
      <c r="P695" s="59" t="str">
        <f t="shared" si="43"/>
        <v/>
      </c>
    </row>
    <row r="696" spans="3:16" ht="30" customHeight="1" x14ac:dyDescent="0.25">
      <c r="C696" s="42">
        <v>692</v>
      </c>
      <c r="D696" s="67" t="str">
        <f>IF('Prod 1'!D696="","",'Prod 1'!D696)</f>
        <v/>
      </c>
      <c r="E696" s="64"/>
      <c r="F696" s="58"/>
      <c r="G696" s="65"/>
      <c r="H696" s="65"/>
      <c r="I696" s="58"/>
      <c r="J696" s="58"/>
      <c r="K696" s="132" t="str">
        <f t="shared" si="40"/>
        <v/>
      </c>
      <c r="M696" s="68" t="str">
        <f t="shared" si="41"/>
        <v/>
      </c>
      <c r="N696" s="59" t="str">
        <f>IF('Prod 1'!E696="","",'Prod 1'!E696)</f>
        <v/>
      </c>
      <c r="O696" s="59" t="str">
        <f t="shared" si="42"/>
        <v/>
      </c>
      <c r="P696" s="59" t="str">
        <f t="shared" si="43"/>
        <v/>
      </c>
    </row>
    <row r="697" spans="3:16" ht="30" customHeight="1" x14ac:dyDescent="0.25">
      <c r="C697" s="42">
        <v>693</v>
      </c>
      <c r="D697" s="67" t="str">
        <f>IF('Prod 1'!D697="","",'Prod 1'!D697)</f>
        <v/>
      </c>
      <c r="E697" s="64"/>
      <c r="F697" s="58"/>
      <c r="G697" s="65"/>
      <c r="H697" s="65"/>
      <c r="I697" s="58"/>
      <c r="J697" s="58"/>
      <c r="K697" s="132" t="str">
        <f t="shared" si="40"/>
        <v/>
      </c>
      <c r="M697" s="68" t="str">
        <f t="shared" si="41"/>
        <v/>
      </c>
      <c r="N697" s="59" t="str">
        <f>IF('Prod 1'!E697="","",'Prod 1'!E697)</f>
        <v/>
      </c>
      <c r="O697" s="59" t="str">
        <f t="shared" si="42"/>
        <v/>
      </c>
      <c r="P697" s="59" t="str">
        <f t="shared" si="43"/>
        <v/>
      </c>
    </row>
    <row r="698" spans="3:16" ht="30" customHeight="1" x14ac:dyDescent="0.25">
      <c r="C698" s="42">
        <v>694</v>
      </c>
      <c r="D698" s="67" t="str">
        <f>IF('Prod 1'!D698="","",'Prod 1'!D698)</f>
        <v/>
      </c>
      <c r="E698" s="64"/>
      <c r="F698" s="58"/>
      <c r="G698" s="65"/>
      <c r="H698" s="65"/>
      <c r="I698" s="58"/>
      <c r="J698" s="58"/>
      <c r="K698" s="132" t="str">
        <f t="shared" si="40"/>
        <v/>
      </c>
      <c r="M698" s="68" t="str">
        <f t="shared" si="41"/>
        <v/>
      </c>
      <c r="N698" s="59" t="str">
        <f>IF('Prod 1'!E698="","",'Prod 1'!E698)</f>
        <v/>
      </c>
      <c r="O698" s="59" t="str">
        <f t="shared" si="42"/>
        <v/>
      </c>
      <c r="P698" s="59" t="str">
        <f t="shared" si="43"/>
        <v/>
      </c>
    </row>
    <row r="699" spans="3:16" ht="30" customHeight="1" x14ac:dyDescent="0.25">
      <c r="C699" s="42">
        <v>695</v>
      </c>
      <c r="D699" s="67" t="str">
        <f>IF('Prod 1'!D699="","",'Prod 1'!D699)</f>
        <v/>
      </c>
      <c r="E699" s="64"/>
      <c r="F699" s="58"/>
      <c r="G699" s="65"/>
      <c r="H699" s="65"/>
      <c r="I699" s="58"/>
      <c r="J699" s="58"/>
      <c r="K699" s="132" t="str">
        <f t="shared" si="40"/>
        <v/>
      </c>
      <c r="M699" s="68" t="str">
        <f t="shared" si="41"/>
        <v/>
      </c>
      <c r="N699" s="59" t="str">
        <f>IF('Prod 1'!E699="","",'Prod 1'!E699)</f>
        <v/>
      </c>
      <c r="O699" s="59" t="str">
        <f t="shared" si="42"/>
        <v/>
      </c>
      <c r="P699" s="59" t="str">
        <f t="shared" si="43"/>
        <v/>
      </c>
    </row>
    <row r="700" spans="3:16" ht="30" customHeight="1" x14ac:dyDescent="0.25">
      <c r="C700" s="42">
        <v>696</v>
      </c>
      <c r="D700" s="67" t="str">
        <f>IF('Prod 1'!D700="","",'Prod 1'!D700)</f>
        <v/>
      </c>
      <c r="E700" s="64"/>
      <c r="F700" s="58"/>
      <c r="G700" s="65"/>
      <c r="H700" s="65"/>
      <c r="I700" s="58"/>
      <c r="J700" s="58"/>
      <c r="K700" s="132" t="str">
        <f t="shared" si="40"/>
        <v/>
      </c>
      <c r="M700" s="68" t="str">
        <f t="shared" si="41"/>
        <v/>
      </c>
      <c r="N700" s="59" t="str">
        <f>IF('Prod 1'!E700="","",'Prod 1'!E700)</f>
        <v/>
      </c>
      <c r="O700" s="59" t="str">
        <f t="shared" si="42"/>
        <v/>
      </c>
      <c r="P700" s="59" t="str">
        <f t="shared" si="43"/>
        <v/>
      </c>
    </row>
    <row r="701" spans="3:16" ht="30" customHeight="1" x14ac:dyDescent="0.25">
      <c r="C701" s="42">
        <v>697</v>
      </c>
      <c r="D701" s="67" t="str">
        <f>IF('Prod 1'!D701="","",'Prod 1'!D701)</f>
        <v/>
      </c>
      <c r="E701" s="64"/>
      <c r="F701" s="58"/>
      <c r="G701" s="65"/>
      <c r="H701" s="65"/>
      <c r="I701" s="58"/>
      <c r="J701" s="58"/>
      <c r="K701" s="132" t="str">
        <f t="shared" si="40"/>
        <v/>
      </c>
      <c r="M701" s="68" t="str">
        <f t="shared" si="41"/>
        <v/>
      </c>
      <c r="N701" s="59" t="str">
        <f>IF('Prod 1'!E701="","",'Prod 1'!E701)</f>
        <v/>
      </c>
      <c r="O701" s="59" t="str">
        <f t="shared" si="42"/>
        <v/>
      </c>
      <c r="P701" s="59" t="str">
        <f t="shared" si="43"/>
        <v/>
      </c>
    </row>
    <row r="702" spans="3:16" ht="30" customHeight="1" x14ac:dyDescent="0.25">
      <c r="C702" s="42">
        <v>698</v>
      </c>
      <c r="D702" s="67" t="str">
        <f>IF('Prod 1'!D702="","",'Prod 1'!D702)</f>
        <v/>
      </c>
      <c r="E702" s="64"/>
      <c r="F702" s="58"/>
      <c r="G702" s="65"/>
      <c r="H702" s="65"/>
      <c r="I702" s="58"/>
      <c r="J702" s="58"/>
      <c r="K702" s="132" t="str">
        <f t="shared" si="40"/>
        <v/>
      </c>
      <c r="M702" s="68" t="str">
        <f t="shared" si="41"/>
        <v/>
      </c>
      <c r="N702" s="59" t="str">
        <f>IF('Prod 1'!E702="","",'Prod 1'!E702)</f>
        <v/>
      </c>
      <c r="O702" s="59" t="str">
        <f t="shared" si="42"/>
        <v/>
      </c>
      <c r="P702" s="59" t="str">
        <f t="shared" si="43"/>
        <v/>
      </c>
    </row>
    <row r="703" spans="3:16" ht="30" customHeight="1" x14ac:dyDescent="0.25">
      <c r="C703" s="42">
        <v>699</v>
      </c>
      <c r="D703" s="67" t="str">
        <f>IF('Prod 1'!D703="","",'Prod 1'!D703)</f>
        <v/>
      </c>
      <c r="E703" s="64"/>
      <c r="F703" s="58"/>
      <c r="G703" s="65"/>
      <c r="H703" s="65"/>
      <c r="I703" s="58"/>
      <c r="J703" s="58"/>
      <c r="K703" s="132" t="str">
        <f t="shared" si="40"/>
        <v/>
      </c>
      <c r="M703" s="68" t="str">
        <f t="shared" si="41"/>
        <v/>
      </c>
      <c r="N703" s="59" t="str">
        <f>IF('Prod 1'!E703="","",'Prod 1'!E703)</f>
        <v/>
      </c>
      <c r="O703" s="59" t="str">
        <f t="shared" si="42"/>
        <v/>
      </c>
      <c r="P703" s="59" t="str">
        <f t="shared" si="43"/>
        <v/>
      </c>
    </row>
    <row r="704" spans="3:16" ht="30" customHeight="1" x14ac:dyDescent="0.25">
      <c r="C704" s="42">
        <v>700</v>
      </c>
      <c r="D704" s="67" t="str">
        <f>IF('Prod 1'!D704="","",'Prod 1'!D704)</f>
        <v/>
      </c>
      <c r="E704" s="64"/>
      <c r="F704" s="58"/>
      <c r="G704" s="65"/>
      <c r="H704" s="65"/>
      <c r="I704" s="58"/>
      <c r="J704" s="58"/>
      <c r="K704" s="132" t="str">
        <f t="shared" si="40"/>
        <v/>
      </c>
      <c r="M704" s="68" t="str">
        <f t="shared" si="41"/>
        <v/>
      </c>
      <c r="N704" s="59" t="str">
        <f>IF('Prod 1'!E704="","",'Prod 1'!E704)</f>
        <v/>
      </c>
      <c r="O704" s="59" t="str">
        <f t="shared" si="42"/>
        <v/>
      </c>
      <c r="P704" s="59" t="str">
        <f t="shared" si="43"/>
        <v/>
      </c>
    </row>
    <row r="705" spans="3:16" ht="30" customHeight="1" x14ac:dyDescent="0.25">
      <c r="C705" s="42">
        <v>701</v>
      </c>
      <c r="D705" s="67" t="str">
        <f>IF('Prod 1'!D705="","",'Prod 1'!D705)</f>
        <v/>
      </c>
      <c r="E705" s="64"/>
      <c r="F705" s="58"/>
      <c r="G705" s="65"/>
      <c r="H705" s="65"/>
      <c r="I705" s="58"/>
      <c r="J705" s="58"/>
      <c r="K705" s="132" t="str">
        <f t="shared" si="40"/>
        <v/>
      </c>
      <c r="M705" s="68" t="str">
        <f t="shared" si="41"/>
        <v/>
      </c>
      <c r="N705" s="59" t="str">
        <f>IF('Prod 1'!E705="","",'Prod 1'!E705)</f>
        <v/>
      </c>
      <c r="O705" s="59" t="str">
        <f t="shared" si="42"/>
        <v/>
      </c>
      <c r="P705" s="59" t="str">
        <f t="shared" si="43"/>
        <v/>
      </c>
    </row>
    <row r="706" spans="3:16" ht="30" customHeight="1" x14ac:dyDescent="0.25">
      <c r="C706" s="42">
        <v>702</v>
      </c>
      <c r="D706" s="67" t="str">
        <f>IF('Prod 1'!D706="","",'Prod 1'!D706)</f>
        <v/>
      </c>
      <c r="E706" s="64"/>
      <c r="F706" s="58"/>
      <c r="G706" s="65"/>
      <c r="H706" s="65"/>
      <c r="I706" s="58"/>
      <c r="J706" s="58"/>
      <c r="K706" s="132" t="str">
        <f t="shared" si="40"/>
        <v/>
      </c>
      <c r="M706" s="68" t="str">
        <f t="shared" si="41"/>
        <v/>
      </c>
      <c r="N706" s="59" t="str">
        <f>IF('Prod 1'!E706="","",'Prod 1'!E706)</f>
        <v/>
      </c>
      <c r="O706" s="59" t="str">
        <f t="shared" si="42"/>
        <v/>
      </c>
      <c r="P706" s="59" t="str">
        <f t="shared" si="43"/>
        <v/>
      </c>
    </row>
    <row r="707" spans="3:16" ht="30" customHeight="1" x14ac:dyDescent="0.25">
      <c r="C707" s="42">
        <v>703</v>
      </c>
      <c r="D707" s="67" t="str">
        <f>IF('Prod 1'!D707="","",'Prod 1'!D707)</f>
        <v/>
      </c>
      <c r="E707" s="64"/>
      <c r="F707" s="58"/>
      <c r="G707" s="65"/>
      <c r="H707" s="65"/>
      <c r="I707" s="58"/>
      <c r="J707" s="58"/>
      <c r="K707" s="132" t="str">
        <f t="shared" si="40"/>
        <v/>
      </c>
      <c r="M707" s="68" t="str">
        <f t="shared" si="41"/>
        <v/>
      </c>
      <c r="N707" s="59" t="str">
        <f>IF('Prod 1'!E707="","",'Prod 1'!E707)</f>
        <v/>
      </c>
      <c r="O707" s="59" t="str">
        <f t="shared" si="42"/>
        <v/>
      </c>
      <c r="P707" s="59" t="str">
        <f t="shared" si="43"/>
        <v/>
      </c>
    </row>
    <row r="708" spans="3:16" ht="30" customHeight="1" x14ac:dyDescent="0.25">
      <c r="C708" s="42">
        <v>704</v>
      </c>
      <c r="D708" s="67" t="str">
        <f>IF('Prod 1'!D708="","",'Prod 1'!D708)</f>
        <v/>
      </c>
      <c r="E708" s="64"/>
      <c r="F708" s="58"/>
      <c r="G708" s="65"/>
      <c r="H708" s="65"/>
      <c r="I708" s="58"/>
      <c r="J708" s="58"/>
      <c r="K708" s="132" t="str">
        <f t="shared" si="40"/>
        <v/>
      </c>
      <c r="M708" s="68" t="str">
        <f t="shared" si="41"/>
        <v/>
      </c>
      <c r="N708" s="59" t="str">
        <f>IF('Prod 1'!E708="","",'Prod 1'!E708)</f>
        <v/>
      </c>
      <c r="O708" s="59" t="str">
        <f t="shared" si="42"/>
        <v/>
      </c>
      <c r="P708" s="59" t="str">
        <f t="shared" si="43"/>
        <v/>
      </c>
    </row>
    <row r="709" spans="3:16" ht="30" customHeight="1" x14ac:dyDescent="0.25">
      <c r="C709" s="42">
        <v>705</v>
      </c>
      <c r="D709" s="67" t="str">
        <f>IF('Prod 1'!D709="","",'Prod 1'!D709)</f>
        <v/>
      </c>
      <c r="E709" s="64"/>
      <c r="F709" s="58"/>
      <c r="G709" s="65"/>
      <c r="H709" s="65"/>
      <c r="I709" s="58"/>
      <c r="J709" s="58"/>
      <c r="K709" s="132" t="str">
        <f t="shared" si="40"/>
        <v/>
      </c>
      <c r="M709" s="68" t="str">
        <f t="shared" si="41"/>
        <v/>
      </c>
      <c r="N709" s="59" t="str">
        <f>IF('Prod 1'!E709="","",'Prod 1'!E709)</f>
        <v/>
      </c>
      <c r="O709" s="59" t="str">
        <f t="shared" si="42"/>
        <v/>
      </c>
      <c r="P709" s="59" t="str">
        <f t="shared" si="43"/>
        <v/>
      </c>
    </row>
    <row r="710" spans="3:16" ht="30" customHeight="1" x14ac:dyDescent="0.25">
      <c r="C710" s="42">
        <v>706</v>
      </c>
      <c r="D710" s="67" t="str">
        <f>IF('Prod 1'!D710="","",'Prod 1'!D710)</f>
        <v/>
      </c>
      <c r="E710" s="64"/>
      <c r="F710" s="58"/>
      <c r="G710" s="65"/>
      <c r="H710" s="65"/>
      <c r="I710" s="58"/>
      <c r="J710" s="58"/>
      <c r="K710" s="132" t="str">
        <f t="shared" ref="K710:K773" si="44">IF(E710="","",IF(E710="Produção",SUM(I710:J710)+SUM(O710:P710),F710))</f>
        <v/>
      </c>
      <c r="M710" s="68" t="str">
        <f t="shared" ref="M710:M773" si="45">IFERROR(IF(D710="","",100%),0)</f>
        <v/>
      </c>
      <c r="N710" s="59" t="str">
        <f>IF('Prod 1'!E710="","",'Prod 1'!E710)</f>
        <v/>
      </c>
      <c r="O710" s="59" t="str">
        <f t="shared" ref="O710:O773" si="46">IFERROR(IF(D710="","",N710*G710),0)</f>
        <v/>
      </c>
      <c r="P710" s="59" t="str">
        <f t="shared" ref="P710:P773" si="47">IFERROR(IF(D710="","",N710*H710),0)</f>
        <v/>
      </c>
    </row>
    <row r="711" spans="3:16" ht="30" customHeight="1" x14ac:dyDescent="0.25">
      <c r="C711" s="42">
        <v>707</v>
      </c>
      <c r="D711" s="67" t="str">
        <f>IF('Prod 1'!D711="","",'Prod 1'!D711)</f>
        <v/>
      </c>
      <c r="E711" s="64"/>
      <c r="F711" s="58"/>
      <c r="G711" s="65"/>
      <c r="H711" s="65"/>
      <c r="I711" s="58"/>
      <c r="J711" s="58"/>
      <c r="K711" s="132" t="str">
        <f t="shared" si="44"/>
        <v/>
      </c>
      <c r="M711" s="68" t="str">
        <f t="shared" si="45"/>
        <v/>
      </c>
      <c r="N711" s="59" t="str">
        <f>IF('Prod 1'!E711="","",'Prod 1'!E711)</f>
        <v/>
      </c>
      <c r="O711" s="59" t="str">
        <f t="shared" si="46"/>
        <v/>
      </c>
      <c r="P711" s="59" t="str">
        <f t="shared" si="47"/>
        <v/>
      </c>
    </row>
    <row r="712" spans="3:16" ht="30" customHeight="1" x14ac:dyDescent="0.25">
      <c r="C712" s="42">
        <v>708</v>
      </c>
      <c r="D712" s="67" t="str">
        <f>IF('Prod 1'!D712="","",'Prod 1'!D712)</f>
        <v/>
      </c>
      <c r="E712" s="64"/>
      <c r="F712" s="58"/>
      <c r="G712" s="65"/>
      <c r="H712" s="65"/>
      <c r="I712" s="58"/>
      <c r="J712" s="58"/>
      <c r="K712" s="132" t="str">
        <f t="shared" si="44"/>
        <v/>
      </c>
      <c r="M712" s="68" t="str">
        <f t="shared" si="45"/>
        <v/>
      </c>
      <c r="N712" s="59" t="str">
        <f>IF('Prod 1'!E712="","",'Prod 1'!E712)</f>
        <v/>
      </c>
      <c r="O712" s="59" t="str">
        <f t="shared" si="46"/>
        <v/>
      </c>
      <c r="P712" s="59" t="str">
        <f t="shared" si="47"/>
        <v/>
      </c>
    </row>
    <row r="713" spans="3:16" ht="30" customHeight="1" x14ac:dyDescent="0.25">
      <c r="C713" s="42">
        <v>709</v>
      </c>
      <c r="D713" s="67" t="str">
        <f>IF('Prod 1'!D713="","",'Prod 1'!D713)</f>
        <v/>
      </c>
      <c r="E713" s="64"/>
      <c r="F713" s="58"/>
      <c r="G713" s="65"/>
      <c r="H713" s="65"/>
      <c r="I713" s="58"/>
      <c r="J713" s="58"/>
      <c r="K713" s="132" t="str">
        <f t="shared" si="44"/>
        <v/>
      </c>
      <c r="M713" s="68" t="str">
        <f t="shared" si="45"/>
        <v/>
      </c>
      <c r="N713" s="59" t="str">
        <f>IF('Prod 1'!E713="","",'Prod 1'!E713)</f>
        <v/>
      </c>
      <c r="O713" s="59" t="str">
        <f t="shared" si="46"/>
        <v/>
      </c>
      <c r="P713" s="59" t="str">
        <f t="shared" si="47"/>
        <v/>
      </c>
    </row>
    <row r="714" spans="3:16" ht="30" customHeight="1" x14ac:dyDescent="0.25">
      <c r="C714" s="42">
        <v>710</v>
      </c>
      <c r="D714" s="67" t="str">
        <f>IF('Prod 1'!D714="","",'Prod 1'!D714)</f>
        <v/>
      </c>
      <c r="E714" s="64"/>
      <c r="F714" s="58"/>
      <c r="G714" s="65"/>
      <c r="H714" s="65"/>
      <c r="I714" s="58"/>
      <c r="J714" s="58"/>
      <c r="K714" s="132" t="str">
        <f t="shared" si="44"/>
        <v/>
      </c>
      <c r="M714" s="68" t="str">
        <f t="shared" si="45"/>
        <v/>
      </c>
      <c r="N714" s="59" t="str">
        <f>IF('Prod 1'!E714="","",'Prod 1'!E714)</f>
        <v/>
      </c>
      <c r="O714" s="59" t="str">
        <f t="shared" si="46"/>
        <v/>
      </c>
      <c r="P714" s="59" t="str">
        <f t="shared" si="47"/>
        <v/>
      </c>
    </row>
    <row r="715" spans="3:16" ht="30" customHeight="1" x14ac:dyDescent="0.25">
      <c r="C715" s="42">
        <v>711</v>
      </c>
      <c r="D715" s="67" t="str">
        <f>IF('Prod 1'!D715="","",'Prod 1'!D715)</f>
        <v/>
      </c>
      <c r="E715" s="64"/>
      <c r="F715" s="58"/>
      <c r="G715" s="65"/>
      <c r="H715" s="65"/>
      <c r="I715" s="58"/>
      <c r="J715" s="58"/>
      <c r="K715" s="132" t="str">
        <f t="shared" si="44"/>
        <v/>
      </c>
      <c r="M715" s="68" t="str">
        <f t="shared" si="45"/>
        <v/>
      </c>
      <c r="N715" s="59" t="str">
        <f>IF('Prod 1'!E715="","",'Prod 1'!E715)</f>
        <v/>
      </c>
      <c r="O715" s="59" t="str">
        <f t="shared" si="46"/>
        <v/>
      </c>
      <c r="P715" s="59" t="str">
        <f t="shared" si="47"/>
        <v/>
      </c>
    </row>
    <row r="716" spans="3:16" ht="30" customHeight="1" x14ac:dyDescent="0.25">
      <c r="C716" s="42">
        <v>712</v>
      </c>
      <c r="D716" s="67" t="str">
        <f>IF('Prod 1'!D716="","",'Prod 1'!D716)</f>
        <v/>
      </c>
      <c r="E716" s="64"/>
      <c r="F716" s="58"/>
      <c r="G716" s="65"/>
      <c r="H716" s="65"/>
      <c r="I716" s="58"/>
      <c r="J716" s="58"/>
      <c r="K716" s="132" t="str">
        <f t="shared" si="44"/>
        <v/>
      </c>
      <c r="M716" s="68" t="str">
        <f t="shared" si="45"/>
        <v/>
      </c>
      <c r="N716" s="59" t="str">
        <f>IF('Prod 1'!E716="","",'Prod 1'!E716)</f>
        <v/>
      </c>
      <c r="O716" s="59" t="str">
        <f t="shared" si="46"/>
        <v/>
      </c>
      <c r="P716" s="59" t="str">
        <f t="shared" si="47"/>
        <v/>
      </c>
    </row>
    <row r="717" spans="3:16" ht="30" customHeight="1" x14ac:dyDescent="0.25">
      <c r="C717" s="42">
        <v>713</v>
      </c>
      <c r="D717" s="67" t="str">
        <f>IF('Prod 1'!D717="","",'Prod 1'!D717)</f>
        <v/>
      </c>
      <c r="E717" s="64"/>
      <c r="F717" s="58"/>
      <c r="G717" s="65"/>
      <c r="H717" s="65"/>
      <c r="I717" s="58"/>
      <c r="J717" s="58"/>
      <c r="K717" s="132" t="str">
        <f t="shared" si="44"/>
        <v/>
      </c>
      <c r="M717" s="68" t="str">
        <f t="shared" si="45"/>
        <v/>
      </c>
      <c r="N717" s="59" t="str">
        <f>IF('Prod 1'!E717="","",'Prod 1'!E717)</f>
        <v/>
      </c>
      <c r="O717" s="59" t="str">
        <f t="shared" si="46"/>
        <v/>
      </c>
      <c r="P717" s="59" t="str">
        <f t="shared" si="47"/>
        <v/>
      </c>
    </row>
    <row r="718" spans="3:16" ht="30" customHeight="1" x14ac:dyDescent="0.25">
      <c r="C718" s="42">
        <v>714</v>
      </c>
      <c r="D718" s="67" t="str">
        <f>IF('Prod 1'!D718="","",'Prod 1'!D718)</f>
        <v/>
      </c>
      <c r="E718" s="64"/>
      <c r="F718" s="58"/>
      <c r="G718" s="65"/>
      <c r="H718" s="65"/>
      <c r="I718" s="58"/>
      <c r="J718" s="58"/>
      <c r="K718" s="132" t="str">
        <f t="shared" si="44"/>
        <v/>
      </c>
      <c r="M718" s="68" t="str">
        <f t="shared" si="45"/>
        <v/>
      </c>
      <c r="N718" s="59" t="str">
        <f>IF('Prod 1'!E718="","",'Prod 1'!E718)</f>
        <v/>
      </c>
      <c r="O718" s="59" t="str">
        <f t="shared" si="46"/>
        <v/>
      </c>
      <c r="P718" s="59" t="str">
        <f t="shared" si="47"/>
        <v/>
      </c>
    </row>
    <row r="719" spans="3:16" ht="30" customHeight="1" x14ac:dyDescent="0.25">
      <c r="C719" s="42">
        <v>715</v>
      </c>
      <c r="D719" s="67" t="str">
        <f>IF('Prod 1'!D719="","",'Prod 1'!D719)</f>
        <v/>
      </c>
      <c r="E719" s="64"/>
      <c r="F719" s="58"/>
      <c r="G719" s="65"/>
      <c r="H719" s="65"/>
      <c r="I719" s="58"/>
      <c r="J719" s="58"/>
      <c r="K719" s="132" t="str">
        <f t="shared" si="44"/>
        <v/>
      </c>
      <c r="M719" s="68" t="str">
        <f t="shared" si="45"/>
        <v/>
      </c>
      <c r="N719" s="59" t="str">
        <f>IF('Prod 1'!E719="","",'Prod 1'!E719)</f>
        <v/>
      </c>
      <c r="O719" s="59" t="str">
        <f t="shared" si="46"/>
        <v/>
      </c>
      <c r="P719" s="59" t="str">
        <f t="shared" si="47"/>
        <v/>
      </c>
    </row>
    <row r="720" spans="3:16" ht="30" customHeight="1" x14ac:dyDescent="0.25">
      <c r="C720" s="42">
        <v>716</v>
      </c>
      <c r="D720" s="67" t="str">
        <f>IF('Prod 1'!D720="","",'Prod 1'!D720)</f>
        <v/>
      </c>
      <c r="E720" s="64"/>
      <c r="F720" s="58"/>
      <c r="G720" s="65"/>
      <c r="H720" s="65"/>
      <c r="I720" s="58"/>
      <c r="J720" s="58"/>
      <c r="K720" s="132" t="str">
        <f t="shared" si="44"/>
        <v/>
      </c>
      <c r="M720" s="68" t="str">
        <f t="shared" si="45"/>
        <v/>
      </c>
      <c r="N720" s="59" t="str">
        <f>IF('Prod 1'!E720="","",'Prod 1'!E720)</f>
        <v/>
      </c>
      <c r="O720" s="59" t="str">
        <f t="shared" si="46"/>
        <v/>
      </c>
      <c r="P720" s="59" t="str">
        <f t="shared" si="47"/>
        <v/>
      </c>
    </row>
    <row r="721" spans="3:16" ht="30" customHeight="1" x14ac:dyDescent="0.25">
      <c r="C721" s="42">
        <v>717</v>
      </c>
      <c r="D721" s="67" t="str">
        <f>IF('Prod 1'!D721="","",'Prod 1'!D721)</f>
        <v/>
      </c>
      <c r="E721" s="64"/>
      <c r="F721" s="58"/>
      <c r="G721" s="65"/>
      <c r="H721" s="65"/>
      <c r="I721" s="58"/>
      <c r="J721" s="58"/>
      <c r="K721" s="132" t="str">
        <f t="shared" si="44"/>
        <v/>
      </c>
      <c r="M721" s="68" t="str">
        <f t="shared" si="45"/>
        <v/>
      </c>
      <c r="N721" s="59" t="str">
        <f>IF('Prod 1'!E721="","",'Prod 1'!E721)</f>
        <v/>
      </c>
      <c r="O721" s="59" t="str">
        <f t="shared" si="46"/>
        <v/>
      </c>
      <c r="P721" s="59" t="str">
        <f t="shared" si="47"/>
        <v/>
      </c>
    </row>
    <row r="722" spans="3:16" ht="30" customHeight="1" x14ac:dyDescent="0.25">
      <c r="C722" s="42">
        <v>718</v>
      </c>
      <c r="D722" s="67" t="str">
        <f>IF('Prod 1'!D722="","",'Prod 1'!D722)</f>
        <v/>
      </c>
      <c r="E722" s="64"/>
      <c r="F722" s="58"/>
      <c r="G722" s="65"/>
      <c r="H722" s="65"/>
      <c r="I722" s="58"/>
      <c r="J722" s="58"/>
      <c r="K722" s="132" t="str">
        <f t="shared" si="44"/>
        <v/>
      </c>
      <c r="M722" s="68" t="str">
        <f t="shared" si="45"/>
        <v/>
      </c>
      <c r="N722" s="59" t="str">
        <f>IF('Prod 1'!E722="","",'Prod 1'!E722)</f>
        <v/>
      </c>
      <c r="O722" s="59" t="str">
        <f t="shared" si="46"/>
        <v/>
      </c>
      <c r="P722" s="59" t="str">
        <f t="shared" si="47"/>
        <v/>
      </c>
    </row>
    <row r="723" spans="3:16" ht="30" customHeight="1" x14ac:dyDescent="0.25">
      <c r="C723" s="42">
        <v>719</v>
      </c>
      <c r="D723" s="67" t="str">
        <f>IF('Prod 1'!D723="","",'Prod 1'!D723)</f>
        <v/>
      </c>
      <c r="E723" s="64"/>
      <c r="F723" s="58"/>
      <c r="G723" s="65"/>
      <c r="H723" s="65"/>
      <c r="I723" s="58"/>
      <c r="J723" s="58"/>
      <c r="K723" s="132" t="str">
        <f t="shared" si="44"/>
        <v/>
      </c>
      <c r="M723" s="68" t="str">
        <f t="shared" si="45"/>
        <v/>
      </c>
      <c r="N723" s="59" t="str">
        <f>IF('Prod 1'!E723="","",'Prod 1'!E723)</f>
        <v/>
      </c>
      <c r="O723" s="59" t="str">
        <f t="shared" si="46"/>
        <v/>
      </c>
      <c r="P723" s="59" t="str">
        <f t="shared" si="47"/>
        <v/>
      </c>
    </row>
    <row r="724" spans="3:16" ht="30" customHeight="1" x14ac:dyDescent="0.25">
      <c r="C724" s="42">
        <v>720</v>
      </c>
      <c r="D724" s="67" t="str">
        <f>IF('Prod 1'!D724="","",'Prod 1'!D724)</f>
        <v/>
      </c>
      <c r="E724" s="64"/>
      <c r="F724" s="58"/>
      <c r="G724" s="65"/>
      <c r="H724" s="65"/>
      <c r="I724" s="58"/>
      <c r="J724" s="58"/>
      <c r="K724" s="132" t="str">
        <f t="shared" si="44"/>
        <v/>
      </c>
      <c r="M724" s="68" t="str">
        <f t="shared" si="45"/>
        <v/>
      </c>
      <c r="N724" s="59" t="str">
        <f>IF('Prod 1'!E724="","",'Prod 1'!E724)</f>
        <v/>
      </c>
      <c r="O724" s="59" t="str">
        <f t="shared" si="46"/>
        <v/>
      </c>
      <c r="P724" s="59" t="str">
        <f t="shared" si="47"/>
        <v/>
      </c>
    </row>
    <row r="725" spans="3:16" ht="30" customHeight="1" x14ac:dyDescent="0.25">
      <c r="C725" s="42">
        <v>721</v>
      </c>
      <c r="D725" s="67" t="str">
        <f>IF('Prod 1'!D725="","",'Prod 1'!D725)</f>
        <v/>
      </c>
      <c r="E725" s="64"/>
      <c r="F725" s="58"/>
      <c r="G725" s="65"/>
      <c r="H725" s="65"/>
      <c r="I725" s="58"/>
      <c r="J725" s="58"/>
      <c r="K725" s="132" t="str">
        <f t="shared" si="44"/>
        <v/>
      </c>
      <c r="M725" s="68" t="str">
        <f t="shared" si="45"/>
        <v/>
      </c>
      <c r="N725" s="59" t="str">
        <f>IF('Prod 1'!E725="","",'Prod 1'!E725)</f>
        <v/>
      </c>
      <c r="O725" s="59" t="str">
        <f t="shared" si="46"/>
        <v/>
      </c>
      <c r="P725" s="59" t="str">
        <f t="shared" si="47"/>
        <v/>
      </c>
    </row>
    <row r="726" spans="3:16" ht="30" customHeight="1" x14ac:dyDescent="0.25">
      <c r="C726" s="42">
        <v>722</v>
      </c>
      <c r="D726" s="67" t="str">
        <f>IF('Prod 1'!D726="","",'Prod 1'!D726)</f>
        <v/>
      </c>
      <c r="E726" s="64"/>
      <c r="F726" s="58"/>
      <c r="G726" s="65"/>
      <c r="H726" s="65"/>
      <c r="I726" s="58"/>
      <c r="J726" s="58"/>
      <c r="K726" s="132" t="str">
        <f t="shared" si="44"/>
        <v/>
      </c>
      <c r="M726" s="68" t="str">
        <f t="shared" si="45"/>
        <v/>
      </c>
      <c r="N726" s="59" t="str">
        <f>IF('Prod 1'!E726="","",'Prod 1'!E726)</f>
        <v/>
      </c>
      <c r="O726" s="59" t="str">
        <f t="shared" si="46"/>
        <v/>
      </c>
      <c r="P726" s="59" t="str">
        <f t="shared" si="47"/>
        <v/>
      </c>
    </row>
    <row r="727" spans="3:16" ht="30" customHeight="1" x14ac:dyDescent="0.25">
      <c r="C727" s="42">
        <v>723</v>
      </c>
      <c r="D727" s="67" t="str">
        <f>IF('Prod 1'!D727="","",'Prod 1'!D727)</f>
        <v/>
      </c>
      <c r="E727" s="64"/>
      <c r="F727" s="58"/>
      <c r="G727" s="65"/>
      <c r="H727" s="65"/>
      <c r="I727" s="58"/>
      <c r="J727" s="58"/>
      <c r="K727" s="132" t="str">
        <f t="shared" si="44"/>
        <v/>
      </c>
      <c r="M727" s="68" t="str">
        <f t="shared" si="45"/>
        <v/>
      </c>
      <c r="N727" s="59" t="str">
        <f>IF('Prod 1'!E727="","",'Prod 1'!E727)</f>
        <v/>
      </c>
      <c r="O727" s="59" t="str">
        <f t="shared" si="46"/>
        <v/>
      </c>
      <c r="P727" s="59" t="str">
        <f t="shared" si="47"/>
        <v/>
      </c>
    </row>
    <row r="728" spans="3:16" ht="30" customHeight="1" x14ac:dyDescent="0.25">
      <c r="C728" s="42">
        <v>724</v>
      </c>
      <c r="D728" s="67" t="str">
        <f>IF('Prod 1'!D728="","",'Prod 1'!D728)</f>
        <v/>
      </c>
      <c r="E728" s="64"/>
      <c r="F728" s="58"/>
      <c r="G728" s="65"/>
      <c r="H728" s="65"/>
      <c r="I728" s="58"/>
      <c r="J728" s="58"/>
      <c r="K728" s="132" t="str">
        <f t="shared" si="44"/>
        <v/>
      </c>
      <c r="M728" s="68" t="str">
        <f t="shared" si="45"/>
        <v/>
      </c>
      <c r="N728" s="59" t="str">
        <f>IF('Prod 1'!E728="","",'Prod 1'!E728)</f>
        <v/>
      </c>
      <c r="O728" s="59" t="str">
        <f t="shared" si="46"/>
        <v/>
      </c>
      <c r="P728" s="59" t="str">
        <f t="shared" si="47"/>
        <v/>
      </c>
    </row>
    <row r="729" spans="3:16" ht="30" customHeight="1" x14ac:dyDescent="0.25">
      <c r="C729" s="42">
        <v>725</v>
      </c>
      <c r="D729" s="67" t="str">
        <f>IF('Prod 1'!D729="","",'Prod 1'!D729)</f>
        <v/>
      </c>
      <c r="E729" s="64"/>
      <c r="F729" s="58"/>
      <c r="G729" s="65"/>
      <c r="H729" s="65"/>
      <c r="I729" s="58"/>
      <c r="J729" s="58"/>
      <c r="K729" s="132" t="str">
        <f t="shared" si="44"/>
        <v/>
      </c>
      <c r="M729" s="68" t="str">
        <f t="shared" si="45"/>
        <v/>
      </c>
      <c r="N729" s="59" t="str">
        <f>IF('Prod 1'!E729="","",'Prod 1'!E729)</f>
        <v/>
      </c>
      <c r="O729" s="59" t="str">
        <f t="shared" si="46"/>
        <v/>
      </c>
      <c r="P729" s="59" t="str">
        <f t="shared" si="47"/>
        <v/>
      </c>
    </row>
    <row r="730" spans="3:16" ht="30" customHeight="1" x14ac:dyDescent="0.25">
      <c r="C730" s="42">
        <v>726</v>
      </c>
      <c r="D730" s="67" t="str">
        <f>IF('Prod 1'!D730="","",'Prod 1'!D730)</f>
        <v/>
      </c>
      <c r="E730" s="64"/>
      <c r="F730" s="58"/>
      <c r="G730" s="65"/>
      <c r="H730" s="65"/>
      <c r="I730" s="58"/>
      <c r="J730" s="58"/>
      <c r="K730" s="132" t="str">
        <f t="shared" si="44"/>
        <v/>
      </c>
      <c r="M730" s="68" t="str">
        <f t="shared" si="45"/>
        <v/>
      </c>
      <c r="N730" s="59" t="str">
        <f>IF('Prod 1'!E730="","",'Prod 1'!E730)</f>
        <v/>
      </c>
      <c r="O730" s="59" t="str">
        <f t="shared" si="46"/>
        <v/>
      </c>
      <c r="P730" s="59" t="str">
        <f t="shared" si="47"/>
        <v/>
      </c>
    </row>
    <row r="731" spans="3:16" ht="30" customHeight="1" x14ac:dyDescent="0.25">
      <c r="C731" s="42">
        <v>727</v>
      </c>
      <c r="D731" s="67" t="str">
        <f>IF('Prod 1'!D731="","",'Prod 1'!D731)</f>
        <v/>
      </c>
      <c r="E731" s="64"/>
      <c r="F731" s="58"/>
      <c r="G731" s="65"/>
      <c r="H731" s="65"/>
      <c r="I731" s="58"/>
      <c r="J731" s="58"/>
      <c r="K731" s="132" t="str">
        <f t="shared" si="44"/>
        <v/>
      </c>
      <c r="M731" s="68" t="str">
        <f t="shared" si="45"/>
        <v/>
      </c>
      <c r="N731" s="59" t="str">
        <f>IF('Prod 1'!E731="","",'Prod 1'!E731)</f>
        <v/>
      </c>
      <c r="O731" s="59" t="str">
        <f t="shared" si="46"/>
        <v/>
      </c>
      <c r="P731" s="59" t="str">
        <f t="shared" si="47"/>
        <v/>
      </c>
    </row>
    <row r="732" spans="3:16" ht="30" customHeight="1" x14ac:dyDescent="0.25">
      <c r="C732" s="42">
        <v>728</v>
      </c>
      <c r="D732" s="67" t="str">
        <f>IF('Prod 1'!D732="","",'Prod 1'!D732)</f>
        <v/>
      </c>
      <c r="E732" s="64"/>
      <c r="F732" s="58"/>
      <c r="G732" s="65"/>
      <c r="H732" s="65"/>
      <c r="I732" s="58"/>
      <c r="J732" s="58"/>
      <c r="K732" s="132" t="str">
        <f t="shared" si="44"/>
        <v/>
      </c>
      <c r="M732" s="68" t="str">
        <f t="shared" si="45"/>
        <v/>
      </c>
      <c r="N732" s="59" t="str">
        <f>IF('Prod 1'!E732="","",'Prod 1'!E732)</f>
        <v/>
      </c>
      <c r="O732" s="59" t="str">
        <f t="shared" si="46"/>
        <v/>
      </c>
      <c r="P732" s="59" t="str">
        <f t="shared" si="47"/>
        <v/>
      </c>
    </row>
    <row r="733" spans="3:16" ht="30" customHeight="1" x14ac:dyDescent="0.25">
      <c r="C733" s="42">
        <v>729</v>
      </c>
      <c r="D733" s="67" t="str">
        <f>IF('Prod 1'!D733="","",'Prod 1'!D733)</f>
        <v/>
      </c>
      <c r="E733" s="64"/>
      <c r="F733" s="58"/>
      <c r="G733" s="65"/>
      <c r="H733" s="65"/>
      <c r="I733" s="58"/>
      <c r="J733" s="58"/>
      <c r="K733" s="132" t="str">
        <f t="shared" si="44"/>
        <v/>
      </c>
      <c r="M733" s="68" t="str">
        <f t="shared" si="45"/>
        <v/>
      </c>
      <c r="N733" s="59" t="str">
        <f>IF('Prod 1'!E733="","",'Prod 1'!E733)</f>
        <v/>
      </c>
      <c r="O733" s="59" t="str">
        <f t="shared" si="46"/>
        <v/>
      </c>
      <c r="P733" s="59" t="str">
        <f t="shared" si="47"/>
        <v/>
      </c>
    </row>
    <row r="734" spans="3:16" ht="30" customHeight="1" x14ac:dyDescent="0.25">
      <c r="C734" s="42">
        <v>730</v>
      </c>
      <c r="D734" s="67" t="str">
        <f>IF('Prod 1'!D734="","",'Prod 1'!D734)</f>
        <v/>
      </c>
      <c r="E734" s="64"/>
      <c r="F734" s="58"/>
      <c r="G734" s="65"/>
      <c r="H734" s="65"/>
      <c r="I734" s="58"/>
      <c r="J734" s="58"/>
      <c r="K734" s="132" t="str">
        <f t="shared" si="44"/>
        <v/>
      </c>
      <c r="M734" s="68" t="str">
        <f t="shared" si="45"/>
        <v/>
      </c>
      <c r="N734" s="59" t="str">
        <f>IF('Prod 1'!E734="","",'Prod 1'!E734)</f>
        <v/>
      </c>
      <c r="O734" s="59" t="str">
        <f t="shared" si="46"/>
        <v/>
      </c>
      <c r="P734" s="59" t="str">
        <f t="shared" si="47"/>
        <v/>
      </c>
    </row>
    <row r="735" spans="3:16" ht="30" customHeight="1" x14ac:dyDescent="0.25">
      <c r="C735" s="42">
        <v>731</v>
      </c>
      <c r="D735" s="67" t="str">
        <f>IF('Prod 1'!D735="","",'Prod 1'!D735)</f>
        <v/>
      </c>
      <c r="E735" s="64"/>
      <c r="F735" s="58"/>
      <c r="G735" s="65"/>
      <c r="H735" s="65"/>
      <c r="I735" s="58"/>
      <c r="J735" s="58"/>
      <c r="K735" s="132" t="str">
        <f t="shared" si="44"/>
        <v/>
      </c>
      <c r="M735" s="68" t="str">
        <f t="shared" si="45"/>
        <v/>
      </c>
      <c r="N735" s="59" t="str">
        <f>IF('Prod 1'!E735="","",'Prod 1'!E735)</f>
        <v/>
      </c>
      <c r="O735" s="59" t="str">
        <f t="shared" si="46"/>
        <v/>
      </c>
      <c r="P735" s="59" t="str">
        <f t="shared" si="47"/>
        <v/>
      </c>
    </row>
    <row r="736" spans="3:16" ht="30" customHeight="1" x14ac:dyDescent="0.25">
      <c r="C736" s="42">
        <v>732</v>
      </c>
      <c r="D736" s="67" t="str">
        <f>IF('Prod 1'!D736="","",'Prod 1'!D736)</f>
        <v/>
      </c>
      <c r="E736" s="64"/>
      <c r="F736" s="58"/>
      <c r="G736" s="65"/>
      <c r="H736" s="65"/>
      <c r="I736" s="58"/>
      <c r="J736" s="58"/>
      <c r="K736" s="132" t="str">
        <f t="shared" si="44"/>
        <v/>
      </c>
      <c r="M736" s="68" t="str">
        <f t="shared" si="45"/>
        <v/>
      </c>
      <c r="N736" s="59" t="str">
        <f>IF('Prod 1'!E736="","",'Prod 1'!E736)</f>
        <v/>
      </c>
      <c r="O736" s="59" t="str">
        <f t="shared" si="46"/>
        <v/>
      </c>
      <c r="P736" s="59" t="str">
        <f t="shared" si="47"/>
        <v/>
      </c>
    </row>
    <row r="737" spans="3:16" ht="30" customHeight="1" x14ac:dyDescent="0.25">
      <c r="C737" s="42">
        <v>733</v>
      </c>
      <c r="D737" s="67" t="str">
        <f>IF('Prod 1'!D737="","",'Prod 1'!D737)</f>
        <v/>
      </c>
      <c r="E737" s="64"/>
      <c r="F737" s="58"/>
      <c r="G737" s="65"/>
      <c r="H737" s="65"/>
      <c r="I737" s="58"/>
      <c r="J737" s="58"/>
      <c r="K737" s="132" t="str">
        <f t="shared" si="44"/>
        <v/>
      </c>
      <c r="M737" s="68" t="str">
        <f t="shared" si="45"/>
        <v/>
      </c>
      <c r="N737" s="59" t="str">
        <f>IF('Prod 1'!E737="","",'Prod 1'!E737)</f>
        <v/>
      </c>
      <c r="O737" s="59" t="str">
        <f t="shared" si="46"/>
        <v/>
      </c>
      <c r="P737" s="59" t="str">
        <f t="shared" si="47"/>
        <v/>
      </c>
    </row>
    <row r="738" spans="3:16" ht="30" customHeight="1" x14ac:dyDescent="0.25">
      <c r="C738" s="42">
        <v>734</v>
      </c>
      <c r="D738" s="67" t="str">
        <f>IF('Prod 1'!D738="","",'Prod 1'!D738)</f>
        <v/>
      </c>
      <c r="E738" s="64"/>
      <c r="F738" s="58"/>
      <c r="G738" s="65"/>
      <c r="H738" s="65"/>
      <c r="I738" s="58"/>
      <c r="J738" s="58"/>
      <c r="K738" s="132" t="str">
        <f t="shared" si="44"/>
        <v/>
      </c>
      <c r="M738" s="68" t="str">
        <f t="shared" si="45"/>
        <v/>
      </c>
      <c r="N738" s="59" t="str">
        <f>IF('Prod 1'!E738="","",'Prod 1'!E738)</f>
        <v/>
      </c>
      <c r="O738" s="59" t="str">
        <f t="shared" si="46"/>
        <v/>
      </c>
      <c r="P738" s="59" t="str">
        <f t="shared" si="47"/>
        <v/>
      </c>
    </row>
    <row r="739" spans="3:16" ht="30" customHeight="1" x14ac:dyDescent="0.25">
      <c r="C739" s="42">
        <v>735</v>
      </c>
      <c r="D739" s="67" t="str">
        <f>IF('Prod 1'!D739="","",'Prod 1'!D739)</f>
        <v/>
      </c>
      <c r="E739" s="64"/>
      <c r="F739" s="58"/>
      <c r="G739" s="65"/>
      <c r="H739" s="65"/>
      <c r="I739" s="58"/>
      <c r="J739" s="58"/>
      <c r="K739" s="132" t="str">
        <f t="shared" si="44"/>
        <v/>
      </c>
      <c r="M739" s="68" t="str">
        <f t="shared" si="45"/>
        <v/>
      </c>
      <c r="N739" s="59" t="str">
        <f>IF('Prod 1'!E739="","",'Prod 1'!E739)</f>
        <v/>
      </c>
      <c r="O739" s="59" t="str">
        <f t="shared" si="46"/>
        <v/>
      </c>
      <c r="P739" s="59" t="str">
        <f t="shared" si="47"/>
        <v/>
      </c>
    </row>
    <row r="740" spans="3:16" ht="30" customHeight="1" x14ac:dyDescent="0.25">
      <c r="C740" s="42">
        <v>736</v>
      </c>
      <c r="D740" s="67" t="str">
        <f>IF('Prod 1'!D740="","",'Prod 1'!D740)</f>
        <v/>
      </c>
      <c r="E740" s="64"/>
      <c r="F740" s="58"/>
      <c r="G740" s="65"/>
      <c r="H740" s="65"/>
      <c r="I740" s="58"/>
      <c r="J740" s="58"/>
      <c r="K740" s="132" t="str">
        <f t="shared" si="44"/>
        <v/>
      </c>
      <c r="M740" s="68" t="str">
        <f t="shared" si="45"/>
        <v/>
      </c>
      <c r="N740" s="59" t="str">
        <f>IF('Prod 1'!E740="","",'Prod 1'!E740)</f>
        <v/>
      </c>
      <c r="O740" s="59" t="str">
        <f t="shared" si="46"/>
        <v/>
      </c>
      <c r="P740" s="59" t="str">
        <f t="shared" si="47"/>
        <v/>
      </c>
    </row>
    <row r="741" spans="3:16" ht="30" customHeight="1" x14ac:dyDescent="0.25">
      <c r="C741" s="42">
        <v>737</v>
      </c>
      <c r="D741" s="67" t="str">
        <f>IF('Prod 1'!D741="","",'Prod 1'!D741)</f>
        <v/>
      </c>
      <c r="E741" s="64"/>
      <c r="F741" s="58"/>
      <c r="G741" s="65"/>
      <c r="H741" s="65"/>
      <c r="I741" s="58"/>
      <c r="J741" s="58"/>
      <c r="K741" s="132" t="str">
        <f t="shared" si="44"/>
        <v/>
      </c>
      <c r="M741" s="68" t="str">
        <f t="shared" si="45"/>
        <v/>
      </c>
      <c r="N741" s="59" t="str">
        <f>IF('Prod 1'!E741="","",'Prod 1'!E741)</f>
        <v/>
      </c>
      <c r="O741" s="59" t="str">
        <f t="shared" si="46"/>
        <v/>
      </c>
      <c r="P741" s="59" t="str">
        <f t="shared" si="47"/>
        <v/>
      </c>
    </row>
    <row r="742" spans="3:16" ht="30" customHeight="1" x14ac:dyDescent="0.25">
      <c r="C742" s="42">
        <v>738</v>
      </c>
      <c r="D742" s="67" t="str">
        <f>IF('Prod 1'!D742="","",'Prod 1'!D742)</f>
        <v/>
      </c>
      <c r="E742" s="64"/>
      <c r="F742" s="58"/>
      <c r="G742" s="65"/>
      <c r="H742" s="65"/>
      <c r="I742" s="58"/>
      <c r="J742" s="58"/>
      <c r="K742" s="132" t="str">
        <f t="shared" si="44"/>
        <v/>
      </c>
      <c r="M742" s="68" t="str">
        <f t="shared" si="45"/>
        <v/>
      </c>
      <c r="N742" s="59" t="str">
        <f>IF('Prod 1'!E742="","",'Prod 1'!E742)</f>
        <v/>
      </c>
      <c r="O742" s="59" t="str">
        <f t="shared" si="46"/>
        <v/>
      </c>
      <c r="P742" s="59" t="str">
        <f t="shared" si="47"/>
        <v/>
      </c>
    </row>
    <row r="743" spans="3:16" ht="30" customHeight="1" x14ac:dyDescent="0.25">
      <c r="C743" s="42">
        <v>739</v>
      </c>
      <c r="D743" s="67" t="str">
        <f>IF('Prod 1'!D743="","",'Prod 1'!D743)</f>
        <v/>
      </c>
      <c r="E743" s="64"/>
      <c r="F743" s="58"/>
      <c r="G743" s="65"/>
      <c r="H743" s="65"/>
      <c r="I743" s="58"/>
      <c r="J743" s="58"/>
      <c r="K743" s="132" t="str">
        <f t="shared" si="44"/>
        <v/>
      </c>
      <c r="M743" s="68" t="str">
        <f t="shared" si="45"/>
        <v/>
      </c>
      <c r="N743" s="59" t="str">
        <f>IF('Prod 1'!E743="","",'Prod 1'!E743)</f>
        <v/>
      </c>
      <c r="O743" s="59" t="str">
        <f t="shared" si="46"/>
        <v/>
      </c>
      <c r="P743" s="59" t="str">
        <f t="shared" si="47"/>
        <v/>
      </c>
    </row>
    <row r="744" spans="3:16" ht="30" customHeight="1" x14ac:dyDescent="0.25">
      <c r="C744" s="42">
        <v>740</v>
      </c>
      <c r="D744" s="67" t="str">
        <f>IF('Prod 1'!D744="","",'Prod 1'!D744)</f>
        <v/>
      </c>
      <c r="E744" s="64"/>
      <c r="F744" s="58"/>
      <c r="G744" s="65"/>
      <c r="H744" s="65"/>
      <c r="I744" s="58"/>
      <c r="J744" s="58"/>
      <c r="K744" s="132" t="str">
        <f t="shared" si="44"/>
        <v/>
      </c>
      <c r="M744" s="68" t="str">
        <f t="shared" si="45"/>
        <v/>
      </c>
      <c r="N744" s="59" t="str">
        <f>IF('Prod 1'!E744="","",'Prod 1'!E744)</f>
        <v/>
      </c>
      <c r="O744" s="59" t="str">
        <f t="shared" si="46"/>
        <v/>
      </c>
      <c r="P744" s="59" t="str">
        <f t="shared" si="47"/>
        <v/>
      </c>
    </row>
    <row r="745" spans="3:16" ht="30" customHeight="1" x14ac:dyDescent="0.25">
      <c r="C745" s="42">
        <v>741</v>
      </c>
      <c r="D745" s="67" t="str">
        <f>IF('Prod 1'!D745="","",'Prod 1'!D745)</f>
        <v/>
      </c>
      <c r="E745" s="64"/>
      <c r="F745" s="58"/>
      <c r="G745" s="65"/>
      <c r="H745" s="65"/>
      <c r="I745" s="58"/>
      <c r="J745" s="58"/>
      <c r="K745" s="132" t="str">
        <f t="shared" si="44"/>
        <v/>
      </c>
      <c r="M745" s="68" t="str">
        <f t="shared" si="45"/>
        <v/>
      </c>
      <c r="N745" s="59" t="str">
        <f>IF('Prod 1'!E745="","",'Prod 1'!E745)</f>
        <v/>
      </c>
      <c r="O745" s="59" t="str">
        <f t="shared" si="46"/>
        <v/>
      </c>
      <c r="P745" s="59" t="str">
        <f t="shared" si="47"/>
        <v/>
      </c>
    </row>
    <row r="746" spans="3:16" ht="30" customHeight="1" x14ac:dyDescent="0.25">
      <c r="C746" s="42">
        <v>742</v>
      </c>
      <c r="D746" s="67" t="str">
        <f>IF('Prod 1'!D746="","",'Prod 1'!D746)</f>
        <v/>
      </c>
      <c r="E746" s="64"/>
      <c r="F746" s="58"/>
      <c r="G746" s="65"/>
      <c r="H746" s="65"/>
      <c r="I746" s="58"/>
      <c r="J746" s="58"/>
      <c r="K746" s="132" t="str">
        <f t="shared" si="44"/>
        <v/>
      </c>
      <c r="M746" s="68" t="str">
        <f t="shared" si="45"/>
        <v/>
      </c>
      <c r="N746" s="59" t="str">
        <f>IF('Prod 1'!E746="","",'Prod 1'!E746)</f>
        <v/>
      </c>
      <c r="O746" s="59" t="str">
        <f t="shared" si="46"/>
        <v/>
      </c>
      <c r="P746" s="59" t="str">
        <f t="shared" si="47"/>
        <v/>
      </c>
    </row>
    <row r="747" spans="3:16" ht="30" customHeight="1" x14ac:dyDescent="0.25">
      <c r="C747" s="42">
        <v>743</v>
      </c>
      <c r="D747" s="67" t="str">
        <f>IF('Prod 1'!D747="","",'Prod 1'!D747)</f>
        <v/>
      </c>
      <c r="E747" s="64"/>
      <c r="F747" s="58"/>
      <c r="G747" s="65"/>
      <c r="H747" s="65"/>
      <c r="I747" s="58"/>
      <c r="J747" s="58"/>
      <c r="K747" s="132" t="str">
        <f t="shared" si="44"/>
        <v/>
      </c>
      <c r="M747" s="68" t="str">
        <f t="shared" si="45"/>
        <v/>
      </c>
      <c r="N747" s="59" t="str">
        <f>IF('Prod 1'!E747="","",'Prod 1'!E747)</f>
        <v/>
      </c>
      <c r="O747" s="59" t="str">
        <f t="shared" si="46"/>
        <v/>
      </c>
      <c r="P747" s="59" t="str">
        <f t="shared" si="47"/>
        <v/>
      </c>
    </row>
    <row r="748" spans="3:16" ht="30" customHeight="1" x14ac:dyDescent="0.25">
      <c r="C748" s="42">
        <v>744</v>
      </c>
      <c r="D748" s="67" t="str">
        <f>IF('Prod 1'!D748="","",'Prod 1'!D748)</f>
        <v/>
      </c>
      <c r="E748" s="64"/>
      <c r="F748" s="58"/>
      <c r="G748" s="65"/>
      <c r="H748" s="65"/>
      <c r="I748" s="58"/>
      <c r="J748" s="58"/>
      <c r="K748" s="132" t="str">
        <f t="shared" si="44"/>
        <v/>
      </c>
      <c r="M748" s="68" t="str">
        <f t="shared" si="45"/>
        <v/>
      </c>
      <c r="N748" s="59" t="str">
        <f>IF('Prod 1'!E748="","",'Prod 1'!E748)</f>
        <v/>
      </c>
      <c r="O748" s="59" t="str">
        <f t="shared" si="46"/>
        <v/>
      </c>
      <c r="P748" s="59" t="str">
        <f t="shared" si="47"/>
        <v/>
      </c>
    </row>
    <row r="749" spans="3:16" ht="30" customHeight="1" x14ac:dyDescent="0.25">
      <c r="C749" s="42">
        <v>745</v>
      </c>
      <c r="D749" s="67" t="str">
        <f>IF('Prod 1'!D749="","",'Prod 1'!D749)</f>
        <v/>
      </c>
      <c r="E749" s="64"/>
      <c r="F749" s="58"/>
      <c r="G749" s="65"/>
      <c r="H749" s="65"/>
      <c r="I749" s="58"/>
      <c r="J749" s="58"/>
      <c r="K749" s="132" t="str">
        <f t="shared" si="44"/>
        <v/>
      </c>
      <c r="M749" s="68" t="str">
        <f t="shared" si="45"/>
        <v/>
      </c>
      <c r="N749" s="59" t="str">
        <f>IF('Prod 1'!E749="","",'Prod 1'!E749)</f>
        <v/>
      </c>
      <c r="O749" s="59" t="str">
        <f t="shared" si="46"/>
        <v/>
      </c>
      <c r="P749" s="59" t="str">
        <f t="shared" si="47"/>
        <v/>
      </c>
    </row>
    <row r="750" spans="3:16" ht="30" customHeight="1" x14ac:dyDescent="0.25">
      <c r="C750" s="42">
        <v>746</v>
      </c>
      <c r="D750" s="67" t="str">
        <f>IF('Prod 1'!D750="","",'Prod 1'!D750)</f>
        <v/>
      </c>
      <c r="E750" s="64"/>
      <c r="F750" s="58"/>
      <c r="G750" s="65"/>
      <c r="H750" s="65"/>
      <c r="I750" s="58"/>
      <c r="J750" s="58"/>
      <c r="K750" s="132" t="str">
        <f t="shared" si="44"/>
        <v/>
      </c>
      <c r="M750" s="68" t="str">
        <f t="shared" si="45"/>
        <v/>
      </c>
      <c r="N750" s="59" t="str">
        <f>IF('Prod 1'!E750="","",'Prod 1'!E750)</f>
        <v/>
      </c>
      <c r="O750" s="59" t="str">
        <f t="shared" si="46"/>
        <v/>
      </c>
      <c r="P750" s="59" t="str">
        <f t="shared" si="47"/>
        <v/>
      </c>
    </row>
    <row r="751" spans="3:16" ht="30" customHeight="1" x14ac:dyDescent="0.25">
      <c r="C751" s="42">
        <v>747</v>
      </c>
      <c r="D751" s="67" t="str">
        <f>IF('Prod 1'!D751="","",'Prod 1'!D751)</f>
        <v/>
      </c>
      <c r="E751" s="64"/>
      <c r="F751" s="58"/>
      <c r="G751" s="65"/>
      <c r="H751" s="65"/>
      <c r="I751" s="58"/>
      <c r="J751" s="58"/>
      <c r="K751" s="132" t="str">
        <f t="shared" si="44"/>
        <v/>
      </c>
      <c r="M751" s="68" t="str">
        <f t="shared" si="45"/>
        <v/>
      </c>
      <c r="N751" s="59" t="str">
        <f>IF('Prod 1'!E751="","",'Prod 1'!E751)</f>
        <v/>
      </c>
      <c r="O751" s="59" t="str">
        <f t="shared" si="46"/>
        <v/>
      </c>
      <c r="P751" s="59" t="str">
        <f t="shared" si="47"/>
        <v/>
      </c>
    </row>
    <row r="752" spans="3:16" ht="30" customHeight="1" x14ac:dyDescent="0.25">
      <c r="C752" s="42">
        <v>748</v>
      </c>
      <c r="D752" s="67" t="str">
        <f>IF('Prod 1'!D752="","",'Prod 1'!D752)</f>
        <v/>
      </c>
      <c r="E752" s="64"/>
      <c r="F752" s="58"/>
      <c r="G752" s="65"/>
      <c r="H752" s="65"/>
      <c r="I752" s="58"/>
      <c r="J752" s="58"/>
      <c r="K752" s="132" t="str">
        <f t="shared" si="44"/>
        <v/>
      </c>
      <c r="M752" s="68" t="str">
        <f t="shared" si="45"/>
        <v/>
      </c>
      <c r="N752" s="59" t="str">
        <f>IF('Prod 1'!E752="","",'Prod 1'!E752)</f>
        <v/>
      </c>
      <c r="O752" s="59" t="str">
        <f t="shared" si="46"/>
        <v/>
      </c>
      <c r="P752" s="59" t="str">
        <f t="shared" si="47"/>
        <v/>
      </c>
    </row>
    <row r="753" spans="3:16" ht="30" customHeight="1" x14ac:dyDescent="0.25">
      <c r="C753" s="42">
        <v>749</v>
      </c>
      <c r="D753" s="67" t="str">
        <f>IF('Prod 1'!D753="","",'Prod 1'!D753)</f>
        <v/>
      </c>
      <c r="E753" s="64"/>
      <c r="F753" s="58"/>
      <c r="G753" s="65"/>
      <c r="H753" s="65"/>
      <c r="I753" s="58"/>
      <c r="J753" s="58"/>
      <c r="K753" s="132" t="str">
        <f t="shared" si="44"/>
        <v/>
      </c>
      <c r="M753" s="68" t="str">
        <f t="shared" si="45"/>
        <v/>
      </c>
      <c r="N753" s="59" t="str">
        <f>IF('Prod 1'!E753="","",'Prod 1'!E753)</f>
        <v/>
      </c>
      <c r="O753" s="59" t="str">
        <f t="shared" si="46"/>
        <v/>
      </c>
      <c r="P753" s="59" t="str">
        <f t="shared" si="47"/>
        <v/>
      </c>
    </row>
    <row r="754" spans="3:16" ht="30" customHeight="1" x14ac:dyDescent="0.25">
      <c r="C754" s="42">
        <v>750</v>
      </c>
      <c r="D754" s="67" t="str">
        <f>IF('Prod 1'!D754="","",'Prod 1'!D754)</f>
        <v/>
      </c>
      <c r="E754" s="64"/>
      <c r="F754" s="58"/>
      <c r="G754" s="65"/>
      <c r="H754" s="65"/>
      <c r="I754" s="58"/>
      <c r="J754" s="58"/>
      <c r="K754" s="132" t="str">
        <f t="shared" si="44"/>
        <v/>
      </c>
      <c r="M754" s="68" t="str">
        <f t="shared" si="45"/>
        <v/>
      </c>
      <c r="N754" s="59" t="str">
        <f>IF('Prod 1'!E754="","",'Prod 1'!E754)</f>
        <v/>
      </c>
      <c r="O754" s="59" t="str">
        <f t="shared" si="46"/>
        <v/>
      </c>
      <c r="P754" s="59" t="str">
        <f t="shared" si="47"/>
        <v/>
      </c>
    </row>
    <row r="755" spans="3:16" ht="30" customHeight="1" x14ac:dyDescent="0.25">
      <c r="C755" s="42">
        <v>751</v>
      </c>
      <c r="D755" s="67" t="str">
        <f>IF('Prod 1'!D755="","",'Prod 1'!D755)</f>
        <v/>
      </c>
      <c r="E755" s="64"/>
      <c r="F755" s="58"/>
      <c r="G755" s="65"/>
      <c r="H755" s="65"/>
      <c r="I755" s="58"/>
      <c r="J755" s="58"/>
      <c r="K755" s="132" t="str">
        <f t="shared" si="44"/>
        <v/>
      </c>
      <c r="M755" s="68" t="str">
        <f t="shared" si="45"/>
        <v/>
      </c>
      <c r="N755" s="59" t="str">
        <f>IF('Prod 1'!E755="","",'Prod 1'!E755)</f>
        <v/>
      </c>
      <c r="O755" s="59" t="str">
        <f t="shared" si="46"/>
        <v/>
      </c>
      <c r="P755" s="59" t="str">
        <f t="shared" si="47"/>
        <v/>
      </c>
    </row>
    <row r="756" spans="3:16" ht="30" customHeight="1" x14ac:dyDescent="0.25">
      <c r="C756" s="42">
        <v>752</v>
      </c>
      <c r="D756" s="67" t="str">
        <f>IF('Prod 1'!D756="","",'Prod 1'!D756)</f>
        <v/>
      </c>
      <c r="E756" s="64"/>
      <c r="F756" s="58"/>
      <c r="G756" s="65"/>
      <c r="H756" s="65"/>
      <c r="I756" s="58"/>
      <c r="J756" s="58"/>
      <c r="K756" s="132" t="str">
        <f t="shared" si="44"/>
        <v/>
      </c>
      <c r="M756" s="68" t="str">
        <f t="shared" si="45"/>
        <v/>
      </c>
      <c r="N756" s="59" t="str">
        <f>IF('Prod 1'!E756="","",'Prod 1'!E756)</f>
        <v/>
      </c>
      <c r="O756" s="59" t="str">
        <f t="shared" si="46"/>
        <v/>
      </c>
      <c r="P756" s="59" t="str">
        <f t="shared" si="47"/>
        <v/>
      </c>
    </row>
    <row r="757" spans="3:16" ht="30" customHeight="1" x14ac:dyDescent="0.25">
      <c r="C757" s="42">
        <v>753</v>
      </c>
      <c r="D757" s="67" t="str">
        <f>IF('Prod 1'!D757="","",'Prod 1'!D757)</f>
        <v/>
      </c>
      <c r="E757" s="64"/>
      <c r="F757" s="58"/>
      <c r="G757" s="65"/>
      <c r="H757" s="65"/>
      <c r="I757" s="58"/>
      <c r="J757" s="58"/>
      <c r="K757" s="132" t="str">
        <f t="shared" si="44"/>
        <v/>
      </c>
      <c r="M757" s="68" t="str">
        <f t="shared" si="45"/>
        <v/>
      </c>
      <c r="N757" s="59" t="str">
        <f>IF('Prod 1'!E757="","",'Prod 1'!E757)</f>
        <v/>
      </c>
      <c r="O757" s="59" t="str">
        <f t="shared" si="46"/>
        <v/>
      </c>
      <c r="P757" s="59" t="str">
        <f t="shared" si="47"/>
        <v/>
      </c>
    </row>
    <row r="758" spans="3:16" ht="30" customHeight="1" x14ac:dyDescent="0.25">
      <c r="C758" s="42">
        <v>754</v>
      </c>
      <c r="D758" s="67" t="str">
        <f>IF('Prod 1'!D758="","",'Prod 1'!D758)</f>
        <v/>
      </c>
      <c r="E758" s="64"/>
      <c r="F758" s="58"/>
      <c r="G758" s="65"/>
      <c r="H758" s="65"/>
      <c r="I758" s="58"/>
      <c r="J758" s="58"/>
      <c r="K758" s="132" t="str">
        <f t="shared" si="44"/>
        <v/>
      </c>
      <c r="M758" s="68" t="str">
        <f t="shared" si="45"/>
        <v/>
      </c>
      <c r="N758" s="59" t="str">
        <f>IF('Prod 1'!E758="","",'Prod 1'!E758)</f>
        <v/>
      </c>
      <c r="O758" s="59" t="str">
        <f t="shared" si="46"/>
        <v/>
      </c>
      <c r="P758" s="59" t="str">
        <f t="shared" si="47"/>
        <v/>
      </c>
    </row>
    <row r="759" spans="3:16" ht="30" customHeight="1" x14ac:dyDescent="0.25">
      <c r="C759" s="42">
        <v>755</v>
      </c>
      <c r="D759" s="67" t="str">
        <f>IF('Prod 1'!D759="","",'Prod 1'!D759)</f>
        <v/>
      </c>
      <c r="E759" s="64"/>
      <c r="F759" s="58"/>
      <c r="G759" s="65"/>
      <c r="H759" s="65"/>
      <c r="I759" s="58"/>
      <c r="J759" s="58"/>
      <c r="K759" s="132" t="str">
        <f t="shared" si="44"/>
        <v/>
      </c>
      <c r="M759" s="68" t="str">
        <f t="shared" si="45"/>
        <v/>
      </c>
      <c r="N759" s="59" t="str">
        <f>IF('Prod 1'!E759="","",'Prod 1'!E759)</f>
        <v/>
      </c>
      <c r="O759" s="59" t="str">
        <f t="shared" si="46"/>
        <v/>
      </c>
      <c r="P759" s="59" t="str">
        <f t="shared" si="47"/>
        <v/>
      </c>
    </row>
    <row r="760" spans="3:16" ht="30" customHeight="1" x14ac:dyDescent="0.25">
      <c r="C760" s="42">
        <v>756</v>
      </c>
      <c r="D760" s="67" t="str">
        <f>IF('Prod 1'!D760="","",'Prod 1'!D760)</f>
        <v/>
      </c>
      <c r="E760" s="64"/>
      <c r="F760" s="58"/>
      <c r="G760" s="65"/>
      <c r="H760" s="65"/>
      <c r="I760" s="58"/>
      <c r="J760" s="58"/>
      <c r="K760" s="132" t="str">
        <f t="shared" si="44"/>
        <v/>
      </c>
      <c r="M760" s="68" t="str">
        <f t="shared" si="45"/>
        <v/>
      </c>
      <c r="N760" s="59" t="str">
        <f>IF('Prod 1'!E760="","",'Prod 1'!E760)</f>
        <v/>
      </c>
      <c r="O760" s="59" t="str">
        <f t="shared" si="46"/>
        <v/>
      </c>
      <c r="P760" s="59" t="str">
        <f t="shared" si="47"/>
        <v/>
      </c>
    </row>
    <row r="761" spans="3:16" ht="30" customHeight="1" x14ac:dyDescent="0.25">
      <c r="C761" s="42">
        <v>757</v>
      </c>
      <c r="D761" s="67" t="str">
        <f>IF('Prod 1'!D761="","",'Prod 1'!D761)</f>
        <v/>
      </c>
      <c r="E761" s="64"/>
      <c r="F761" s="58"/>
      <c r="G761" s="65"/>
      <c r="H761" s="65"/>
      <c r="I761" s="58"/>
      <c r="J761" s="58"/>
      <c r="K761" s="132" t="str">
        <f t="shared" si="44"/>
        <v/>
      </c>
      <c r="M761" s="68" t="str">
        <f t="shared" si="45"/>
        <v/>
      </c>
      <c r="N761" s="59" t="str">
        <f>IF('Prod 1'!E761="","",'Prod 1'!E761)</f>
        <v/>
      </c>
      <c r="O761" s="59" t="str">
        <f t="shared" si="46"/>
        <v/>
      </c>
      <c r="P761" s="59" t="str">
        <f t="shared" si="47"/>
        <v/>
      </c>
    </row>
    <row r="762" spans="3:16" ht="30" customHeight="1" x14ac:dyDescent="0.25">
      <c r="C762" s="42">
        <v>758</v>
      </c>
      <c r="D762" s="67" t="str">
        <f>IF('Prod 1'!D762="","",'Prod 1'!D762)</f>
        <v/>
      </c>
      <c r="E762" s="64"/>
      <c r="F762" s="58"/>
      <c r="G762" s="65"/>
      <c r="H762" s="65"/>
      <c r="I762" s="58"/>
      <c r="J762" s="58"/>
      <c r="K762" s="132" t="str">
        <f t="shared" si="44"/>
        <v/>
      </c>
      <c r="M762" s="68" t="str">
        <f t="shared" si="45"/>
        <v/>
      </c>
      <c r="N762" s="59" t="str">
        <f>IF('Prod 1'!E762="","",'Prod 1'!E762)</f>
        <v/>
      </c>
      <c r="O762" s="59" t="str">
        <f t="shared" si="46"/>
        <v/>
      </c>
      <c r="P762" s="59" t="str">
        <f t="shared" si="47"/>
        <v/>
      </c>
    </row>
    <row r="763" spans="3:16" ht="30" customHeight="1" x14ac:dyDescent="0.25">
      <c r="C763" s="42">
        <v>759</v>
      </c>
      <c r="D763" s="67" t="str">
        <f>IF('Prod 1'!D763="","",'Prod 1'!D763)</f>
        <v/>
      </c>
      <c r="E763" s="64"/>
      <c r="F763" s="58"/>
      <c r="G763" s="65"/>
      <c r="H763" s="65"/>
      <c r="I763" s="58"/>
      <c r="J763" s="58"/>
      <c r="K763" s="132" t="str">
        <f t="shared" si="44"/>
        <v/>
      </c>
      <c r="M763" s="68" t="str">
        <f t="shared" si="45"/>
        <v/>
      </c>
      <c r="N763" s="59" t="str">
        <f>IF('Prod 1'!E763="","",'Prod 1'!E763)</f>
        <v/>
      </c>
      <c r="O763" s="59" t="str">
        <f t="shared" si="46"/>
        <v/>
      </c>
      <c r="P763" s="59" t="str">
        <f t="shared" si="47"/>
        <v/>
      </c>
    </row>
    <row r="764" spans="3:16" ht="30" customHeight="1" x14ac:dyDescent="0.25">
      <c r="C764" s="42">
        <v>760</v>
      </c>
      <c r="D764" s="67" t="str">
        <f>IF('Prod 1'!D764="","",'Prod 1'!D764)</f>
        <v/>
      </c>
      <c r="E764" s="64"/>
      <c r="F764" s="58"/>
      <c r="G764" s="65"/>
      <c r="H764" s="65"/>
      <c r="I764" s="58"/>
      <c r="J764" s="58"/>
      <c r="K764" s="132" t="str">
        <f t="shared" si="44"/>
        <v/>
      </c>
      <c r="M764" s="68" t="str">
        <f t="shared" si="45"/>
        <v/>
      </c>
      <c r="N764" s="59" t="str">
        <f>IF('Prod 1'!E764="","",'Prod 1'!E764)</f>
        <v/>
      </c>
      <c r="O764" s="59" t="str">
        <f t="shared" si="46"/>
        <v/>
      </c>
      <c r="P764" s="59" t="str">
        <f t="shared" si="47"/>
        <v/>
      </c>
    </row>
    <row r="765" spans="3:16" ht="30" customHeight="1" x14ac:dyDescent="0.25">
      <c r="C765" s="42">
        <v>761</v>
      </c>
      <c r="D765" s="67" t="str">
        <f>IF('Prod 1'!D765="","",'Prod 1'!D765)</f>
        <v/>
      </c>
      <c r="E765" s="64"/>
      <c r="F765" s="58"/>
      <c r="G765" s="65"/>
      <c r="H765" s="65"/>
      <c r="I765" s="58"/>
      <c r="J765" s="58"/>
      <c r="K765" s="132" t="str">
        <f t="shared" si="44"/>
        <v/>
      </c>
      <c r="M765" s="68" t="str">
        <f t="shared" si="45"/>
        <v/>
      </c>
      <c r="N765" s="59" t="str">
        <f>IF('Prod 1'!E765="","",'Prod 1'!E765)</f>
        <v/>
      </c>
      <c r="O765" s="59" t="str">
        <f t="shared" si="46"/>
        <v/>
      </c>
      <c r="P765" s="59" t="str">
        <f t="shared" si="47"/>
        <v/>
      </c>
    </row>
    <row r="766" spans="3:16" ht="30" customHeight="1" x14ac:dyDescent="0.25">
      <c r="C766" s="42">
        <v>762</v>
      </c>
      <c r="D766" s="67" t="str">
        <f>IF('Prod 1'!D766="","",'Prod 1'!D766)</f>
        <v/>
      </c>
      <c r="E766" s="64"/>
      <c r="F766" s="58"/>
      <c r="G766" s="65"/>
      <c r="H766" s="65"/>
      <c r="I766" s="58"/>
      <c r="J766" s="58"/>
      <c r="K766" s="132" t="str">
        <f t="shared" si="44"/>
        <v/>
      </c>
      <c r="M766" s="68" t="str">
        <f t="shared" si="45"/>
        <v/>
      </c>
      <c r="N766" s="59" t="str">
        <f>IF('Prod 1'!E766="","",'Prod 1'!E766)</f>
        <v/>
      </c>
      <c r="O766" s="59" t="str">
        <f t="shared" si="46"/>
        <v/>
      </c>
      <c r="P766" s="59" t="str">
        <f t="shared" si="47"/>
        <v/>
      </c>
    </row>
    <row r="767" spans="3:16" ht="30" customHeight="1" x14ac:dyDescent="0.25">
      <c r="C767" s="42">
        <v>763</v>
      </c>
      <c r="D767" s="67" t="str">
        <f>IF('Prod 1'!D767="","",'Prod 1'!D767)</f>
        <v/>
      </c>
      <c r="E767" s="64"/>
      <c r="F767" s="58"/>
      <c r="G767" s="65"/>
      <c r="H767" s="65"/>
      <c r="I767" s="58"/>
      <c r="J767" s="58"/>
      <c r="K767" s="132" t="str">
        <f t="shared" si="44"/>
        <v/>
      </c>
      <c r="M767" s="68" t="str">
        <f t="shared" si="45"/>
        <v/>
      </c>
      <c r="N767" s="59" t="str">
        <f>IF('Prod 1'!E767="","",'Prod 1'!E767)</f>
        <v/>
      </c>
      <c r="O767" s="59" t="str">
        <f t="shared" si="46"/>
        <v/>
      </c>
      <c r="P767" s="59" t="str">
        <f t="shared" si="47"/>
        <v/>
      </c>
    </row>
    <row r="768" spans="3:16" ht="30" customHeight="1" x14ac:dyDescent="0.25">
      <c r="C768" s="42">
        <v>764</v>
      </c>
      <c r="D768" s="67" t="str">
        <f>IF('Prod 1'!D768="","",'Prod 1'!D768)</f>
        <v/>
      </c>
      <c r="E768" s="64"/>
      <c r="F768" s="58"/>
      <c r="G768" s="65"/>
      <c r="H768" s="65"/>
      <c r="I768" s="58"/>
      <c r="J768" s="58"/>
      <c r="K768" s="132" t="str">
        <f t="shared" si="44"/>
        <v/>
      </c>
      <c r="M768" s="68" t="str">
        <f t="shared" si="45"/>
        <v/>
      </c>
      <c r="N768" s="59" t="str">
        <f>IF('Prod 1'!E768="","",'Prod 1'!E768)</f>
        <v/>
      </c>
      <c r="O768" s="59" t="str">
        <f t="shared" si="46"/>
        <v/>
      </c>
      <c r="P768" s="59" t="str">
        <f t="shared" si="47"/>
        <v/>
      </c>
    </row>
    <row r="769" spans="3:16" ht="30" customHeight="1" x14ac:dyDescent="0.25">
      <c r="C769" s="42">
        <v>765</v>
      </c>
      <c r="D769" s="67" t="str">
        <f>IF('Prod 1'!D769="","",'Prod 1'!D769)</f>
        <v/>
      </c>
      <c r="E769" s="64"/>
      <c r="F769" s="58"/>
      <c r="G769" s="65"/>
      <c r="H769" s="65"/>
      <c r="I769" s="58"/>
      <c r="J769" s="58"/>
      <c r="K769" s="132" t="str">
        <f t="shared" si="44"/>
        <v/>
      </c>
      <c r="M769" s="68" t="str">
        <f t="shared" si="45"/>
        <v/>
      </c>
      <c r="N769" s="59" t="str">
        <f>IF('Prod 1'!E769="","",'Prod 1'!E769)</f>
        <v/>
      </c>
      <c r="O769" s="59" t="str">
        <f t="shared" si="46"/>
        <v/>
      </c>
      <c r="P769" s="59" t="str">
        <f t="shared" si="47"/>
        <v/>
      </c>
    </row>
    <row r="770" spans="3:16" ht="30" customHeight="1" x14ac:dyDescent="0.25">
      <c r="C770" s="42">
        <v>766</v>
      </c>
      <c r="D770" s="67" t="str">
        <f>IF('Prod 1'!D770="","",'Prod 1'!D770)</f>
        <v/>
      </c>
      <c r="E770" s="64"/>
      <c r="F770" s="58"/>
      <c r="G770" s="65"/>
      <c r="H770" s="65"/>
      <c r="I770" s="58"/>
      <c r="J770" s="58"/>
      <c r="K770" s="132" t="str">
        <f t="shared" si="44"/>
        <v/>
      </c>
      <c r="M770" s="68" t="str">
        <f t="shared" si="45"/>
        <v/>
      </c>
      <c r="N770" s="59" t="str">
        <f>IF('Prod 1'!E770="","",'Prod 1'!E770)</f>
        <v/>
      </c>
      <c r="O770" s="59" t="str">
        <f t="shared" si="46"/>
        <v/>
      </c>
      <c r="P770" s="59" t="str">
        <f t="shared" si="47"/>
        <v/>
      </c>
    </row>
    <row r="771" spans="3:16" ht="30" customHeight="1" x14ac:dyDescent="0.25">
      <c r="C771" s="42">
        <v>767</v>
      </c>
      <c r="D771" s="67" t="str">
        <f>IF('Prod 1'!D771="","",'Prod 1'!D771)</f>
        <v/>
      </c>
      <c r="E771" s="64"/>
      <c r="F771" s="58"/>
      <c r="G771" s="65"/>
      <c r="H771" s="65"/>
      <c r="I771" s="58"/>
      <c r="J771" s="58"/>
      <c r="K771" s="132" t="str">
        <f t="shared" si="44"/>
        <v/>
      </c>
      <c r="M771" s="68" t="str">
        <f t="shared" si="45"/>
        <v/>
      </c>
      <c r="N771" s="59" t="str">
        <f>IF('Prod 1'!E771="","",'Prod 1'!E771)</f>
        <v/>
      </c>
      <c r="O771" s="59" t="str">
        <f t="shared" si="46"/>
        <v/>
      </c>
      <c r="P771" s="59" t="str">
        <f t="shared" si="47"/>
        <v/>
      </c>
    </row>
    <row r="772" spans="3:16" ht="30" customHeight="1" x14ac:dyDescent="0.25">
      <c r="C772" s="42">
        <v>768</v>
      </c>
      <c r="D772" s="67" t="str">
        <f>IF('Prod 1'!D772="","",'Prod 1'!D772)</f>
        <v/>
      </c>
      <c r="E772" s="64"/>
      <c r="F772" s="58"/>
      <c r="G772" s="65"/>
      <c r="H772" s="65"/>
      <c r="I772" s="58"/>
      <c r="J772" s="58"/>
      <c r="K772" s="132" t="str">
        <f t="shared" si="44"/>
        <v/>
      </c>
      <c r="M772" s="68" t="str">
        <f t="shared" si="45"/>
        <v/>
      </c>
      <c r="N772" s="59" t="str">
        <f>IF('Prod 1'!E772="","",'Prod 1'!E772)</f>
        <v/>
      </c>
      <c r="O772" s="59" t="str">
        <f t="shared" si="46"/>
        <v/>
      </c>
      <c r="P772" s="59" t="str">
        <f t="shared" si="47"/>
        <v/>
      </c>
    </row>
    <row r="773" spans="3:16" ht="30" customHeight="1" x14ac:dyDescent="0.25">
      <c r="C773" s="42">
        <v>769</v>
      </c>
      <c r="D773" s="67" t="str">
        <f>IF('Prod 1'!D773="","",'Prod 1'!D773)</f>
        <v/>
      </c>
      <c r="E773" s="64"/>
      <c r="F773" s="58"/>
      <c r="G773" s="65"/>
      <c r="H773" s="65"/>
      <c r="I773" s="58"/>
      <c r="J773" s="58"/>
      <c r="K773" s="132" t="str">
        <f t="shared" si="44"/>
        <v/>
      </c>
      <c r="M773" s="68" t="str">
        <f t="shared" si="45"/>
        <v/>
      </c>
      <c r="N773" s="59" t="str">
        <f>IF('Prod 1'!E773="","",'Prod 1'!E773)</f>
        <v/>
      </c>
      <c r="O773" s="59" t="str">
        <f t="shared" si="46"/>
        <v/>
      </c>
      <c r="P773" s="59" t="str">
        <f t="shared" si="47"/>
        <v/>
      </c>
    </row>
    <row r="774" spans="3:16" ht="30" customHeight="1" x14ac:dyDescent="0.25">
      <c r="C774" s="42">
        <v>770</v>
      </c>
      <c r="D774" s="67" t="str">
        <f>IF('Prod 1'!D774="","",'Prod 1'!D774)</f>
        <v/>
      </c>
      <c r="E774" s="64"/>
      <c r="F774" s="58"/>
      <c r="G774" s="65"/>
      <c r="H774" s="65"/>
      <c r="I774" s="58"/>
      <c r="J774" s="58"/>
      <c r="K774" s="132" t="str">
        <f t="shared" ref="K774:K837" si="48">IF(E774="","",IF(E774="Produção",SUM(I774:J774)+SUM(O774:P774),F774))</f>
        <v/>
      </c>
      <c r="M774" s="68" t="str">
        <f t="shared" ref="M774:M837" si="49">IFERROR(IF(D774="","",100%),0)</f>
        <v/>
      </c>
      <c r="N774" s="59" t="str">
        <f>IF('Prod 1'!E774="","",'Prod 1'!E774)</f>
        <v/>
      </c>
      <c r="O774" s="59" t="str">
        <f t="shared" ref="O774:O837" si="50">IFERROR(IF(D774="","",N774*G774),0)</f>
        <v/>
      </c>
      <c r="P774" s="59" t="str">
        <f t="shared" ref="P774:P837" si="51">IFERROR(IF(D774="","",N774*H774),0)</f>
        <v/>
      </c>
    </row>
    <row r="775" spans="3:16" ht="30" customHeight="1" x14ac:dyDescent="0.25">
      <c r="C775" s="42">
        <v>771</v>
      </c>
      <c r="D775" s="67" t="str">
        <f>IF('Prod 1'!D775="","",'Prod 1'!D775)</f>
        <v/>
      </c>
      <c r="E775" s="64"/>
      <c r="F775" s="58"/>
      <c r="G775" s="65"/>
      <c r="H775" s="65"/>
      <c r="I775" s="58"/>
      <c r="J775" s="58"/>
      <c r="K775" s="132" t="str">
        <f t="shared" si="48"/>
        <v/>
      </c>
      <c r="M775" s="68" t="str">
        <f t="shared" si="49"/>
        <v/>
      </c>
      <c r="N775" s="59" t="str">
        <f>IF('Prod 1'!E775="","",'Prod 1'!E775)</f>
        <v/>
      </c>
      <c r="O775" s="59" t="str">
        <f t="shared" si="50"/>
        <v/>
      </c>
      <c r="P775" s="59" t="str">
        <f t="shared" si="51"/>
        <v/>
      </c>
    </row>
    <row r="776" spans="3:16" ht="30" customHeight="1" x14ac:dyDescent="0.25">
      <c r="C776" s="42">
        <v>772</v>
      </c>
      <c r="D776" s="67" t="str">
        <f>IF('Prod 1'!D776="","",'Prod 1'!D776)</f>
        <v/>
      </c>
      <c r="E776" s="64"/>
      <c r="F776" s="58"/>
      <c r="G776" s="65"/>
      <c r="H776" s="65"/>
      <c r="I776" s="58"/>
      <c r="J776" s="58"/>
      <c r="K776" s="132" t="str">
        <f t="shared" si="48"/>
        <v/>
      </c>
      <c r="M776" s="68" t="str">
        <f t="shared" si="49"/>
        <v/>
      </c>
      <c r="N776" s="59" t="str">
        <f>IF('Prod 1'!E776="","",'Prod 1'!E776)</f>
        <v/>
      </c>
      <c r="O776" s="59" t="str">
        <f t="shared" si="50"/>
        <v/>
      </c>
      <c r="P776" s="59" t="str">
        <f t="shared" si="51"/>
        <v/>
      </c>
    </row>
    <row r="777" spans="3:16" ht="30" customHeight="1" x14ac:dyDescent="0.25">
      <c r="C777" s="42">
        <v>773</v>
      </c>
      <c r="D777" s="67" t="str">
        <f>IF('Prod 1'!D777="","",'Prod 1'!D777)</f>
        <v/>
      </c>
      <c r="E777" s="64"/>
      <c r="F777" s="58"/>
      <c r="G777" s="65"/>
      <c r="H777" s="65"/>
      <c r="I777" s="58"/>
      <c r="J777" s="58"/>
      <c r="K777" s="132" t="str">
        <f t="shared" si="48"/>
        <v/>
      </c>
      <c r="M777" s="68" t="str">
        <f t="shared" si="49"/>
        <v/>
      </c>
      <c r="N777" s="59" t="str">
        <f>IF('Prod 1'!E777="","",'Prod 1'!E777)</f>
        <v/>
      </c>
      <c r="O777" s="59" t="str">
        <f t="shared" si="50"/>
        <v/>
      </c>
      <c r="P777" s="59" t="str">
        <f t="shared" si="51"/>
        <v/>
      </c>
    </row>
    <row r="778" spans="3:16" ht="30" customHeight="1" x14ac:dyDescent="0.25">
      <c r="C778" s="42">
        <v>774</v>
      </c>
      <c r="D778" s="67" t="str">
        <f>IF('Prod 1'!D778="","",'Prod 1'!D778)</f>
        <v/>
      </c>
      <c r="E778" s="64"/>
      <c r="F778" s="58"/>
      <c r="G778" s="65"/>
      <c r="H778" s="65"/>
      <c r="I778" s="58"/>
      <c r="J778" s="58"/>
      <c r="K778" s="132" t="str">
        <f t="shared" si="48"/>
        <v/>
      </c>
      <c r="M778" s="68" t="str">
        <f t="shared" si="49"/>
        <v/>
      </c>
      <c r="N778" s="59" t="str">
        <f>IF('Prod 1'!E778="","",'Prod 1'!E778)</f>
        <v/>
      </c>
      <c r="O778" s="59" t="str">
        <f t="shared" si="50"/>
        <v/>
      </c>
      <c r="P778" s="59" t="str">
        <f t="shared" si="51"/>
        <v/>
      </c>
    </row>
    <row r="779" spans="3:16" ht="30" customHeight="1" x14ac:dyDescent="0.25">
      <c r="C779" s="42">
        <v>775</v>
      </c>
      <c r="D779" s="67" t="str">
        <f>IF('Prod 1'!D779="","",'Prod 1'!D779)</f>
        <v/>
      </c>
      <c r="E779" s="64"/>
      <c r="F779" s="58"/>
      <c r="G779" s="65"/>
      <c r="H779" s="65"/>
      <c r="I779" s="58"/>
      <c r="J779" s="58"/>
      <c r="K779" s="132" t="str">
        <f t="shared" si="48"/>
        <v/>
      </c>
      <c r="M779" s="68" t="str">
        <f t="shared" si="49"/>
        <v/>
      </c>
      <c r="N779" s="59" t="str">
        <f>IF('Prod 1'!E779="","",'Prod 1'!E779)</f>
        <v/>
      </c>
      <c r="O779" s="59" t="str">
        <f t="shared" si="50"/>
        <v/>
      </c>
      <c r="P779" s="59" t="str">
        <f t="shared" si="51"/>
        <v/>
      </c>
    </row>
    <row r="780" spans="3:16" ht="30" customHeight="1" x14ac:dyDescent="0.25">
      <c r="C780" s="42">
        <v>776</v>
      </c>
      <c r="D780" s="67" t="str">
        <f>IF('Prod 1'!D780="","",'Prod 1'!D780)</f>
        <v/>
      </c>
      <c r="E780" s="64"/>
      <c r="F780" s="58"/>
      <c r="G780" s="65"/>
      <c r="H780" s="65"/>
      <c r="I780" s="58"/>
      <c r="J780" s="58"/>
      <c r="K780" s="132" t="str">
        <f t="shared" si="48"/>
        <v/>
      </c>
      <c r="M780" s="68" t="str">
        <f t="shared" si="49"/>
        <v/>
      </c>
      <c r="N780" s="59" t="str">
        <f>IF('Prod 1'!E780="","",'Prod 1'!E780)</f>
        <v/>
      </c>
      <c r="O780" s="59" t="str">
        <f t="shared" si="50"/>
        <v/>
      </c>
      <c r="P780" s="59" t="str">
        <f t="shared" si="51"/>
        <v/>
      </c>
    </row>
    <row r="781" spans="3:16" ht="30" customHeight="1" x14ac:dyDescent="0.25">
      <c r="C781" s="42">
        <v>777</v>
      </c>
      <c r="D781" s="67" t="str">
        <f>IF('Prod 1'!D781="","",'Prod 1'!D781)</f>
        <v/>
      </c>
      <c r="E781" s="64"/>
      <c r="F781" s="58"/>
      <c r="G781" s="65"/>
      <c r="H781" s="65"/>
      <c r="I781" s="58"/>
      <c r="J781" s="58"/>
      <c r="K781" s="132" t="str">
        <f t="shared" si="48"/>
        <v/>
      </c>
      <c r="M781" s="68" t="str">
        <f t="shared" si="49"/>
        <v/>
      </c>
      <c r="N781" s="59" t="str">
        <f>IF('Prod 1'!E781="","",'Prod 1'!E781)</f>
        <v/>
      </c>
      <c r="O781" s="59" t="str">
        <f t="shared" si="50"/>
        <v/>
      </c>
      <c r="P781" s="59" t="str">
        <f t="shared" si="51"/>
        <v/>
      </c>
    </row>
    <row r="782" spans="3:16" ht="30" customHeight="1" x14ac:dyDescent="0.25">
      <c r="C782" s="42">
        <v>778</v>
      </c>
      <c r="D782" s="67" t="str">
        <f>IF('Prod 1'!D782="","",'Prod 1'!D782)</f>
        <v/>
      </c>
      <c r="E782" s="64"/>
      <c r="F782" s="58"/>
      <c r="G782" s="65"/>
      <c r="H782" s="65"/>
      <c r="I782" s="58"/>
      <c r="J782" s="58"/>
      <c r="K782" s="132" t="str">
        <f t="shared" si="48"/>
        <v/>
      </c>
      <c r="M782" s="68" t="str">
        <f t="shared" si="49"/>
        <v/>
      </c>
      <c r="N782" s="59" t="str">
        <f>IF('Prod 1'!E782="","",'Prod 1'!E782)</f>
        <v/>
      </c>
      <c r="O782" s="59" t="str">
        <f t="shared" si="50"/>
        <v/>
      </c>
      <c r="P782" s="59" t="str">
        <f t="shared" si="51"/>
        <v/>
      </c>
    </row>
    <row r="783" spans="3:16" ht="30" customHeight="1" x14ac:dyDescent="0.25">
      <c r="C783" s="42">
        <v>779</v>
      </c>
      <c r="D783" s="67" t="str">
        <f>IF('Prod 1'!D783="","",'Prod 1'!D783)</f>
        <v/>
      </c>
      <c r="E783" s="64"/>
      <c r="F783" s="58"/>
      <c r="G783" s="65"/>
      <c r="H783" s="65"/>
      <c r="I783" s="58"/>
      <c r="J783" s="58"/>
      <c r="K783" s="132" t="str">
        <f t="shared" si="48"/>
        <v/>
      </c>
      <c r="M783" s="68" t="str">
        <f t="shared" si="49"/>
        <v/>
      </c>
      <c r="N783" s="59" t="str">
        <f>IF('Prod 1'!E783="","",'Prod 1'!E783)</f>
        <v/>
      </c>
      <c r="O783" s="59" t="str">
        <f t="shared" si="50"/>
        <v/>
      </c>
      <c r="P783" s="59" t="str">
        <f t="shared" si="51"/>
        <v/>
      </c>
    </row>
    <row r="784" spans="3:16" ht="30" customHeight="1" x14ac:dyDescent="0.25">
      <c r="C784" s="42">
        <v>780</v>
      </c>
      <c r="D784" s="67" t="str">
        <f>IF('Prod 1'!D784="","",'Prod 1'!D784)</f>
        <v/>
      </c>
      <c r="E784" s="64"/>
      <c r="F784" s="58"/>
      <c r="G784" s="65"/>
      <c r="H784" s="65"/>
      <c r="I784" s="58"/>
      <c r="J784" s="58"/>
      <c r="K784" s="132" t="str">
        <f t="shared" si="48"/>
        <v/>
      </c>
      <c r="M784" s="68" t="str">
        <f t="shared" si="49"/>
        <v/>
      </c>
      <c r="N784" s="59" t="str">
        <f>IF('Prod 1'!E784="","",'Prod 1'!E784)</f>
        <v/>
      </c>
      <c r="O784" s="59" t="str">
        <f t="shared" si="50"/>
        <v/>
      </c>
      <c r="P784" s="59" t="str">
        <f t="shared" si="51"/>
        <v/>
      </c>
    </row>
    <row r="785" spans="3:16" ht="30" customHeight="1" x14ac:dyDescent="0.25">
      <c r="C785" s="42">
        <v>781</v>
      </c>
      <c r="D785" s="67" t="str">
        <f>IF('Prod 1'!D785="","",'Prod 1'!D785)</f>
        <v/>
      </c>
      <c r="E785" s="64"/>
      <c r="F785" s="58"/>
      <c r="G785" s="65"/>
      <c r="H785" s="65"/>
      <c r="I785" s="58"/>
      <c r="J785" s="58"/>
      <c r="K785" s="132" t="str">
        <f t="shared" si="48"/>
        <v/>
      </c>
      <c r="M785" s="68" t="str">
        <f t="shared" si="49"/>
        <v/>
      </c>
      <c r="N785" s="59" t="str">
        <f>IF('Prod 1'!E785="","",'Prod 1'!E785)</f>
        <v/>
      </c>
      <c r="O785" s="59" t="str">
        <f t="shared" si="50"/>
        <v/>
      </c>
      <c r="P785" s="59" t="str">
        <f t="shared" si="51"/>
        <v/>
      </c>
    </row>
    <row r="786" spans="3:16" ht="30" customHeight="1" x14ac:dyDescent="0.25">
      <c r="C786" s="42">
        <v>782</v>
      </c>
      <c r="D786" s="67" t="str">
        <f>IF('Prod 1'!D786="","",'Prod 1'!D786)</f>
        <v/>
      </c>
      <c r="E786" s="64"/>
      <c r="F786" s="58"/>
      <c r="G786" s="65"/>
      <c r="H786" s="65"/>
      <c r="I786" s="58"/>
      <c r="J786" s="58"/>
      <c r="K786" s="132" t="str">
        <f t="shared" si="48"/>
        <v/>
      </c>
      <c r="M786" s="68" t="str">
        <f t="shared" si="49"/>
        <v/>
      </c>
      <c r="N786" s="59" t="str">
        <f>IF('Prod 1'!E786="","",'Prod 1'!E786)</f>
        <v/>
      </c>
      <c r="O786" s="59" t="str">
        <f t="shared" si="50"/>
        <v/>
      </c>
      <c r="P786" s="59" t="str">
        <f t="shared" si="51"/>
        <v/>
      </c>
    </row>
    <row r="787" spans="3:16" ht="30" customHeight="1" x14ac:dyDescent="0.25">
      <c r="C787" s="42">
        <v>783</v>
      </c>
      <c r="D787" s="67" t="str">
        <f>IF('Prod 1'!D787="","",'Prod 1'!D787)</f>
        <v/>
      </c>
      <c r="E787" s="64"/>
      <c r="F787" s="58"/>
      <c r="G787" s="65"/>
      <c r="H787" s="65"/>
      <c r="I787" s="58"/>
      <c r="J787" s="58"/>
      <c r="K787" s="132" t="str">
        <f t="shared" si="48"/>
        <v/>
      </c>
      <c r="M787" s="68" t="str">
        <f t="shared" si="49"/>
        <v/>
      </c>
      <c r="N787" s="59" t="str">
        <f>IF('Prod 1'!E787="","",'Prod 1'!E787)</f>
        <v/>
      </c>
      <c r="O787" s="59" t="str">
        <f t="shared" si="50"/>
        <v/>
      </c>
      <c r="P787" s="59" t="str">
        <f t="shared" si="51"/>
        <v/>
      </c>
    </row>
    <row r="788" spans="3:16" ht="30" customHeight="1" x14ac:dyDescent="0.25">
      <c r="C788" s="42">
        <v>784</v>
      </c>
      <c r="D788" s="67" t="str">
        <f>IF('Prod 1'!D788="","",'Prod 1'!D788)</f>
        <v/>
      </c>
      <c r="E788" s="64"/>
      <c r="F788" s="58"/>
      <c r="G788" s="65"/>
      <c r="H788" s="65"/>
      <c r="I788" s="58"/>
      <c r="J788" s="58"/>
      <c r="K788" s="132" t="str">
        <f t="shared" si="48"/>
        <v/>
      </c>
      <c r="M788" s="68" t="str">
        <f t="shared" si="49"/>
        <v/>
      </c>
      <c r="N788" s="59" t="str">
        <f>IF('Prod 1'!E788="","",'Prod 1'!E788)</f>
        <v/>
      </c>
      <c r="O788" s="59" t="str">
        <f t="shared" si="50"/>
        <v/>
      </c>
      <c r="P788" s="59" t="str">
        <f t="shared" si="51"/>
        <v/>
      </c>
    </row>
    <row r="789" spans="3:16" ht="30" customHeight="1" x14ac:dyDescent="0.25">
      <c r="C789" s="42">
        <v>785</v>
      </c>
      <c r="D789" s="67" t="str">
        <f>IF('Prod 1'!D789="","",'Prod 1'!D789)</f>
        <v/>
      </c>
      <c r="E789" s="64"/>
      <c r="F789" s="58"/>
      <c r="G789" s="65"/>
      <c r="H789" s="65"/>
      <c r="I789" s="58"/>
      <c r="J789" s="58"/>
      <c r="K789" s="132" t="str">
        <f t="shared" si="48"/>
        <v/>
      </c>
      <c r="M789" s="68" t="str">
        <f t="shared" si="49"/>
        <v/>
      </c>
      <c r="N789" s="59" t="str">
        <f>IF('Prod 1'!E789="","",'Prod 1'!E789)</f>
        <v/>
      </c>
      <c r="O789" s="59" t="str">
        <f t="shared" si="50"/>
        <v/>
      </c>
      <c r="P789" s="59" t="str">
        <f t="shared" si="51"/>
        <v/>
      </c>
    </row>
    <row r="790" spans="3:16" ht="30" customHeight="1" x14ac:dyDescent="0.25">
      <c r="C790" s="42">
        <v>786</v>
      </c>
      <c r="D790" s="67" t="str">
        <f>IF('Prod 1'!D790="","",'Prod 1'!D790)</f>
        <v/>
      </c>
      <c r="E790" s="64"/>
      <c r="F790" s="58"/>
      <c r="G790" s="65"/>
      <c r="H790" s="65"/>
      <c r="I790" s="58"/>
      <c r="J790" s="58"/>
      <c r="K790" s="132" t="str">
        <f t="shared" si="48"/>
        <v/>
      </c>
      <c r="M790" s="68" t="str">
        <f t="shared" si="49"/>
        <v/>
      </c>
      <c r="N790" s="59" t="str">
        <f>IF('Prod 1'!E790="","",'Prod 1'!E790)</f>
        <v/>
      </c>
      <c r="O790" s="59" t="str">
        <f t="shared" si="50"/>
        <v/>
      </c>
      <c r="P790" s="59" t="str">
        <f t="shared" si="51"/>
        <v/>
      </c>
    </row>
    <row r="791" spans="3:16" ht="30" customHeight="1" x14ac:dyDescent="0.25">
      <c r="C791" s="42">
        <v>787</v>
      </c>
      <c r="D791" s="67" t="str">
        <f>IF('Prod 1'!D791="","",'Prod 1'!D791)</f>
        <v/>
      </c>
      <c r="E791" s="64"/>
      <c r="F791" s="58"/>
      <c r="G791" s="65"/>
      <c r="H791" s="65"/>
      <c r="I791" s="58"/>
      <c r="J791" s="58"/>
      <c r="K791" s="132" t="str">
        <f t="shared" si="48"/>
        <v/>
      </c>
      <c r="M791" s="68" t="str">
        <f t="shared" si="49"/>
        <v/>
      </c>
      <c r="N791" s="59" t="str">
        <f>IF('Prod 1'!E791="","",'Prod 1'!E791)</f>
        <v/>
      </c>
      <c r="O791" s="59" t="str">
        <f t="shared" si="50"/>
        <v/>
      </c>
      <c r="P791" s="59" t="str">
        <f t="shared" si="51"/>
        <v/>
      </c>
    </row>
    <row r="792" spans="3:16" ht="30" customHeight="1" x14ac:dyDescent="0.25">
      <c r="C792" s="42">
        <v>788</v>
      </c>
      <c r="D792" s="67" t="str">
        <f>IF('Prod 1'!D792="","",'Prod 1'!D792)</f>
        <v/>
      </c>
      <c r="E792" s="64"/>
      <c r="F792" s="58"/>
      <c r="G792" s="65"/>
      <c r="H792" s="65"/>
      <c r="I792" s="58"/>
      <c r="J792" s="58"/>
      <c r="K792" s="132" t="str">
        <f t="shared" si="48"/>
        <v/>
      </c>
      <c r="M792" s="68" t="str">
        <f t="shared" si="49"/>
        <v/>
      </c>
      <c r="N792" s="59" t="str">
        <f>IF('Prod 1'!E792="","",'Prod 1'!E792)</f>
        <v/>
      </c>
      <c r="O792" s="59" t="str">
        <f t="shared" si="50"/>
        <v/>
      </c>
      <c r="P792" s="59" t="str">
        <f t="shared" si="51"/>
        <v/>
      </c>
    </row>
    <row r="793" spans="3:16" ht="30" customHeight="1" x14ac:dyDescent="0.25">
      <c r="C793" s="42">
        <v>789</v>
      </c>
      <c r="D793" s="67" t="str">
        <f>IF('Prod 1'!D793="","",'Prod 1'!D793)</f>
        <v/>
      </c>
      <c r="E793" s="64"/>
      <c r="F793" s="58"/>
      <c r="G793" s="65"/>
      <c r="H793" s="65"/>
      <c r="I793" s="58"/>
      <c r="J793" s="58"/>
      <c r="K793" s="132" t="str">
        <f t="shared" si="48"/>
        <v/>
      </c>
      <c r="M793" s="68" t="str">
        <f t="shared" si="49"/>
        <v/>
      </c>
      <c r="N793" s="59" t="str">
        <f>IF('Prod 1'!E793="","",'Prod 1'!E793)</f>
        <v/>
      </c>
      <c r="O793" s="59" t="str">
        <f t="shared" si="50"/>
        <v/>
      </c>
      <c r="P793" s="59" t="str">
        <f t="shared" si="51"/>
        <v/>
      </c>
    </row>
    <row r="794" spans="3:16" ht="30" customHeight="1" x14ac:dyDescent="0.25">
      <c r="C794" s="42">
        <v>790</v>
      </c>
      <c r="D794" s="67" t="str">
        <f>IF('Prod 1'!D794="","",'Prod 1'!D794)</f>
        <v/>
      </c>
      <c r="E794" s="64"/>
      <c r="F794" s="58"/>
      <c r="G794" s="65"/>
      <c r="H794" s="65"/>
      <c r="I794" s="58"/>
      <c r="J794" s="58"/>
      <c r="K794" s="132" t="str">
        <f t="shared" si="48"/>
        <v/>
      </c>
      <c r="M794" s="68" t="str">
        <f t="shared" si="49"/>
        <v/>
      </c>
      <c r="N794" s="59" t="str">
        <f>IF('Prod 1'!E794="","",'Prod 1'!E794)</f>
        <v/>
      </c>
      <c r="O794" s="59" t="str">
        <f t="shared" si="50"/>
        <v/>
      </c>
      <c r="P794" s="59" t="str">
        <f t="shared" si="51"/>
        <v/>
      </c>
    </row>
    <row r="795" spans="3:16" ht="30" customHeight="1" x14ac:dyDescent="0.25">
      <c r="C795" s="42">
        <v>791</v>
      </c>
      <c r="D795" s="67" t="str">
        <f>IF('Prod 1'!D795="","",'Prod 1'!D795)</f>
        <v/>
      </c>
      <c r="E795" s="64"/>
      <c r="F795" s="58"/>
      <c r="G795" s="65"/>
      <c r="H795" s="65"/>
      <c r="I795" s="58"/>
      <c r="J795" s="58"/>
      <c r="K795" s="132" t="str">
        <f t="shared" si="48"/>
        <v/>
      </c>
      <c r="M795" s="68" t="str">
        <f t="shared" si="49"/>
        <v/>
      </c>
      <c r="N795" s="59" t="str">
        <f>IF('Prod 1'!E795="","",'Prod 1'!E795)</f>
        <v/>
      </c>
      <c r="O795" s="59" t="str">
        <f t="shared" si="50"/>
        <v/>
      </c>
      <c r="P795" s="59" t="str">
        <f t="shared" si="51"/>
        <v/>
      </c>
    </row>
    <row r="796" spans="3:16" ht="30" customHeight="1" x14ac:dyDescent="0.25">
      <c r="C796" s="42">
        <v>792</v>
      </c>
      <c r="D796" s="67" t="str">
        <f>IF('Prod 1'!D796="","",'Prod 1'!D796)</f>
        <v/>
      </c>
      <c r="E796" s="64"/>
      <c r="F796" s="58"/>
      <c r="G796" s="65"/>
      <c r="H796" s="65"/>
      <c r="I796" s="58"/>
      <c r="J796" s="58"/>
      <c r="K796" s="132" t="str">
        <f t="shared" si="48"/>
        <v/>
      </c>
      <c r="M796" s="68" t="str">
        <f t="shared" si="49"/>
        <v/>
      </c>
      <c r="N796" s="59" t="str">
        <f>IF('Prod 1'!E796="","",'Prod 1'!E796)</f>
        <v/>
      </c>
      <c r="O796" s="59" t="str">
        <f t="shared" si="50"/>
        <v/>
      </c>
      <c r="P796" s="59" t="str">
        <f t="shared" si="51"/>
        <v/>
      </c>
    </row>
    <row r="797" spans="3:16" ht="30" customHeight="1" x14ac:dyDescent="0.25">
      <c r="C797" s="42">
        <v>793</v>
      </c>
      <c r="D797" s="67" t="str">
        <f>IF('Prod 1'!D797="","",'Prod 1'!D797)</f>
        <v/>
      </c>
      <c r="E797" s="64"/>
      <c r="F797" s="58"/>
      <c r="G797" s="65"/>
      <c r="H797" s="65"/>
      <c r="I797" s="58"/>
      <c r="J797" s="58"/>
      <c r="K797" s="132" t="str">
        <f t="shared" si="48"/>
        <v/>
      </c>
      <c r="M797" s="68" t="str">
        <f t="shared" si="49"/>
        <v/>
      </c>
      <c r="N797" s="59" t="str">
        <f>IF('Prod 1'!E797="","",'Prod 1'!E797)</f>
        <v/>
      </c>
      <c r="O797" s="59" t="str">
        <f t="shared" si="50"/>
        <v/>
      </c>
      <c r="P797" s="59" t="str">
        <f t="shared" si="51"/>
        <v/>
      </c>
    </row>
    <row r="798" spans="3:16" ht="30" customHeight="1" x14ac:dyDescent="0.25">
      <c r="C798" s="42">
        <v>794</v>
      </c>
      <c r="D798" s="67" t="str">
        <f>IF('Prod 1'!D798="","",'Prod 1'!D798)</f>
        <v/>
      </c>
      <c r="E798" s="64"/>
      <c r="F798" s="58"/>
      <c r="G798" s="65"/>
      <c r="H798" s="65"/>
      <c r="I798" s="58"/>
      <c r="J798" s="58"/>
      <c r="K798" s="132" t="str">
        <f t="shared" si="48"/>
        <v/>
      </c>
      <c r="M798" s="68" t="str">
        <f t="shared" si="49"/>
        <v/>
      </c>
      <c r="N798" s="59" t="str">
        <f>IF('Prod 1'!E798="","",'Prod 1'!E798)</f>
        <v/>
      </c>
      <c r="O798" s="59" t="str">
        <f t="shared" si="50"/>
        <v/>
      </c>
      <c r="P798" s="59" t="str">
        <f t="shared" si="51"/>
        <v/>
      </c>
    </row>
    <row r="799" spans="3:16" ht="30" customHeight="1" x14ac:dyDescent="0.25">
      <c r="C799" s="42">
        <v>795</v>
      </c>
      <c r="D799" s="67" t="str">
        <f>IF('Prod 1'!D799="","",'Prod 1'!D799)</f>
        <v/>
      </c>
      <c r="E799" s="64"/>
      <c r="F799" s="58"/>
      <c r="G799" s="65"/>
      <c r="H799" s="65"/>
      <c r="I799" s="58"/>
      <c r="J799" s="58"/>
      <c r="K799" s="132" t="str">
        <f t="shared" si="48"/>
        <v/>
      </c>
      <c r="M799" s="68" t="str">
        <f t="shared" si="49"/>
        <v/>
      </c>
      <c r="N799" s="59" t="str">
        <f>IF('Prod 1'!E799="","",'Prod 1'!E799)</f>
        <v/>
      </c>
      <c r="O799" s="59" t="str">
        <f t="shared" si="50"/>
        <v/>
      </c>
      <c r="P799" s="59" t="str">
        <f t="shared" si="51"/>
        <v/>
      </c>
    </row>
    <row r="800" spans="3:16" ht="30" customHeight="1" x14ac:dyDescent="0.25">
      <c r="C800" s="42">
        <v>796</v>
      </c>
      <c r="D800" s="67" t="str">
        <f>IF('Prod 1'!D800="","",'Prod 1'!D800)</f>
        <v/>
      </c>
      <c r="E800" s="64"/>
      <c r="F800" s="58"/>
      <c r="G800" s="65"/>
      <c r="H800" s="65"/>
      <c r="I800" s="58"/>
      <c r="J800" s="58"/>
      <c r="K800" s="132" t="str">
        <f t="shared" si="48"/>
        <v/>
      </c>
      <c r="M800" s="68" t="str">
        <f t="shared" si="49"/>
        <v/>
      </c>
      <c r="N800" s="59" t="str">
        <f>IF('Prod 1'!E800="","",'Prod 1'!E800)</f>
        <v/>
      </c>
      <c r="O800" s="59" t="str">
        <f t="shared" si="50"/>
        <v/>
      </c>
      <c r="P800" s="59" t="str">
        <f t="shared" si="51"/>
        <v/>
      </c>
    </row>
    <row r="801" spans="3:16" ht="30" customHeight="1" x14ac:dyDescent="0.25">
      <c r="C801" s="42">
        <v>797</v>
      </c>
      <c r="D801" s="67" t="str">
        <f>IF('Prod 1'!D801="","",'Prod 1'!D801)</f>
        <v/>
      </c>
      <c r="E801" s="64"/>
      <c r="F801" s="58"/>
      <c r="G801" s="65"/>
      <c r="H801" s="65"/>
      <c r="I801" s="58"/>
      <c r="J801" s="58"/>
      <c r="K801" s="132" t="str">
        <f t="shared" si="48"/>
        <v/>
      </c>
      <c r="M801" s="68" t="str">
        <f t="shared" si="49"/>
        <v/>
      </c>
      <c r="N801" s="59" t="str">
        <f>IF('Prod 1'!E801="","",'Prod 1'!E801)</f>
        <v/>
      </c>
      <c r="O801" s="59" t="str">
        <f t="shared" si="50"/>
        <v/>
      </c>
      <c r="P801" s="59" t="str">
        <f t="shared" si="51"/>
        <v/>
      </c>
    </row>
    <row r="802" spans="3:16" ht="30" customHeight="1" x14ac:dyDescent="0.25">
      <c r="C802" s="42">
        <v>798</v>
      </c>
      <c r="D802" s="67" t="str">
        <f>IF('Prod 1'!D802="","",'Prod 1'!D802)</f>
        <v/>
      </c>
      <c r="E802" s="64"/>
      <c r="F802" s="58"/>
      <c r="G802" s="65"/>
      <c r="H802" s="65"/>
      <c r="I802" s="58"/>
      <c r="J802" s="58"/>
      <c r="K802" s="132" t="str">
        <f t="shared" si="48"/>
        <v/>
      </c>
      <c r="M802" s="68" t="str">
        <f t="shared" si="49"/>
        <v/>
      </c>
      <c r="N802" s="59" t="str">
        <f>IF('Prod 1'!E802="","",'Prod 1'!E802)</f>
        <v/>
      </c>
      <c r="O802" s="59" t="str">
        <f t="shared" si="50"/>
        <v/>
      </c>
      <c r="P802" s="59" t="str">
        <f t="shared" si="51"/>
        <v/>
      </c>
    </row>
    <row r="803" spans="3:16" ht="30" customHeight="1" x14ac:dyDescent="0.25">
      <c r="C803" s="42">
        <v>799</v>
      </c>
      <c r="D803" s="67" t="str">
        <f>IF('Prod 1'!D803="","",'Prod 1'!D803)</f>
        <v/>
      </c>
      <c r="E803" s="64"/>
      <c r="F803" s="58"/>
      <c r="G803" s="65"/>
      <c r="H803" s="65"/>
      <c r="I803" s="58"/>
      <c r="J803" s="58"/>
      <c r="K803" s="132" t="str">
        <f t="shared" si="48"/>
        <v/>
      </c>
      <c r="M803" s="68" t="str">
        <f t="shared" si="49"/>
        <v/>
      </c>
      <c r="N803" s="59" t="str">
        <f>IF('Prod 1'!E803="","",'Prod 1'!E803)</f>
        <v/>
      </c>
      <c r="O803" s="59" t="str">
        <f t="shared" si="50"/>
        <v/>
      </c>
      <c r="P803" s="59" t="str">
        <f t="shared" si="51"/>
        <v/>
      </c>
    </row>
    <row r="804" spans="3:16" ht="30" customHeight="1" x14ac:dyDescent="0.25">
      <c r="C804" s="42">
        <v>800</v>
      </c>
      <c r="D804" s="67" t="str">
        <f>IF('Prod 1'!D804="","",'Prod 1'!D804)</f>
        <v/>
      </c>
      <c r="E804" s="64"/>
      <c r="F804" s="58"/>
      <c r="G804" s="65"/>
      <c r="H804" s="65"/>
      <c r="I804" s="58"/>
      <c r="J804" s="58"/>
      <c r="K804" s="132" t="str">
        <f t="shared" si="48"/>
        <v/>
      </c>
      <c r="M804" s="68" t="str">
        <f t="shared" si="49"/>
        <v/>
      </c>
      <c r="N804" s="59" t="str">
        <f>IF('Prod 1'!E804="","",'Prod 1'!E804)</f>
        <v/>
      </c>
      <c r="O804" s="59" t="str">
        <f t="shared" si="50"/>
        <v/>
      </c>
      <c r="P804" s="59" t="str">
        <f t="shared" si="51"/>
        <v/>
      </c>
    </row>
    <row r="805" spans="3:16" ht="30" customHeight="1" x14ac:dyDescent="0.25">
      <c r="C805" s="42">
        <v>801</v>
      </c>
      <c r="D805" s="67" t="str">
        <f>IF('Prod 1'!D805="","",'Prod 1'!D805)</f>
        <v/>
      </c>
      <c r="E805" s="64"/>
      <c r="F805" s="58"/>
      <c r="G805" s="65"/>
      <c r="H805" s="65"/>
      <c r="I805" s="58"/>
      <c r="J805" s="58"/>
      <c r="K805" s="132" t="str">
        <f t="shared" si="48"/>
        <v/>
      </c>
      <c r="M805" s="68" t="str">
        <f t="shared" si="49"/>
        <v/>
      </c>
      <c r="N805" s="59" t="str">
        <f>IF('Prod 1'!E805="","",'Prod 1'!E805)</f>
        <v/>
      </c>
      <c r="O805" s="59" t="str">
        <f t="shared" si="50"/>
        <v/>
      </c>
      <c r="P805" s="59" t="str">
        <f t="shared" si="51"/>
        <v/>
      </c>
    </row>
    <row r="806" spans="3:16" ht="30" customHeight="1" x14ac:dyDescent="0.25">
      <c r="C806" s="42">
        <v>802</v>
      </c>
      <c r="D806" s="67" t="str">
        <f>IF('Prod 1'!D806="","",'Prod 1'!D806)</f>
        <v/>
      </c>
      <c r="E806" s="64"/>
      <c r="F806" s="58"/>
      <c r="G806" s="65"/>
      <c r="H806" s="65"/>
      <c r="I806" s="58"/>
      <c r="J806" s="58"/>
      <c r="K806" s="132" t="str">
        <f t="shared" si="48"/>
        <v/>
      </c>
      <c r="M806" s="68" t="str">
        <f t="shared" si="49"/>
        <v/>
      </c>
      <c r="N806" s="59" t="str">
        <f>IF('Prod 1'!E806="","",'Prod 1'!E806)</f>
        <v/>
      </c>
      <c r="O806" s="59" t="str">
        <f t="shared" si="50"/>
        <v/>
      </c>
      <c r="P806" s="59" t="str">
        <f t="shared" si="51"/>
        <v/>
      </c>
    </row>
    <row r="807" spans="3:16" ht="30" customHeight="1" x14ac:dyDescent="0.25">
      <c r="C807" s="42">
        <v>803</v>
      </c>
      <c r="D807" s="67" t="str">
        <f>IF('Prod 1'!D807="","",'Prod 1'!D807)</f>
        <v/>
      </c>
      <c r="E807" s="64"/>
      <c r="F807" s="58"/>
      <c r="G807" s="65"/>
      <c r="H807" s="65"/>
      <c r="I807" s="58"/>
      <c r="J807" s="58"/>
      <c r="K807" s="132" t="str">
        <f t="shared" si="48"/>
        <v/>
      </c>
      <c r="M807" s="68" t="str">
        <f t="shared" si="49"/>
        <v/>
      </c>
      <c r="N807" s="59" t="str">
        <f>IF('Prod 1'!E807="","",'Prod 1'!E807)</f>
        <v/>
      </c>
      <c r="O807" s="59" t="str">
        <f t="shared" si="50"/>
        <v/>
      </c>
      <c r="P807" s="59" t="str">
        <f t="shared" si="51"/>
        <v/>
      </c>
    </row>
    <row r="808" spans="3:16" ht="30" customHeight="1" x14ac:dyDescent="0.25">
      <c r="C808" s="42">
        <v>804</v>
      </c>
      <c r="D808" s="67" t="str">
        <f>IF('Prod 1'!D808="","",'Prod 1'!D808)</f>
        <v/>
      </c>
      <c r="E808" s="64"/>
      <c r="F808" s="58"/>
      <c r="G808" s="65"/>
      <c r="H808" s="65"/>
      <c r="I808" s="58"/>
      <c r="J808" s="58"/>
      <c r="K808" s="132" t="str">
        <f t="shared" si="48"/>
        <v/>
      </c>
      <c r="M808" s="68" t="str">
        <f t="shared" si="49"/>
        <v/>
      </c>
      <c r="N808" s="59" t="str">
        <f>IF('Prod 1'!E808="","",'Prod 1'!E808)</f>
        <v/>
      </c>
      <c r="O808" s="59" t="str">
        <f t="shared" si="50"/>
        <v/>
      </c>
      <c r="P808" s="59" t="str">
        <f t="shared" si="51"/>
        <v/>
      </c>
    </row>
    <row r="809" spans="3:16" ht="30" customHeight="1" x14ac:dyDescent="0.25">
      <c r="C809" s="42">
        <v>805</v>
      </c>
      <c r="D809" s="67" t="str">
        <f>IF('Prod 1'!D809="","",'Prod 1'!D809)</f>
        <v/>
      </c>
      <c r="E809" s="64"/>
      <c r="F809" s="58"/>
      <c r="G809" s="65"/>
      <c r="H809" s="65"/>
      <c r="I809" s="58"/>
      <c r="J809" s="58"/>
      <c r="K809" s="132" t="str">
        <f t="shared" si="48"/>
        <v/>
      </c>
      <c r="M809" s="68" t="str">
        <f t="shared" si="49"/>
        <v/>
      </c>
      <c r="N809" s="59" t="str">
        <f>IF('Prod 1'!E809="","",'Prod 1'!E809)</f>
        <v/>
      </c>
      <c r="O809" s="59" t="str">
        <f t="shared" si="50"/>
        <v/>
      </c>
      <c r="P809" s="59" t="str">
        <f t="shared" si="51"/>
        <v/>
      </c>
    </row>
    <row r="810" spans="3:16" ht="30" customHeight="1" x14ac:dyDescent="0.25">
      <c r="C810" s="42">
        <v>806</v>
      </c>
      <c r="D810" s="67" t="str">
        <f>IF('Prod 1'!D810="","",'Prod 1'!D810)</f>
        <v/>
      </c>
      <c r="E810" s="64"/>
      <c r="F810" s="58"/>
      <c r="G810" s="65"/>
      <c r="H810" s="65"/>
      <c r="I810" s="58"/>
      <c r="J810" s="58"/>
      <c r="K810" s="132" t="str">
        <f t="shared" si="48"/>
        <v/>
      </c>
      <c r="M810" s="68" t="str">
        <f t="shared" si="49"/>
        <v/>
      </c>
      <c r="N810" s="59" t="str">
        <f>IF('Prod 1'!E810="","",'Prod 1'!E810)</f>
        <v/>
      </c>
      <c r="O810" s="59" t="str">
        <f t="shared" si="50"/>
        <v/>
      </c>
      <c r="P810" s="59" t="str">
        <f t="shared" si="51"/>
        <v/>
      </c>
    </row>
    <row r="811" spans="3:16" ht="30" customHeight="1" x14ac:dyDescent="0.25">
      <c r="C811" s="42">
        <v>807</v>
      </c>
      <c r="D811" s="67" t="str">
        <f>IF('Prod 1'!D811="","",'Prod 1'!D811)</f>
        <v/>
      </c>
      <c r="E811" s="64"/>
      <c r="F811" s="58"/>
      <c r="G811" s="65"/>
      <c r="H811" s="65"/>
      <c r="I811" s="58"/>
      <c r="J811" s="58"/>
      <c r="K811" s="132" t="str">
        <f t="shared" si="48"/>
        <v/>
      </c>
      <c r="M811" s="68" t="str">
        <f t="shared" si="49"/>
        <v/>
      </c>
      <c r="N811" s="59" t="str">
        <f>IF('Prod 1'!E811="","",'Prod 1'!E811)</f>
        <v/>
      </c>
      <c r="O811" s="59" t="str">
        <f t="shared" si="50"/>
        <v/>
      </c>
      <c r="P811" s="59" t="str">
        <f t="shared" si="51"/>
        <v/>
      </c>
    </row>
    <row r="812" spans="3:16" ht="30" customHeight="1" x14ac:dyDescent="0.25">
      <c r="C812" s="42">
        <v>808</v>
      </c>
      <c r="D812" s="67" t="str">
        <f>IF('Prod 1'!D812="","",'Prod 1'!D812)</f>
        <v/>
      </c>
      <c r="E812" s="64"/>
      <c r="F812" s="58"/>
      <c r="G812" s="65"/>
      <c r="H812" s="65"/>
      <c r="I812" s="58"/>
      <c r="J812" s="58"/>
      <c r="K812" s="132" t="str">
        <f t="shared" si="48"/>
        <v/>
      </c>
      <c r="M812" s="68" t="str">
        <f t="shared" si="49"/>
        <v/>
      </c>
      <c r="N812" s="59" t="str">
        <f>IF('Prod 1'!E812="","",'Prod 1'!E812)</f>
        <v/>
      </c>
      <c r="O812" s="59" t="str">
        <f t="shared" si="50"/>
        <v/>
      </c>
      <c r="P812" s="59" t="str">
        <f t="shared" si="51"/>
        <v/>
      </c>
    </row>
    <row r="813" spans="3:16" ht="30" customHeight="1" x14ac:dyDescent="0.25">
      <c r="C813" s="42">
        <v>809</v>
      </c>
      <c r="D813" s="67" t="str">
        <f>IF('Prod 1'!D813="","",'Prod 1'!D813)</f>
        <v/>
      </c>
      <c r="E813" s="64"/>
      <c r="F813" s="58"/>
      <c r="G813" s="65"/>
      <c r="H813" s="65"/>
      <c r="I813" s="58"/>
      <c r="J813" s="58"/>
      <c r="K813" s="132" t="str">
        <f t="shared" si="48"/>
        <v/>
      </c>
      <c r="M813" s="68" t="str">
        <f t="shared" si="49"/>
        <v/>
      </c>
      <c r="N813" s="59" t="str">
        <f>IF('Prod 1'!E813="","",'Prod 1'!E813)</f>
        <v/>
      </c>
      <c r="O813" s="59" t="str">
        <f t="shared" si="50"/>
        <v/>
      </c>
      <c r="P813" s="59" t="str">
        <f t="shared" si="51"/>
        <v/>
      </c>
    </row>
    <row r="814" spans="3:16" ht="30" customHeight="1" x14ac:dyDescent="0.25">
      <c r="C814" s="42">
        <v>810</v>
      </c>
      <c r="D814" s="67" t="str">
        <f>IF('Prod 1'!D814="","",'Prod 1'!D814)</f>
        <v/>
      </c>
      <c r="E814" s="64"/>
      <c r="F814" s="58"/>
      <c r="G814" s="65"/>
      <c r="H814" s="65"/>
      <c r="I814" s="58"/>
      <c r="J814" s="58"/>
      <c r="K814" s="132" t="str">
        <f t="shared" si="48"/>
        <v/>
      </c>
      <c r="M814" s="68" t="str">
        <f t="shared" si="49"/>
        <v/>
      </c>
      <c r="N814" s="59" t="str">
        <f>IF('Prod 1'!E814="","",'Prod 1'!E814)</f>
        <v/>
      </c>
      <c r="O814" s="59" t="str">
        <f t="shared" si="50"/>
        <v/>
      </c>
      <c r="P814" s="59" t="str">
        <f t="shared" si="51"/>
        <v/>
      </c>
    </row>
    <row r="815" spans="3:16" ht="30" customHeight="1" x14ac:dyDescent="0.25">
      <c r="C815" s="42">
        <v>811</v>
      </c>
      <c r="D815" s="67" t="str">
        <f>IF('Prod 1'!D815="","",'Prod 1'!D815)</f>
        <v/>
      </c>
      <c r="E815" s="64"/>
      <c r="F815" s="58"/>
      <c r="G815" s="65"/>
      <c r="H815" s="65"/>
      <c r="I815" s="58"/>
      <c r="J815" s="58"/>
      <c r="K815" s="132" t="str">
        <f t="shared" si="48"/>
        <v/>
      </c>
      <c r="M815" s="68" t="str">
        <f t="shared" si="49"/>
        <v/>
      </c>
      <c r="N815" s="59" t="str">
        <f>IF('Prod 1'!E815="","",'Prod 1'!E815)</f>
        <v/>
      </c>
      <c r="O815" s="59" t="str">
        <f t="shared" si="50"/>
        <v/>
      </c>
      <c r="P815" s="59" t="str">
        <f t="shared" si="51"/>
        <v/>
      </c>
    </row>
    <row r="816" spans="3:16" ht="30" customHeight="1" x14ac:dyDescent="0.25">
      <c r="C816" s="42">
        <v>812</v>
      </c>
      <c r="D816" s="67" t="str">
        <f>IF('Prod 1'!D816="","",'Prod 1'!D816)</f>
        <v/>
      </c>
      <c r="E816" s="64"/>
      <c r="F816" s="58"/>
      <c r="G816" s="65"/>
      <c r="H816" s="65"/>
      <c r="I816" s="58"/>
      <c r="J816" s="58"/>
      <c r="K816" s="132" t="str">
        <f t="shared" si="48"/>
        <v/>
      </c>
      <c r="M816" s="68" t="str">
        <f t="shared" si="49"/>
        <v/>
      </c>
      <c r="N816" s="59" t="str">
        <f>IF('Prod 1'!E816="","",'Prod 1'!E816)</f>
        <v/>
      </c>
      <c r="O816" s="59" t="str">
        <f t="shared" si="50"/>
        <v/>
      </c>
      <c r="P816" s="59" t="str">
        <f t="shared" si="51"/>
        <v/>
      </c>
    </row>
    <row r="817" spans="3:16" ht="30" customHeight="1" x14ac:dyDescent="0.25">
      <c r="C817" s="42">
        <v>813</v>
      </c>
      <c r="D817" s="67" t="str">
        <f>IF('Prod 1'!D817="","",'Prod 1'!D817)</f>
        <v/>
      </c>
      <c r="E817" s="64"/>
      <c r="F817" s="58"/>
      <c r="G817" s="65"/>
      <c r="H817" s="65"/>
      <c r="I817" s="58"/>
      <c r="J817" s="58"/>
      <c r="K817" s="132" t="str">
        <f t="shared" si="48"/>
        <v/>
      </c>
      <c r="M817" s="68" t="str">
        <f t="shared" si="49"/>
        <v/>
      </c>
      <c r="N817" s="59" t="str">
        <f>IF('Prod 1'!E817="","",'Prod 1'!E817)</f>
        <v/>
      </c>
      <c r="O817" s="59" t="str">
        <f t="shared" si="50"/>
        <v/>
      </c>
      <c r="P817" s="59" t="str">
        <f t="shared" si="51"/>
        <v/>
      </c>
    </row>
    <row r="818" spans="3:16" ht="30" customHeight="1" x14ac:dyDescent="0.25">
      <c r="C818" s="42">
        <v>814</v>
      </c>
      <c r="D818" s="67" t="str">
        <f>IF('Prod 1'!D818="","",'Prod 1'!D818)</f>
        <v/>
      </c>
      <c r="E818" s="64"/>
      <c r="F818" s="58"/>
      <c r="G818" s="65"/>
      <c r="H818" s="65"/>
      <c r="I818" s="58"/>
      <c r="J818" s="58"/>
      <c r="K818" s="132" t="str">
        <f t="shared" si="48"/>
        <v/>
      </c>
      <c r="M818" s="68" t="str">
        <f t="shared" si="49"/>
        <v/>
      </c>
      <c r="N818" s="59" t="str">
        <f>IF('Prod 1'!E818="","",'Prod 1'!E818)</f>
        <v/>
      </c>
      <c r="O818" s="59" t="str">
        <f t="shared" si="50"/>
        <v/>
      </c>
      <c r="P818" s="59" t="str">
        <f t="shared" si="51"/>
        <v/>
      </c>
    </row>
    <row r="819" spans="3:16" ht="30" customHeight="1" x14ac:dyDescent="0.25">
      <c r="C819" s="42">
        <v>815</v>
      </c>
      <c r="D819" s="67" t="str">
        <f>IF('Prod 1'!D819="","",'Prod 1'!D819)</f>
        <v/>
      </c>
      <c r="E819" s="64"/>
      <c r="F819" s="58"/>
      <c r="G819" s="65"/>
      <c r="H819" s="65"/>
      <c r="I819" s="58"/>
      <c r="J819" s="58"/>
      <c r="K819" s="132" t="str">
        <f t="shared" si="48"/>
        <v/>
      </c>
      <c r="M819" s="68" t="str">
        <f t="shared" si="49"/>
        <v/>
      </c>
      <c r="N819" s="59" t="str">
        <f>IF('Prod 1'!E819="","",'Prod 1'!E819)</f>
        <v/>
      </c>
      <c r="O819" s="59" t="str">
        <f t="shared" si="50"/>
        <v/>
      </c>
      <c r="P819" s="59" t="str">
        <f t="shared" si="51"/>
        <v/>
      </c>
    </row>
    <row r="820" spans="3:16" ht="30" customHeight="1" x14ac:dyDescent="0.25">
      <c r="C820" s="42">
        <v>816</v>
      </c>
      <c r="D820" s="67" t="str">
        <f>IF('Prod 1'!D820="","",'Prod 1'!D820)</f>
        <v/>
      </c>
      <c r="E820" s="64"/>
      <c r="F820" s="58"/>
      <c r="G820" s="65"/>
      <c r="H820" s="65"/>
      <c r="I820" s="58"/>
      <c r="J820" s="58"/>
      <c r="K820" s="132" t="str">
        <f t="shared" si="48"/>
        <v/>
      </c>
      <c r="M820" s="68" t="str">
        <f t="shared" si="49"/>
        <v/>
      </c>
      <c r="N820" s="59" t="str">
        <f>IF('Prod 1'!E820="","",'Prod 1'!E820)</f>
        <v/>
      </c>
      <c r="O820" s="59" t="str">
        <f t="shared" si="50"/>
        <v/>
      </c>
      <c r="P820" s="59" t="str">
        <f t="shared" si="51"/>
        <v/>
      </c>
    </row>
    <row r="821" spans="3:16" ht="30" customHeight="1" x14ac:dyDescent="0.25">
      <c r="C821" s="42">
        <v>817</v>
      </c>
      <c r="D821" s="67" t="str">
        <f>IF('Prod 1'!D821="","",'Prod 1'!D821)</f>
        <v/>
      </c>
      <c r="E821" s="64"/>
      <c r="F821" s="58"/>
      <c r="G821" s="65"/>
      <c r="H821" s="65"/>
      <c r="I821" s="58"/>
      <c r="J821" s="58"/>
      <c r="K821" s="132" t="str">
        <f t="shared" si="48"/>
        <v/>
      </c>
      <c r="M821" s="68" t="str">
        <f t="shared" si="49"/>
        <v/>
      </c>
      <c r="N821" s="59" t="str">
        <f>IF('Prod 1'!E821="","",'Prod 1'!E821)</f>
        <v/>
      </c>
      <c r="O821" s="59" t="str">
        <f t="shared" si="50"/>
        <v/>
      </c>
      <c r="P821" s="59" t="str">
        <f t="shared" si="51"/>
        <v/>
      </c>
    </row>
    <row r="822" spans="3:16" ht="30" customHeight="1" x14ac:dyDescent="0.25">
      <c r="C822" s="42">
        <v>818</v>
      </c>
      <c r="D822" s="67" t="str">
        <f>IF('Prod 1'!D822="","",'Prod 1'!D822)</f>
        <v/>
      </c>
      <c r="E822" s="64"/>
      <c r="F822" s="58"/>
      <c r="G822" s="65"/>
      <c r="H822" s="65"/>
      <c r="I822" s="58"/>
      <c r="J822" s="58"/>
      <c r="K822" s="132" t="str">
        <f t="shared" si="48"/>
        <v/>
      </c>
      <c r="M822" s="68" t="str">
        <f t="shared" si="49"/>
        <v/>
      </c>
      <c r="N822" s="59" t="str">
        <f>IF('Prod 1'!E822="","",'Prod 1'!E822)</f>
        <v/>
      </c>
      <c r="O822" s="59" t="str">
        <f t="shared" si="50"/>
        <v/>
      </c>
      <c r="P822" s="59" t="str">
        <f t="shared" si="51"/>
        <v/>
      </c>
    </row>
    <row r="823" spans="3:16" ht="30" customHeight="1" x14ac:dyDescent="0.25">
      <c r="C823" s="42">
        <v>819</v>
      </c>
      <c r="D823" s="67" t="str">
        <f>IF('Prod 1'!D823="","",'Prod 1'!D823)</f>
        <v/>
      </c>
      <c r="E823" s="64"/>
      <c r="F823" s="58"/>
      <c r="G823" s="65"/>
      <c r="H823" s="65"/>
      <c r="I823" s="58"/>
      <c r="J823" s="58"/>
      <c r="K823" s="132" t="str">
        <f t="shared" si="48"/>
        <v/>
      </c>
      <c r="M823" s="68" t="str">
        <f t="shared" si="49"/>
        <v/>
      </c>
      <c r="N823" s="59" t="str">
        <f>IF('Prod 1'!E823="","",'Prod 1'!E823)</f>
        <v/>
      </c>
      <c r="O823" s="59" t="str">
        <f t="shared" si="50"/>
        <v/>
      </c>
      <c r="P823" s="59" t="str">
        <f t="shared" si="51"/>
        <v/>
      </c>
    </row>
    <row r="824" spans="3:16" ht="30" customHeight="1" x14ac:dyDescent="0.25">
      <c r="C824" s="42">
        <v>820</v>
      </c>
      <c r="D824" s="67" t="str">
        <f>IF('Prod 1'!D824="","",'Prod 1'!D824)</f>
        <v/>
      </c>
      <c r="E824" s="64"/>
      <c r="F824" s="58"/>
      <c r="G824" s="65"/>
      <c r="H824" s="65"/>
      <c r="I824" s="58"/>
      <c r="J824" s="58"/>
      <c r="K824" s="132" t="str">
        <f t="shared" si="48"/>
        <v/>
      </c>
      <c r="M824" s="68" t="str">
        <f t="shared" si="49"/>
        <v/>
      </c>
      <c r="N824" s="59" t="str">
        <f>IF('Prod 1'!E824="","",'Prod 1'!E824)</f>
        <v/>
      </c>
      <c r="O824" s="59" t="str">
        <f t="shared" si="50"/>
        <v/>
      </c>
      <c r="P824" s="59" t="str">
        <f t="shared" si="51"/>
        <v/>
      </c>
    </row>
    <row r="825" spans="3:16" ht="30" customHeight="1" x14ac:dyDescent="0.25">
      <c r="C825" s="42">
        <v>821</v>
      </c>
      <c r="D825" s="67" t="str">
        <f>IF('Prod 1'!D825="","",'Prod 1'!D825)</f>
        <v/>
      </c>
      <c r="E825" s="64"/>
      <c r="F825" s="58"/>
      <c r="G825" s="65"/>
      <c r="H825" s="65"/>
      <c r="I825" s="58"/>
      <c r="J825" s="58"/>
      <c r="K825" s="132" t="str">
        <f t="shared" si="48"/>
        <v/>
      </c>
      <c r="M825" s="68" t="str">
        <f t="shared" si="49"/>
        <v/>
      </c>
      <c r="N825" s="59" t="str">
        <f>IF('Prod 1'!E825="","",'Prod 1'!E825)</f>
        <v/>
      </c>
      <c r="O825" s="59" t="str">
        <f t="shared" si="50"/>
        <v/>
      </c>
      <c r="P825" s="59" t="str">
        <f t="shared" si="51"/>
        <v/>
      </c>
    </row>
    <row r="826" spans="3:16" ht="30" customHeight="1" x14ac:dyDescent="0.25">
      <c r="C826" s="42">
        <v>822</v>
      </c>
      <c r="D826" s="67" t="str">
        <f>IF('Prod 1'!D826="","",'Prod 1'!D826)</f>
        <v/>
      </c>
      <c r="E826" s="64"/>
      <c r="F826" s="58"/>
      <c r="G826" s="65"/>
      <c r="H826" s="65"/>
      <c r="I826" s="58"/>
      <c r="J826" s="58"/>
      <c r="K826" s="132" t="str">
        <f t="shared" si="48"/>
        <v/>
      </c>
      <c r="M826" s="68" t="str">
        <f t="shared" si="49"/>
        <v/>
      </c>
      <c r="N826" s="59" t="str">
        <f>IF('Prod 1'!E826="","",'Prod 1'!E826)</f>
        <v/>
      </c>
      <c r="O826" s="59" t="str">
        <f t="shared" si="50"/>
        <v/>
      </c>
      <c r="P826" s="59" t="str">
        <f t="shared" si="51"/>
        <v/>
      </c>
    </row>
    <row r="827" spans="3:16" ht="30" customHeight="1" x14ac:dyDescent="0.25">
      <c r="C827" s="42">
        <v>823</v>
      </c>
      <c r="D827" s="67" t="str">
        <f>IF('Prod 1'!D827="","",'Prod 1'!D827)</f>
        <v/>
      </c>
      <c r="E827" s="64"/>
      <c r="F827" s="58"/>
      <c r="G827" s="65"/>
      <c r="H827" s="65"/>
      <c r="I827" s="58"/>
      <c r="J827" s="58"/>
      <c r="K827" s="132" t="str">
        <f t="shared" si="48"/>
        <v/>
      </c>
      <c r="M827" s="68" t="str">
        <f t="shared" si="49"/>
        <v/>
      </c>
      <c r="N827" s="59" t="str">
        <f>IF('Prod 1'!E827="","",'Prod 1'!E827)</f>
        <v/>
      </c>
      <c r="O827" s="59" t="str">
        <f t="shared" si="50"/>
        <v/>
      </c>
      <c r="P827" s="59" t="str">
        <f t="shared" si="51"/>
        <v/>
      </c>
    </row>
    <row r="828" spans="3:16" ht="30" customHeight="1" x14ac:dyDescent="0.25">
      <c r="C828" s="42">
        <v>824</v>
      </c>
      <c r="D828" s="67" t="str">
        <f>IF('Prod 1'!D828="","",'Prod 1'!D828)</f>
        <v/>
      </c>
      <c r="E828" s="64"/>
      <c r="F828" s="58"/>
      <c r="G828" s="65"/>
      <c r="H828" s="65"/>
      <c r="I828" s="58"/>
      <c r="J828" s="58"/>
      <c r="K828" s="132" t="str">
        <f t="shared" si="48"/>
        <v/>
      </c>
      <c r="M828" s="68" t="str">
        <f t="shared" si="49"/>
        <v/>
      </c>
      <c r="N828" s="59" t="str">
        <f>IF('Prod 1'!E828="","",'Prod 1'!E828)</f>
        <v/>
      </c>
      <c r="O828" s="59" t="str">
        <f t="shared" si="50"/>
        <v/>
      </c>
      <c r="P828" s="59" t="str">
        <f t="shared" si="51"/>
        <v/>
      </c>
    </row>
    <row r="829" spans="3:16" ht="30" customHeight="1" x14ac:dyDescent="0.25">
      <c r="C829" s="42">
        <v>825</v>
      </c>
      <c r="D829" s="67" t="str">
        <f>IF('Prod 1'!D829="","",'Prod 1'!D829)</f>
        <v/>
      </c>
      <c r="E829" s="64"/>
      <c r="F829" s="58"/>
      <c r="G829" s="65"/>
      <c r="H829" s="65"/>
      <c r="I829" s="58"/>
      <c r="J829" s="58"/>
      <c r="K829" s="132" t="str">
        <f t="shared" si="48"/>
        <v/>
      </c>
      <c r="M829" s="68" t="str">
        <f t="shared" si="49"/>
        <v/>
      </c>
      <c r="N829" s="59" t="str">
        <f>IF('Prod 1'!E829="","",'Prod 1'!E829)</f>
        <v/>
      </c>
      <c r="O829" s="59" t="str">
        <f t="shared" si="50"/>
        <v/>
      </c>
      <c r="P829" s="59" t="str">
        <f t="shared" si="51"/>
        <v/>
      </c>
    </row>
    <row r="830" spans="3:16" ht="30" customHeight="1" x14ac:dyDescent="0.25">
      <c r="C830" s="42">
        <v>826</v>
      </c>
      <c r="D830" s="67" t="str">
        <f>IF('Prod 1'!D830="","",'Prod 1'!D830)</f>
        <v/>
      </c>
      <c r="E830" s="64"/>
      <c r="F830" s="58"/>
      <c r="G830" s="65"/>
      <c r="H830" s="65"/>
      <c r="I830" s="58"/>
      <c r="J830" s="58"/>
      <c r="K830" s="132" t="str">
        <f t="shared" si="48"/>
        <v/>
      </c>
      <c r="M830" s="68" t="str">
        <f t="shared" si="49"/>
        <v/>
      </c>
      <c r="N830" s="59" t="str">
        <f>IF('Prod 1'!E830="","",'Prod 1'!E830)</f>
        <v/>
      </c>
      <c r="O830" s="59" t="str">
        <f t="shared" si="50"/>
        <v/>
      </c>
      <c r="P830" s="59" t="str">
        <f t="shared" si="51"/>
        <v/>
      </c>
    </row>
    <row r="831" spans="3:16" ht="30" customHeight="1" x14ac:dyDescent="0.25">
      <c r="C831" s="42">
        <v>827</v>
      </c>
      <c r="D831" s="67" t="str">
        <f>IF('Prod 1'!D831="","",'Prod 1'!D831)</f>
        <v/>
      </c>
      <c r="E831" s="64"/>
      <c r="F831" s="58"/>
      <c r="G831" s="65"/>
      <c r="H831" s="65"/>
      <c r="I831" s="58"/>
      <c r="J831" s="58"/>
      <c r="K831" s="132" t="str">
        <f t="shared" si="48"/>
        <v/>
      </c>
      <c r="M831" s="68" t="str">
        <f t="shared" si="49"/>
        <v/>
      </c>
      <c r="N831" s="59" t="str">
        <f>IF('Prod 1'!E831="","",'Prod 1'!E831)</f>
        <v/>
      </c>
      <c r="O831" s="59" t="str">
        <f t="shared" si="50"/>
        <v/>
      </c>
      <c r="P831" s="59" t="str">
        <f t="shared" si="51"/>
        <v/>
      </c>
    </row>
    <row r="832" spans="3:16" ht="30" customHeight="1" x14ac:dyDescent="0.25">
      <c r="C832" s="42">
        <v>828</v>
      </c>
      <c r="D832" s="67" t="str">
        <f>IF('Prod 1'!D832="","",'Prod 1'!D832)</f>
        <v/>
      </c>
      <c r="E832" s="64"/>
      <c r="F832" s="58"/>
      <c r="G832" s="65"/>
      <c r="H832" s="65"/>
      <c r="I832" s="58"/>
      <c r="J832" s="58"/>
      <c r="K832" s="132" t="str">
        <f t="shared" si="48"/>
        <v/>
      </c>
      <c r="M832" s="68" t="str">
        <f t="shared" si="49"/>
        <v/>
      </c>
      <c r="N832" s="59" t="str">
        <f>IF('Prod 1'!E832="","",'Prod 1'!E832)</f>
        <v/>
      </c>
      <c r="O832" s="59" t="str">
        <f t="shared" si="50"/>
        <v/>
      </c>
      <c r="P832" s="59" t="str">
        <f t="shared" si="51"/>
        <v/>
      </c>
    </row>
    <row r="833" spans="3:16" ht="30" customHeight="1" x14ac:dyDescent="0.25">
      <c r="C833" s="42">
        <v>829</v>
      </c>
      <c r="D833" s="67" t="str">
        <f>IF('Prod 1'!D833="","",'Prod 1'!D833)</f>
        <v/>
      </c>
      <c r="E833" s="64"/>
      <c r="F833" s="58"/>
      <c r="G833" s="65"/>
      <c r="H833" s="65"/>
      <c r="I833" s="58"/>
      <c r="J833" s="58"/>
      <c r="K833" s="132" t="str">
        <f t="shared" si="48"/>
        <v/>
      </c>
      <c r="M833" s="68" t="str">
        <f t="shared" si="49"/>
        <v/>
      </c>
      <c r="N833" s="59" t="str">
        <f>IF('Prod 1'!E833="","",'Prod 1'!E833)</f>
        <v/>
      </c>
      <c r="O833" s="59" t="str">
        <f t="shared" si="50"/>
        <v/>
      </c>
      <c r="P833" s="59" t="str">
        <f t="shared" si="51"/>
        <v/>
      </c>
    </row>
    <row r="834" spans="3:16" ht="30" customHeight="1" x14ac:dyDescent="0.25">
      <c r="C834" s="42">
        <v>830</v>
      </c>
      <c r="D834" s="67" t="str">
        <f>IF('Prod 1'!D834="","",'Prod 1'!D834)</f>
        <v/>
      </c>
      <c r="E834" s="64"/>
      <c r="F834" s="58"/>
      <c r="G834" s="65"/>
      <c r="H834" s="65"/>
      <c r="I834" s="58"/>
      <c r="J834" s="58"/>
      <c r="K834" s="132" t="str">
        <f t="shared" si="48"/>
        <v/>
      </c>
      <c r="M834" s="68" t="str">
        <f t="shared" si="49"/>
        <v/>
      </c>
      <c r="N834" s="59" t="str">
        <f>IF('Prod 1'!E834="","",'Prod 1'!E834)</f>
        <v/>
      </c>
      <c r="O834" s="59" t="str">
        <f t="shared" si="50"/>
        <v/>
      </c>
      <c r="P834" s="59" t="str">
        <f t="shared" si="51"/>
        <v/>
      </c>
    </row>
    <row r="835" spans="3:16" ht="30" customHeight="1" x14ac:dyDescent="0.25">
      <c r="C835" s="42">
        <v>831</v>
      </c>
      <c r="D835" s="67" t="str">
        <f>IF('Prod 1'!D835="","",'Prod 1'!D835)</f>
        <v/>
      </c>
      <c r="E835" s="64"/>
      <c r="F835" s="58"/>
      <c r="G835" s="65"/>
      <c r="H835" s="65"/>
      <c r="I835" s="58"/>
      <c r="J835" s="58"/>
      <c r="K835" s="132" t="str">
        <f t="shared" si="48"/>
        <v/>
      </c>
      <c r="M835" s="68" t="str">
        <f t="shared" si="49"/>
        <v/>
      </c>
      <c r="N835" s="59" t="str">
        <f>IF('Prod 1'!E835="","",'Prod 1'!E835)</f>
        <v/>
      </c>
      <c r="O835" s="59" t="str">
        <f t="shared" si="50"/>
        <v/>
      </c>
      <c r="P835" s="59" t="str">
        <f t="shared" si="51"/>
        <v/>
      </c>
    </row>
    <row r="836" spans="3:16" ht="30" customHeight="1" x14ac:dyDescent="0.25">
      <c r="C836" s="42">
        <v>832</v>
      </c>
      <c r="D836" s="67" t="str">
        <f>IF('Prod 1'!D836="","",'Prod 1'!D836)</f>
        <v/>
      </c>
      <c r="E836" s="64"/>
      <c r="F836" s="58"/>
      <c r="G836" s="65"/>
      <c r="H836" s="65"/>
      <c r="I836" s="58"/>
      <c r="J836" s="58"/>
      <c r="K836" s="132" t="str">
        <f t="shared" si="48"/>
        <v/>
      </c>
      <c r="M836" s="68" t="str">
        <f t="shared" si="49"/>
        <v/>
      </c>
      <c r="N836" s="59" t="str">
        <f>IF('Prod 1'!E836="","",'Prod 1'!E836)</f>
        <v/>
      </c>
      <c r="O836" s="59" t="str">
        <f t="shared" si="50"/>
        <v/>
      </c>
      <c r="P836" s="59" t="str">
        <f t="shared" si="51"/>
        <v/>
      </c>
    </row>
    <row r="837" spans="3:16" ht="30" customHeight="1" x14ac:dyDescent="0.25">
      <c r="C837" s="42">
        <v>833</v>
      </c>
      <c r="D837" s="67" t="str">
        <f>IF('Prod 1'!D837="","",'Prod 1'!D837)</f>
        <v/>
      </c>
      <c r="E837" s="64"/>
      <c r="F837" s="58"/>
      <c r="G837" s="65"/>
      <c r="H837" s="65"/>
      <c r="I837" s="58"/>
      <c r="J837" s="58"/>
      <c r="K837" s="132" t="str">
        <f t="shared" si="48"/>
        <v/>
      </c>
      <c r="M837" s="68" t="str">
        <f t="shared" si="49"/>
        <v/>
      </c>
      <c r="N837" s="59" t="str">
        <f>IF('Prod 1'!E837="","",'Prod 1'!E837)</f>
        <v/>
      </c>
      <c r="O837" s="59" t="str">
        <f t="shared" si="50"/>
        <v/>
      </c>
      <c r="P837" s="59" t="str">
        <f t="shared" si="51"/>
        <v/>
      </c>
    </row>
    <row r="838" spans="3:16" ht="30" customHeight="1" x14ac:dyDescent="0.25">
      <c r="C838" s="42">
        <v>834</v>
      </c>
      <c r="D838" s="67" t="str">
        <f>IF('Prod 1'!D838="","",'Prod 1'!D838)</f>
        <v/>
      </c>
      <c r="E838" s="64"/>
      <c r="F838" s="58"/>
      <c r="G838" s="65"/>
      <c r="H838" s="65"/>
      <c r="I838" s="58"/>
      <c r="J838" s="58"/>
      <c r="K838" s="132" t="str">
        <f t="shared" ref="K838:K901" si="52">IF(E838="","",IF(E838="Produção",SUM(I838:J838)+SUM(O838:P838),F838))</f>
        <v/>
      </c>
      <c r="M838" s="68" t="str">
        <f t="shared" ref="M838:M901" si="53">IFERROR(IF(D838="","",100%),0)</f>
        <v/>
      </c>
      <c r="N838" s="59" t="str">
        <f>IF('Prod 1'!E838="","",'Prod 1'!E838)</f>
        <v/>
      </c>
      <c r="O838" s="59" t="str">
        <f t="shared" ref="O838:O901" si="54">IFERROR(IF(D838="","",N838*G838),0)</f>
        <v/>
      </c>
      <c r="P838" s="59" t="str">
        <f t="shared" ref="P838:P901" si="55">IFERROR(IF(D838="","",N838*H838),0)</f>
        <v/>
      </c>
    </row>
    <row r="839" spans="3:16" ht="30" customHeight="1" x14ac:dyDescent="0.25">
      <c r="C839" s="42">
        <v>835</v>
      </c>
      <c r="D839" s="67" t="str">
        <f>IF('Prod 1'!D839="","",'Prod 1'!D839)</f>
        <v/>
      </c>
      <c r="E839" s="64"/>
      <c r="F839" s="58"/>
      <c r="G839" s="65"/>
      <c r="H839" s="65"/>
      <c r="I839" s="58"/>
      <c r="J839" s="58"/>
      <c r="K839" s="132" t="str">
        <f t="shared" si="52"/>
        <v/>
      </c>
      <c r="M839" s="68" t="str">
        <f t="shared" si="53"/>
        <v/>
      </c>
      <c r="N839" s="59" t="str">
        <f>IF('Prod 1'!E839="","",'Prod 1'!E839)</f>
        <v/>
      </c>
      <c r="O839" s="59" t="str">
        <f t="shared" si="54"/>
        <v/>
      </c>
      <c r="P839" s="59" t="str">
        <f t="shared" si="55"/>
        <v/>
      </c>
    </row>
    <row r="840" spans="3:16" ht="30" customHeight="1" x14ac:dyDescent="0.25">
      <c r="C840" s="42">
        <v>836</v>
      </c>
      <c r="D840" s="67" t="str">
        <f>IF('Prod 1'!D840="","",'Prod 1'!D840)</f>
        <v/>
      </c>
      <c r="E840" s="64"/>
      <c r="F840" s="58"/>
      <c r="G840" s="65"/>
      <c r="H840" s="65"/>
      <c r="I840" s="58"/>
      <c r="J840" s="58"/>
      <c r="K840" s="132" t="str">
        <f t="shared" si="52"/>
        <v/>
      </c>
      <c r="M840" s="68" t="str">
        <f t="shared" si="53"/>
        <v/>
      </c>
      <c r="N840" s="59" t="str">
        <f>IF('Prod 1'!E840="","",'Prod 1'!E840)</f>
        <v/>
      </c>
      <c r="O840" s="59" t="str">
        <f t="shared" si="54"/>
        <v/>
      </c>
      <c r="P840" s="59" t="str">
        <f t="shared" si="55"/>
        <v/>
      </c>
    </row>
    <row r="841" spans="3:16" ht="30" customHeight="1" x14ac:dyDescent="0.25">
      <c r="C841" s="42">
        <v>837</v>
      </c>
      <c r="D841" s="67" t="str">
        <f>IF('Prod 1'!D841="","",'Prod 1'!D841)</f>
        <v/>
      </c>
      <c r="E841" s="64"/>
      <c r="F841" s="58"/>
      <c r="G841" s="65"/>
      <c r="H841" s="65"/>
      <c r="I841" s="58"/>
      <c r="J841" s="58"/>
      <c r="K841" s="132" t="str">
        <f t="shared" si="52"/>
        <v/>
      </c>
      <c r="M841" s="68" t="str">
        <f t="shared" si="53"/>
        <v/>
      </c>
      <c r="N841" s="59" t="str">
        <f>IF('Prod 1'!E841="","",'Prod 1'!E841)</f>
        <v/>
      </c>
      <c r="O841" s="59" t="str">
        <f t="shared" si="54"/>
        <v/>
      </c>
      <c r="P841" s="59" t="str">
        <f t="shared" si="55"/>
        <v/>
      </c>
    </row>
    <row r="842" spans="3:16" ht="30" customHeight="1" x14ac:dyDescent="0.25">
      <c r="C842" s="42">
        <v>838</v>
      </c>
      <c r="D842" s="67" t="str">
        <f>IF('Prod 1'!D842="","",'Prod 1'!D842)</f>
        <v/>
      </c>
      <c r="E842" s="64"/>
      <c r="F842" s="58"/>
      <c r="G842" s="65"/>
      <c r="H842" s="65"/>
      <c r="I842" s="58"/>
      <c r="J842" s="58"/>
      <c r="K842" s="132" t="str">
        <f t="shared" si="52"/>
        <v/>
      </c>
      <c r="M842" s="68" t="str">
        <f t="shared" si="53"/>
        <v/>
      </c>
      <c r="N842" s="59" t="str">
        <f>IF('Prod 1'!E842="","",'Prod 1'!E842)</f>
        <v/>
      </c>
      <c r="O842" s="59" t="str">
        <f t="shared" si="54"/>
        <v/>
      </c>
      <c r="P842" s="59" t="str">
        <f t="shared" si="55"/>
        <v/>
      </c>
    </row>
    <row r="843" spans="3:16" ht="30" customHeight="1" x14ac:dyDescent="0.25">
      <c r="C843" s="42">
        <v>839</v>
      </c>
      <c r="D843" s="67" t="str">
        <f>IF('Prod 1'!D843="","",'Prod 1'!D843)</f>
        <v/>
      </c>
      <c r="E843" s="64"/>
      <c r="F843" s="58"/>
      <c r="G843" s="65"/>
      <c r="H843" s="65"/>
      <c r="I843" s="58"/>
      <c r="J843" s="58"/>
      <c r="K843" s="132" t="str">
        <f t="shared" si="52"/>
        <v/>
      </c>
      <c r="M843" s="68" t="str">
        <f t="shared" si="53"/>
        <v/>
      </c>
      <c r="N843" s="59" t="str">
        <f>IF('Prod 1'!E843="","",'Prod 1'!E843)</f>
        <v/>
      </c>
      <c r="O843" s="59" t="str">
        <f t="shared" si="54"/>
        <v/>
      </c>
      <c r="P843" s="59" t="str">
        <f t="shared" si="55"/>
        <v/>
      </c>
    </row>
    <row r="844" spans="3:16" ht="30" customHeight="1" x14ac:dyDescent="0.25">
      <c r="C844" s="42">
        <v>840</v>
      </c>
      <c r="D844" s="67" t="str">
        <f>IF('Prod 1'!D844="","",'Prod 1'!D844)</f>
        <v/>
      </c>
      <c r="E844" s="64"/>
      <c r="F844" s="58"/>
      <c r="G844" s="65"/>
      <c r="H844" s="65"/>
      <c r="I844" s="58"/>
      <c r="J844" s="58"/>
      <c r="K844" s="132" t="str">
        <f t="shared" si="52"/>
        <v/>
      </c>
      <c r="M844" s="68" t="str">
        <f t="shared" si="53"/>
        <v/>
      </c>
      <c r="N844" s="59" t="str">
        <f>IF('Prod 1'!E844="","",'Prod 1'!E844)</f>
        <v/>
      </c>
      <c r="O844" s="59" t="str">
        <f t="shared" si="54"/>
        <v/>
      </c>
      <c r="P844" s="59" t="str">
        <f t="shared" si="55"/>
        <v/>
      </c>
    </row>
    <row r="845" spans="3:16" ht="30" customHeight="1" x14ac:dyDescent="0.25">
      <c r="C845" s="42">
        <v>841</v>
      </c>
      <c r="D845" s="67" t="str">
        <f>IF('Prod 1'!D845="","",'Prod 1'!D845)</f>
        <v/>
      </c>
      <c r="E845" s="64"/>
      <c r="F845" s="58"/>
      <c r="G845" s="65"/>
      <c r="H845" s="65"/>
      <c r="I845" s="58"/>
      <c r="J845" s="58"/>
      <c r="K845" s="132" t="str">
        <f t="shared" si="52"/>
        <v/>
      </c>
      <c r="M845" s="68" t="str">
        <f t="shared" si="53"/>
        <v/>
      </c>
      <c r="N845" s="59" t="str">
        <f>IF('Prod 1'!E845="","",'Prod 1'!E845)</f>
        <v/>
      </c>
      <c r="O845" s="59" t="str">
        <f t="shared" si="54"/>
        <v/>
      </c>
      <c r="P845" s="59" t="str">
        <f t="shared" si="55"/>
        <v/>
      </c>
    </row>
    <row r="846" spans="3:16" ht="30" customHeight="1" x14ac:dyDescent="0.25">
      <c r="C846" s="42">
        <v>842</v>
      </c>
      <c r="D846" s="67" t="str">
        <f>IF('Prod 1'!D846="","",'Prod 1'!D846)</f>
        <v/>
      </c>
      <c r="E846" s="64"/>
      <c r="F846" s="58"/>
      <c r="G846" s="65"/>
      <c r="H846" s="65"/>
      <c r="I846" s="58"/>
      <c r="J846" s="58"/>
      <c r="K846" s="132" t="str">
        <f t="shared" si="52"/>
        <v/>
      </c>
      <c r="M846" s="68" t="str">
        <f t="shared" si="53"/>
        <v/>
      </c>
      <c r="N846" s="59" t="str">
        <f>IF('Prod 1'!E846="","",'Prod 1'!E846)</f>
        <v/>
      </c>
      <c r="O846" s="59" t="str">
        <f t="shared" si="54"/>
        <v/>
      </c>
      <c r="P846" s="59" t="str">
        <f t="shared" si="55"/>
        <v/>
      </c>
    </row>
    <row r="847" spans="3:16" ht="30" customHeight="1" x14ac:dyDescent="0.25">
      <c r="C847" s="42">
        <v>843</v>
      </c>
      <c r="D847" s="67" t="str">
        <f>IF('Prod 1'!D847="","",'Prod 1'!D847)</f>
        <v/>
      </c>
      <c r="E847" s="64"/>
      <c r="F847" s="58"/>
      <c r="G847" s="65"/>
      <c r="H847" s="65"/>
      <c r="I847" s="58"/>
      <c r="J847" s="58"/>
      <c r="K847" s="132" t="str">
        <f t="shared" si="52"/>
        <v/>
      </c>
      <c r="M847" s="68" t="str">
        <f t="shared" si="53"/>
        <v/>
      </c>
      <c r="N847" s="59" t="str">
        <f>IF('Prod 1'!E847="","",'Prod 1'!E847)</f>
        <v/>
      </c>
      <c r="O847" s="59" t="str">
        <f t="shared" si="54"/>
        <v/>
      </c>
      <c r="P847" s="59" t="str">
        <f t="shared" si="55"/>
        <v/>
      </c>
    </row>
    <row r="848" spans="3:16" ht="30" customHeight="1" x14ac:dyDescent="0.25">
      <c r="C848" s="42">
        <v>844</v>
      </c>
      <c r="D848" s="67" t="str">
        <f>IF('Prod 1'!D848="","",'Prod 1'!D848)</f>
        <v/>
      </c>
      <c r="E848" s="64"/>
      <c r="F848" s="58"/>
      <c r="G848" s="65"/>
      <c r="H848" s="65"/>
      <c r="I848" s="58"/>
      <c r="J848" s="58"/>
      <c r="K848" s="132" t="str">
        <f t="shared" si="52"/>
        <v/>
      </c>
      <c r="M848" s="68" t="str">
        <f t="shared" si="53"/>
        <v/>
      </c>
      <c r="N848" s="59" t="str">
        <f>IF('Prod 1'!E848="","",'Prod 1'!E848)</f>
        <v/>
      </c>
      <c r="O848" s="59" t="str">
        <f t="shared" si="54"/>
        <v/>
      </c>
      <c r="P848" s="59" t="str">
        <f t="shared" si="55"/>
        <v/>
      </c>
    </row>
    <row r="849" spans="3:16" ht="30" customHeight="1" x14ac:dyDescent="0.25">
      <c r="C849" s="42">
        <v>845</v>
      </c>
      <c r="D849" s="67" t="str">
        <f>IF('Prod 1'!D849="","",'Prod 1'!D849)</f>
        <v/>
      </c>
      <c r="E849" s="64"/>
      <c r="F849" s="58"/>
      <c r="G849" s="65"/>
      <c r="H849" s="65"/>
      <c r="I849" s="58"/>
      <c r="J849" s="58"/>
      <c r="K849" s="132" t="str">
        <f t="shared" si="52"/>
        <v/>
      </c>
      <c r="M849" s="68" t="str">
        <f t="shared" si="53"/>
        <v/>
      </c>
      <c r="N849" s="59" t="str">
        <f>IF('Prod 1'!E849="","",'Prod 1'!E849)</f>
        <v/>
      </c>
      <c r="O849" s="59" t="str">
        <f t="shared" si="54"/>
        <v/>
      </c>
      <c r="P849" s="59" t="str">
        <f t="shared" si="55"/>
        <v/>
      </c>
    </row>
    <row r="850" spans="3:16" ht="30" customHeight="1" x14ac:dyDescent="0.25">
      <c r="C850" s="42">
        <v>846</v>
      </c>
      <c r="D850" s="67" t="str">
        <f>IF('Prod 1'!D850="","",'Prod 1'!D850)</f>
        <v/>
      </c>
      <c r="E850" s="64"/>
      <c r="F850" s="58"/>
      <c r="G850" s="65"/>
      <c r="H850" s="65"/>
      <c r="I850" s="58"/>
      <c r="J850" s="58"/>
      <c r="K850" s="132" t="str">
        <f t="shared" si="52"/>
        <v/>
      </c>
      <c r="M850" s="68" t="str">
        <f t="shared" si="53"/>
        <v/>
      </c>
      <c r="N850" s="59" t="str">
        <f>IF('Prod 1'!E850="","",'Prod 1'!E850)</f>
        <v/>
      </c>
      <c r="O850" s="59" t="str">
        <f t="shared" si="54"/>
        <v/>
      </c>
      <c r="P850" s="59" t="str">
        <f t="shared" si="55"/>
        <v/>
      </c>
    </row>
    <row r="851" spans="3:16" ht="30" customHeight="1" x14ac:dyDescent="0.25">
      <c r="C851" s="42">
        <v>847</v>
      </c>
      <c r="D851" s="67" t="str">
        <f>IF('Prod 1'!D851="","",'Prod 1'!D851)</f>
        <v/>
      </c>
      <c r="E851" s="64"/>
      <c r="F851" s="58"/>
      <c r="G851" s="65"/>
      <c r="H851" s="65"/>
      <c r="I851" s="58"/>
      <c r="J851" s="58"/>
      <c r="K851" s="132" t="str">
        <f t="shared" si="52"/>
        <v/>
      </c>
      <c r="M851" s="68" t="str">
        <f t="shared" si="53"/>
        <v/>
      </c>
      <c r="N851" s="59" t="str">
        <f>IF('Prod 1'!E851="","",'Prod 1'!E851)</f>
        <v/>
      </c>
      <c r="O851" s="59" t="str">
        <f t="shared" si="54"/>
        <v/>
      </c>
      <c r="P851" s="59" t="str">
        <f t="shared" si="55"/>
        <v/>
      </c>
    </row>
    <row r="852" spans="3:16" ht="30" customHeight="1" x14ac:dyDescent="0.25">
      <c r="C852" s="42">
        <v>848</v>
      </c>
      <c r="D852" s="67" t="str">
        <f>IF('Prod 1'!D852="","",'Prod 1'!D852)</f>
        <v/>
      </c>
      <c r="E852" s="64"/>
      <c r="F852" s="58"/>
      <c r="G852" s="65"/>
      <c r="H852" s="65"/>
      <c r="I852" s="58"/>
      <c r="J852" s="58"/>
      <c r="K852" s="132" t="str">
        <f t="shared" si="52"/>
        <v/>
      </c>
      <c r="M852" s="68" t="str">
        <f t="shared" si="53"/>
        <v/>
      </c>
      <c r="N852" s="59" t="str">
        <f>IF('Prod 1'!E852="","",'Prod 1'!E852)</f>
        <v/>
      </c>
      <c r="O852" s="59" t="str">
        <f t="shared" si="54"/>
        <v/>
      </c>
      <c r="P852" s="59" t="str">
        <f t="shared" si="55"/>
        <v/>
      </c>
    </row>
    <row r="853" spans="3:16" ht="30" customHeight="1" x14ac:dyDescent="0.25">
      <c r="C853" s="42">
        <v>849</v>
      </c>
      <c r="D853" s="67" t="str">
        <f>IF('Prod 1'!D853="","",'Prod 1'!D853)</f>
        <v/>
      </c>
      <c r="E853" s="64"/>
      <c r="F853" s="58"/>
      <c r="G853" s="65"/>
      <c r="H853" s="65"/>
      <c r="I853" s="58"/>
      <c r="J853" s="58"/>
      <c r="K853" s="132" t="str">
        <f t="shared" si="52"/>
        <v/>
      </c>
      <c r="M853" s="68" t="str">
        <f t="shared" si="53"/>
        <v/>
      </c>
      <c r="N853" s="59" t="str">
        <f>IF('Prod 1'!E853="","",'Prod 1'!E853)</f>
        <v/>
      </c>
      <c r="O853" s="59" t="str">
        <f t="shared" si="54"/>
        <v/>
      </c>
      <c r="P853" s="59" t="str">
        <f t="shared" si="55"/>
        <v/>
      </c>
    </row>
    <row r="854" spans="3:16" ht="30" customHeight="1" x14ac:dyDescent="0.25">
      <c r="C854" s="42">
        <v>850</v>
      </c>
      <c r="D854" s="67" t="str">
        <f>IF('Prod 1'!D854="","",'Prod 1'!D854)</f>
        <v/>
      </c>
      <c r="E854" s="64"/>
      <c r="F854" s="58"/>
      <c r="G854" s="65"/>
      <c r="H854" s="65"/>
      <c r="I854" s="58"/>
      <c r="J854" s="58"/>
      <c r="K854" s="132" t="str">
        <f t="shared" si="52"/>
        <v/>
      </c>
      <c r="M854" s="68" t="str">
        <f t="shared" si="53"/>
        <v/>
      </c>
      <c r="N854" s="59" t="str">
        <f>IF('Prod 1'!E854="","",'Prod 1'!E854)</f>
        <v/>
      </c>
      <c r="O854" s="59" t="str">
        <f t="shared" si="54"/>
        <v/>
      </c>
      <c r="P854" s="59" t="str">
        <f t="shared" si="55"/>
        <v/>
      </c>
    </row>
    <row r="855" spans="3:16" ht="30" customHeight="1" x14ac:dyDescent="0.25">
      <c r="C855" s="42">
        <v>851</v>
      </c>
      <c r="D855" s="67" t="str">
        <f>IF('Prod 1'!D855="","",'Prod 1'!D855)</f>
        <v/>
      </c>
      <c r="E855" s="64"/>
      <c r="F855" s="58"/>
      <c r="G855" s="65"/>
      <c r="H855" s="65"/>
      <c r="I855" s="58"/>
      <c r="J855" s="58"/>
      <c r="K855" s="132" t="str">
        <f t="shared" si="52"/>
        <v/>
      </c>
      <c r="M855" s="68" t="str">
        <f t="shared" si="53"/>
        <v/>
      </c>
      <c r="N855" s="59" t="str">
        <f>IF('Prod 1'!E855="","",'Prod 1'!E855)</f>
        <v/>
      </c>
      <c r="O855" s="59" t="str">
        <f t="shared" si="54"/>
        <v/>
      </c>
      <c r="P855" s="59" t="str">
        <f t="shared" si="55"/>
        <v/>
      </c>
    </row>
    <row r="856" spans="3:16" ht="30" customHeight="1" x14ac:dyDescent="0.25">
      <c r="C856" s="42">
        <v>852</v>
      </c>
      <c r="D856" s="67" t="str">
        <f>IF('Prod 1'!D856="","",'Prod 1'!D856)</f>
        <v/>
      </c>
      <c r="E856" s="64"/>
      <c r="F856" s="58"/>
      <c r="G856" s="65"/>
      <c r="H856" s="65"/>
      <c r="I856" s="58"/>
      <c r="J856" s="58"/>
      <c r="K856" s="132" t="str">
        <f t="shared" si="52"/>
        <v/>
      </c>
      <c r="M856" s="68" t="str">
        <f t="shared" si="53"/>
        <v/>
      </c>
      <c r="N856" s="59" t="str">
        <f>IF('Prod 1'!E856="","",'Prod 1'!E856)</f>
        <v/>
      </c>
      <c r="O856" s="59" t="str">
        <f t="shared" si="54"/>
        <v/>
      </c>
      <c r="P856" s="59" t="str">
        <f t="shared" si="55"/>
        <v/>
      </c>
    </row>
    <row r="857" spans="3:16" ht="30" customHeight="1" x14ac:dyDescent="0.25">
      <c r="C857" s="42">
        <v>853</v>
      </c>
      <c r="D857" s="67" t="str">
        <f>IF('Prod 1'!D857="","",'Prod 1'!D857)</f>
        <v/>
      </c>
      <c r="E857" s="64"/>
      <c r="F857" s="58"/>
      <c r="G857" s="65"/>
      <c r="H857" s="65"/>
      <c r="I857" s="58"/>
      <c r="J857" s="58"/>
      <c r="K857" s="132" t="str">
        <f t="shared" si="52"/>
        <v/>
      </c>
      <c r="M857" s="68" t="str">
        <f t="shared" si="53"/>
        <v/>
      </c>
      <c r="N857" s="59" t="str">
        <f>IF('Prod 1'!E857="","",'Prod 1'!E857)</f>
        <v/>
      </c>
      <c r="O857" s="59" t="str">
        <f t="shared" si="54"/>
        <v/>
      </c>
      <c r="P857" s="59" t="str">
        <f t="shared" si="55"/>
        <v/>
      </c>
    </row>
    <row r="858" spans="3:16" ht="30" customHeight="1" x14ac:dyDescent="0.25">
      <c r="C858" s="42">
        <v>854</v>
      </c>
      <c r="D858" s="67" t="str">
        <f>IF('Prod 1'!D858="","",'Prod 1'!D858)</f>
        <v/>
      </c>
      <c r="E858" s="64"/>
      <c r="F858" s="58"/>
      <c r="G858" s="65"/>
      <c r="H858" s="65"/>
      <c r="I858" s="58"/>
      <c r="J858" s="58"/>
      <c r="K858" s="132" t="str">
        <f t="shared" si="52"/>
        <v/>
      </c>
      <c r="M858" s="68" t="str">
        <f t="shared" si="53"/>
        <v/>
      </c>
      <c r="N858" s="59" t="str">
        <f>IF('Prod 1'!E858="","",'Prod 1'!E858)</f>
        <v/>
      </c>
      <c r="O858" s="59" t="str">
        <f t="shared" si="54"/>
        <v/>
      </c>
      <c r="P858" s="59" t="str">
        <f t="shared" si="55"/>
        <v/>
      </c>
    </row>
    <row r="859" spans="3:16" ht="30" customHeight="1" x14ac:dyDescent="0.25">
      <c r="C859" s="42">
        <v>855</v>
      </c>
      <c r="D859" s="67" t="str">
        <f>IF('Prod 1'!D859="","",'Prod 1'!D859)</f>
        <v/>
      </c>
      <c r="E859" s="64"/>
      <c r="F859" s="58"/>
      <c r="G859" s="65"/>
      <c r="H859" s="65"/>
      <c r="I859" s="58"/>
      <c r="J859" s="58"/>
      <c r="K859" s="132" t="str">
        <f t="shared" si="52"/>
        <v/>
      </c>
      <c r="M859" s="68" t="str">
        <f t="shared" si="53"/>
        <v/>
      </c>
      <c r="N859" s="59" t="str">
        <f>IF('Prod 1'!E859="","",'Prod 1'!E859)</f>
        <v/>
      </c>
      <c r="O859" s="59" t="str">
        <f t="shared" si="54"/>
        <v/>
      </c>
      <c r="P859" s="59" t="str">
        <f t="shared" si="55"/>
        <v/>
      </c>
    </row>
    <row r="860" spans="3:16" ht="30" customHeight="1" x14ac:dyDescent="0.25">
      <c r="C860" s="42">
        <v>856</v>
      </c>
      <c r="D860" s="67" t="str">
        <f>IF('Prod 1'!D860="","",'Prod 1'!D860)</f>
        <v/>
      </c>
      <c r="E860" s="64"/>
      <c r="F860" s="58"/>
      <c r="G860" s="65"/>
      <c r="H860" s="65"/>
      <c r="I860" s="58"/>
      <c r="J860" s="58"/>
      <c r="K860" s="132" t="str">
        <f t="shared" si="52"/>
        <v/>
      </c>
      <c r="M860" s="68" t="str">
        <f t="shared" si="53"/>
        <v/>
      </c>
      <c r="N860" s="59" t="str">
        <f>IF('Prod 1'!E860="","",'Prod 1'!E860)</f>
        <v/>
      </c>
      <c r="O860" s="59" t="str">
        <f t="shared" si="54"/>
        <v/>
      </c>
      <c r="P860" s="59" t="str">
        <f t="shared" si="55"/>
        <v/>
      </c>
    </row>
    <row r="861" spans="3:16" ht="30" customHeight="1" x14ac:dyDescent="0.25">
      <c r="C861" s="42">
        <v>857</v>
      </c>
      <c r="D861" s="67" t="str">
        <f>IF('Prod 1'!D861="","",'Prod 1'!D861)</f>
        <v/>
      </c>
      <c r="E861" s="64"/>
      <c r="F861" s="58"/>
      <c r="G861" s="65"/>
      <c r="H861" s="65"/>
      <c r="I861" s="58"/>
      <c r="J861" s="58"/>
      <c r="K861" s="132" t="str">
        <f t="shared" si="52"/>
        <v/>
      </c>
      <c r="M861" s="68" t="str">
        <f t="shared" si="53"/>
        <v/>
      </c>
      <c r="N861" s="59" t="str">
        <f>IF('Prod 1'!E861="","",'Prod 1'!E861)</f>
        <v/>
      </c>
      <c r="O861" s="59" t="str">
        <f t="shared" si="54"/>
        <v/>
      </c>
      <c r="P861" s="59" t="str">
        <f t="shared" si="55"/>
        <v/>
      </c>
    </row>
    <row r="862" spans="3:16" ht="30" customHeight="1" x14ac:dyDescent="0.25">
      <c r="C862" s="42">
        <v>858</v>
      </c>
      <c r="D862" s="67" t="str">
        <f>IF('Prod 1'!D862="","",'Prod 1'!D862)</f>
        <v/>
      </c>
      <c r="E862" s="64"/>
      <c r="F862" s="58"/>
      <c r="G862" s="65"/>
      <c r="H862" s="65"/>
      <c r="I862" s="58"/>
      <c r="J862" s="58"/>
      <c r="K862" s="132" t="str">
        <f t="shared" si="52"/>
        <v/>
      </c>
      <c r="M862" s="68" t="str">
        <f t="shared" si="53"/>
        <v/>
      </c>
      <c r="N862" s="59" t="str">
        <f>IF('Prod 1'!E862="","",'Prod 1'!E862)</f>
        <v/>
      </c>
      <c r="O862" s="59" t="str">
        <f t="shared" si="54"/>
        <v/>
      </c>
      <c r="P862" s="59" t="str">
        <f t="shared" si="55"/>
        <v/>
      </c>
    </row>
    <row r="863" spans="3:16" ht="30" customHeight="1" x14ac:dyDescent="0.25">
      <c r="C863" s="42">
        <v>859</v>
      </c>
      <c r="D863" s="67" t="str">
        <f>IF('Prod 1'!D863="","",'Prod 1'!D863)</f>
        <v/>
      </c>
      <c r="E863" s="64"/>
      <c r="F863" s="58"/>
      <c r="G863" s="65"/>
      <c r="H863" s="65"/>
      <c r="I863" s="58"/>
      <c r="J863" s="58"/>
      <c r="K863" s="132" t="str">
        <f t="shared" si="52"/>
        <v/>
      </c>
      <c r="M863" s="68" t="str">
        <f t="shared" si="53"/>
        <v/>
      </c>
      <c r="N863" s="59" t="str">
        <f>IF('Prod 1'!E863="","",'Prod 1'!E863)</f>
        <v/>
      </c>
      <c r="O863" s="59" t="str">
        <f t="shared" si="54"/>
        <v/>
      </c>
      <c r="P863" s="59" t="str">
        <f t="shared" si="55"/>
        <v/>
      </c>
    </row>
    <row r="864" spans="3:16" ht="30" customHeight="1" x14ac:dyDescent="0.25">
      <c r="C864" s="42">
        <v>860</v>
      </c>
      <c r="D864" s="67" t="str">
        <f>IF('Prod 1'!D864="","",'Prod 1'!D864)</f>
        <v/>
      </c>
      <c r="E864" s="64"/>
      <c r="F864" s="58"/>
      <c r="G864" s="65"/>
      <c r="H864" s="65"/>
      <c r="I864" s="58"/>
      <c r="J864" s="58"/>
      <c r="K864" s="132" t="str">
        <f t="shared" si="52"/>
        <v/>
      </c>
      <c r="M864" s="68" t="str">
        <f t="shared" si="53"/>
        <v/>
      </c>
      <c r="N864" s="59" t="str">
        <f>IF('Prod 1'!E864="","",'Prod 1'!E864)</f>
        <v/>
      </c>
      <c r="O864" s="59" t="str">
        <f t="shared" si="54"/>
        <v/>
      </c>
      <c r="P864" s="59" t="str">
        <f t="shared" si="55"/>
        <v/>
      </c>
    </row>
    <row r="865" spans="3:16" ht="30" customHeight="1" x14ac:dyDescent="0.25">
      <c r="C865" s="42">
        <v>861</v>
      </c>
      <c r="D865" s="67" t="str">
        <f>IF('Prod 1'!D865="","",'Prod 1'!D865)</f>
        <v/>
      </c>
      <c r="E865" s="64"/>
      <c r="F865" s="58"/>
      <c r="G865" s="65"/>
      <c r="H865" s="65"/>
      <c r="I865" s="58"/>
      <c r="J865" s="58"/>
      <c r="K865" s="132" t="str">
        <f t="shared" si="52"/>
        <v/>
      </c>
      <c r="M865" s="68" t="str">
        <f t="shared" si="53"/>
        <v/>
      </c>
      <c r="N865" s="59" t="str">
        <f>IF('Prod 1'!E865="","",'Prod 1'!E865)</f>
        <v/>
      </c>
      <c r="O865" s="59" t="str">
        <f t="shared" si="54"/>
        <v/>
      </c>
      <c r="P865" s="59" t="str">
        <f t="shared" si="55"/>
        <v/>
      </c>
    </row>
    <row r="866" spans="3:16" ht="30" customHeight="1" x14ac:dyDescent="0.25">
      <c r="C866" s="42">
        <v>862</v>
      </c>
      <c r="D866" s="67" t="str">
        <f>IF('Prod 1'!D866="","",'Prod 1'!D866)</f>
        <v/>
      </c>
      <c r="E866" s="64"/>
      <c r="F866" s="58"/>
      <c r="G866" s="65"/>
      <c r="H866" s="65"/>
      <c r="I866" s="58"/>
      <c r="J866" s="58"/>
      <c r="K866" s="132" t="str">
        <f t="shared" si="52"/>
        <v/>
      </c>
      <c r="M866" s="68" t="str">
        <f t="shared" si="53"/>
        <v/>
      </c>
      <c r="N866" s="59" t="str">
        <f>IF('Prod 1'!E866="","",'Prod 1'!E866)</f>
        <v/>
      </c>
      <c r="O866" s="59" t="str">
        <f t="shared" si="54"/>
        <v/>
      </c>
      <c r="P866" s="59" t="str">
        <f t="shared" si="55"/>
        <v/>
      </c>
    </row>
    <row r="867" spans="3:16" ht="30" customHeight="1" x14ac:dyDescent="0.25">
      <c r="C867" s="42">
        <v>863</v>
      </c>
      <c r="D867" s="67" t="str">
        <f>IF('Prod 1'!D867="","",'Prod 1'!D867)</f>
        <v/>
      </c>
      <c r="E867" s="64"/>
      <c r="F867" s="58"/>
      <c r="G867" s="65"/>
      <c r="H867" s="65"/>
      <c r="I867" s="58"/>
      <c r="J867" s="58"/>
      <c r="K867" s="132" t="str">
        <f t="shared" si="52"/>
        <v/>
      </c>
      <c r="M867" s="68" t="str">
        <f t="shared" si="53"/>
        <v/>
      </c>
      <c r="N867" s="59" t="str">
        <f>IF('Prod 1'!E867="","",'Prod 1'!E867)</f>
        <v/>
      </c>
      <c r="O867" s="59" t="str">
        <f t="shared" si="54"/>
        <v/>
      </c>
      <c r="P867" s="59" t="str">
        <f t="shared" si="55"/>
        <v/>
      </c>
    </row>
    <row r="868" spans="3:16" ht="30" customHeight="1" x14ac:dyDescent="0.25">
      <c r="C868" s="42">
        <v>864</v>
      </c>
      <c r="D868" s="67" t="str">
        <f>IF('Prod 1'!D868="","",'Prod 1'!D868)</f>
        <v/>
      </c>
      <c r="E868" s="64"/>
      <c r="F868" s="58"/>
      <c r="G868" s="65"/>
      <c r="H868" s="65"/>
      <c r="I868" s="58"/>
      <c r="J868" s="58"/>
      <c r="K868" s="132" t="str">
        <f t="shared" si="52"/>
        <v/>
      </c>
      <c r="M868" s="68" t="str">
        <f t="shared" si="53"/>
        <v/>
      </c>
      <c r="N868" s="59" t="str">
        <f>IF('Prod 1'!E868="","",'Prod 1'!E868)</f>
        <v/>
      </c>
      <c r="O868" s="59" t="str">
        <f t="shared" si="54"/>
        <v/>
      </c>
      <c r="P868" s="59" t="str">
        <f t="shared" si="55"/>
        <v/>
      </c>
    </row>
    <row r="869" spans="3:16" ht="30" customHeight="1" x14ac:dyDescent="0.25">
      <c r="C869" s="42">
        <v>865</v>
      </c>
      <c r="D869" s="67" t="str">
        <f>IF('Prod 1'!D869="","",'Prod 1'!D869)</f>
        <v/>
      </c>
      <c r="E869" s="64"/>
      <c r="F869" s="58"/>
      <c r="G869" s="65"/>
      <c r="H869" s="65"/>
      <c r="I869" s="58"/>
      <c r="J869" s="58"/>
      <c r="K869" s="132" t="str">
        <f t="shared" si="52"/>
        <v/>
      </c>
      <c r="M869" s="68" t="str">
        <f t="shared" si="53"/>
        <v/>
      </c>
      <c r="N869" s="59" t="str">
        <f>IF('Prod 1'!E869="","",'Prod 1'!E869)</f>
        <v/>
      </c>
      <c r="O869" s="59" t="str">
        <f t="shared" si="54"/>
        <v/>
      </c>
      <c r="P869" s="59" t="str">
        <f t="shared" si="55"/>
        <v/>
      </c>
    </row>
    <row r="870" spans="3:16" ht="30" customHeight="1" x14ac:dyDescent="0.25">
      <c r="C870" s="42">
        <v>866</v>
      </c>
      <c r="D870" s="67" t="str">
        <f>IF('Prod 1'!D870="","",'Prod 1'!D870)</f>
        <v/>
      </c>
      <c r="E870" s="64"/>
      <c r="F870" s="58"/>
      <c r="G870" s="65"/>
      <c r="H870" s="65"/>
      <c r="I870" s="58"/>
      <c r="J870" s="58"/>
      <c r="K870" s="132" t="str">
        <f t="shared" si="52"/>
        <v/>
      </c>
      <c r="M870" s="68" t="str">
        <f t="shared" si="53"/>
        <v/>
      </c>
      <c r="N870" s="59" t="str">
        <f>IF('Prod 1'!E870="","",'Prod 1'!E870)</f>
        <v/>
      </c>
      <c r="O870" s="59" t="str">
        <f t="shared" si="54"/>
        <v/>
      </c>
      <c r="P870" s="59" t="str">
        <f t="shared" si="55"/>
        <v/>
      </c>
    </row>
    <row r="871" spans="3:16" ht="30" customHeight="1" x14ac:dyDescent="0.25">
      <c r="C871" s="42">
        <v>867</v>
      </c>
      <c r="D871" s="67" t="str">
        <f>IF('Prod 1'!D871="","",'Prod 1'!D871)</f>
        <v/>
      </c>
      <c r="E871" s="64"/>
      <c r="F871" s="58"/>
      <c r="G871" s="65"/>
      <c r="H871" s="65"/>
      <c r="I871" s="58"/>
      <c r="J871" s="58"/>
      <c r="K871" s="132" t="str">
        <f t="shared" si="52"/>
        <v/>
      </c>
      <c r="M871" s="68" t="str">
        <f t="shared" si="53"/>
        <v/>
      </c>
      <c r="N871" s="59" t="str">
        <f>IF('Prod 1'!E871="","",'Prod 1'!E871)</f>
        <v/>
      </c>
      <c r="O871" s="59" t="str">
        <f t="shared" si="54"/>
        <v/>
      </c>
      <c r="P871" s="59" t="str">
        <f t="shared" si="55"/>
        <v/>
      </c>
    </row>
    <row r="872" spans="3:16" ht="30" customHeight="1" x14ac:dyDescent="0.25">
      <c r="C872" s="42">
        <v>868</v>
      </c>
      <c r="D872" s="67" t="str">
        <f>IF('Prod 1'!D872="","",'Prod 1'!D872)</f>
        <v/>
      </c>
      <c r="E872" s="64"/>
      <c r="F872" s="58"/>
      <c r="G872" s="65"/>
      <c r="H872" s="65"/>
      <c r="I872" s="58"/>
      <c r="J872" s="58"/>
      <c r="K872" s="132" t="str">
        <f t="shared" si="52"/>
        <v/>
      </c>
      <c r="M872" s="68" t="str">
        <f t="shared" si="53"/>
        <v/>
      </c>
      <c r="N872" s="59" t="str">
        <f>IF('Prod 1'!E872="","",'Prod 1'!E872)</f>
        <v/>
      </c>
      <c r="O872" s="59" t="str">
        <f t="shared" si="54"/>
        <v/>
      </c>
      <c r="P872" s="59" t="str">
        <f t="shared" si="55"/>
        <v/>
      </c>
    </row>
    <row r="873" spans="3:16" ht="30" customHeight="1" x14ac:dyDescent="0.25">
      <c r="C873" s="42">
        <v>869</v>
      </c>
      <c r="D873" s="67" t="str">
        <f>IF('Prod 1'!D873="","",'Prod 1'!D873)</f>
        <v/>
      </c>
      <c r="E873" s="64"/>
      <c r="F873" s="58"/>
      <c r="G873" s="65"/>
      <c r="H873" s="65"/>
      <c r="I873" s="58"/>
      <c r="J873" s="58"/>
      <c r="K873" s="132" t="str">
        <f t="shared" si="52"/>
        <v/>
      </c>
      <c r="M873" s="68" t="str">
        <f t="shared" si="53"/>
        <v/>
      </c>
      <c r="N873" s="59" t="str">
        <f>IF('Prod 1'!E873="","",'Prod 1'!E873)</f>
        <v/>
      </c>
      <c r="O873" s="59" t="str">
        <f t="shared" si="54"/>
        <v/>
      </c>
      <c r="P873" s="59" t="str">
        <f t="shared" si="55"/>
        <v/>
      </c>
    </row>
    <row r="874" spans="3:16" ht="30" customHeight="1" x14ac:dyDescent="0.25">
      <c r="C874" s="42">
        <v>870</v>
      </c>
      <c r="D874" s="67" t="str">
        <f>IF('Prod 1'!D874="","",'Prod 1'!D874)</f>
        <v/>
      </c>
      <c r="E874" s="64"/>
      <c r="F874" s="58"/>
      <c r="G874" s="65"/>
      <c r="H874" s="65"/>
      <c r="I874" s="58"/>
      <c r="J874" s="58"/>
      <c r="K874" s="132" t="str">
        <f t="shared" si="52"/>
        <v/>
      </c>
      <c r="M874" s="68" t="str">
        <f t="shared" si="53"/>
        <v/>
      </c>
      <c r="N874" s="59" t="str">
        <f>IF('Prod 1'!E874="","",'Prod 1'!E874)</f>
        <v/>
      </c>
      <c r="O874" s="59" t="str">
        <f t="shared" si="54"/>
        <v/>
      </c>
      <c r="P874" s="59" t="str">
        <f t="shared" si="55"/>
        <v/>
      </c>
    </row>
    <row r="875" spans="3:16" ht="30" customHeight="1" x14ac:dyDescent="0.25">
      <c r="C875" s="42">
        <v>871</v>
      </c>
      <c r="D875" s="67" t="str">
        <f>IF('Prod 1'!D875="","",'Prod 1'!D875)</f>
        <v/>
      </c>
      <c r="E875" s="64"/>
      <c r="F875" s="58"/>
      <c r="G875" s="65"/>
      <c r="H875" s="65"/>
      <c r="I875" s="58"/>
      <c r="J875" s="58"/>
      <c r="K875" s="132" t="str">
        <f t="shared" si="52"/>
        <v/>
      </c>
      <c r="M875" s="68" t="str">
        <f t="shared" si="53"/>
        <v/>
      </c>
      <c r="N875" s="59" t="str">
        <f>IF('Prod 1'!E875="","",'Prod 1'!E875)</f>
        <v/>
      </c>
      <c r="O875" s="59" t="str">
        <f t="shared" si="54"/>
        <v/>
      </c>
      <c r="P875" s="59" t="str">
        <f t="shared" si="55"/>
        <v/>
      </c>
    </row>
    <row r="876" spans="3:16" ht="30" customHeight="1" x14ac:dyDescent="0.25">
      <c r="C876" s="42">
        <v>872</v>
      </c>
      <c r="D876" s="67" t="str">
        <f>IF('Prod 1'!D876="","",'Prod 1'!D876)</f>
        <v/>
      </c>
      <c r="E876" s="64"/>
      <c r="F876" s="58"/>
      <c r="G876" s="65"/>
      <c r="H876" s="65"/>
      <c r="I876" s="58"/>
      <c r="J876" s="58"/>
      <c r="K876" s="132" t="str">
        <f t="shared" si="52"/>
        <v/>
      </c>
      <c r="M876" s="68" t="str">
        <f t="shared" si="53"/>
        <v/>
      </c>
      <c r="N876" s="59" t="str">
        <f>IF('Prod 1'!E876="","",'Prod 1'!E876)</f>
        <v/>
      </c>
      <c r="O876" s="59" t="str">
        <f t="shared" si="54"/>
        <v/>
      </c>
      <c r="P876" s="59" t="str">
        <f t="shared" si="55"/>
        <v/>
      </c>
    </row>
    <row r="877" spans="3:16" ht="30" customHeight="1" x14ac:dyDescent="0.25">
      <c r="C877" s="42">
        <v>873</v>
      </c>
      <c r="D877" s="67" t="str">
        <f>IF('Prod 1'!D877="","",'Prod 1'!D877)</f>
        <v/>
      </c>
      <c r="E877" s="64"/>
      <c r="F877" s="58"/>
      <c r="G877" s="65"/>
      <c r="H877" s="65"/>
      <c r="I877" s="58"/>
      <c r="J877" s="58"/>
      <c r="K877" s="132" t="str">
        <f t="shared" si="52"/>
        <v/>
      </c>
      <c r="M877" s="68" t="str">
        <f t="shared" si="53"/>
        <v/>
      </c>
      <c r="N877" s="59" t="str">
        <f>IF('Prod 1'!E877="","",'Prod 1'!E877)</f>
        <v/>
      </c>
      <c r="O877" s="59" t="str">
        <f t="shared" si="54"/>
        <v/>
      </c>
      <c r="P877" s="59" t="str">
        <f t="shared" si="55"/>
        <v/>
      </c>
    </row>
    <row r="878" spans="3:16" ht="30" customHeight="1" x14ac:dyDescent="0.25">
      <c r="C878" s="42">
        <v>874</v>
      </c>
      <c r="D878" s="67" t="str">
        <f>IF('Prod 1'!D878="","",'Prod 1'!D878)</f>
        <v/>
      </c>
      <c r="E878" s="64"/>
      <c r="F878" s="58"/>
      <c r="G878" s="65"/>
      <c r="H878" s="65"/>
      <c r="I878" s="58"/>
      <c r="J878" s="58"/>
      <c r="K878" s="132" t="str">
        <f t="shared" si="52"/>
        <v/>
      </c>
      <c r="M878" s="68" t="str">
        <f t="shared" si="53"/>
        <v/>
      </c>
      <c r="N878" s="59" t="str">
        <f>IF('Prod 1'!E878="","",'Prod 1'!E878)</f>
        <v/>
      </c>
      <c r="O878" s="59" t="str">
        <f t="shared" si="54"/>
        <v/>
      </c>
      <c r="P878" s="59" t="str">
        <f t="shared" si="55"/>
        <v/>
      </c>
    </row>
    <row r="879" spans="3:16" ht="30" customHeight="1" x14ac:dyDescent="0.25">
      <c r="C879" s="42">
        <v>875</v>
      </c>
      <c r="D879" s="67" t="str">
        <f>IF('Prod 1'!D879="","",'Prod 1'!D879)</f>
        <v/>
      </c>
      <c r="E879" s="64"/>
      <c r="F879" s="58"/>
      <c r="G879" s="65"/>
      <c r="H879" s="65"/>
      <c r="I879" s="58"/>
      <c r="J879" s="58"/>
      <c r="K879" s="132" t="str">
        <f t="shared" si="52"/>
        <v/>
      </c>
      <c r="M879" s="68" t="str">
        <f t="shared" si="53"/>
        <v/>
      </c>
      <c r="N879" s="59" t="str">
        <f>IF('Prod 1'!E879="","",'Prod 1'!E879)</f>
        <v/>
      </c>
      <c r="O879" s="59" t="str">
        <f t="shared" si="54"/>
        <v/>
      </c>
      <c r="P879" s="59" t="str">
        <f t="shared" si="55"/>
        <v/>
      </c>
    </row>
    <row r="880" spans="3:16" ht="30" customHeight="1" x14ac:dyDescent="0.25">
      <c r="C880" s="42">
        <v>876</v>
      </c>
      <c r="D880" s="67" t="str">
        <f>IF('Prod 1'!D880="","",'Prod 1'!D880)</f>
        <v/>
      </c>
      <c r="E880" s="64"/>
      <c r="F880" s="58"/>
      <c r="G880" s="65"/>
      <c r="H880" s="65"/>
      <c r="I880" s="58"/>
      <c r="J880" s="58"/>
      <c r="K880" s="132" t="str">
        <f t="shared" si="52"/>
        <v/>
      </c>
      <c r="M880" s="68" t="str">
        <f t="shared" si="53"/>
        <v/>
      </c>
      <c r="N880" s="59" t="str">
        <f>IF('Prod 1'!E880="","",'Prod 1'!E880)</f>
        <v/>
      </c>
      <c r="O880" s="59" t="str">
        <f t="shared" si="54"/>
        <v/>
      </c>
      <c r="P880" s="59" t="str">
        <f t="shared" si="55"/>
        <v/>
      </c>
    </row>
    <row r="881" spans="3:16" ht="30" customHeight="1" x14ac:dyDescent="0.25">
      <c r="C881" s="42">
        <v>877</v>
      </c>
      <c r="D881" s="67" t="str">
        <f>IF('Prod 1'!D881="","",'Prod 1'!D881)</f>
        <v/>
      </c>
      <c r="E881" s="64"/>
      <c r="F881" s="58"/>
      <c r="G881" s="65"/>
      <c r="H881" s="65"/>
      <c r="I881" s="58"/>
      <c r="J881" s="58"/>
      <c r="K881" s="132" t="str">
        <f t="shared" si="52"/>
        <v/>
      </c>
      <c r="M881" s="68" t="str">
        <f t="shared" si="53"/>
        <v/>
      </c>
      <c r="N881" s="59" t="str">
        <f>IF('Prod 1'!E881="","",'Prod 1'!E881)</f>
        <v/>
      </c>
      <c r="O881" s="59" t="str">
        <f t="shared" si="54"/>
        <v/>
      </c>
      <c r="P881" s="59" t="str">
        <f t="shared" si="55"/>
        <v/>
      </c>
    </row>
    <row r="882" spans="3:16" ht="30" customHeight="1" x14ac:dyDescent="0.25">
      <c r="C882" s="42">
        <v>878</v>
      </c>
      <c r="D882" s="67" t="str">
        <f>IF('Prod 1'!D882="","",'Prod 1'!D882)</f>
        <v/>
      </c>
      <c r="E882" s="64"/>
      <c r="F882" s="58"/>
      <c r="G882" s="65"/>
      <c r="H882" s="65"/>
      <c r="I882" s="58"/>
      <c r="J882" s="58"/>
      <c r="K882" s="132" t="str">
        <f t="shared" si="52"/>
        <v/>
      </c>
      <c r="M882" s="68" t="str">
        <f t="shared" si="53"/>
        <v/>
      </c>
      <c r="N882" s="59" t="str">
        <f>IF('Prod 1'!E882="","",'Prod 1'!E882)</f>
        <v/>
      </c>
      <c r="O882" s="59" t="str">
        <f t="shared" si="54"/>
        <v/>
      </c>
      <c r="P882" s="59" t="str">
        <f t="shared" si="55"/>
        <v/>
      </c>
    </row>
    <row r="883" spans="3:16" ht="30" customHeight="1" x14ac:dyDescent="0.25">
      <c r="C883" s="42">
        <v>879</v>
      </c>
      <c r="D883" s="67" t="str">
        <f>IF('Prod 1'!D883="","",'Prod 1'!D883)</f>
        <v/>
      </c>
      <c r="E883" s="64"/>
      <c r="F883" s="58"/>
      <c r="G883" s="65"/>
      <c r="H883" s="65"/>
      <c r="I883" s="58"/>
      <c r="J883" s="58"/>
      <c r="K883" s="132" t="str">
        <f t="shared" si="52"/>
        <v/>
      </c>
      <c r="M883" s="68" t="str">
        <f t="shared" si="53"/>
        <v/>
      </c>
      <c r="N883" s="59" t="str">
        <f>IF('Prod 1'!E883="","",'Prod 1'!E883)</f>
        <v/>
      </c>
      <c r="O883" s="59" t="str">
        <f t="shared" si="54"/>
        <v/>
      </c>
      <c r="P883" s="59" t="str">
        <f t="shared" si="55"/>
        <v/>
      </c>
    </row>
    <row r="884" spans="3:16" ht="30" customHeight="1" x14ac:dyDescent="0.25">
      <c r="C884" s="42">
        <v>880</v>
      </c>
      <c r="D884" s="67" t="str">
        <f>IF('Prod 1'!D884="","",'Prod 1'!D884)</f>
        <v/>
      </c>
      <c r="E884" s="64"/>
      <c r="F884" s="58"/>
      <c r="G884" s="65"/>
      <c r="H884" s="65"/>
      <c r="I884" s="58"/>
      <c r="J884" s="58"/>
      <c r="K884" s="132" t="str">
        <f t="shared" si="52"/>
        <v/>
      </c>
      <c r="M884" s="68" t="str">
        <f t="shared" si="53"/>
        <v/>
      </c>
      <c r="N884" s="59" t="str">
        <f>IF('Prod 1'!E884="","",'Prod 1'!E884)</f>
        <v/>
      </c>
      <c r="O884" s="59" t="str">
        <f t="shared" si="54"/>
        <v/>
      </c>
      <c r="P884" s="59" t="str">
        <f t="shared" si="55"/>
        <v/>
      </c>
    </row>
    <row r="885" spans="3:16" ht="30" customHeight="1" x14ac:dyDescent="0.25">
      <c r="C885" s="42">
        <v>881</v>
      </c>
      <c r="D885" s="67" t="str">
        <f>IF('Prod 1'!D885="","",'Prod 1'!D885)</f>
        <v/>
      </c>
      <c r="E885" s="64"/>
      <c r="F885" s="58"/>
      <c r="G885" s="65"/>
      <c r="H885" s="65"/>
      <c r="I885" s="58"/>
      <c r="J885" s="58"/>
      <c r="K885" s="132" t="str">
        <f t="shared" si="52"/>
        <v/>
      </c>
      <c r="M885" s="68" t="str">
        <f t="shared" si="53"/>
        <v/>
      </c>
      <c r="N885" s="59" t="str">
        <f>IF('Prod 1'!E885="","",'Prod 1'!E885)</f>
        <v/>
      </c>
      <c r="O885" s="59" t="str">
        <f t="shared" si="54"/>
        <v/>
      </c>
      <c r="P885" s="59" t="str">
        <f t="shared" si="55"/>
        <v/>
      </c>
    </row>
    <row r="886" spans="3:16" ht="30" customHeight="1" x14ac:dyDescent="0.25">
      <c r="C886" s="42">
        <v>882</v>
      </c>
      <c r="D886" s="67" t="str">
        <f>IF('Prod 1'!D886="","",'Prod 1'!D886)</f>
        <v/>
      </c>
      <c r="E886" s="64"/>
      <c r="F886" s="58"/>
      <c r="G886" s="65"/>
      <c r="H886" s="65"/>
      <c r="I886" s="58"/>
      <c r="J886" s="58"/>
      <c r="K886" s="132" t="str">
        <f t="shared" si="52"/>
        <v/>
      </c>
      <c r="M886" s="68" t="str">
        <f t="shared" si="53"/>
        <v/>
      </c>
      <c r="N886" s="59" t="str">
        <f>IF('Prod 1'!E886="","",'Prod 1'!E886)</f>
        <v/>
      </c>
      <c r="O886" s="59" t="str">
        <f t="shared" si="54"/>
        <v/>
      </c>
      <c r="P886" s="59" t="str">
        <f t="shared" si="55"/>
        <v/>
      </c>
    </row>
    <row r="887" spans="3:16" ht="30" customHeight="1" x14ac:dyDescent="0.25">
      <c r="C887" s="42">
        <v>883</v>
      </c>
      <c r="D887" s="67" t="str">
        <f>IF('Prod 1'!D887="","",'Prod 1'!D887)</f>
        <v/>
      </c>
      <c r="E887" s="64"/>
      <c r="F887" s="58"/>
      <c r="G887" s="65"/>
      <c r="H887" s="65"/>
      <c r="I887" s="58"/>
      <c r="J887" s="58"/>
      <c r="K887" s="132" t="str">
        <f t="shared" si="52"/>
        <v/>
      </c>
      <c r="M887" s="68" t="str">
        <f t="shared" si="53"/>
        <v/>
      </c>
      <c r="N887" s="59" t="str">
        <f>IF('Prod 1'!E887="","",'Prod 1'!E887)</f>
        <v/>
      </c>
      <c r="O887" s="59" t="str">
        <f t="shared" si="54"/>
        <v/>
      </c>
      <c r="P887" s="59" t="str">
        <f t="shared" si="55"/>
        <v/>
      </c>
    </row>
    <row r="888" spans="3:16" ht="30" customHeight="1" x14ac:dyDescent="0.25">
      <c r="C888" s="42">
        <v>884</v>
      </c>
      <c r="D888" s="67" t="str">
        <f>IF('Prod 1'!D888="","",'Prod 1'!D888)</f>
        <v/>
      </c>
      <c r="E888" s="64"/>
      <c r="F888" s="58"/>
      <c r="G888" s="65"/>
      <c r="H888" s="65"/>
      <c r="I888" s="58"/>
      <c r="J888" s="58"/>
      <c r="K888" s="132" t="str">
        <f t="shared" si="52"/>
        <v/>
      </c>
      <c r="M888" s="68" t="str">
        <f t="shared" si="53"/>
        <v/>
      </c>
      <c r="N888" s="59" t="str">
        <f>IF('Prod 1'!E888="","",'Prod 1'!E888)</f>
        <v/>
      </c>
      <c r="O888" s="59" t="str">
        <f t="shared" si="54"/>
        <v/>
      </c>
      <c r="P888" s="59" t="str">
        <f t="shared" si="55"/>
        <v/>
      </c>
    </row>
    <row r="889" spans="3:16" ht="30" customHeight="1" x14ac:dyDescent="0.25">
      <c r="C889" s="42">
        <v>885</v>
      </c>
      <c r="D889" s="67" t="str">
        <f>IF('Prod 1'!D889="","",'Prod 1'!D889)</f>
        <v/>
      </c>
      <c r="E889" s="64"/>
      <c r="F889" s="58"/>
      <c r="G889" s="65"/>
      <c r="H889" s="65"/>
      <c r="I889" s="58"/>
      <c r="J889" s="58"/>
      <c r="K889" s="132" t="str">
        <f t="shared" si="52"/>
        <v/>
      </c>
      <c r="M889" s="68" t="str">
        <f t="shared" si="53"/>
        <v/>
      </c>
      <c r="N889" s="59" t="str">
        <f>IF('Prod 1'!E889="","",'Prod 1'!E889)</f>
        <v/>
      </c>
      <c r="O889" s="59" t="str">
        <f t="shared" si="54"/>
        <v/>
      </c>
      <c r="P889" s="59" t="str">
        <f t="shared" si="55"/>
        <v/>
      </c>
    </row>
    <row r="890" spans="3:16" ht="30" customHeight="1" x14ac:dyDescent="0.25">
      <c r="C890" s="42">
        <v>886</v>
      </c>
      <c r="D890" s="67" t="str">
        <f>IF('Prod 1'!D890="","",'Prod 1'!D890)</f>
        <v/>
      </c>
      <c r="E890" s="64"/>
      <c r="F890" s="58"/>
      <c r="G890" s="65"/>
      <c r="H890" s="65"/>
      <c r="I890" s="58"/>
      <c r="J890" s="58"/>
      <c r="K890" s="132" t="str">
        <f t="shared" si="52"/>
        <v/>
      </c>
      <c r="M890" s="68" t="str">
        <f t="shared" si="53"/>
        <v/>
      </c>
      <c r="N890" s="59" t="str">
        <f>IF('Prod 1'!E890="","",'Prod 1'!E890)</f>
        <v/>
      </c>
      <c r="O890" s="59" t="str">
        <f t="shared" si="54"/>
        <v/>
      </c>
      <c r="P890" s="59" t="str">
        <f t="shared" si="55"/>
        <v/>
      </c>
    </row>
    <row r="891" spans="3:16" ht="30" customHeight="1" x14ac:dyDescent="0.25">
      <c r="C891" s="42">
        <v>887</v>
      </c>
      <c r="D891" s="67" t="str">
        <f>IF('Prod 1'!D891="","",'Prod 1'!D891)</f>
        <v/>
      </c>
      <c r="E891" s="64"/>
      <c r="F891" s="58"/>
      <c r="G891" s="65"/>
      <c r="H891" s="65"/>
      <c r="I891" s="58"/>
      <c r="J891" s="58"/>
      <c r="K891" s="132" t="str">
        <f t="shared" si="52"/>
        <v/>
      </c>
      <c r="M891" s="68" t="str">
        <f t="shared" si="53"/>
        <v/>
      </c>
      <c r="N891" s="59" t="str">
        <f>IF('Prod 1'!E891="","",'Prod 1'!E891)</f>
        <v/>
      </c>
      <c r="O891" s="59" t="str">
        <f t="shared" si="54"/>
        <v/>
      </c>
      <c r="P891" s="59" t="str">
        <f t="shared" si="55"/>
        <v/>
      </c>
    </row>
    <row r="892" spans="3:16" ht="30" customHeight="1" x14ac:dyDescent="0.25">
      <c r="C892" s="42">
        <v>888</v>
      </c>
      <c r="D892" s="67" t="str">
        <f>IF('Prod 1'!D892="","",'Prod 1'!D892)</f>
        <v/>
      </c>
      <c r="E892" s="64"/>
      <c r="F892" s="58"/>
      <c r="G892" s="65"/>
      <c r="H892" s="65"/>
      <c r="I892" s="58"/>
      <c r="J892" s="58"/>
      <c r="K892" s="132" t="str">
        <f t="shared" si="52"/>
        <v/>
      </c>
      <c r="M892" s="68" t="str">
        <f t="shared" si="53"/>
        <v/>
      </c>
      <c r="N892" s="59" t="str">
        <f>IF('Prod 1'!E892="","",'Prod 1'!E892)</f>
        <v/>
      </c>
      <c r="O892" s="59" t="str">
        <f t="shared" si="54"/>
        <v/>
      </c>
      <c r="P892" s="59" t="str">
        <f t="shared" si="55"/>
        <v/>
      </c>
    </row>
    <row r="893" spans="3:16" ht="30" customHeight="1" x14ac:dyDescent="0.25">
      <c r="C893" s="42">
        <v>889</v>
      </c>
      <c r="D893" s="67" t="str">
        <f>IF('Prod 1'!D893="","",'Prod 1'!D893)</f>
        <v/>
      </c>
      <c r="E893" s="64"/>
      <c r="F893" s="58"/>
      <c r="G893" s="65"/>
      <c r="H893" s="65"/>
      <c r="I893" s="58"/>
      <c r="J893" s="58"/>
      <c r="K893" s="132" t="str">
        <f t="shared" si="52"/>
        <v/>
      </c>
      <c r="M893" s="68" t="str">
        <f t="shared" si="53"/>
        <v/>
      </c>
      <c r="N893" s="59" t="str">
        <f>IF('Prod 1'!E893="","",'Prod 1'!E893)</f>
        <v/>
      </c>
      <c r="O893" s="59" t="str">
        <f t="shared" si="54"/>
        <v/>
      </c>
      <c r="P893" s="59" t="str">
        <f t="shared" si="55"/>
        <v/>
      </c>
    </row>
    <row r="894" spans="3:16" ht="30" customHeight="1" x14ac:dyDescent="0.25">
      <c r="C894" s="42">
        <v>890</v>
      </c>
      <c r="D894" s="67" t="str">
        <f>IF('Prod 1'!D894="","",'Prod 1'!D894)</f>
        <v/>
      </c>
      <c r="E894" s="64"/>
      <c r="F894" s="58"/>
      <c r="G894" s="65"/>
      <c r="H894" s="65"/>
      <c r="I894" s="58"/>
      <c r="J894" s="58"/>
      <c r="K894" s="132" t="str">
        <f t="shared" si="52"/>
        <v/>
      </c>
      <c r="M894" s="68" t="str">
        <f t="shared" si="53"/>
        <v/>
      </c>
      <c r="N894" s="59" t="str">
        <f>IF('Prod 1'!E894="","",'Prod 1'!E894)</f>
        <v/>
      </c>
      <c r="O894" s="59" t="str">
        <f t="shared" si="54"/>
        <v/>
      </c>
      <c r="P894" s="59" t="str">
        <f t="shared" si="55"/>
        <v/>
      </c>
    </row>
    <row r="895" spans="3:16" ht="30" customHeight="1" x14ac:dyDescent="0.25">
      <c r="C895" s="42">
        <v>891</v>
      </c>
      <c r="D895" s="67" t="str">
        <f>IF('Prod 1'!D895="","",'Prod 1'!D895)</f>
        <v/>
      </c>
      <c r="E895" s="64"/>
      <c r="F895" s="58"/>
      <c r="G895" s="65"/>
      <c r="H895" s="65"/>
      <c r="I895" s="58"/>
      <c r="J895" s="58"/>
      <c r="K895" s="132" t="str">
        <f t="shared" si="52"/>
        <v/>
      </c>
      <c r="M895" s="68" t="str">
        <f t="shared" si="53"/>
        <v/>
      </c>
      <c r="N895" s="59" t="str">
        <f>IF('Prod 1'!E895="","",'Prod 1'!E895)</f>
        <v/>
      </c>
      <c r="O895" s="59" t="str">
        <f t="shared" si="54"/>
        <v/>
      </c>
      <c r="P895" s="59" t="str">
        <f t="shared" si="55"/>
        <v/>
      </c>
    </row>
    <row r="896" spans="3:16" ht="30" customHeight="1" x14ac:dyDescent="0.25">
      <c r="C896" s="42">
        <v>892</v>
      </c>
      <c r="D896" s="67" t="str">
        <f>IF('Prod 1'!D896="","",'Prod 1'!D896)</f>
        <v/>
      </c>
      <c r="E896" s="64"/>
      <c r="F896" s="58"/>
      <c r="G896" s="65"/>
      <c r="H896" s="65"/>
      <c r="I896" s="58"/>
      <c r="J896" s="58"/>
      <c r="K896" s="132" t="str">
        <f t="shared" si="52"/>
        <v/>
      </c>
      <c r="M896" s="68" t="str">
        <f t="shared" si="53"/>
        <v/>
      </c>
      <c r="N896" s="59" t="str">
        <f>IF('Prod 1'!E896="","",'Prod 1'!E896)</f>
        <v/>
      </c>
      <c r="O896" s="59" t="str">
        <f t="shared" si="54"/>
        <v/>
      </c>
      <c r="P896" s="59" t="str">
        <f t="shared" si="55"/>
        <v/>
      </c>
    </row>
    <row r="897" spans="3:16" ht="30" customHeight="1" x14ac:dyDescent="0.25">
      <c r="C897" s="42">
        <v>893</v>
      </c>
      <c r="D897" s="67" t="str">
        <f>IF('Prod 1'!D897="","",'Prod 1'!D897)</f>
        <v/>
      </c>
      <c r="E897" s="64"/>
      <c r="F897" s="58"/>
      <c r="G897" s="65"/>
      <c r="H897" s="65"/>
      <c r="I897" s="58"/>
      <c r="J897" s="58"/>
      <c r="K897" s="132" t="str">
        <f t="shared" si="52"/>
        <v/>
      </c>
      <c r="M897" s="68" t="str">
        <f t="shared" si="53"/>
        <v/>
      </c>
      <c r="N897" s="59" t="str">
        <f>IF('Prod 1'!E897="","",'Prod 1'!E897)</f>
        <v/>
      </c>
      <c r="O897" s="59" t="str">
        <f t="shared" si="54"/>
        <v/>
      </c>
      <c r="P897" s="59" t="str">
        <f t="shared" si="55"/>
        <v/>
      </c>
    </row>
    <row r="898" spans="3:16" ht="30" customHeight="1" x14ac:dyDescent="0.25">
      <c r="C898" s="42">
        <v>894</v>
      </c>
      <c r="D898" s="67" t="str">
        <f>IF('Prod 1'!D898="","",'Prod 1'!D898)</f>
        <v/>
      </c>
      <c r="E898" s="64"/>
      <c r="F898" s="58"/>
      <c r="G898" s="65"/>
      <c r="H898" s="65"/>
      <c r="I898" s="58"/>
      <c r="J898" s="58"/>
      <c r="K898" s="132" t="str">
        <f t="shared" si="52"/>
        <v/>
      </c>
      <c r="M898" s="68" t="str">
        <f t="shared" si="53"/>
        <v/>
      </c>
      <c r="N898" s="59" t="str">
        <f>IF('Prod 1'!E898="","",'Prod 1'!E898)</f>
        <v/>
      </c>
      <c r="O898" s="59" t="str">
        <f t="shared" si="54"/>
        <v/>
      </c>
      <c r="P898" s="59" t="str">
        <f t="shared" si="55"/>
        <v/>
      </c>
    </row>
    <row r="899" spans="3:16" ht="30" customHeight="1" x14ac:dyDescent="0.25">
      <c r="C899" s="42">
        <v>895</v>
      </c>
      <c r="D899" s="67" t="str">
        <f>IF('Prod 1'!D899="","",'Prod 1'!D899)</f>
        <v/>
      </c>
      <c r="E899" s="64"/>
      <c r="F899" s="58"/>
      <c r="G899" s="65"/>
      <c r="H899" s="65"/>
      <c r="I899" s="58"/>
      <c r="J899" s="58"/>
      <c r="K899" s="132" t="str">
        <f t="shared" si="52"/>
        <v/>
      </c>
      <c r="M899" s="68" t="str">
        <f t="shared" si="53"/>
        <v/>
      </c>
      <c r="N899" s="59" t="str">
        <f>IF('Prod 1'!E899="","",'Prod 1'!E899)</f>
        <v/>
      </c>
      <c r="O899" s="59" t="str">
        <f t="shared" si="54"/>
        <v/>
      </c>
      <c r="P899" s="59" t="str">
        <f t="shared" si="55"/>
        <v/>
      </c>
    </row>
    <row r="900" spans="3:16" ht="30" customHeight="1" x14ac:dyDescent="0.25">
      <c r="C900" s="42">
        <v>896</v>
      </c>
      <c r="D900" s="67" t="str">
        <f>IF('Prod 1'!D900="","",'Prod 1'!D900)</f>
        <v/>
      </c>
      <c r="E900" s="64"/>
      <c r="F900" s="58"/>
      <c r="G900" s="65"/>
      <c r="H900" s="65"/>
      <c r="I900" s="58"/>
      <c r="J900" s="58"/>
      <c r="K900" s="132" t="str">
        <f t="shared" si="52"/>
        <v/>
      </c>
      <c r="M900" s="68" t="str">
        <f t="shared" si="53"/>
        <v/>
      </c>
      <c r="N900" s="59" t="str">
        <f>IF('Prod 1'!E900="","",'Prod 1'!E900)</f>
        <v/>
      </c>
      <c r="O900" s="59" t="str">
        <f t="shared" si="54"/>
        <v/>
      </c>
      <c r="P900" s="59" t="str">
        <f t="shared" si="55"/>
        <v/>
      </c>
    </row>
    <row r="901" spans="3:16" ht="30" customHeight="1" x14ac:dyDescent="0.25">
      <c r="C901" s="42">
        <v>897</v>
      </c>
      <c r="D901" s="67" t="str">
        <f>IF('Prod 1'!D901="","",'Prod 1'!D901)</f>
        <v/>
      </c>
      <c r="E901" s="64"/>
      <c r="F901" s="58"/>
      <c r="G901" s="65"/>
      <c r="H901" s="65"/>
      <c r="I901" s="58"/>
      <c r="J901" s="58"/>
      <c r="K901" s="132" t="str">
        <f t="shared" si="52"/>
        <v/>
      </c>
      <c r="M901" s="68" t="str">
        <f t="shared" si="53"/>
        <v/>
      </c>
      <c r="N901" s="59" t="str">
        <f>IF('Prod 1'!E901="","",'Prod 1'!E901)</f>
        <v/>
      </c>
      <c r="O901" s="59" t="str">
        <f t="shared" si="54"/>
        <v/>
      </c>
      <c r="P901" s="59" t="str">
        <f t="shared" si="55"/>
        <v/>
      </c>
    </row>
    <row r="902" spans="3:16" ht="30" customHeight="1" x14ac:dyDescent="0.25">
      <c r="C902" s="42">
        <v>898</v>
      </c>
      <c r="D902" s="67" t="str">
        <f>IF('Prod 1'!D902="","",'Prod 1'!D902)</f>
        <v/>
      </c>
      <c r="E902" s="64"/>
      <c r="F902" s="58"/>
      <c r="G902" s="65"/>
      <c r="H902" s="65"/>
      <c r="I902" s="58"/>
      <c r="J902" s="58"/>
      <c r="K902" s="132" t="str">
        <f t="shared" ref="K902:K965" si="56">IF(E902="","",IF(E902="Produção",SUM(I902:J902)+SUM(O902:P902),F902))</f>
        <v/>
      </c>
      <c r="M902" s="68" t="str">
        <f t="shared" ref="M902:M965" si="57">IFERROR(IF(D902="","",100%),0)</f>
        <v/>
      </c>
      <c r="N902" s="59" t="str">
        <f>IF('Prod 1'!E902="","",'Prod 1'!E902)</f>
        <v/>
      </c>
      <c r="O902" s="59" t="str">
        <f t="shared" ref="O902:O965" si="58">IFERROR(IF(D902="","",N902*G902),0)</f>
        <v/>
      </c>
      <c r="P902" s="59" t="str">
        <f t="shared" ref="P902:P965" si="59">IFERROR(IF(D902="","",N902*H902),0)</f>
        <v/>
      </c>
    </row>
    <row r="903" spans="3:16" ht="30" customHeight="1" x14ac:dyDescent="0.25">
      <c r="C903" s="42">
        <v>899</v>
      </c>
      <c r="D903" s="67" t="str">
        <f>IF('Prod 1'!D903="","",'Prod 1'!D903)</f>
        <v/>
      </c>
      <c r="E903" s="64"/>
      <c r="F903" s="58"/>
      <c r="G903" s="65"/>
      <c r="H903" s="65"/>
      <c r="I903" s="58"/>
      <c r="J903" s="58"/>
      <c r="K903" s="132" t="str">
        <f t="shared" si="56"/>
        <v/>
      </c>
      <c r="M903" s="68" t="str">
        <f t="shared" si="57"/>
        <v/>
      </c>
      <c r="N903" s="59" t="str">
        <f>IF('Prod 1'!E903="","",'Prod 1'!E903)</f>
        <v/>
      </c>
      <c r="O903" s="59" t="str">
        <f t="shared" si="58"/>
        <v/>
      </c>
      <c r="P903" s="59" t="str">
        <f t="shared" si="59"/>
        <v/>
      </c>
    </row>
    <row r="904" spans="3:16" ht="30" customHeight="1" x14ac:dyDescent="0.25">
      <c r="C904" s="42">
        <v>900</v>
      </c>
      <c r="D904" s="67" t="str">
        <f>IF('Prod 1'!D904="","",'Prod 1'!D904)</f>
        <v/>
      </c>
      <c r="E904" s="64"/>
      <c r="F904" s="58"/>
      <c r="G904" s="65"/>
      <c r="H904" s="65"/>
      <c r="I904" s="58"/>
      <c r="J904" s="58"/>
      <c r="K904" s="132" t="str">
        <f t="shared" si="56"/>
        <v/>
      </c>
      <c r="M904" s="68" t="str">
        <f t="shared" si="57"/>
        <v/>
      </c>
      <c r="N904" s="59" t="str">
        <f>IF('Prod 1'!E904="","",'Prod 1'!E904)</f>
        <v/>
      </c>
      <c r="O904" s="59" t="str">
        <f t="shared" si="58"/>
        <v/>
      </c>
      <c r="P904" s="59" t="str">
        <f t="shared" si="59"/>
        <v/>
      </c>
    </row>
    <row r="905" spans="3:16" ht="30" customHeight="1" x14ac:dyDescent="0.25">
      <c r="C905" s="42">
        <v>901</v>
      </c>
      <c r="D905" s="67" t="str">
        <f>IF('Prod 1'!D905="","",'Prod 1'!D905)</f>
        <v/>
      </c>
      <c r="E905" s="64"/>
      <c r="F905" s="58"/>
      <c r="G905" s="65"/>
      <c r="H905" s="65"/>
      <c r="I905" s="58"/>
      <c r="J905" s="58"/>
      <c r="K905" s="132" t="str">
        <f t="shared" si="56"/>
        <v/>
      </c>
      <c r="M905" s="68" t="str">
        <f t="shared" si="57"/>
        <v/>
      </c>
      <c r="N905" s="59" t="str">
        <f>IF('Prod 1'!E905="","",'Prod 1'!E905)</f>
        <v/>
      </c>
      <c r="O905" s="59" t="str">
        <f t="shared" si="58"/>
        <v/>
      </c>
      <c r="P905" s="59" t="str">
        <f t="shared" si="59"/>
        <v/>
      </c>
    </row>
    <row r="906" spans="3:16" ht="30" customHeight="1" x14ac:dyDescent="0.25">
      <c r="C906" s="42">
        <v>902</v>
      </c>
      <c r="D906" s="67" t="str">
        <f>IF('Prod 1'!D906="","",'Prod 1'!D906)</f>
        <v/>
      </c>
      <c r="E906" s="64"/>
      <c r="F906" s="58"/>
      <c r="G906" s="65"/>
      <c r="H906" s="65"/>
      <c r="I906" s="58"/>
      <c r="J906" s="58"/>
      <c r="K906" s="132" t="str">
        <f t="shared" si="56"/>
        <v/>
      </c>
      <c r="M906" s="68" t="str">
        <f t="shared" si="57"/>
        <v/>
      </c>
      <c r="N906" s="59" t="str">
        <f>IF('Prod 1'!E906="","",'Prod 1'!E906)</f>
        <v/>
      </c>
      <c r="O906" s="59" t="str">
        <f t="shared" si="58"/>
        <v/>
      </c>
      <c r="P906" s="59" t="str">
        <f t="shared" si="59"/>
        <v/>
      </c>
    </row>
    <row r="907" spans="3:16" ht="30" customHeight="1" x14ac:dyDescent="0.25">
      <c r="C907" s="42">
        <v>903</v>
      </c>
      <c r="D907" s="67" t="str">
        <f>IF('Prod 1'!D907="","",'Prod 1'!D907)</f>
        <v/>
      </c>
      <c r="E907" s="64"/>
      <c r="F907" s="58"/>
      <c r="G907" s="65"/>
      <c r="H907" s="65"/>
      <c r="I907" s="58"/>
      <c r="J907" s="58"/>
      <c r="K907" s="132" t="str">
        <f t="shared" si="56"/>
        <v/>
      </c>
      <c r="M907" s="68" t="str">
        <f t="shared" si="57"/>
        <v/>
      </c>
      <c r="N907" s="59" t="str">
        <f>IF('Prod 1'!E907="","",'Prod 1'!E907)</f>
        <v/>
      </c>
      <c r="O907" s="59" t="str">
        <f t="shared" si="58"/>
        <v/>
      </c>
      <c r="P907" s="59" t="str">
        <f t="shared" si="59"/>
        <v/>
      </c>
    </row>
    <row r="908" spans="3:16" ht="30" customHeight="1" x14ac:dyDescent="0.25">
      <c r="C908" s="42">
        <v>904</v>
      </c>
      <c r="D908" s="67" t="str">
        <f>IF('Prod 1'!D908="","",'Prod 1'!D908)</f>
        <v/>
      </c>
      <c r="E908" s="64"/>
      <c r="F908" s="58"/>
      <c r="G908" s="65"/>
      <c r="H908" s="65"/>
      <c r="I908" s="58"/>
      <c r="J908" s="58"/>
      <c r="K908" s="132" t="str">
        <f t="shared" si="56"/>
        <v/>
      </c>
      <c r="M908" s="68" t="str">
        <f t="shared" si="57"/>
        <v/>
      </c>
      <c r="N908" s="59" t="str">
        <f>IF('Prod 1'!E908="","",'Prod 1'!E908)</f>
        <v/>
      </c>
      <c r="O908" s="59" t="str">
        <f t="shared" si="58"/>
        <v/>
      </c>
      <c r="P908" s="59" t="str">
        <f t="shared" si="59"/>
        <v/>
      </c>
    </row>
    <row r="909" spans="3:16" ht="30" customHeight="1" x14ac:dyDescent="0.25">
      <c r="C909" s="42">
        <v>905</v>
      </c>
      <c r="D909" s="67" t="str">
        <f>IF('Prod 1'!D909="","",'Prod 1'!D909)</f>
        <v/>
      </c>
      <c r="E909" s="64"/>
      <c r="F909" s="58"/>
      <c r="G909" s="65"/>
      <c r="H909" s="65"/>
      <c r="I909" s="58"/>
      <c r="J909" s="58"/>
      <c r="K909" s="132" t="str">
        <f t="shared" si="56"/>
        <v/>
      </c>
      <c r="M909" s="68" t="str">
        <f t="shared" si="57"/>
        <v/>
      </c>
      <c r="N909" s="59" t="str">
        <f>IF('Prod 1'!E909="","",'Prod 1'!E909)</f>
        <v/>
      </c>
      <c r="O909" s="59" t="str">
        <f t="shared" si="58"/>
        <v/>
      </c>
      <c r="P909" s="59" t="str">
        <f t="shared" si="59"/>
        <v/>
      </c>
    </row>
    <row r="910" spans="3:16" ht="30" customHeight="1" x14ac:dyDescent="0.25">
      <c r="C910" s="42">
        <v>906</v>
      </c>
      <c r="D910" s="67" t="str">
        <f>IF('Prod 1'!D910="","",'Prod 1'!D910)</f>
        <v/>
      </c>
      <c r="E910" s="64"/>
      <c r="F910" s="58"/>
      <c r="G910" s="65"/>
      <c r="H910" s="65"/>
      <c r="I910" s="58"/>
      <c r="J910" s="58"/>
      <c r="K910" s="132" t="str">
        <f t="shared" si="56"/>
        <v/>
      </c>
      <c r="M910" s="68" t="str">
        <f t="shared" si="57"/>
        <v/>
      </c>
      <c r="N910" s="59" t="str">
        <f>IF('Prod 1'!E910="","",'Prod 1'!E910)</f>
        <v/>
      </c>
      <c r="O910" s="59" t="str">
        <f t="shared" si="58"/>
        <v/>
      </c>
      <c r="P910" s="59" t="str">
        <f t="shared" si="59"/>
        <v/>
      </c>
    </row>
    <row r="911" spans="3:16" ht="30" customHeight="1" x14ac:dyDescent="0.25">
      <c r="C911" s="42">
        <v>907</v>
      </c>
      <c r="D911" s="67" t="str">
        <f>IF('Prod 1'!D911="","",'Prod 1'!D911)</f>
        <v/>
      </c>
      <c r="E911" s="64"/>
      <c r="F911" s="58"/>
      <c r="G911" s="65"/>
      <c r="H911" s="65"/>
      <c r="I911" s="58"/>
      <c r="J911" s="58"/>
      <c r="K911" s="132" t="str">
        <f t="shared" si="56"/>
        <v/>
      </c>
      <c r="M911" s="68" t="str">
        <f t="shared" si="57"/>
        <v/>
      </c>
      <c r="N911" s="59" t="str">
        <f>IF('Prod 1'!E911="","",'Prod 1'!E911)</f>
        <v/>
      </c>
      <c r="O911" s="59" t="str">
        <f t="shared" si="58"/>
        <v/>
      </c>
      <c r="P911" s="59" t="str">
        <f t="shared" si="59"/>
        <v/>
      </c>
    </row>
    <row r="912" spans="3:16" ht="30" customHeight="1" x14ac:dyDescent="0.25">
      <c r="C912" s="42">
        <v>908</v>
      </c>
      <c r="D912" s="67" t="str">
        <f>IF('Prod 1'!D912="","",'Prod 1'!D912)</f>
        <v/>
      </c>
      <c r="E912" s="64"/>
      <c r="F912" s="58"/>
      <c r="G912" s="65"/>
      <c r="H912" s="65"/>
      <c r="I912" s="58"/>
      <c r="J912" s="58"/>
      <c r="K912" s="132" t="str">
        <f t="shared" si="56"/>
        <v/>
      </c>
      <c r="M912" s="68" t="str">
        <f t="shared" si="57"/>
        <v/>
      </c>
      <c r="N912" s="59" t="str">
        <f>IF('Prod 1'!E912="","",'Prod 1'!E912)</f>
        <v/>
      </c>
      <c r="O912" s="59" t="str">
        <f t="shared" si="58"/>
        <v/>
      </c>
      <c r="P912" s="59" t="str">
        <f t="shared" si="59"/>
        <v/>
      </c>
    </row>
    <row r="913" spans="3:16" ht="30" customHeight="1" x14ac:dyDescent="0.25">
      <c r="C913" s="42">
        <v>909</v>
      </c>
      <c r="D913" s="67" t="str">
        <f>IF('Prod 1'!D913="","",'Prod 1'!D913)</f>
        <v/>
      </c>
      <c r="E913" s="64"/>
      <c r="F913" s="58"/>
      <c r="G913" s="65"/>
      <c r="H913" s="65"/>
      <c r="I913" s="58"/>
      <c r="J913" s="58"/>
      <c r="K913" s="132" t="str">
        <f t="shared" si="56"/>
        <v/>
      </c>
      <c r="M913" s="68" t="str">
        <f t="shared" si="57"/>
        <v/>
      </c>
      <c r="N913" s="59" t="str">
        <f>IF('Prod 1'!E913="","",'Prod 1'!E913)</f>
        <v/>
      </c>
      <c r="O913" s="59" t="str">
        <f t="shared" si="58"/>
        <v/>
      </c>
      <c r="P913" s="59" t="str">
        <f t="shared" si="59"/>
        <v/>
      </c>
    </row>
    <row r="914" spans="3:16" ht="30" customHeight="1" x14ac:dyDescent="0.25">
      <c r="C914" s="42">
        <v>910</v>
      </c>
      <c r="D914" s="67" t="str">
        <f>IF('Prod 1'!D914="","",'Prod 1'!D914)</f>
        <v/>
      </c>
      <c r="E914" s="64"/>
      <c r="F914" s="58"/>
      <c r="G914" s="65"/>
      <c r="H914" s="65"/>
      <c r="I914" s="58"/>
      <c r="J914" s="58"/>
      <c r="K914" s="132" t="str">
        <f t="shared" si="56"/>
        <v/>
      </c>
      <c r="M914" s="68" t="str">
        <f t="shared" si="57"/>
        <v/>
      </c>
      <c r="N914" s="59" t="str">
        <f>IF('Prod 1'!E914="","",'Prod 1'!E914)</f>
        <v/>
      </c>
      <c r="O914" s="59" t="str">
        <f t="shared" si="58"/>
        <v/>
      </c>
      <c r="P914" s="59" t="str">
        <f t="shared" si="59"/>
        <v/>
      </c>
    </row>
    <row r="915" spans="3:16" ht="30" customHeight="1" x14ac:dyDescent="0.25">
      <c r="C915" s="42">
        <v>911</v>
      </c>
      <c r="D915" s="67" t="str">
        <f>IF('Prod 1'!D915="","",'Prod 1'!D915)</f>
        <v/>
      </c>
      <c r="E915" s="64"/>
      <c r="F915" s="58"/>
      <c r="G915" s="65"/>
      <c r="H915" s="65"/>
      <c r="I915" s="58"/>
      <c r="J915" s="58"/>
      <c r="K915" s="132" t="str">
        <f t="shared" si="56"/>
        <v/>
      </c>
      <c r="M915" s="68" t="str">
        <f t="shared" si="57"/>
        <v/>
      </c>
      <c r="N915" s="59" t="str">
        <f>IF('Prod 1'!E915="","",'Prod 1'!E915)</f>
        <v/>
      </c>
      <c r="O915" s="59" t="str">
        <f t="shared" si="58"/>
        <v/>
      </c>
      <c r="P915" s="59" t="str">
        <f t="shared" si="59"/>
        <v/>
      </c>
    </row>
    <row r="916" spans="3:16" ht="30" customHeight="1" x14ac:dyDescent="0.25">
      <c r="C916" s="42">
        <v>912</v>
      </c>
      <c r="D916" s="67" t="str">
        <f>IF('Prod 1'!D916="","",'Prod 1'!D916)</f>
        <v/>
      </c>
      <c r="E916" s="64"/>
      <c r="F916" s="58"/>
      <c r="G916" s="65"/>
      <c r="H916" s="65"/>
      <c r="I916" s="58"/>
      <c r="J916" s="58"/>
      <c r="K916" s="132" t="str">
        <f t="shared" si="56"/>
        <v/>
      </c>
      <c r="M916" s="68" t="str">
        <f t="shared" si="57"/>
        <v/>
      </c>
      <c r="N916" s="59" t="str">
        <f>IF('Prod 1'!E916="","",'Prod 1'!E916)</f>
        <v/>
      </c>
      <c r="O916" s="59" t="str">
        <f t="shared" si="58"/>
        <v/>
      </c>
      <c r="P916" s="59" t="str">
        <f t="shared" si="59"/>
        <v/>
      </c>
    </row>
    <row r="917" spans="3:16" ht="30" customHeight="1" x14ac:dyDescent="0.25">
      <c r="C917" s="42">
        <v>913</v>
      </c>
      <c r="D917" s="67" t="str">
        <f>IF('Prod 1'!D917="","",'Prod 1'!D917)</f>
        <v/>
      </c>
      <c r="E917" s="64"/>
      <c r="F917" s="58"/>
      <c r="G917" s="65"/>
      <c r="H917" s="65"/>
      <c r="I917" s="58"/>
      <c r="J917" s="58"/>
      <c r="K917" s="132" t="str">
        <f t="shared" si="56"/>
        <v/>
      </c>
      <c r="M917" s="68" t="str">
        <f t="shared" si="57"/>
        <v/>
      </c>
      <c r="N917" s="59" t="str">
        <f>IF('Prod 1'!E917="","",'Prod 1'!E917)</f>
        <v/>
      </c>
      <c r="O917" s="59" t="str">
        <f t="shared" si="58"/>
        <v/>
      </c>
      <c r="P917" s="59" t="str">
        <f t="shared" si="59"/>
        <v/>
      </c>
    </row>
    <row r="918" spans="3:16" ht="30" customHeight="1" x14ac:dyDescent="0.25">
      <c r="C918" s="42">
        <v>914</v>
      </c>
      <c r="D918" s="67" t="str">
        <f>IF('Prod 1'!D918="","",'Prod 1'!D918)</f>
        <v/>
      </c>
      <c r="E918" s="64"/>
      <c r="F918" s="58"/>
      <c r="G918" s="65"/>
      <c r="H918" s="65"/>
      <c r="I918" s="58"/>
      <c r="J918" s="58"/>
      <c r="K918" s="132" t="str">
        <f t="shared" si="56"/>
        <v/>
      </c>
      <c r="M918" s="68" t="str">
        <f t="shared" si="57"/>
        <v/>
      </c>
      <c r="N918" s="59" t="str">
        <f>IF('Prod 1'!E918="","",'Prod 1'!E918)</f>
        <v/>
      </c>
      <c r="O918" s="59" t="str">
        <f t="shared" si="58"/>
        <v/>
      </c>
      <c r="P918" s="59" t="str">
        <f t="shared" si="59"/>
        <v/>
      </c>
    </row>
    <row r="919" spans="3:16" ht="30" customHeight="1" x14ac:dyDescent="0.25">
      <c r="C919" s="42">
        <v>915</v>
      </c>
      <c r="D919" s="67" t="str">
        <f>IF('Prod 1'!D919="","",'Prod 1'!D919)</f>
        <v/>
      </c>
      <c r="E919" s="64"/>
      <c r="F919" s="58"/>
      <c r="G919" s="65"/>
      <c r="H919" s="65"/>
      <c r="I919" s="58"/>
      <c r="J919" s="58"/>
      <c r="K919" s="132" t="str">
        <f t="shared" si="56"/>
        <v/>
      </c>
      <c r="M919" s="68" t="str">
        <f t="shared" si="57"/>
        <v/>
      </c>
      <c r="N919" s="59" t="str">
        <f>IF('Prod 1'!E919="","",'Prod 1'!E919)</f>
        <v/>
      </c>
      <c r="O919" s="59" t="str">
        <f t="shared" si="58"/>
        <v/>
      </c>
      <c r="P919" s="59" t="str">
        <f t="shared" si="59"/>
        <v/>
      </c>
    </row>
    <row r="920" spans="3:16" ht="30" customHeight="1" x14ac:dyDescent="0.25">
      <c r="C920" s="42">
        <v>916</v>
      </c>
      <c r="D920" s="67" t="str">
        <f>IF('Prod 1'!D920="","",'Prod 1'!D920)</f>
        <v/>
      </c>
      <c r="E920" s="64"/>
      <c r="F920" s="58"/>
      <c r="G920" s="65"/>
      <c r="H920" s="65"/>
      <c r="I920" s="58"/>
      <c r="J920" s="58"/>
      <c r="K920" s="132" t="str">
        <f t="shared" si="56"/>
        <v/>
      </c>
      <c r="M920" s="68" t="str">
        <f t="shared" si="57"/>
        <v/>
      </c>
      <c r="N920" s="59" t="str">
        <f>IF('Prod 1'!E920="","",'Prod 1'!E920)</f>
        <v/>
      </c>
      <c r="O920" s="59" t="str">
        <f t="shared" si="58"/>
        <v/>
      </c>
      <c r="P920" s="59" t="str">
        <f t="shared" si="59"/>
        <v/>
      </c>
    </row>
    <row r="921" spans="3:16" ht="30" customHeight="1" x14ac:dyDescent="0.25">
      <c r="C921" s="42">
        <v>917</v>
      </c>
      <c r="D921" s="67" t="str">
        <f>IF('Prod 1'!D921="","",'Prod 1'!D921)</f>
        <v/>
      </c>
      <c r="E921" s="64"/>
      <c r="F921" s="58"/>
      <c r="G921" s="65"/>
      <c r="H921" s="65"/>
      <c r="I921" s="58"/>
      <c r="J921" s="58"/>
      <c r="K921" s="132" t="str">
        <f t="shared" si="56"/>
        <v/>
      </c>
      <c r="M921" s="68" t="str">
        <f t="shared" si="57"/>
        <v/>
      </c>
      <c r="N921" s="59" t="str">
        <f>IF('Prod 1'!E921="","",'Prod 1'!E921)</f>
        <v/>
      </c>
      <c r="O921" s="59" t="str">
        <f t="shared" si="58"/>
        <v/>
      </c>
      <c r="P921" s="59" t="str">
        <f t="shared" si="59"/>
        <v/>
      </c>
    </row>
    <row r="922" spans="3:16" ht="30" customHeight="1" x14ac:dyDescent="0.25">
      <c r="C922" s="42">
        <v>918</v>
      </c>
      <c r="D922" s="67" t="str">
        <f>IF('Prod 1'!D922="","",'Prod 1'!D922)</f>
        <v/>
      </c>
      <c r="E922" s="64"/>
      <c r="F922" s="58"/>
      <c r="G922" s="65"/>
      <c r="H922" s="65"/>
      <c r="I922" s="58"/>
      <c r="J922" s="58"/>
      <c r="K922" s="132" t="str">
        <f t="shared" si="56"/>
        <v/>
      </c>
      <c r="M922" s="68" t="str">
        <f t="shared" si="57"/>
        <v/>
      </c>
      <c r="N922" s="59" t="str">
        <f>IF('Prod 1'!E922="","",'Prod 1'!E922)</f>
        <v/>
      </c>
      <c r="O922" s="59" t="str">
        <f t="shared" si="58"/>
        <v/>
      </c>
      <c r="P922" s="59" t="str">
        <f t="shared" si="59"/>
        <v/>
      </c>
    </row>
    <row r="923" spans="3:16" ht="30" customHeight="1" x14ac:dyDescent="0.25">
      <c r="C923" s="42">
        <v>919</v>
      </c>
      <c r="D923" s="67" t="str">
        <f>IF('Prod 1'!D923="","",'Prod 1'!D923)</f>
        <v/>
      </c>
      <c r="E923" s="64"/>
      <c r="F923" s="58"/>
      <c r="G923" s="65"/>
      <c r="H923" s="65"/>
      <c r="I923" s="58"/>
      <c r="J923" s="58"/>
      <c r="K923" s="132" t="str">
        <f t="shared" si="56"/>
        <v/>
      </c>
      <c r="M923" s="68" t="str">
        <f t="shared" si="57"/>
        <v/>
      </c>
      <c r="N923" s="59" t="str">
        <f>IF('Prod 1'!E923="","",'Prod 1'!E923)</f>
        <v/>
      </c>
      <c r="O923" s="59" t="str">
        <f t="shared" si="58"/>
        <v/>
      </c>
      <c r="P923" s="59" t="str">
        <f t="shared" si="59"/>
        <v/>
      </c>
    </row>
    <row r="924" spans="3:16" ht="30" customHeight="1" x14ac:dyDescent="0.25">
      <c r="C924" s="42">
        <v>920</v>
      </c>
      <c r="D924" s="67" t="str">
        <f>IF('Prod 1'!D924="","",'Prod 1'!D924)</f>
        <v/>
      </c>
      <c r="E924" s="64"/>
      <c r="F924" s="58"/>
      <c r="G924" s="65"/>
      <c r="H924" s="65"/>
      <c r="I924" s="58"/>
      <c r="J924" s="58"/>
      <c r="K924" s="132" t="str">
        <f t="shared" si="56"/>
        <v/>
      </c>
      <c r="M924" s="68" t="str">
        <f t="shared" si="57"/>
        <v/>
      </c>
      <c r="N924" s="59" t="str">
        <f>IF('Prod 1'!E924="","",'Prod 1'!E924)</f>
        <v/>
      </c>
      <c r="O924" s="59" t="str">
        <f t="shared" si="58"/>
        <v/>
      </c>
      <c r="P924" s="59" t="str">
        <f t="shared" si="59"/>
        <v/>
      </c>
    </row>
    <row r="925" spans="3:16" ht="30" customHeight="1" x14ac:dyDescent="0.25">
      <c r="C925" s="42">
        <v>921</v>
      </c>
      <c r="D925" s="67" t="str">
        <f>IF('Prod 1'!D925="","",'Prod 1'!D925)</f>
        <v/>
      </c>
      <c r="E925" s="64"/>
      <c r="F925" s="58"/>
      <c r="G925" s="65"/>
      <c r="H925" s="65"/>
      <c r="I925" s="58"/>
      <c r="J925" s="58"/>
      <c r="K925" s="132" t="str">
        <f t="shared" si="56"/>
        <v/>
      </c>
      <c r="M925" s="68" t="str">
        <f t="shared" si="57"/>
        <v/>
      </c>
      <c r="N925" s="59" t="str">
        <f>IF('Prod 1'!E925="","",'Prod 1'!E925)</f>
        <v/>
      </c>
      <c r="O925" s="59" t="str">
        <f t="shared" si="58"/>
        <v/>
      </c>
      <c r="P925" s="59" t="str">
        <f t="shared" si="59"/>
        <v/>
      </c>
    </row>
    <row r="926" spans="3:16" ht="30" customHeight="1" x14ac:dyDescent="0.25">
      <c r="C926" s="42">
        <v>922</v>
      </c>
      <c r="D926" s="67" t="str">
        <f>IF('Prod 1'!D926="","",'Prod 1'!D926)</f>
        <v/>
      </c>
      <c r="E926" s="64"/>
      <c r="F926" s="58"/>
      <c r="G926" s="65"/>
      <c r="H926" s="65"/>
      <c r="I926" s="58"/>
      <c r="J926" s="58"/>
      <c r="K926" s="132" t="str">
        <f t="shared" si="56"/>
        <v/>
      </c>
      <c r="M926" s="68" t="str">
        <f t="shared" si="57"/>
        <v/>
      </c>
      <c r="N926" s="59" t="str">
        <f>IF('Prod 1'!E926="","",'Prod 1'!E926)</f>
        <v/>
      </c>
      <c r="O926" s="59" t="str">
        <f t="shared" si="58"/>
        <v/>
      </c>
      <c r="P926" s="59" t="str">
        <f t="shared" si="59"/>
        <v/>
      </c>
    </row>
    <row r="927" spans="3:16" ht="30" customHeight="1" x14ac:dyDescent="0.25">
      <c r="C927" s="42">
        <v>923</v>
      </c>
      <c r="D927" s="67" t="str">
        <f>IF('Prod 1'!D927="","",'Prod 1'!D927)</f>
        <v/>
      </c>
      <c r="E927" s="64"/>
      <c r="F927" s="58"/>
      <c r="G927" s="65"/>
      <c r="H927" s="65"/>
      <c r="I927" s="58"/>
      <c r="J927" s="58"/>
      <c r="K927" s="132" t="str">
        <f t="shared" si="56"/>
        <v/>
      </c>
      <c r="M927" s="68" t="str">
        <f t="shared" si="57"/>
        <v/>
      </c>
      <c r="N927" s="59" t="str">
        <f>IF('Prod 1'!E927="","",'Prod 1'!E927)</f>
        <v/>
      </c>
      <c r="O927" s="59" t="str">
        <f t="shared" si="58"/>
        <v/>
      </c>
      <c r="P927" s="59" t="str">
        <f t="shared" si="59"/>
        <v/>
      </c>
    </row>
    <row r="928" spans="3:16" ht="30" customHeight="1" x14ac:dyDescent="0.25">
      <c r="C928" s="42">
        <v>924</v>
      </c>
      <c r="D928" s="67" t="str">
        <f>IF('Prod 1'!D928="","",'Prod 1'!D928)</f>
        <v/>
      </c>
      <c r="E928" s="64"/>
      <c r="F928" s="58"/>
      <c r="G928" s="65"/>
      <c r="H928" s="65"/>
      <c r="I928" s="58"/>
      <c r="J928" s="58"/>
      <c r="K928" s="132" t="str">
        <f t="shared" si="56"/>
        <v/>
      </c>
      <c r="M928" s="68" t="str">
        <f t="shared" si="57"/>
        <v/>
      </c>
      <c r="N928" s="59" t="str">
        <f>IF('Prod 1'!E928="","",'Prod 1'!E928)</f>
        <v/>
      </c>
      <c r="O928" s="59" t="str">
        <f t="shared" si="58"/>
        <v/>
      </c>
      <c r="P928" s="59" t="str">
        <f t="shared" si="59"/>
        <v/>
      </c>
    </row>
    <row r="929" spans="3:16" ht="30" customHeight="1" x14ac:dyDescent="0.25">
      <c r="C929" s="42">
        <v>925</v>
      </c>
      <c r="D929" s="67" t="str">
        <f>IF('Prod 1'!D929="","",'Prod 1'!D929)</f>
        <v/>
      </c>
      <c r="E929" s="64"/>
      <c r="F929" s="58"/>
      <c r="G929" s="65"/>
      <c r="H929" s="65"/>
      <c r="I929" s="58"/>
      <c r="J929" s="58"/>
      <c r="K929" s="132" t="str">
        <f t="shared" si="56"/>
        <v/>
      </c>
      <c r="M929" s="68" t="str">
        <f t="shared" si="57"/>
        <v/>
      </c>
      <c r="N929" s="59" t="str">
        <f>IF('Prod 1'!E929="","",'Prod 1'!E929)</f>
        <v/>
      </c>
      <c r="O929" s="59" t="str">
        <f t="shared" si="58"/>
        <v/>
      </c>
      <c r="P929" s="59" t="str">
        <f t="shared" si="59"/>
        <v/>
      </c>
    </row>
    <row r="930" spans="3:16" ht="30" customHeight="1" x14ac:dyDescent="0.25">
      <c r="C930" s="42">
        <v>926</v>
      </c>
      <c r="D930" s="67" t="str">
        <f>IF('Prod 1'!D930="","",'Prod 1'!D930)</f>
        <v/>
      </c>
      <c r="E930" s="64"/>
      <c r="F930" s="58"/>
      <c r="G930" s="65"/>
      <c r="H930" s="65"/>
      <c r="I930" s="58"/>
      <c r="J930" s="58"/>
      <c r="K930" s="132" t="str">
        <f t="shared" si="56"/>
        <v/>
      </c>
      <c r="M930" s="68" t="str">
        <f t="shared" si="57"/>
        <v/>
      </c>
      <c r="N930" s="59" t="str">
        <f>IF('Prod 1'!E930="","",'Prod 1'!E930)</f>
        <v/>
      </c>
      <c r="O930" s="59" t="str">
        <f t="shared" si="58"/>
        <v/>
      </c>
      <c r="P930" s="59" t="str">
        <f t="shared" si="59"/>
        <v/>
      </c>
    </row>
    <row r="931" spans="3:16" ht="30" customHeight="1" x14ac:dyDescent="0.25">
      <c r="C931" s="42">
        <v>927</v>
      </c>
      <c r="D931" s="67" t="str">
        <f>IF('Prod 1'!D931="","",'Prod 1'!D931)</f>
        <v/>
      </c>
      <c r="E931" s="64"/>
      <c r="F931" s="58"/>
      <c r="G931" s="65"/>
      <c r="H931" s="65"/>
      <c r="I931" s="58"/>
      <c r="J931" s="58"/>
      <c r="K931" s="132" t="str">
        <f t="shared" si="56"/>
        <v/>
      </c>
      <c r="M931" s="68" t="str">
        <f t="shared" si="57"/>
        <v/>
      </c>
      <c r="N931" s="59" t="str">
        <f>IF('Prod 1'!E931="","",'Prod 1'!E931)</f>
        <v/>
      </c>
      <c r="O931" s="59" t="str">
        <f t="shared" si="58"/>
        <v/>
      </c>
      <c r="P931" s="59" t="str">
        <f t="shared" si="59"/>
        <v/>
      </c>
    </row>
    <row r="932" spans="3:16" ht="30" customHeight="1" x14ac:dyDescent="0.25">
      <c r="C932" s="42">
        <v>928</v>
      </c>
      <c r="D932" s="67" t="str">
        <f>IF('Prod 1'!D932="","",'Prod 1'!D932)</f>
        <v/>
      </c>
      <c r="E932" s="64"/>
      <c r="F932" s="58"/>
      <c r="G932" s="65"/>
      <c r="H932" s="65"/>
      <c r="I932" s="58"/>
      <c r="J932" s="58"/>
      <c r="K932" s="132" t="str">
        <f t="shared" si="56"/>
        <v/>
      </c>
      <c r="M932" s="68" t="str">
        <f t="shared" si="57"/>
        <v/>
      </c>
      <c r="N932" s="59" t="str">
        <f>IF('Prod 1'!E932="","",'Prod 1'!E932)</f>
        <v/>
      </c>
      <c r="O932" s="59" t="str">
        <f t="shared" si="58"/>
        <v/>
      </c>
      <c r="P932" s="59" t="str">
        <f t="shared" si="59"/>
        <v/>
      </c>
    </row>
    <row r="933" spans="3:16" ht="30" customHeight="1" x14ac:dyDescent="0.25">
      <c r="C933" s="42">
        <v>929</v>
      </c>
      <c r="D933" s="67" t="str">
        <f>IF('Prod 1'!D933="","",'Prod 1'!D933)</f>
        <v/>
      </c>
      <c r="E933" s="64"/>
      <c r="F933" s="58"/>
      <c r="G933" s="65"/>
      <c r="H933" s="65"/>
      <c r="I933" s="58"/>
      <c r="J933" s="58"/>
      <c r="K933" s="132" t="str">
        <f t="shared" si="56"/>
        <v/>
      </c>
      <c r="M933" s="68" t="str">
        <f t="shared" si="57"/>
        <v/>
      </c>
      <c r="N933" s="59" t="str">
        <f>IF('Prod 1'!E933="","",'Prod 1'!E933)</f>
        <v/>
      </c>
      <c r="O933" s="59" t="str">
        <f t="shared" si="58"/>
        <v/>
      </c>
      <c r="P933" s="59" t="str">
        <f t="shared" si="59"/>
        <v/>
      </c>
    </row>
    <row r="934" spans="3:16" ht="30" customHeight="1" x14ac:dyDescent="0.25">
      <c r="C934" s="42">
        <v>930</v>
      </c>
      <c r="D934" s="67" t="str">
        <f>IF('Prod 1'!D934="","",'Prod 1'!D934)</f>
        <v/>
      </c>
      <c r="E934" s="64"/>
      <c r="F934" s="58"/>
      <c r="G934" s="65"/>
      <c r="H934" s="65"/>
      <c r="I934" s="58"/>
      <c r="J934" s="58"/>
      <c r="K934" s="132" t="str">
        <f t="shared" si="56"/>
        <v/>
      </c>
      <c r="M934" s="68" t="str">
        <f t="shared" si="57"/>
        <v/>
      </c>
      <c r="N934" s="59" t="str">
        <f>IF('Prod 1'!E934="","",'Prod 1'!E934)</f>
        <v/>
      </c>
      <c r="O934" s="59" t="str">
        <f t="shared" si="58"/>
        <v/>
      </c>
      <c r="P934" s="59" t="str">
        <f t="shared" si="59"/>
        <v/>
      </c>
    </row>
    <row r="935" spans="3:16" ht="30" customHeight="1" x14ac:dyDescent="0.25">
      <c r="C935" s="42">
        <v>931</v>
      </c>
      <c r="D935" s="67" t="str">
        <f>IF('Prod 1'!D935="","",'Prod 1'!D935)</f>
        <v/>
      </c>
      <c r="E935" s="64"/>
      <c r="F935" s="58"/>
      <c r="G935" s="65"/>
      <c r="H935" s="65"/>
      <c r="I935" s="58"/>
      <c r="J935" s="58"/>
      <c r="K935" s="132" t="str">
        <f t="shared" si="56"/>
        <v/>
      </c>
      <c r="M935" s="68" t="str">
        <f t="shared" si="57"/>
        <v/>
      </c>
      <c r="N935" s="59" t="str">
        <f>IF('Prod 1'!E935="","",'Prod 1'!E935)</f>
        <v/>
      </c>
      <c r="O935" s="59" t="str">
        <f t="shared" si="58"/>
        <v/>
      </c>
      <c r="P935" s="59" t="str">
        <f t="shared" si="59"/>
        <v/>
      </c>
    </row>
    <row r="936" spans="3:16" ht="30" customHeight="1" x14ac:dyDescent="0.25">
      <c r="C936" s="42">
        <v>932</v>
      </c>
      <c r="D936" s="67" t="str">
        <f>IF('Prod 1'!D936="","",'Prod 1'!D936)</f>
        <v/>
      </c>
      <c r="E936" s="64"/>
      <c r="F936" s="58"/>
      <c r="G936" s="65"/>
      <c r="H936" s="65"/>
      <c r="I936" s="58"/>
      <c r="J936" s="58"/>
      <c r="K936" s="132" t="str">
        <f t="shared" si="56"/>
        <v/>
      </c>
      <c r="M936" s="68" t="str">
        <f t="shared" si="57"/>
        <v/>
      </c>
      <c r="N936" s="59" t="str">
        <f>IF('Prod 1'!E936="","",'Prod 1'!E936)</f>
        <v/>
      </c>
      <c r="O936" s="59" t="str">
        <f t="shared" si="58"/>
        <v/>
      </c>
      <c r="P936" s="59" t="str">
        <f t="shared" si="59"/>
        <v/>
      </c>
    </row>
    <row r="937" spans="3:16" ht="30" customHeight="1" x14ac:dyDescent="0.25">
      <c r="C937" s="42">
        <v>933</v>
      </c>
      <c r="D937" s="67" t="str">
        <f>IF('Prod 1'!D937="","",'Prod 1'!D937)</f>
        <v/>
      </c>
      <c r="E937" s="64"/>
      <c r="F937" s="58"/>
      <c r="G937" s="65"/>
      <c r="H937" s="65"/>
      <c r="I937" s="58"/>
      <c r="J937" s="58"/>
      <c r="K937" s="132" t="str">
        <f t="shared" si="56"/>
        <v/>
      </c>
      <c r="M937" s="68" t="str">
        <f t="shared" si="57"/>
        <v/>
      </c>
      <c r="N937" s="59" t="str">
        <f>IF('Prod 1'!E937="","",'Prod 1'!E937)</f>
        <v/>
      </c>
      <c r="O937" s="59" t="str">
        <f t="shared" si="58"/>
        <v/>
      </c>
      <c r="P937" s="59" t="str">
        <f t="shared" si="59"/>
        <v/>
      </c>
    </row>
    <row r="938" spans="3:16" ht="30" customHeight="1" x14ac:dyDescent="0.25">
      <c r="C938" s="42">
        <v>934</v>
      </c>
      <c r="D938" s="67" t="str">
        <f>IF('Prod 1'!D938="","",'Prod 1'!D938)</f>
        <v/>
      </c>
      <c r="E938" s="64"/>
      <c r="F938" s="58"/>
      <c r="G938" s="65"/>
      <c r="H938" s="65"/>
      <c r="I938" s="58"/>
      <c r="J938" s="58"/>
      <c r="K938" s="132" t="str">
        <f t="shared" si="56"/>
        <v/>
      </c>
      <c r="M938" s="68" t="str">
        <f t="shared" si="57"/>
        <v/>
      </c>
      <c r="N938" s="59" t="str">
        <f>IF('Prod 1'!E938="","",'Prod 1'!E938)</f>
        <v/>
      </c>
      <c r="O938" s="59" t="str">
        <f t="shared" si="58"/>
        <v/>
      </c>
      <c r="P938" s="59" t="str">
        <f t="shared" si="59"/>
        <v/>
      </c>
    </row>
    <row r="939" spans="3:16" ht="30" customHeight="1" x14ac:dyDescent="0.25">
      <c r="C939" s="42">
        <v>935</v>
      </c>
      <c r="D939" s="67" t="str">
        <f>IF('Prod 1'!D939="","",'Prod 1'!D939)</f>
        <v/>
      </c>
      <c r="E939" s="64"/>
      <c r="F939" s="58"/>
      <c r="G939" s="65"/>
      <c r="H939" s="65"/>
      <c r="I939" s="58"/>
      <c r="J939" s="58"/>
      <c r="K939" s="132" t="str">
        <f t="shared" si="56"/>
        <v/>
      </c>
      <c r="M939" s="68" t="str">
        <f t="shared" si="57"/>
        <v/>
      </c>
      <c r="N939" s="59" t="str">
        <f>IF('Prod 1'!E939="","",'Prod 1'!E939)</f>
        <v/>
      </c>
      <c r="O939" s="59" t="str">
        <f t="shared" si="58"/>
        <v/>
      </c>
      <c r="P939" s="59" t="str">
        <f t="shared" si="59"/>
        <v/>
      </c>
    </row>
    <row r="940" spans="3:16" ht="30" customHeight="1" x14ac:dyDescent="0.25">
      <c r="C940" s="42">
        <v>936</v>
      </c>
      <c r="D940" s="67" t="str">
        <f>IF('Prod 1'!D940="","",'Prod 1'!D940)</f>
        <v/>
      </c>
      <c r="E940" s="64"/>
      <c r="F940" s="58"/>
      <c r="G940" s="65"/>
      <c r="H940" s="65"/>
      <c r="I940" s="58"/>
      <c r="J940" s="58"/>
      <c r="K940" s="132" t="str">
        <f t="shared" si="56"/>
        <v/>
      </c>
      <c r="M940" s="68" t="str">
        <f t="shared" si="57"/>
        <v/>
      </c>
      <c r="N940" s="59" t="str">
        <f>IF('Prod 1'!E940="","",'Prod 1'!E940)</f>
        <v/>
      </c>
      <c r="O940" s="59" t="str">
        <f t="shared" si="58"/>
        <v/>
      </c>
      <c r="P940" s="59" t="str">
        <f t="shared" si="59"/>
        <v/>
      </c>
    </row>
    <row r="941" spans="3:16" ht="30" customHeight="1" x14ac:dyDescent="0.25">
      <c r="C941" s="42">
        <v>937</v>
      </c>
      <c r="D941" s="67" t="str">
        <f>IF('Prod 1'!D941="","",'Prod 1'!D941)</f>
        <v/>
      </c>
      <c r="E941" s="64"/>
      <c r="F941" s="58"/>
      <c r="G941" s="65"/>
      <c r="H941" s="65"/>
      <c r="I941" s="58"/>
      <c r="J941" s="58"/>
      <c r="K941" s="132" t="str">
        <f t="shared" si="56"/>
        <v/>
      </c>
      <c r="M941" s="68" t="str">
        <f t="shared" si="57"/>
        <v/>
      </c>
      <c r="N941" s="59" t="str">
        <f>IF('Prod 1'!E941="","",'Prod 1'!E941)</f>
        <v/>
      </c>
      <c r="O941" s="59" t="str">
        <f t="shared" si="58"/>
        <v/>
      </c>
      <c r="P941" s="59" t="str">
        <f t="shared" si="59"/>
        <v/>
      </c>
    </row>
    <row r="942" spans="3:16" ht="30" customHeight="1" x14ac:dyDescent="0.25">
      <c r="C942" s="42">
        <v>938</v>
      </c>
      <c r="D942" s="67" t="str">
        <f>IF('Prod 1'!D942="","",'Prod 1'!D942)</f>
        <v/>
      </c>
      <c r="E942" s="64"/>
      <c r="F942" s="58"/>
      <c r="G942" s="65"/>
      <c r="H942" s="65"/>
      <c r="I942" s="58"/>
      <c r="J942" s="58"/>
      <c r="K942" s="132" t="str">
        <f t="shared" si="56"/>
        <v/>
      </c>
      <c r="M942" s="68" t="str">
        <f t="shared" si="57"/>
        <v/>
      </c>
      <c r="N942" s="59" t="str">
        <f>IF('Prod 1'!E942="","",'Prod 1'!E942)</f>
        <v/>
      </c>
      <c r="O942" s="59" t="str">
        <f t="shared" si="58"/>
        <v/>
      </c>
      <c r="P942" s="59" t="str">
        <f t="shared" si="59"/>
        <v/>
      </c>
    </row>
    <row r="943" spans="3:16" ht="30" customHeight="1" x14ac:dyDescent="0.25">
      <c r="C943" s="42">
        <v>939</v>
      </c>
      <c r="D943" s="67" t="str">
        <f>IF('Prod 1'!D943="","",'Prod 1'!D943)</f>
        <v/>
      </c>
      <c r="E943" s="64"/>
      <c r="F943" s="58"/>
      <c r="G943" s="65"/>
      <c r="H943" s="65"/>
      <c r="I943" s="58"/>
      <c r="J943" s="58"/>
      <c r="K943" s="132" t="str">
        <f t="shared" si="56"/>
        <v/>
      </c>
      <c r="M943" s="68" t="str">
        <f t="shared" si="57"/>
        <v/>
      </c>
      <c r="N943" s="59" t="str">
        <f>IF('Prod 1'!E943="","",'Prod 1'!E943)</f>
        <v/>
      </c>
      <c r="O943" s="59" t="str">
        <f t="shared" si="58"/>
        <v/>
      </c>
      <c r="P943" s="59" t="str">
        <f t="shared" si="59"/>
        <v/>
      </c>
    </row>
    <row r="944" spans="3:16" ht="30" customHeight="1" x14ac:dyDescent="0.25">
      <c r="C944" s="42">
        <v>940</v>
      </c>
      <c r="D944" s="67" t="str">
        <f>IF('Prod 1'!D944="","",'Prod 1'!D944)</f>
        <v/>
      </c>
      <c r="E944" s="64"/>
      <c r="F944" s="58"/>
      <c r="G944" s="65"/>
      <c r="H944" s="65"/>
      <c r="I944" s="58"/>
      <c r="J944" s="58"/>
      <c r="K944" s="132" t="str">
        <f t="shared" si="56"/>
        <v/>
      </c>
      <c r="M944" s="68" t="str">
        <f t="shared" si="57"/>
        <v/>
      </c>
      <c r="N944" s="59" t="str">
        <f>IF('Prod 1'!E944="","",'Prod 1'!E944)</f>
        <v/>
      </c>
      <c r="O944" s="59" t="str">
        <f t="shared" si="58"/>
        <v/>
      </c>
      <c r="P944" s="59" t="str">
        <f t="shared" si="59"/>
        <v/>
      </c>
    </row>
    <row r="945" spans="3:16" ht="30" customHeight="1" x14ac:dyDescent="0.25">
      <c r="C945" s="42">
        <v>941</v>
      </c>
      <c r="D945" s="67" t="str">
        <f>IF('Prod 1'!D945="","",'Prod 1'!D945)</f>
        <v/>
      </c>
      <c r="E945" s="64"/>
      <c r="F945" s="58"/>
      <c r="G945" s="65"/>
      <c r="H945" s="65"/>
      <c r="I945" s="58"/>
      <c r="J945" s="58"/>
      <c r="K945" s="132" t="str">
        <f t="shared" si="56"/>
        <v/>
      </c>
      <c r="M945" s="68" t="str">
        <f t="shared" si="57"/>
        <v/>
      </c>
      <c r="N945" s="59" t="str">
        <f>IF('Prod 1'!E945="","",'Prod 1'!E945)</f>
        <v/>
      </c>
      <c r="O945" s="59" t="str">
        <f t="shared" si="58"/>
        <v/>
      </c>
      <c r="P945" s="59" t="str">
        <f t="shared" si="59"/>
        <v/>
      </c>
    </row>
    <row r="946" spans="3:16" ht="30" customHeight="1" x14ac:dyDescent="0.25">
      <c r="C946" s="42">
        <v>942</v>
      </c>
      <c r="D946" s="67" t="str">
        <f>IF('Prod 1'!D946="","",'Prod 1'!D946)</f>
        <v/>
      </c>
      <c r="E946" s="64"/>
      <c r="F946" s="58"/>
      <c r="G946" s="65"/>
      <c r="H946" s="65"/>
      <c r="I946" s="58"/>
      <c r="J946" s="58"/>
      <c r="K946" s="132" t="str">
        <f t="shared" si="56"/>
        <v/>
      </c>
      <c r="M946" s="68" t="str">
        <f t="shared" si="57"/>
        <v/>
      </c>
      <c r="N946" s="59" t="str">
        <f>IF('Prod 1'!E946="","",'Prod 1'!E946)</f>
        <v/>
      </c>
      <c r="O946" s="59" t="str">
        <f t="shared" si="58"/>
        <v/>
      </c>
      <c r="P946" s="59" t="str">
        <f t="shared" si="59"/>
        <v/>
      </c>
    </row>
    <row r="947" spans="3:16" ht="30" customHeight="1" x14ac:dyDescent="0.25">
      <c r="C947" s="42">
        <v>943</v>
      </c>
      <c r="D947" s="67" t="str">
        <f>IF('Prod 1'!D947="","",'Prod 1'!D947)</f>
        <v/>
      </c>
      <c r="E947" s="64"/>
      <c r="F947" s="58"/>
      <c r="G947" s="65"/>
      <c r="H947" s="65"/>
      <c r="I947" s="58"/>
      <c r="J947" s="58"/>
      <c r="K947" s="132" t="str">
        <f t="shared" si="56"/>
        <v/>
      </c>
      <c r="M947" s="68" t="str">
        <f t="shared" si="57"/>
        <v/>
      </c>
      <c r="N947" s="59" t="str">
        <f>IF('Prod 1'!E947="","",'Prod 1'!E947)</f>
        <v/>
      </c>
      <c r="O947" s="59" t="str">
        <f t="shared" si="58"/>
        <v/>
      </c>
      <c r="P947" s="59" t="str">
        <f t="shared" si="59"/>
        <v/>
      </c>
    </row>
    <row r="948" spans="3:16" ht="30" customHeight="1" x14ac:dyDescent="0.25">
      <c r="C948" s="42">
        <v>944</v>
      </c>
      <c r="D948" s="67" t="str">
        <f>IF('Prod 1'!D948="","",'Prod 1'!D948)</f>
        <v/>
      </c>
      <c r="E948" s="64"/>
      <c r="F948" s="58"/>
      <c r="G948" s="65"/>
      <c r="H948" s="65"/>
      <c r="I948" s="58"/>
      <c r="J948" s="58"/>
      <c r="K948" s="132" t="str">
        <f t="shared" si="56"/>
        <v/>
      </c>
      <c r="M948" s="68" t="str">
        <f t="shared" si="57"/>
        <v/>
      </c>
      <c r="N948" s="59" t="str">
        <f>IF('Prod 1'!E948="","",'Prod 1'!E948)</f>
        <v/>
      </c>
      <c r="O948" s="59" t="str">
        <f t="shared" si="58"/>
        <v/>
      </c>
      <c r="P948" s="59" t="str">
        <f t="shared" si="59"/>
        <v/>
      </c>
    </row>
    <row r="949" spans="3:16" ht="30" customHeight="1" x14ac:dyDescent="0.25">
      <c r="C949" s="42">
        <v>945</v>
      </c>
      <c r="D949" s="67" t="str">
        <f>IF('Prod 1'!D949="","",'Prod 1'!D949)</f>
        <v/>
      </c>
      <c r="E949" s="64"/>
      <c r="F949" s="58"/>
      <c r="G949" s="65"/>
      <c r="H949" s="65"/>
      <c r="I949" s="58"/>
      <c r="J949" s="58"/>
      <c r="K949" s="132" t="str">
        <f t="shared" si="56"/>
        <v/>
      </c>
      <c r="M949" s="68" t="str">
        <f t="shared" si="57"/>
        <v/>
      </c>
      <c r="N949" s="59" t="str">
        <f>IF('Prod 1'!E949="","",'Prod 1'!E949)</f>
        <v/>
      </c>
      <c r="O949" s="59" t="str">
        <f t="shared" si="58"/>
        <v/>
      </c>
      <c r="P949" s="59" t="str">
        <f t="shared" si="59"/>
        <v/>
      </c>
    </row>
    <row r="950" spans="3:16" ht="30" customHeight="1" x14ac:dyDescent="0.25">
      <c r="C950" s="42">
        <v>946</v>
      </c>
      <c r="D950" s="67" t="str">
        <f>IF('Prod 1'!D950="","",'Prod 1'!D950)</f>
        <v/>
      </c>
      <c r="E950" s="64"/>
      <c r="F950" s="58"/>
      <c r="G950" s="65"/>
      <c r="H950" s="65"/>
      <c r="I950" s="58"/>
      <c r="J950" s="58"/>
      <c r="K950" s="132" t="str">
        <f t="shared" si="56"/>
        <v/>
      </c>
      <c r="M950" s="68" t="str">
        <f t="shared" si="57"/>
        <v/>
      </c>
      <c r="N950" s="59" t="str">
        <f>IF('Prod 1'!E950="","",'Prod 1'!E950)</f>
        <v/>
      </c>
      <c r="O950" s="59" t="str">
        <f t="shared" si="58"/>
        <v/>
      </c>
      <c r="P950" s="59" t="str">
        <f t="shared" si="59"/>
        <v/>
      </c>
    </row>
    <row r="951" spans="3:16" ht="30" customHeight="1" x14ac:dyDescent="0.25">
      <c r="C951" s="42">
        <v>947</v>
      </c>
      <c r="D951" s="67" t="str">
        <f>IF('Prod 1'!D951="","",'Prod 1'!D951)</f>
        <v/>
      </c>
      <c r="E951" s="64"/>
      <c r="F951" s="58"/>
      <c r="G951" s="65"/>
      <c r="H951" s="65"/>
      <c r="I951" s="58"/>
      <c r="J951" s="58"/>
      <c r="K951" s="132" t="str">
        <f t="shared" si="56"/>
        <v/>
      </c>
      <c r="M951" s="68" t="str">
        <f t="shared" si="57"/>
        <v/>
      </c>
      <c r="N951" s="59" t="str">
        <f>IF('Prod 1'!E951="","",'Prod 1'!E951)</f>
        <v/>
      </c>
      <c r="O951" s="59" t="str">
        <f t="shared" si="58"/>
        <v/>
      </c>
      <c r="P951" s="59" t="str">
        <f t="shared" si="59"/>
        <v/>
      </c>
    </row>
    <row r="952" spans="3:16" ht="30" customHeight="1" x14ac:dyDescent="0.25">
      <c r="C952" s="42">
        <v>948</v>
      </c>
      <c r="D952" s="67" t="str">
        <f>IF('Prod 1'!D952="","",'Prod 1'!D952)</f>
        <v/>
      </c>
      <c r="E952" s="64"/>
      <c r="F952" s="58"/>
      <c r="G952" s="65"/>
      <c r="H952" s="65"/>
      <c r="I952" s="58"/>
      <c r="J952" s="58"/>
      <c r="K952" s="132" t="str">
        <f t="shared" si="56"/>
        <v/>
      </c>
      <c r="M952" s="68" t="str">
        <f t="shared" si="57"/>
        <v/>
      </c>
      <c r="N952" s="59" t="str">
        <f>IF('Prod 1'!E952="","",'Prod 1'!E952)</f>
        <v/>
      </c>
      <c r="O952" s="59" t="str">
        <f t="shared" si="58"/>
        <v/>
      </c>
      <c r="P952" s="59" t="str">
        <f t="shared" si="59"/>
        <v/>
      </c>
    </row>
    <row r="953" spans="3:16" ht="30" customHeight="1" x14ac:dyDescent="0.25">
      <c r="C953" s="42">
        <v>949</v>
      </c>
      <c r="D953" s="67" t="str">
        <f>IF('Prod 1'!D953="","",'Prod 1'!D953)</f>
        <v/>
      </c>
      <c r="E953" s="64"/>
      <c r="F953" s="58"/>
      <c r="G953" s="65"/>
      <c r="H953" s="65"/>
      <c r="I953" s="58"/>
      <c r="J953" s="58"/>
      <c r="K953" s="132" t="str">
        <f t="shared" si="56"/>
        <v/>
      </c>
      <c r="M953" s="68" t="str">
        <f t="shared" si="57"/>
        <v/>
      </c>
      <c r="N953" s="59" t="str">
        <f>IF('Prod 1'!E953="","",'Prod 1'!E953)</f>
        <v/>
      </c>
      <c r="O953" s="59" t="str">
        <f t="shared" si="58"/>
        <v/>
      </c>
      <c r="P953" s="59" t="str">
        <f t="shared" si="59"/>
        <v/>
      </c>
    </row>
    <row r="954" spans="3:16" ht="30" customHeight="1" x14ac:dyDescent="0.25">
      <c r="C954" s="42">
        <v>950</v>
      </c>
      <c r="D954" s="67" t="str">
        <f>IF('Prod 1'!D954="","",'Prod 1'!D954)</f>
        <v/>
      </c>
      <c r="E954" s="64"/>
      <c r="F954" s="58"/>
      <c r="G954" s="65"/>
      <c r="H954" s="65"/>
      <c r="I954" s="58"/>
      <c r="J954" s="58"/>
      <c r="K954" s="132" t="str">
        <f t="shared" si="56"/>
        <v/>
      </c>
      <c r="M954" s="68" t="str">
        <f t="shared" si="57"/>
        <v/>
      </c>
      <c r="N954" s="59" t="str">
        <f>IF('Prod 1'!E954="","",'Prod 1'!E954)</f>
        <v/>
      </c>
      <c r="O954" s="59" t="str">
        <f t="shared" si="58"/>
        <v/>
      </c>
      <c r="P954" s="59" t="str">
        <f t="shared" si="59"/>
        <v/>
      </c>
    </row>
    <row r="955" spans="3:16" ht="30" customHeight="1" x14ac:dyDescent="0.25">
      <c r="C955" s="42">
        <v>951</v>
      </c>
      <c r="D955" s="67" t="str">
        <f>IF('Prod 1'!D955="","",'Prod 1'!D955)</f>
        <v/>
      </c>
      <c r="E955" s="64"/>
      <c r="F955" s="58"/>
      <c r="G955" s="65"/>
      <c r="H955" s="65"/>
      <c r="I955" s="58"/>
      <c r="J955" s="58"/>
      <c r="K955" s="132" t="str">
        <f t="shared" si="56"/>
        <v/>
      </c>
      <c r="M955" s="68" t="str">
        <f t="shared" si="57"/>
        <v/>
      </c>
      <c r="N955" s="59" t="str">
        <f>IF('Prod 1'!E955="","",'Prod 1'!E955)</f>
        <v/>
      </c>
      <c r="O955" s="59" t="str">
        <f t="shared" si="58"/>
        <v/>
      </c>
      <c r="P955" s="59" t="str">
        <f t="shared" si="59"/>
        <v/>
      </c>
    </row>
    <row r="956" spans="3:16" ht="30" customHeight="1" x14ac:dyDescent="0.25">
      <c r="C956" s="42">
        <v>952</v>
      </c>
      <c r="D956" s="67" t="str">
        <f>IF('Prod 1'!D956="","",'Prod 1'!D956)</f>
        <v/>
      </c>
      <c r="E956" s="64"/>
      <c r="F956" s="58"/>
      <c r="G956" s="65"/>
      <c r="H956" s="65"/>
      <c r="I956" s="58"/>
      <c r="J956" s="58"/>
      <c r="K956" s="132" t="str">
        <f t="shared" si="56"/>
        <v/>
      </c>
      <c r="M956" s="68" t="str">
        <f t="shared" si="57"/>
        <v/>
      </c>
      <c r="N956" s="59" t="str">
        <f>IF('Prod 1'!E956="","",'Prod 1'!E956)</f>
        <v/>
      </c>
      <c r="O956" s="59" t="str">
        <f t="shared" si="58"/>
        <v/>
      </c>
      <c r="P956" s="59" t="str">
        <f t="shared" si="59"/>
        <v/>
      </c>
    </row>
    <row r="957" spans="3:16" ht="30" customHeight="1" x14ac:dyDescent="0.25">
      <c r="C957" s="42">
        <v>953</v>
      </c>
      <c r="D957" s="67" t="str">
        <f>IF('Prod 1'!D957="","",'Prod 1'!D957)</f>
        <v/>
      </c>
      <c r="E957" s="64"/>
      <c r="F957" s="58"/>
      <c r="G957" s="65"/>
      <c r="H957" s="65"/>
      <c r="I957" s="58"/>
      <c r="J957" s="58"/>
      <c r="K957" s="132" t="str">
        <f t="shared" si="56"/>
        <v/>
      </c>
      <c r="M957" s="68" t="str">
        <f t="shared" si="57"/>
        <v/>
      </c>
      <c r="N957" s="59" t="str">
        <f>IF('Prod 1'!E957="","",'Prod 1'!E957)</f>
        <v/>
      </c>
      <c r="O957" s="59" t="str">
        <f t="shared" si="58"/>
        <v/>
      </c>
      <c r="P957" s="59" t="str">
        <f t="shared" si="59"/>
        <v/>
      </c>
    </row>
    <row r="958" spans="3:16" ht="30" customHeight="1" x14ac:dyDescent="0.25">
      <c r="C958" s="42">
        <v>954</v>
      </c>
      <c r="D958" s="67" t="str">
        <f>IF('Prod 1'!D958="","",'Prod 1'!D958)</f>
        <v/>
      </c>
      <c r="E958" s="64"/>
      <c r="F958" s="58"/>
      <c r="G958" s="65"/>
      <c r="H958" s="65"/>
      <c r="I958" s="58"/>
      <c r="J958" s="58"/>
      <c r="K958" s="132" t="str">
        <f t="shared" si="56"/>
        <v/>
      </c>
      <c r="M958" s="68" t="str">
        <f t="shared" si="57"/>
        <v/>
      </c>
      <c r="N958" s="59" t="str">
        <f>IF('Prod 1'!E958="","",'Prod 1'!E958)</f>
        <v/>
      </c>
      <c r="O958" s="59" t="str">
        <f t="shared" si="58"/>
        <v/>
      </c>
      <c r="P958" s="59" t="str">
        <f t="shared" si="59"/>
        <v/>
      </c>
    </row>
    <row r="959" spans="3:16" ht="30" customHeight="1" x14ac:dyDescent="0.25">
      <c r="C959" s="42">
        <v>955</v>
      </c>
      <c r="D959" s="67" t="str">
        <f>IF('Prod 1'!D959="","",'Prod 1'!D959)</f>
        <v/>
      </c>
      <c r="E959" s="64"/>
      <c r="F959" s="58"/>
      <c r="G959" s="65"/>
      <c r="H959" s="65"/>
      <c r="I959" s="58"/>
      <c r="J959" s="58"/>
      <c r="K959" s="132" t="str">
        <f t="shared" si="56"/>
        <v/>
      </c>
      <c r="M959" s="68" t="str">
        <f t="shared" si="57"/>
        <v/>
      </c>
      <c r="N959" s="59" t="str">
        <f>IF('Prod 1'!E959="","",'Prod 1'!E959)</f>
        <v/>
      </c>
      <c r="O959" s="59" t="str">
        <f t="shared" si="58"/>
        <v/>
      </c>
      <c r="P959" s="59" t="str">
        <f t="shared" si="59"/>
        <v/>
      </c>
    </row>
    <row r="960" spans="3:16" ht="30" customHeight="1" x14ac:dyDescent="0.25">
      <c r="C960" s="42">
        <v>956</v>
      </c>
      <c r="D960" s="67" t="str">
        <f>IF('Prod 1'!D960="","",'Prod 1'!D960)</f>
        <v/>
      </c>
      <c r="E960" s="64"/>
      <c r="F960" s="58"/>
      <c r="G960" s="65"/>
      <c r="H960" s="65"/>
      <c r="I960" s="58"/>
      <c r="J960" s="58"/>
      <c r="K960" s="132" t="str">
        <f t="shared" si="56"/>
        <v/>
      </c>
      <c r="M960" s="68" t="str">
        <f t="shared" si="57"/>
        <v/>
      </c>
      <c r="N960" s="59" t="str">
        <f>IF('Prod 1'!E960="","",'Prod 1'!E960)</f>
        <v/>
      </c>
      <c r="O960" s="59" t="str">
        <f t="shared" si="58"/>
        <v/>
      </c>
      <c r="P960" s="59" t="str">
        <f t="shared" si="59"/>
        <v/>
      </c>
    </row>
    <row r="961" spans="3:16" ht="30" customHeight="1" x14ac:dyDescent="0.25">
      <c r="C961" s="42">
        <v>957</v>
      </c>
      <c r="D961" s="67" t="str">
        <f>IF('Prod 1'!D961="","",'Prod 1'!D961)</f>
        <v/>
      </c>
      <c r="E961" s="64"/>
      <c r="F961" s="58"/>
      <c r="G961" s="65"/>
      <c r="H961" s="65"/>
      <c r="I961" s="58"/>
      <c r="J961" s="58"/>
      <c r="K961" s="132" t="str">
        <f t="shared" si="56"/>
        <v/>
      </c>
      <c r="M961" s="68" t="str">
        <f t="shared" si="57"/>
        <v/>
      </c>
      <c r="N961" s="59" t="str">
        <f>IF('Prod 1'!E961="","",'Prod 1'!E961)</f>
        <v/>
      </c>
      <c r="O961" s="59" t="str">
        <f t="shared" si="58"/>
        <v/>
      </c>
      <c r="P961" s="59" t="str">
        <f t="shared" si="59"/>
        <v/>
      </c>
    </row>
    <row r="962" spans="3:16" ht="30" customHeight="1" x14ac:dyDescent="0.25">
      <c r="C962" s="42">
        <v>958</v>
      </c>
      <c r="D962" s="67" t="str">
        <f>IF('Prod 1'!D962="","",'Prod 1'!D962)</f>
        <v/>
      </c>
      <c r="E962" s="64"/>
      <c r="F962" s="58"/>
      <c r="G962" s="65"/>
      <c r="H962" s="65"/>
      <c r="I962" s="58"/>
      <c r="J962" s="58"/>
      <c r="K962" s="132" t="str">
        <f t="shared" si="56"/>
        <v/>
      </c>
      <c r="M962" s="68" t="str">
        <f t="shared" si="57"/>
        <v/>
      </c>
      <c r="N962" s="59" t="str">
        <f>IF('Prod 1'!E962="","",'Prod 1'!E962)</f>
        <v/>
      </c>
      <c r="O962" s="59" t="str">
        <f t="shared" si="58"/>
        <v/>
      </c>
      <c r="P962" s="59" t="str">
        <f t="shared" si="59"/>
        <v/>
      </c>
    </row>
    <row r="963" spans="3:16" ht="30" customHeight="1" x14ac:dyDescent="0.25">
      <c r="C963" s="42">
        <v>959</v>
      </c>
      <c r="D963" s="67" t="str">
        <f>IF('Prod 1'!D963="","",'Prod 1'!D963)</f>
        <v/>
      </c>
      <c r="E963" s="64"/>
      <c r="F963" s="58"/>
      <c r="G963" s="65"/>
      <c r="H963" s="65"/>
      <c r="I963" s="58"/>
      <c r="J963" s="58"/>
      <c r="K963" s="132" t="str">
        <f t="shared" si="56"/>
        <v/>
      </c>
      <c r="M963" s="68" t="str">
        <f t="shared" si="57"/>
        <v/>
      </c>
      <c r="N963" s="59" t="str">
        <f>IF('Prod 1'!E963="","",'Prod 1'!E963)</f>
        <v/>
      </c>
      <c r="O963" s="59" t="str">
        <f t="shared" si="58"/>
        <v/>
      </c>
      <c r="P963" s="59" t="str">
        <f t="shared" si="59"/>
        <v/>
      </c>
    </row>
    <row r="964" spans="3:16" ht="30" customHeight="1" x14ac:dyDescent="0.25">
      <c r="C964" s="42">
        <v>960</v>
      </c>
      <c r="D964" s="67" t="str">
        <f>IF('Prod 1'!D964="","",'Prod 1'!D964)</f>
        <v/>
      </c>
      <c r="E964" s="64"/>
      <c r="F964" s="58"/>
      <c r="G964" s="65"/>
      <c r="H964" s="65"/>
      <c r="I964" s="58"/>
      <c r="J964" s="58"/>
      <c r="K964" s="132" t="str">
        <f t="shared" si="56"/>
        <v/>
      </c>
      <c r="M964" s="68" t="str">
        <f t="shared" si="57"/>
        <v/>
      </c>
      <c r="N964" s="59" t="str">
        <f>IF('Prod 1'!E964="","",'Prod 1'!E964)</f>
        <v/>
      </c>
      <c r="O964" s="59" t="str">
        <f t="shared" si="58"/>
        <v/>
      </c>
      <c r="P964" s="59" t="str">
        <f t="shared" si="59"/>
        <v/>
      </c>
    </row>
    <row r="965" spans="3:16" ht="30" customHeight="1" x14ac:dyDescent="0.25">
      <c r="C965" s="42">
        <v>961</v>
      </c>
      <c r="D965" s="67" t="str">
        <f>IF('Prod 1'!D965="","",'Prod 1'!D965)</f>
        <v/>
      </c>
      <c r="E965" s="64"/>
      <c r="F965" s="58"/>
      <c r="G965" s="65"/>
      <c r="H965" s="65"/>
      <c r="I965" s="58"/>
      <c r="J965" s="58"/>
      <c r="K965" s="132" t="str">
        <f t="shared" si="56"/>
        <v/>
      </c>
      <c r="M965" s="68" t="str">
        <f t="shared" si="57"/>
        <v/>
      </c>
      <c r="N965" s="59" t="str">
        <f>IF('Prod 1'!E965="","",'Prod 1'!E965)</f>
        <v/>
      </c>
      <c r="O965" s="59" t="str">
        <f t="shared" si="58"/>
        <v/>
      </c>
      <c r="P965" s="59" t="str">
        <f t="shared" si="59"/>
        <v/>
      </c>
    </row>
    <row r="966" spans="3:16" ht="30" customHeight="1" x14ac:dyDescent="0.25">
      <c r="C966" s="42">
        <v>962</v>
      </c>
      <c r="D966" s="67" t="str">
        <f>IF('Prod 1'!D966="","",'Prod 1'!D966)</f>
        <v/>
      </c>
      <c r="E966" s="64"/>
      <c r="F966" s="58"/>
      <c r="G966" s="65"/>
      <c r="H966" s="65"/>
      <c r="I966" s="58"/>
      <c r="J966" s="58"/>
      <c r="K966" s="132" t="str">
        <f t="shared" ref="K966:K1004" si="60">IF(E966="","",IF(E966="Produção",SUM(I966:J966)+SUM(O966:P966),F966))</f>
        <v/>
      </c>
      <c r="M966" s="68" t="str">
        <f t="shared" ref="M966:M1004" si="61">IFERROR(IF(D966="","",100%),0)</f>
        <v/>
      </c>
      <c r="N966" s="59" t="str">
        <f>IF('Prod 1'!E966="","",'Prod 1'!E966)</f>
        <v/>
      </c>
      <c r="O966" s="59" t="str">
        <f t="shared" ref="O966:O1004" si="62">IFERROR(IF(D966="","",N966*G966),0)</f>
        <v/>
      </c>
      <c r="P966" s="59" t="str">
        <f t="shared" ref="P966:P1004" si="63">IFERROR(IF(D966="","",N966*H966),0)</f>
        <v/>
      </c>
    </row>
    <row r="967" spans="3:16" ht="30" customHeight="1" x14ac:dyDescent="0.25">
      <c r="C967" s="42">
        <v>963</v>
      </c>
      <c r="D967" s="67" t="str">
        <f>IF('Prod 1'!D967="","",'Prod 1'!D967)</f>
        <v/>
      </c>
      <c r="E967" s="64"/>
      <c r="F967" s="58"/>
      <c r="G967" s="65"/>
      <c r="H967" s="65"/>
      <c r="I967" s="58"/>
      <c r="J967" s="58"/>
      <c r="K967" s="132" t="str">
        <f t="shared" si="60"/>
        <v/>
      </c>
      <c r="M967" s="68" t="str">
        <f t="shared" si="61"/>
        <v/>
      </c>
      <c r="N967" s="59" t="str">
        <f>IF('Prod 1'!E967="","",'Prod 1'!E967)</f>
        <v/>
      </c>
      <c r="O967" s="59" t="str">
        <f t="shared" si="62"/>
        <v/>
      </c>
      <c r="P967" s="59" t="str">
        <f t="shared" si="63"/>
        <v/>
      </c>
    </row>
    <row r="968" spans="3:16" ht="30" customHeight="1" x14ac:dyDescent="0.25">
      <c r="C968" s="42">
        <v>964</v>
      </c>
      <c r="D968" s="67" t="str">
        <f>IF('Prod 1'!D968="","",'Prod 1'!D968)</f>
        <v/>
      </c>
      <c r="E968" s="64"/>
      <c r="F968" s="58"/>
      <c r="G968" s="65"/>
      <c r="H968" s="65"/>
      <c r="I968" s="58"/>
      <c r="J968" s="58"/>
      <c r="K968" s="132" t="str">
        <f t="shared" si="60"/>
        <v/>
      </c>
      <c r="M968" s="68" t="str">
        <f t="shared" si="61"/>
        <v/>
      </c>
      <c r="N968" s="59" t="str">
        <f>IF('Prod 1'!E968="","",'Prod 1'!E968)</f>
        <v/>
      </c>
      <c r="O968" s="59" t="str">
        <f t="shared" si="62"/>
        <v/>
      </c>
      <c r="P968" s="59" t="str">
        <f t="shared" si="63"/>
        <v/>
      </c>
    </row>
    <row r="969" spans="3:16" ht="30" customHeight="1" x14ac:dyDescent="0.25">
      <c r="C969" s="42">
        <v>965</v>
      </c>
      <c r="D969" s="67" t="str">
        <f>IF('Prod 1'!D969="","",'Prod 1'!D969)</f>
        <v/>
      </c>
      <c r="E969" s="64"/>
      <c r="F969" s="58"/>
      <c r="G969" s="65"/>
      <c r="H969" s="65"/>
      <c r="I969" s="58"/>
      <c r="J969" s="58"/>
      <c r="K969" s="132" t="str">
        <f t="shared" si="60"/>
        <v/>
      </c>
      <c r="M969" s="68" t="str">
        <f t="shared" si="61"/>
        <v/>
      </c>
      <c r="N969" s="59" t="str">
        <f>IF('Prod 1'!E969="","",'Prod 1'!E969)</f>
        <v/>
      </c>
      <c r="O969" s="59" t="str">
        <f t="shared" si="62"/>
        <v/>
      </c>
      <c r="P969" s="59" t="str">
        <f t="shared" si="63"/>
        <v/>
      </c>
    </row>
    <row r="970" spans="3:16" ht="30" customHeight="1" x14ac:dyDescent="0.25">
      <c r="C970" s="42">
        <v>966</v>
      </c>
      <c r="D970" s="67" t="str">
        <f>IF('Prod 1'!D970="","",'Prod 1'!D970)</f>
        <v/>
      </c>
      <c r="E970" s="64"/>
      <c r="F970" s="58"/>
      <c r="G970" s="65"/>
      <c r="H970" s="65"/>
      <c r="I970" s="58"/>
      <c r="J970" s="58"/>
      <c r="K970" s="132" t="str">
        <f t="shared" si="60"/>
        <v/>
      </c>
      <c r="M970" s="68" t="str">
        <f t="shared" si="61"/>
        <v/>
      </c>
      <c r="N970" s="59" t="str">
        <f>IF('Prod 1'!E970="","",'Prod 1'!E970)</f>
        <v/>
      </c>
      <c r="O970" s="59" t="str">
        <f t="shared" si="62"/>
        <v/>
      </c>
      <c r="P970" s="59" t="str">
        <f t="shared" si="63"/>
        <v/>
      </c>
    </row>
    <row r="971" spans="3:16" ht="30" customHeight="1" x14ac:dyDescent="0.25">
      <c r="C971" s="42">
        <v>967</v>
      </c>
      <c r="D971" s="67" t="str">
        <f>IF('Prod 1'!D971="","",'Prod 1'!D971)</f>
        <v/>
      </c>
      <c r="E971" s="64"/>
      <c r="F971" s="58"/>
      <c r="G971" s="65"/>
      <c r="H971" s="65"/>
      <c r="I971" s="58"/>
      <c r="J971" s="58"/>
      <c r="K971" s="132" t="str">
        <f t="shared" si="60"/>
        <v/>
      </c>
      <c r="M971" s="68" t="str">
        <f t="shared" si="61"/>
        <v/>
      </c>
      <c r="N971" s="59" t="str">
        <f>IF('Prod 1'!E971="","",'Prod 1'!E971)</f>
        <v/>
      </c>
      <c r="O971" s="59" t="str">
        <f t="shared" si="62"/>
        <v/>
      </c>
      <c r="P971" s="59" t="str">
        <f t="shared" si="63"/>
        <v/>
      </c>
    </row>
    <row r="972" spans="3:16" ht="30" customHeight="1" x14ac:dyDescent="0.25">
      <c r="C972" s="42">
        <v>968</v>
      </c>
      <c r="D972" s="67" t="str">
        <f>IF('Prod 1'!D972="","",'Prod 1'!D972)</f>
        <v/>
      </c>
      <c r="E972" s="64"/>
      <c r="F972" s="58"/>
      <c r="G972" s="65"/>
      <c r="H972" s="65"/>
      <c r="I972" s="58"/>
      <c r="J972" s="58"/>
      <c r="K972" s="132" t="str">
        <f t="shared" si="60"/>
        <v/>
      </c>
      <c r="M972" s="68" t="str">
        <f t="shared" si="61"/>
        <v/>
      </c>
      <c r="N972" s="59" t="str">
        <f>IF('Prod 1'!E972="","",'Prod 1'!E972)</f>
        <v/>
      </c>
      <c r="O972" s="59" t="str">
        <f t="shared" si="62"/>
        <v/>
      </c>
      <c r="P972" s="59" t="str">
        <f t="shared" si="63"/>
        <v/>
      </c>
    </row>
    <row r="973" spans="3:16" ht="30" customHeight="1" x14ac:dyDescent="0.25">
      <c r="C973" s="42">
        <v>969</v>
      </c>
      <c r="D973" s="67" t="str">
        <f>IF('Prod 1'!D973="","",'Prod 1'!D973)</f>
        <v/>
      </c>
      <c r="E973" s="64"/>
      <c r="F973" s="58"/>
      <c r="G973" s="65"/>
      <c r="H973" s="65"/>
      <c r="I973" s="58"/>
      <c r="J973" s="58"/>
      <c r="K973" s="132" t="str">
        <f t="shared" si="60"/>
        <v/>
      </c>
      <c r="M973" s="68" t="str">
        <f t="shared" si="61"/>
        <v/>
      </c>
      <c r="N973" s="59" t="str">
        <f>IF('Prod 1'!E973="","",'Prod 1'!E973)</f>
        <v/>
      </c>
      <c r="O973" s="59" t="str">
        <f t="shared" si="62"/>
        <v/>
      </c>
      <c r="P973" s="59" t="str">
        <f t="shared" si="63"/>
        <v/>
      </c>
    </row>
    <row r="974" spans="3:16" ht="30" customHeight="1" x14ac:dyDescent="0.25">
      <c r="C974" s="42">
        <v>970</v>
      </c>
      <c r="D974" s="67" t="str">
        <f>IF('Prod 1'!D974="","",'Prod 1'!D974)</f>
        <v/>
      </c>
      <c r="E974" s="64"/>
      <c r="F974" s="58"/>
      <c r="G974" s="65"/>
      <c r="H974" s="65"/>
      <c r="I974" s="58"/>
      <c r="J974" s="58"/>
      <c r="K974" s="132" t="str">
        <f t="shared" si="60"/>
        <v/>
      </c>
      <c r="M974" s="68" t="str">
        <f t="shared" si="61"/>
        <v/>
      </c>
      <c r="N974" s="59" t="str">
        <f>IF('Prod 1'!E974="","",'Prod 1'!E974)</f>
        <v/>
      </c>
      <c r="O974" s="59" t="str">
        <f t="shared" si="62"/>
        <v/>
      </c>
      <c r="P974" s="59" t="str">
        <f t="shared" si="63"/>
        <v/>
      </c>
    </row>
    <row r="975" spans="3:16" ht="30" customHeight="1" x14ac:dyDescent="0.25">
      <c r="C975" s="42">
        <v>971</v>
      </c>
      <c r="D975" s="67" t="str">
        <f>IF('Prod 1'!D975="","",'Prod 1'!D975)</f>
        <v/>
      </c>
      <c r="E975" s="64"/>
      <c r="F975" s="58"/>
      <c r="G975" s="65"/>
      <c r="H975" s="65"/>
      <c r="I975" s="58"/>
      <c r="J975" s="58"/>
      <c r="K975" s="132" t="str">
        <f t="shared" si="60"/>
        <v/>
      </c>
      <c r="M975" s="68" t="str">
        <f t="shared" si="61"/>
        <v/>
      </c>
      <c r="N975" s="59" t="str">
        <f>IF('Prod 1'!E975="","",'Prod 1'!E975)</f>
        <v/>
      </c>
      <c r="O975" s="59" t="str">
        <f t="shared" si="62"/>
        <v/>
      </c>
      <c r="P975" s="59" t="str">
        <f t="shared" si="63"/>
        <v/>
      </c>
    </row>
    <row r="976" spans="3:16" ht="30" customHeight="1" x14ac:dyDescent="0.25">
      <c r="C976" s="42">
        <v>972</v>
      </c>
      <c r="D976" s="67" t="str">
        <f>IF('Prod 1'!D976="","",'Prod 1'!D976)</f>
        <v/>
      </c>
      <c r="E976" s="64"/>
      <c r="F976" s="58"/>
      <c r="G976" s="65"/>
      <c r="H976" s="65"/>
      <c r="I976" s="58"/>
      <c r="J976" s="58"/>
      <c r="K976" s="132" t="str">
        <f t="shared" si="60"/>
        <v/>
      </c>
      <c r="M976" s="68" t="str">
        <f t="shared" si="61"/>
        <v/>
      </c>
      <c r="N976" s="59" t="str">
        <f>IF('Prod 1'!E976="","",'Prod 1'!E976)</f>
        <v/>
      </c>
      <c r="O976" s="59" t="str">
        <f t="shared" si="62"/>
        <v/>
      </c>
      <c r="P976" s="59" t="str">
        <f t="shared" si="63"/>
        <v/>
      </c>
    </row>
    <row r="977" spans="3:16" ht="30" customHeight="1" x14ac:dyDescent="0.25">
      <c r="C977" s="42">
        <v>973</v>
      </c>
      <c r="D977" s="67" t="str">
        <f>IF('Prod 1'!D977="","",'Prod 1'!D977)</f>
        <v/>
      </c>
      <c r="E977" s="64"/>
      <c r="F977" s="58"/>
      <c r="G977" s="65"/>
      <c r="H977" s="65"/>
      <c r="I977" s="58"/>
      <c r="J977" s="58"/>
      <c r="K977" s="132" t="str">
        <f t="shared" si="60"/>
        <v/>
      </c>
      <c r="M977" s="68" t="str">
        <f t="shared" si="61"/>
        <v/>
      </c>
      <c r="N977" s="59" t="str">
        <f>IF('Prod 1'!E977="","",'Prod 1'!E977)</f>
        <v/>
      </c>
      <c r="O977" s="59" t="str">
        <f t="shared" si="62"/>
        <v/>
      </c>
      <c r="P977" s="59" t="str">
        <f t="shared" si="63"/>
        <v/>
      </c>
    </row>
    <row r="978" spans="3:16" ht="30" customHeight="1" x14ac:dyDescent="0.25">
      <c r="C978" s="42">
        <v>974</v>
      </c>
      <c r="D978" s="67" t="str">
        <f>IF('Prod 1'!D978="","",'Prod 1'!D978)</f>
        <v/>
      </c>
      <c r="E978" s="64"/>
      <c r="F978" s="58"/>
      <c r="G978" s="65"/>
      <c r="H978" s="65"/>
      <c r="I978" s="58"/>
      <c r="J978" s="58"/>
      <c r="K978" s="132" t="str">
        <f t="shared" si="60"/>
        <v/>
      </c>
      <c r="M978" s="68" t="str">
        <f t="shared" si="61"/>
        <v/>
      </c>
      <c r="N978" s="59" t="str">
        <f>IF('Prod 1'!E978="","",'Prod 1'!E978)</f>
        <v/>
      </c>
      <c r="O978" s="59" t="str">
        <f t="shared" si="62"/>
        <v/>
      </c>
      <c r="P978" s="59" t="str">
        <f t="shared" si="63"/>
        <v/>
      </c>
    </row>
    <row r="979" spans="3:16" ht="30" customHeight="1" x14ac:dyDescent="0.25">
      <c r="C979" s="42">
        <v>975</v>
      </c>
      <c r="D979" s="67" t="str">
        <f>IF('Prod 1'!D979="","",'Prod 1'!D979)</f>
        <v/>
      </c>
      <c r="E979" s="64"/>
      <c r="F979" s="58"/>
      <c r="G979" s="65"/>
      <c r="H979" s="65"/>
      <c r="I979" s="58"/>
      <c r="J979" s="58"/>
      <c r="K979" s="132" t="str">
        <f t="shared" si="60"/>
        <v/>
      </c>
      <c r="M979" s="68" t="str">
        <f t="shared" si="61"/>
        <v/>
      </c>
      <c r="N979" s="59" t="str">
        <f>IF('Prod 1'!E979="","",'Prod 1'!E979)</f>
        <v/>
      </c>
      <c r="O979" s="59" t="str">
        <f t="shared" si="62"/>
        <v/>
      </c>
      <c r="P979" s="59" t="str">
        <f t="shared" si="63"/>
        <v/>
      </c>
    </row>
    <row r="980" spans="3:16" ht="30" customHeight="1" x14ac:dyDescent="0.25">
      <c r="C980" s="42">
        <v>976</v>
      </c>
      <c r="D980" s="67" t="str">
        <f>IF('Prod 1'!D980="","",'Prod 1'!D980)</f>
        <v/>
      </c>
      <c r="E980" s="64"/>
      <c r="F980" s="58"/>
      <c r="G980" s="65"/>
      <c r="H980" s="65"/>
      <c r="I980" s="58"/>
      <c r="J980" s="58"/>
      <c r="K980" s="132" t="str">
        <f t="shared" si="60"/>
        <v/>
      </c>
      <c r="M980" s="68" t="str">
        <f t="shared" si="61"/>
        <v/>
      </c>
      <c r="N980" s="59" t="str">
        <f>IF('Prod 1'!E980="","",'Prod 1'!E980)</f>
        <v/>
      </c>
      <c r="O980" s="59" t="str">
        <f t="shared" si="62"/>
        <v/>
      </c>
      <c r="P980" s="59" t="str">
        <f t="shared" si="63"/>
        <v/>
      </c>
    </row>
    <row r="981" spans="3:16" ht="30" customHeight="1" x14ac:dyDescent="0.25">
      <c r="C981" s="42">
        <v>977</v>
      </c>
      <c r="D981" s="67" t="str">
        <f>IF('Prod 1'!D981="","",'Prod 1'!D981)</f>
        <v/>
      </c>
      <c r="E981" s="64"/>
      <c r="F981" s="58"/>
      <c r="G981" s="65"/>
      <c r="H981" s="65"/>
      <c r="I981" s="58"/>
      <c r="J981" s="58"/>
      <c r="K981" s="132" t="str">
        <f t="shared" si="60"/>
        <v/>
      </c>
      <c r="M981" s="68" t="str">
        <f t="shared" si="61"/>
        <v/>
      </c>
      <c r="N981" s="59" t="str">
        <f>IF('Prod 1'!E981="","",'Prod 1'!E981)</f>
        <v/>
      </c>
      <c r="O981" s="59" t="str">
        <f t="shared" si="62"/>
        <v/>
      </c>
      <c r="P981" s="59" t="str">
        <f t="shared" si="63"/>
        <v/>
      </c>
    </row>
    <row r="982" spans="3:16" ht="30" customHeight="1" x14ac:dyDescent="0.25">
      <c r="C982" s="42">
        <v>978</v>
      </c>
      <c r="D982" s="67" t="str">
        <f>IF('Prod 1'!D982="","",'Prod 1'!D982)</f>
        <v/>
      </c>
      <c r="E982" s="64"/>
      <c r="F982" s="58"/>
      <c r="G982" s="65"/>
      <c r="H982" s="65"/>
      <c r="I982" s="58"/>
      <c r="J982" s="58"/>
      <c r="K982" s="132" t="str">
        <f t="shared" si="60"/>
        <v/>
      </c>
      <c r="M982" s="68" t="str">
        <f t="shared" si="61"/>
        <v/>
      </c>
      <c r="N982" s="59" t="str">
        <f>IF('Prod 1'!E982="","",'Prod 1'!E982)</f>
        <v/>
      </c>
      <c r="O982" s="59" t="str">
        <f t="shared" si="62"/>
        <v/>
      </c>
      <c r="P982" s="59" t="str">
        <f t="shared" si="63"/>
        <v/>
      </c>
    </row>
    <row r="983" spans="3:16" ht="30" customHeight="1" x14ac:dyDescent="0.25">
      <c r="C983" s="42">
        <v>979</v>
      </c>
      <c r="D983" s="67" t="str">
        <f>IF('Prod 1'!D983="","",'Prod 1'!D983)</f>
        <v/>
      </c>
      <c r="E983" s="64"/>
      <c r="F983" s="58"/>
      <c r="G983" s="65"/>
      <c r="H983" s="65"/>
      <c r="I983" s="58"/>
      <c r="J983" s="58"/>
      <c r="K983" s="132" t="str">
        <f t="shared" si="60"/>
        <v/>
      </c>
      <c r="M983" s="68" t="str">
        <f t="shared" si="61"/>
        <v/>
      </c>
      <c r="N983" s="59" t="str">
        <f>IF('Prod 1'!E983="","",'Prod 1'!E983)</f>
        <v/>
      </c>
      <c r="O983" s="59" t="str">
        <f t="shared" si="62"/>
        <v/>
      </c>
      <c r="P983" s="59" t="str">
        <f t="shared" si="63"/>
        <v/>
      </c>
    </row>
    <row r="984" spans="3:16" ht="30" customHeight="1" x14ac:dyDescent="0.25">
      <c r="C984" s="42">
        <v>980</v>
      </c>
      <c r="D984" s="67" t="str">
        <f>IF('Prod 1'!D984="","",'Prod 1'!D984)</f>
        <v/>
      </c>
      <c r="E984" s="64"/>
      <c r="F984" s="58"/>
      <c r="G984" s="65"/>
      <c r="H984" s="65"/>
      <c r="I984" s="58"/>
      <c r="J984" s="58"/>
      <c r="K984" s="132" t="str">
        <f t="shared" si="60"/>
        <v/>
      </c>
      <c r="M984" s="68" t="str">
        <f t="shared" si="61"/>
        <v/>
      </c>
      <c r="N984" s="59" t="str">
        <f>IF('Prod 1'!E984="","",'Prod 1'!E984)</f>
        <v/>
      </c>
      <c r="O984" s="59" t="str">
        <f t="shared" si="62"/>
        <v/>
      </c>
      <c r="P984" s="59" t="str">
        <f t="shared" si="63"/>
        <v/>
      </c>
    </row>
    <row r="985" spans="3:16" ht="30" customHeight="1" x14ac:dyDescent="0.25">
      <c r="C985" s="42">
        <v>981</v>
      </c>
      <c r="D985" s="67" t="str">
        <f>IF('Prod 1'!D985="","",'Prod 1'!D985)</f>
        <v/>
      </c>
      <c r="E985" s="64"/>
      <c r="F985" s="58"/>
      <c r="G985" s="65"/>
      <c r="H985" s="65"/>
      <c r="I985" s="58"/>
      <c r="J985" s="58"/>
      <c r="K985" s="132" t="str">
        <f t="shared" si="60"/>
        <v/>
      </c>
      <c r="M985" s="68" t="str">
        <f t="shared" si="61"/>
        <v/>
      </c>
      <c r="N985" s="59" t="str">
        <f>IF('Prod 1'!E985="","",'Prod 1'!E985)</f>
        <v/>
      </c>
      <c r="O985" s="59" t="str">
        <f t="shared" si="62"/>
        <v/>
      </c>
      <c r="P985" s="59" t="str">
        <f t="shared" si="63"/>
        <v/>
      </c>
    </row>
    <row r="986" spans="3:16" ht="30" customHeight="1" x14ac:dyDescent="0.25">
      <c r="C986" s="42">
        <v>982</v>
      </c>
      <c r="D986" s="67" t="str">
        <f>IF('Prod 1'!D986="","",'Prod 1'!D986)</f>
        <v/>
      </c>
      <c r="E986" s="64"/>
      <c r="F986" s="58"/>
      <c r="G986" s="65"/>
      <c r="H986" s="65"/>
      <c r="I986" s="58"/>
      <c r="J986" s="58"/>
      <c r="K986" s="132" t="str">
        <f t="shared" si="60"/>
        <v/>
      </c>
      <c r="M986" s="68" t="str">
        <f t="shared" si="61"/>
        <v/>
      </c>
      <c r="N986" s="59" t="str">
        <f>IF('Prod 1'!E986="","",'Prod 1'!E986)</f>
        <v/>
      </c>
      <c r="O986" s="59" t="str">
        <f t="shared" si="62"/>
        <v/>
      </c>
      <c r="P986" s="59" t="str">
        <f t="shared" si="63"/>
        <v/>
      </c>
    </row>
    <row r="987" spans="3:16" ht="30" customHeight="1" x14ac:dyDescent="0.25">
      <c r="C987" s="42">
        <v>983</v>
      </c>
      <c r="D987" s="67" t="str">
        <f>IF('Prod 1'!D987="","",'Prod 1'!D987)</f>
        <v/>
      </c>
      <c r="E987" s="64"/>
      <c r="F987" s="58"/>
      <c r="G987" s="65"/>
      <c r="H987" s="65"/>
      <c r="I987" s="58"/>
      <c r="J987" s="58"/>
      <c r="K987" s="132" t="str">
        <f t="shared" si="60"/>
        <v/>
      </c>
      <c r="M987" s="68" t="str">
        <f t="shared" si="61"/>
        <v/>
      </c>
      <c r="N987" s="59" t="str">
        <f>IF('Prod 1'!E987="","",'Prod 1'!E987)</f>
        <v/>
      </c>
      <c r="O987" s="59" t="str">
        <f t="shared" si="62"/>
        <v/>
      </c>
      <c r="P987" s="59" t="str">
        <f t="shared" si="63"/>
        <v/>
      </c>
    </row>
    <row r="988" spans="3:16" ht="30" customHeight="1" x14ac:dyDescent="0.25">
      <c r="C988" s="42">
        <v>984</v>
      </c>
      <c r="D988" s="67" t="str">
        <f>IF('Prod 1'!D988="","",'Prod 1'!D988)</f>
        <v/>
      </c>
      <c r="E988" s="64"/>
      <c r="F988" s="58"/>
      <c r="G988" s="65"/>
      <c r="H988" s="65"/>
      <c r="I988" s="58"/>
      <c r="J988" s="58"/>
      <c r="K988" s="132" t="str">
        <f t="shared" si="60"/>
        <v/>
      </c>
      <c r="M988" s="68" t="str">
        <f t="shared" si="61"/>
        <v/>
      </c>
      <c r="N988" s="59" t="str">
        <f>IF('Prod 1'!E988="","",'Prod 1'!E988)</f>
        <v/>
      </c>
      <c r="O988" s="59" t="str">
        <f t="shared" si="62"/>
        <v/>
      </c>
      <c r="P988" s="59" t="str">
        <f t="shared" si="63"/>
        <v/>
      </c>
    </row>
    <row r="989" spans="3:16" ht="30" customHeight="1" x14ac:dyDescent="0.25">
      <c r="C989" s="42">
        <v>985</v>
      </c>
      <c r="D989" s="67" t="str">
        <f>IF('Prod 1'!D989="","",'Prod 1'!D989)</f>
        <v/>
      </c>
      <c r="E989" s="64"/>
      <c r="F989" s="58"/>
      <c r="G989" s="65"/>
      <c r="H989" s="65"/>
      <c r="I989" s="58"/>
      <c r="J989" s="58"/>
      <c r="K989" s="132" t="str">
        <f t="shared" si="60"/>
        <v/>
      </c>
      <c r="M989" s="68" t="str">
        <f t="shared" si="61"/>
        <v/>
      </c>
      <c r="N989" s="59" t="str">
        <f>IF('Prod 1'!E989="","",'Prod 1'!E989)</f>
        <v/>
      </c>
      <c r="O989" s="59" t="str">
        <f t="shared" si="62"/>
        <v/>
      </c>
      <c r="P989" s="59" t="str">
        <f t="shared" si="63"/>
        <v/>
      </c>
    </row>
    <row r="990" spans="3:16" ht="30" customHeight="1" x14ac:dyDescent="0.25">
      <c r="C990" s="42">
        <v>986</v>
      </c>
      <c r="D990" s="67" t="str">
        <f>IF('Prod 1'!D990="","",'Prod 1'!D990)</f>
        <v/>
      </c>
      <c r="E990" s="64"/>
      <c r="F990" s="58"/>
      <c r="G990" s="65"/>
      <c r="H990" s="65"/>
      <c r="I990" s="58"/>
      <c r="J990" s="58"/>
      <c r="K990" s="132" t="str">
        <f t="shared" si="60"/>
        <v/>
      </c>
      <c r="M990" s="68" t="str">
        <f t="shared" si="61"/>
        <v/>
      </c>
      <c r="N990" s="59" t="str">
        <f>IF('Prod 1'!E990="","",'Prod 1'!E990)</f>
        <v/>
      </c>
      <c r="O990" s="59" t="str">
        <f t="shared" si="62"/>
        <v/>
      </c>
      <c r="P990" s="59" t="str">
        <f t="shared" si="63"/>
        <v/>
      </c>
    </row>
    <row r="991" spans="3:16" ht="30" customHeight="1" x14ac:dyDescent="0.25">
      <c r="C991" s="42">
        <v>987</v>
      </c>
      <c r="D991" s="67" t="str">
        <f>IF('Prod 1'!D991="","",'Prod 1'!D991)</f>
        <v/>
      </c>
      <c r="E991" s="64"/>
      <c r="F991" s="58"/>
      <c r="G991" s="65"/>
      <c r="H991" s="65"/>
      <c r="I991" s="58"/>
      <c r="J991" s="58"/>
      <c r="K991" s="132" t="str">
        <f t="shared" si="60"/>
        <v/>
      </c>
      <c r="M991" s="68" t="str">
        <f t="shared" si="61"/>
        <v/>
      </c>
      <c r="N991" s="59" t="str">
        <f>IF('Prod 1'!E991="","",'Prod 1'!E991)</f>
        <v/>
      </c>
      <c r="O991" s="59" t="str">
        <f t="shared" si="62"/>
        <v/>
      </c>
      <c r="P991" s="59" t="str">
        <f t="shared" si="63"/>
        <v/>
      </c>
    </row>
    <row r="992" spans="3:16" ht="30" customHeight="1" x14ac:dyDescent="0.25">
      <c r="C992" s="42">
        <v>988</v>
      </c>
      <c r="D992" s="67" t="str">
        <f>IF('Prod 1'!D992="","",'Prod 1'!D992)</f>
        <v/>
      </c>
      <c r="E992" s="64"/>
      <c r="F992" s="58"/>
      <c r="G992" s="65"/>
      <c r="H992" s="65"/>
      <c r="I992" s="58"/>
      <c r="J992" s="58"/>
      <c r="K992" s="132" t="str">
        <f t="shared" si="60"/>
        <v/>
      </c>
      <c r="M992" s="68" t="str">
        <f t="shared" si="61"/>
        <v/>
      </c>
      <c r="N992" s="59" t="str">
        <f>IF('Prod 1'!E992="","",'Prod 1'!E992)</f>
        <v/>
      </c>
      <c r="O992" s="59" t="str">
        <f t="shared" si="62"/>
        <v/>
      </c>
      <c r="P992" s="59" t="str">
        <f t="shared" si="63"/>
        <v/>
      </c>
    </row>
    <row r="993" spans="3:16" ht="30" customHeight="1" x14ac:dyDescent="0.25">
      <c r="C993" s="42">
        <v>989</v>
      </c>
      <c r="D993" s="67" t="str">
        <f>IF('Prod 1'!D993="","",'Prod 1'!D993)</f>
        <v/>
      </c>
      <c r="E993" s="64"/>
      <c r="F993" s="58"/>
      <c r="G993" s="65"/>
      <c r="H993" s="65"/>
      <c r="I993" s="58"/>
      <c r="J993" s="58"/>
      <c r="K993" s="132" t="str">
        <f t="shared" si="60"/>
        <v/>
      </c>
      <c r="M993" s="68" t="str">
        <f t="shared" si="61"/>
        <v/>
      </c>
      <c r="N993" s="59" t="str">
        <f>IF('Prod 1'!E993="","",'Prod 1'!E993)</f>
        <v/>
      </c>
      <c r="O993" s="59" t="str">
        <f t="shared" si="62"/>
        <v/>
      </c>
      <c r="P993" s="59" t="str">
        <f t="shared" si="63"/>
        <v/>
      </c>
    </row>
    <row r="994" spans="3:16" ht="30" customHeight="1" x14ac:dyDescent="0.25">
      <c r="C994" s="42">
        <v>990</v>
      </c>
      <c r="D994" s="67" t="str">
        <f>IF('Prod 1'!D994="","",'Prod 1'!D994)</f>
        <v/>
      </c>
      <c r="E994" s="64"/>
      <c r="F994" s="58"/>
      <c r="G994" s="65"/>
      <c r="H994" s="65"/>
      <c r="I994" s="58"/>
      <c r="J994" s="58"/>
      <c r="K994" s="132" t="str">
        <f t="shared" si="60"/>
        <v/>
      </c>
      <c r="M994" s="68" t="str">
        <f t="shared" si="61"/>
        <v/>
      </c>
      <c r="N994" s="59" t="str">
        <f>IF('Prod 1'!E994="","",'Prod 1'!E994)</f>
        <v/>
      </c>
      <c r="O994" s="59" t="str">
        <f t="shared" si="62"/>
        <v/>
      </c>
      <c r="P994" s="59" t="str">
        <f t="shared" si="63"/>
        <v/>
      </c>
    </row>
    <row r="995" spans="3:16" ht="30" customHeight="1" x14ac:dyDescent="0.25">
      <c r="C995" s="42">
        <v>991</v>
      </c>
      <c r="D995" s="67" t="str">
        <f>IF('Prod 1'!D995="","",'Prod 1'!D995)</f>
        <v/>
      </c>
      <c r="E995" s="64"/>
      <c r="F995" s="58"/>
      <c r="G995" s="65"/>
      <c r="H995" s="65"/>
      <c r="I995" s="58"/>
      <c r="J995" s="58"/>
      <c r="K995" s="132" t="str">
        <f t="shared" si="60"/>
        <v/>
      </c>
      <c r="M995" s="68" t="str">
        <f t="shared" si="61"/>
        <v/>
      </c>
      <c r="N995" s="59" t="str">
        <f>IF('Prod 1'!E995="","",'Prod 1'!E995)</f>
        <v/>
      </c>
      <c r="O995" s="59" t="str">
        <f t="shared" si="62"/>
        <v/>
      </c>
      <c r="P995" s="59" t="str">
        <f t="shared" si="63"/>
        <v/>
      </c>
    </row>
    <row r="996" spans="3:16" ht="30" customHeight="1" x14ac:dyDescent="0.25">
      <c r="C996" s="42">
        <v>992</v>
      </c>
      <c r="D996" s="67" t="str">
        <f>IF('Prod 1'!D996="","",'Prod 1'!D996)</f>
        <v/>
      </c>
      <c r="E996" s="64"/>
      <c r="F996" s="58"/>
      <c r="G996" s="65"/>
      <c r="H996" s="65"/>
      <c r="I996" s="58"/>
      <c r="J996" s="58"/>
      <c r="K996" s="132" t="str">
        <f t="shared" si="60"/>
        <v/>
      </c>
      <c r="M996" s="68" t="str">
        <f t="shared" si="61"/>
        <v/>
      </c>
      <c r="N996" s="59" t="str">
        <f>IF('Prod 1'!E996="","",'Prod 1'!E996)</f>
        <v/>
      </c>
      <c r="O996" s="59" t="str">
        <f t="shared" si="62"/>
        <v/>
      </c>
      <c r="P996" s="59" t="str">
        <f t="shared" si="63"/>
        <v/>
      </c>
    </row>
    <row r="997" spans="3:16" ht="30" customHeight="1" x14ac:dyDescent="0.25">
      <c r="C997" s="42">
        <v>993</v>
      </c>
      <c r="D997" s="67" t="str">
        <f>IF('Prod 1'!D997="","",'Prod 1'!D997)</f>
        <v/>
      </c>
      <c r="E997" s="64"/>
      <c r="F997" s="58"/>
      <c r="G997" s="65"/>
      <c r="H997" s="65"/>
      <c r="I997" s="58"/>
      <c r="J997" s="58"/>
      <c r="K997" s="132" t="str">
        <f t="shared" si="60"/>
        <v/>
      </c>
      <c r="M997" s="68" t="str">
        <f t="shared" si="61"/>
        <v/>
      </c>
      <c r="N997" s="59" t="str">
        <f>IF('Prod 1'!E997="","",'Prod 1'!E997)</f>
        <v/>
      </c>
      <c r="O997" s="59" t="str">
        <f t="shared" si="62"/>
        <v/>
      </c>
      <c r="P997" s="59" t="str">
        <f t="shared" si="63"/>
        <v/>
      </c>
    </row>
    <row r="998" spans="3:16" ht="30" customHeight="1" x14ac:dyDescent="0.25">
      <c r="C998" s="42">
        <v>994</v>
      </c>
      <c r="D998" s="67" t="str">
        <f>IF('Prod 1'!D998="","",'Prod 1'!D998)</f>
        <v/>
      </c>
      <c r="E998" s="64"/>
      <c r="F998" s="58"/>
      <c r="G998" s="65"/>
      <c r="H998" s="65"/>
      <c r="I998" s="58"/>
      <c r="J998" s="58"/>
      <c r="K998" s="132" t="str">
        <f t="shared" si="60"/>
        <v/>
      </c>
      <c r="M998" s="68" t="str">
        <f t="shared" si="61"/>
        <v/>
      </c>
      <c r="N998" s="59" t="str">
        <f>IF('Prod 1'!E998="","",'Prod 1'!E998)</f>
        <v/>
      </c>
      <c r="O998" s="59" t="str">
        <f t="shared" si="62"/>
        <v/>
      </c>
      <c r="P998" s="59" t="str">
        <f t="shared" si="63"/>
        <v/>
      </c>
    </row>
    <row r="999" spans="3:16" ht="30" customHeight="1" x14ac:dyDescent="0.25">
      <c r="C999" s="42">
        <v>995</v>
      </c>
      <c r="D999" s="67" t="str">
        <f>IF('Prod 1'!D999="","",'Prod 1'!D999)</f>
        <v/>
      </c>
      <c r="E999" s="64"/>
      <c r="F999" s="58"/>
      <c r="G999" s="65"/>
      <c r="H999" s="65"/>
      <c r="I999" s="58"/>
      <c r="J999" s="58"/>
      <c r="K999" s="132" t="str">
        <f t="shared" si="60"/>
        <v/>
      </c>
      <c r="M999" s="68" t="str">
        <f t="shared" si="61"/>
        <v/>
      </c>
      <c r="N999" s="59" t="str">
        <f>IF('Prod 1'!E999="","",'Prod 1'!E999)</f>
        <v/>
      </c>
      <c r="O999" s="59" t="str">
        <f t="shared" si="62"/>
        <v/>
      </c>
      <c r="P999" s="59" t="str">
        <f t="shared" si="63"/>
        <v/>
      </c>
    </row>
    <row r="1000" spans="3:16" ht="30" customHeight="1" x14ac:dyDescent="0.25">
      <c r="C1000" s="42">
        <v>996</v>
      </c>
      <c r="D1000" s="67" t="str">
        <f>IF('Prod 1'!D1000="","",'Prod 1'!D1000)</f>
        <v/>
      </c>
      <c r="E1000" s="64"/>
      <c r="F1000" s="58"/>
      <c r="G1000" s="65"/>
      <c r="H1000" s="65"/>
      <c r="I1000" s="58"/>
      <c r="J1000" s="58"/>
      <c r="K1000" s="132" t="str">
        <f t="shared" si="60"/>
        <v/>
      </c>
      <c r="M1000" s="68" t="str">
        <f t="shared" si="61"/>
        <v/>
      </c>
      <c r="N1000" s="59" t="str">
        <f>IF('Prod 1'!E1000="","",'Prod 1'!E1000)</f>
        <v/>
      </c>
      <c r="O1000" s="59" t="str">
        <f t="shared" si="62"/>
        <v/>
      </c>
      <c r="P1000" s="59" t="str">
        <f t="shared" si="63"/>
        <v/>
      </c>
    </row>
    <row r="1001" spans="3:16" ht="30" customHeight="1" x14ac:dyDescent="0.25">
      <c r="C1001" s="42">
        <v>997</v>
      </c>
      <c r="D1001" s="67" t="str">
        <f>IF('Prod 1'!D1001="","",'Prod 1'!D1001)</f>
        <v/>
      </c>
      <c r="E1001" s="64"/>
      <c r="F1001" s="58"/>
      <c r="G1001" s="65"/>
      <c r="H1001" s="65"/>
      <c r="I1001" s="58"/>
      <c r="J1001" s="58"/>
      <c r="K1001" s="132" t="str">
        <f t="shared" si="60"/>
        <v/>
      </c>
      <c r="M1001" s="68" t="str">
        <f t="shared" si="61"/>
        <v/>
      </c>
      <c r="N1001" s="59" t="str">
        <f>IF('Prod 1'!E1001="","",'Prod 1'!E1001)</f>
        <v/>
      </c>
      <c r="O1001" s="59" t="str">
        <f t="shared" si="62"/>
        <v/>
      </c>
      <c r="P1001" s="59" t="str">
        <f t="shared" si="63"/>
        <v/>
      </c>
    </row>
    <row r="1002" spans="3:16" ht="30" customHeight="1" x14ac:dyDescent="0.25">
      <c r="C1002" s="42">
        <v>998</v>
      </c>
      <c r="D1002" s="67" t="str">
        <f>IF('Prod 1'!D1002="","",'Prod 1'!D1002)</f>
        <v/>
      </c>
      <c r="E1002" s="64"/>
      <c r="F1002" s="58"/>
      <c r="G1002" s="65"/>
      <c r="H1002" s="65"/>
      <c r="I1002" s="58"/>
      <c r="J1002" s="58"/>
      <c r="K1002" s="132" t="str">
        <f t="shared" si="60"/>
        <v/>
      </c>
      <c r="M1002" s="68" t="str">
        <f t="shared" si="61"/>
        <v/>
      </c>
      <c r="N1002" s="59" t="str">
        <f>IF('Prod 1'!E1002="","",'Prod 1'!E1002)</f>
        <v/>
      </c>
      <c r="O1002" s="59" t="str">
        <f t="shared" si="62"/>
        <v/>
      </c>
      <c r="P1002" s="59" t="str">
        <f t="shared" si="63"/>
        <v/>
      </c>
    </row>
    <row r="1003" spans="3:16" ht="30" customHeight="1" x14ac:dyDescent="0.25">
      <c r="C1003" s="42">
        <v>999</v>
      </c>
      <c r="D1003" s="67" t="str">
        <f>IF('Prod 1'!D1003="","",'Prod 1'!D1003)</f>
        <v/>
      </c>
      <c r="E1003" s="64"/>
      <c r="F1003" s="58"/>
      <c r="G1003" s="65"/>
      <c r="H1003" s="65"/>
      <c r="I1003" s="58"/>
      <c r="J1003" s="58"/>
      <c r="K1003" s="132" t="str">
        <f t="shared" si="60"/>
        <v/>
      </c>
      <c r="M1003" s="68" t="str">
        <f t="shared" si="61"/>
        <v/>
      </c>
      <c r="N1003" s="59" t="str">
        <f>IF('Prod 1'!E1003="","",'Prod 1'!E1003)</f>
        <v/>
      </c>
      <c r="O1003" s="59" t="str">
        <f t="shared" si="62"/>
        <v/>
      </c>
      <c r="P1003" s="59" t="str">
        <f t="shared" si="63"/>
        <v/>
      </c>
    </row>
    <row r="1004" spans="3:16" ht="30" customHeight="1" x14ac:dyDescent="0.25">
      <c r="C1004" s="42">
        <v>1000</v>
      </c>
      <c r="D1004" s="67" t="str">
        <f>IF('Prod 1'!D1004="","",'Prod 1'!D1004)</f>
        <v/>
      </c>
      <c r="E1004" s="64"/>
      <c r="F1004" s="58"/>
      <c r="G1004" s="65"/>
      <c r="H1004" s="65"/>
      <c r="I1004" s="58"/>
      <c r="J1004" s="58"/>
      <c r="K1004" s="132" t="str">
        <f t="shared" si="60"/>
        <v/>
      </c>
      <c r="M1004" s="68" t="str">
        <f t="shared" si="61"/>
        <v/>
      </c>
      <c r="N1004" s="59" t="str">
        <f>IF('Prod 1'!E1004="","",'Prod 1'!E1004)</f>
        <v/>
      </c>
      <c r="O1004" s="59" t="str">
        <f t="shared" si="62"/>
        <v/>
      </c>
      <c r="P1004" s="59" t="str">
        <f t="shared" si="63"/>
        <v/>
      </c>
    </row>
  </sheetData>
  <sheetProtection sheet="1" objects="1" scenarios="1" selectLockedCells="1" sort="0" autoFilter="0"/>
  <autoFilter ref="C4:K4" xr:uid="{00000000-0009-0000-0000-00000B000000}"/>
  <conditionalFormatting sqref="F5:F1004">
    <cfRule type="expression" dxfId="1" priority="3">
      <formula>E5="Produção"</formula>
    </cfRule>
  </conditionalFormatting>
  <conditionalFormatting sqref="G5:J1004">
    <cfRule type="expression" dxfId="0" priority="2">
      <formula>$E5&lt;&gt;"Produção"</formula>
    </cfRule>
  </conditionalFormatting>
  <dataValidations count="1">
    <dataValidation type="list" allowBlank="1" showInputMessage="1" showErrorMessage="1" sqref="E5:E1004" xr:uid="{00000000-0002-0000-0B00-000000000000}">
      <formula1>"Produção,Revenda,Serviço"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8"/>
  <dimension ref="C1:I1004"/>
  <sheetViews>
    <sheetView showGridLines="0" showRowColHeaders="0" workbookViewId="0">
      <pane ySplit="4" topLeftCell="A5" activePane="bottomLeft" state="frozen"/>
      <selection activeCell="D6" sqref="D6"/>
      <selection pane="bottomLeft" activeCell="E5" sqref="E5"/>
    </sheetView>
  </sheetViews>
  <sheetFormatPr defaultRowHeight="30" customHeight="1" x14ac:dyDescent="0.25"/>
  <cols>
    <col min="1" max="2" width="1.7109375" style="19" customWidth="1"/>
    <col min="3" max="3" width="6.7109375" style="19" customWidth="1"/>
    <col min="4" max="4" width="25.7109375" style="19" customWidth="1"/>
    <col min="5" max="7" width="20.7109375" style="19" customWidth="1"/>
    <col min="8" max="8" width="12.7109375" style="19" hidden="1" customWidth="1"/>
    <col min="9" max="9" width="12.28515625" style="19" customWidth="1"/>
    <col min="10" max="16384" width="9.140625" style="19"/>
  </cols>
  <sheetData>
    <row r="1" spans="3:9" s="1" customFormat="1" ht="35.1" customHeight="1" x14ac:dyDescent="0.25"/>
    <row r="2" spans="3:9" s="3" customFormat="1" ht="30" customHeight="1" x14ac:dyDescent="0.25"/>
    <row r="3" spans="3:9" ht="69.95" customHeight="1" thickBot="1" x14ac:dyDescent="0.25">
      <c r="C3" s="40"/>
      <c r="D3" s="40"/>
      <c r="E3" s="40"/>
      <c r="F3" s="109">
        <f>SUM(F5:F1004)</f>
        <v>62100</v>
      </c>
      <c r="H3" s="59">
        <f>SUM(H5:H1004)</f>
        <v>62100</v>
      </c>
      <c r="I3" s="59"/>
    </row>
    <row r="4" spans="3:9" ht="30" customHeight="1" x14ac:dyDescent="0.25">
      <c r="C4" s="45" t="s">
        <v>22</v>
      </c>
      <c r="D4" s="46" t="s">
        <v>39</v>
      </c>
      <c r="E4" s="46" t="s">
        <v>1063</v>
      </c>
      <c r="F4" s="43" t="s">
        <v>1069</v>
      </c>
      <c r="G4" s="43" t="s">
        <v>1041</v>
      </c>
      <c r="H4" s="19" t="s">
        <v>1056</v>
      </c>
    </row>
    <row r="5" spans="3:9" ht="30" customHeight="1" x14ac:dyDescent="0.25">
      <c r="C5" s="44">
        <v>1</v>
      </c>
      <c r="D5" s="67" t="str">
        <f>IF('Prod 1'!D5="","",'Prod 1'!D5)</f>
        <v>Produto A</v>
      </c>
      <c r="E5" s="69">
        <v>25</v>
      </c>
      <c r="F5" s="89">
        <f>IF(D5="","",E5*'Prod 1'!E5)</f>
        <v>4250</v>
      </c>
      <c r="G5" s="71">
        <f t="shared" ref="G5:G68" si="0">IF(D5="","",IFERROR(F5/$H$3,0))</f>
        <v>6.8438003220611915E-2</v>
      </c>
      <c r="H5" s="59">
        <f t="shared" ref="H5:H68" si="1">F5</f>
        <v>4250</v>
      </c>
    </row>
    <row r="6" spans="3:9" ht="30" customHeight="1" x14ac:dyDescent="0.25">
      <c r="C6" s="42">
        <v>2</v>
      </c>
      <c r="D6" s="67" t="str">
        <f>IF('Prod 1'!D6="","",'Prod 1'!D6)</f>
        <v>Produto B</v>
      </c>
      <c r="E6" s="64">
        <v>35</v>
      </c>
      <c r="F6" s="89">
        <f>IF(D6="","",E6*'Prod 1'!E6)</f>
        <v>8750</v>
      </c>
      <c r="G6" s="71">
        <f t="shared" si="0"/>
        <v>0.14090177133655393</v>
      </c>
      <c r="H6" s="59">
        <f t="shared" si="1"/>
        <v>8750</v>
      </c>
    </row>
    <row r="7" spans="3:9" ht="30" customHeight="1" x14ac:dyDescent="0.25">
      <c r="C7" s="42">
        <v>3</v>
      </c>
      <c r="D7" s="67" t="str">
        <f>IF('Prod 1'!D7="","",'Prod 1'!D7)</f>
        <v>Produto C</v>
      </c>
      <c r="E7" s="64">
        <v>40</v>
      </c>
      <c r="F7" s="89">
        <f>IF(D7="","",E7*'Prod 1'!E7)</f>
        <v>14000</v>
      </c>
      <c r="G7" s="71">
        <f t="shared" si="0"/>
        <v>0.22544283413848631</v>
      </c>
      <c r="H7" s="59">
        <f t="shared" si="1"/>
        <v>14000</v>
      </c>
    </row>
    <row r="8" spans="3:9" ht="30" customHeight="1" x14ac:dyDescent="0.25">
      <c r="C8" s="42">
        <v>4</v>
      </c>
      <c r="D8" s="67" t="str">
        <f>IF('Prod 1'!D8="","",'Prod 1'!D8)</f>
        <v>Produto D</v>
      </c>
      <c r="E8" s="64">
        <v>45</v>
      </c>
      <c r="F8" s="89">
        <f>IF(D8="","",E8*'Prod 1'!E8)</f>
        <v>21600</v>
      </c>
      <c r="G8" s="71">
        <f t="shared" si="0"/>
        <v>0.34782608695652173</v>
      </c>
      <c r="H8" s="59">
        <f t="shared" si="1"/>
        <v>21600</v>
      </c>
    </row>
    <row r="9" spans="3:9" ht="30" customHeight="1" x14ac:dyDescent="0.25">
      <c r="C9" s="42">
        <v>5</v>
      </c>
      <c r="D9" s="67" t="str">
        <f>IF('Prod 1'!D9="","",'Prod 1'!D9)</f>
        <v>Produto E</v>
      </c>
      <c r="E9" s="64">
        <v>30</v>
      </c>
      <c r="F9" s="89">
        <f>IF(D9="","",E9*'Prod 1'!E9)</f>
        <v>13500</v>
      </c>
      <c r="G9" s="71">
        <f t="shared" si="0"/>
        <v>0.21739130434782608</v>
      </c>
      <c r="H9" s="59">
        <f t="shared" si="1"/>
        <v>13500</v>
      </c>
    </row>
    <row r="10" spans="3:9" ht="30" customHeight="1" x14ac:dyDescent="0.25">
      <c r="C10" s="42">
        <v>6</v>
      </c>
      <c r="D10" s="67" t="str">
        <f>IF('Prod 1'!D10="","",'Prod 1'!D10)</f>
        <v/>
      </c>
      <c r="E10" s="64"/>
      <c r="F10" s="89" t="str">
        <f>IF(D10="","",E10*'Prod 1'!E10)</f>
        <v/>
      </c>
      <c r="G10" s="71" t="str">
        <f t="shared" si="0"/>
        <v/>
      </c>
      <c r="H10" s="59" t="str">
        <f t="shared" si="1"/>
        <v/>
      </c>
    </row>
    <row r="11" spans="3:9" ht="30" customHeight="1" x14ac:dyDescent="0.25">
      <c r="C11" s="42">
        <v>7</v>
      </c>
      <c r="D11" s="67" t="str">
        <f>IF('Prod 1'!D11="","",'Prod 1'!D11)</f>
        <v/>
      </c>
      <c r="E11" s="64"/>
      <c r="F11" s="89" t="str">
        <f>IF(D11="","",E11*'Prod 1'!E11)</f>
        <v/>
      </c>
      <c r="G11" s="71" t="str">
        <f t="shared" si="0"/>
        <v/>
      </c>
      <c r="H11" s="59" t="str">
        <f t="shared" si="1"/>
        <v/>
      </c>
    </row>
    <row r="12" spans="3:9" ht="30" customHeight="1" x14ac:dyDescent="0.25">
      <c r="C12" s="42">
        <v>8</v>
      </c>
      <c r="D12" s="67" t="str">
        <f>IF('Prod 1'!D12="","",'Prod 1'!D12)</f>
        <v/>
      </c>
      <c r="E12" s="64"/>
      <c r="F12" s="89" t="str">
        <f>IF(D12="","",E12*'Prod 1'!E12)</f>
        <v/>
      </c>
      <c r="G12" s="71" t="str">
        <f t="shared" si="0"/>
        <v/>
      </c>
      <c r="H12" s="59" t="str">
        <f t="shared" si="1"/>
        <v/>
      </c>
    </row>
    <row r="13" spans="3:9" ht="30" customHeight="1" x14ac:dyDescent="0.25">
      <c r="C13" s="42">
        <v>9</v>
      </c>
      <c r="D13" s="67" t="str">
        <f>IF('Prod 1'!D13="","",'Prod 1'!D13)</f>
        <v/>
      </c>
      <c r="E13" s="64"/>
      <c r="F13" s="89" t="str">
        <f>IF(D13="","",E13*'Prod 1'!E13)</f>
        <v/>
      </c>
      <c r="G13" s="71" t="str">
        <f t="shared" si="0"/>
        <v/>
      </c>
      <c r="H13" s="59" t="str">
        <f t="shared" si="1"/>
        <v/>
      </c>
    </row>
    <row r="14" spans="3:9" ht="30" customHeight="1" x14ac:dyDescent="0.25">
      <c r="C14" s="42">
        <v>10</v>
      </c>
      <c r="D14" s="67" t="str">
        <f>IF('Prod 1'!D14="","",'Prod 1'!D14)</f>
        <v/>
      </c>
      <c r="E14" s="64"/>
      <c r="F14" s="89" t="str">
        <f>IF(D14="","",E14*'Prod 1'!E14)</f>
        <v/>
      </c>
      <c r="G14" s="71" t="str">
        <f t="shared" si="0"/>
        <v/>
      </c>
      <c r="H14" s="59" t="str">
        <f t="shared" si="1"/>
        <v/>
      </c>
    </row>
    <row r="15" spans="3:9" ht="30" customHeight="1" x14ac:dyDescent="0.25">
      <c r="C15" s="42">
        <v>11</v>
      </c>
      <c r="D15" s="67" t="str">
        <f>IF('Prod 1'!D15="","",'Prod 1'!D15)</f>
        <v/>
      </c>
      <c r="E15" s="64"/>
      <c r="F15" s="89" t="str">
        <f>IF(D15="","",E15*'Prod 1'!E15)</f>
        <v/>
      </c>
      <c r="G15" s="71" t="str">
        <f t="shared" si="0"/>
        <v/>
      </c>
      <c r="H15" s="59" t="str">
        <f t="shared" si="1"/>
        <v/>
      </c>
    </row>
    <row r="16" spans="3:9" ht="30" customHeight="1" x14ac:dyDescent="0.25">
      <c r="C16" s="42">
        <v>12</v>
      </c>
      <c r="D16" s="67" t="str">
        <f>IF('Prod 1'!D16="","",'Prod 1'!D16)</f>
        <v/>
      </c>
      <c r="E16" s="64"/>
      <c r="F16" s="89" t="str">
        <f>IF(D16="","",E16*'Prod 1'!E16)</f>
        <v/>
      </c>
      <c r="G16" s="71" t="str">
        <f t="shared" si="0"/>
        <v/>
      </c>
      <c r="H16" s="59" t="str">
        <f t="shared" si="1"/>
        <v/>
      </c>
    </row>
    <row r="17" spans="3:8" ht="30" customHeight="1" x14ac:dyDescent="0.25">
      <c r="C17" s="42">
        <v>13</v>
      </c>
      <c r="D17" s="67" t="str">
        <f>IF('Prod 1'!D17="","",'Prod 1'!D17)</f>
        <v/>
      </c>
      <c r="E17" s="64"/>
      <c r="F17" s="89" t="str">
        <f>IF(D17="","",E17*'Prod 1'!E17)</f>
        <v/>
      </c>
      <c r="G17" s="71" t="str">
        <f t="shared" si="0"/>
        <v/>
      </c>
      <c r="H17" s="59" t="str">
        <f t="shared" si="1"/>
        <v/>
      </c>
    </row>
    <row r="18" spans="3:8" ht="30" customHeight="1" x14ac:dyDescent="0.25">
      <c r="C18" s="42">
        <v>14</v>
      </c>
      <c r="D18" s="67" t="str">
        <f>IF('Prod 1'!D18="","",'Prod 1'!D18)</f>
        <v/>
      </c>
      <c r="E18" s="64"/>
      <c r="F18" s="89" t="str">
        <f>IF(D18="","",E18*'Prod 1'!E18)</f>
        <v/>
      </c>
      <c r="G18" s="71" t="str">
        <f t="shared" si="0"/>
        <v/>
      </c>
      <c r="H18" s="59" t="str">
        <f t="shared" si="1"/>
        <v/>
      </c>
    </row>
    <row r="19" spans="3:8" ht="30" customHeight="1" x14ac:dyDescent="0.25">
      <c r="C19" s="42">
        <v>15</v>
      </c>
      <c r="D19" s="67" t="str">
        <f>IF('Prod 1'!D19="","",'Prod 1'!D19)</f>
        <v/>
      </c>
      <c r="E19" s="64"/>
      <c r="F19" s="89" t="str">
        <f>IF(D19="","",E19*'Prod 1'!E19)</f>
        <v/>
      </c>
      <c r="G19" s="71" t="str">
        <f t="shared" si="0"/>
        <v/>
      </c>
      <c r="H19" s="59" t="str">
        <f t="shared" si="1"/>
        <v/>
      </c>
    </row>
    <row r="20" spans="3:8" ht="30" customHeight="1" x14ac:dyDescent="0.25">
      <c r="C20" s="42">
        <v>16</v>
      </c>
      <c r="D20" s="67" t="str">
        <f>IF('Prod 1'!D20="","",'Prod 1'!D20)</f>
        <v/>
      </c>
      <c r="E20" s="64"/>
      <c r="F20" s="89" t="str">
        <f>IF(D20="","",E20*'Prod 1'!E20)</f>
        <v/>
      </c>
      <c r="G20" s="71" t="str">
        <f t="shared" si="0"/>
        <v/>
      </c>
      <c r="H20" s="59" t="str">
        <f t="shared" si="1"/>
        <v/>
      </c>
    </row>
    <row r="21" spans="3:8" ht="30" customHeight="1" x14ac:dyDescent="0.25">
      <c r="C21" s="42">
        <v>17</v>
      </c>
      <c r="D21" s="67" t="str">
        <f>IF('Prod 1'!D21="","",'Prod 1'!D21)</f>
        <v/>
      </c>
      <c r="E21" s="64"/>
      <c r="F21" s="89" t="str">
        <f>IF(D21="","",E21*'Prod 1'!E21)</f>
        <v/>
      </c>
      <c r="G21" s="71" t="str">
        <f t="shared" si="0"/>
        <v/>
      </c>
      <c r="H21" s="59" t="str">
        <f t="shared" si="1"/>
        <v/>
      </c>
    </row>
    <row r="22" spans="3:8" ht="30" customHeight="1" x14ac:dyDescent="0.25">
      <c r="C22" s="42">
        <v>18</v>
      </c>
      <c r="D22" s="67" t="str">
        <f>IF('Prod 1'!D22="","",'Prod 1'!D22)</f>
        <v/>
      </c>
      <c r="E22" s="64"/>
      <c r="F22" s="89" t="str">
        <f>IF(D22="","",E22*'Prod 1'!E22)</f>
        <v/>
      </c>
      <c r="G22" s="71" t="str">
        <f t="shared" si="0"/>
        <v/>
      </c>
      <c r="H22" s="59" t="str">
        <f t="shared" si="1"/>
        <v/>
      </c>
    </row>
    <row r="23" spans="3:8" ht="30" customHeight="1" x14ac:dyDescent="0.25">
      <c r="C23" s="42">
        <v>19</v>
      </c>
      <c r="D23" s="67" t="str">
        <f>IF('Prod 1'!D23="","",'Prod 1'!D23)</f>
        <v/>
      </c>
      <c r="E23" s="64"/>
      <c r="F23" s="89" t="str">
        <f>IF(D23="","",E23*'Prod 1'!E23)</f>
        <v/>
      </c>
      <c r="G23" s="71" t="str">
        <f t="shared" si="0"/>
        <v/>
      </c>
      <c r="H23" s="59" t="str">
        <f t="shared" si="1"/>
        <v/>
      </c>
    </row>
    <row r="24" spans="3:8" ht="30" customHeight="1" x14ac:dyDescent="0.25">
      <c r="C24" s="42">
        <v>20</v>
      </c>
      <c r="D24" s="67" t="str">
        <f>IF('Prod 1'!D24="","",'Prod 1'!D24)</f>
        <v/>
      </c>
      <c r="E24" s="64"/>
      <c r="F24" s="89" t="str">
        <f>IF(D24="","",E24*'Prod 1'!E24)</f>
        <v/>
      </c>
      <c r="G24" s="71" t="str">
        <f t="shared" si="0"/>
        <v/>
      </c>
      <c r="H24" s="59" t="str">
        <f t="shared" si="1"/>
        <v/>
      </c>
    </row>
    <row r="25" spans="3:8" ht="30" customHeight="1" x14ac:dyDescent="0.25">
      <c r="C25" s="42">
        <v>21</v>
      </c>
      <c r="D25" s="67" t="str">
        <f>IF('Prod 1'!D25="","",'Prod 1'!D25)</f>
        <v/>
      </c>
      <c r="E25" s="64"/>
      <c r="F25" s="89" t="str">
        <f>IF(D25="","",E25*'Prod 1'!E25)</f>
        <v/>
      </c>
      <c r="G25" s="71" t="str">
        <f t="shared" si="0"/>
        <v/>
      </c>
      <c r="H25" s="59" t="str">
        <f t="shared" si="1"/>
        <v/>
      </c>
    </row>
    <row r="26" spans="3:8" ht="30" customHeight="1" x14ac:dyDescent="0.25">
      <c r="C26" s="42">
        <v>22</v>
      </c>
      <c r="D26" s="67" t="str">
        <f>IF('Prod 1'!D26="","",'Prod 1'!D26)</f>
        <v/>
      </c>
      <c r="E26" s="64"/>
      <c r="F26" s="89" t="str">
        <f>IF(D26="","",E26*'Prod 1'!E26)</f>
        <v/>
      </c>
      <c r="G26" s="71" t="str">
        <f t="shared" si="0"/>
        <v/>
      </c>
      <c r="H26" s="59" t="str">
        <f t="shared" si="1"/>
        <v/>
      </c>
    </row>
    <row r="27" spans="3:8" ht="30" customHeight="1" x14ac:dyDescent="0.25">
      <c r="C27" s="42">
        <v>23</v>
      </c>
      <c r="D27" s="67" t="str">
        <f>IF('Prod 1'!D27="","",'Prod 1'!D27)</f>
        <v/>
      </c>
      <c r="E27" s="64"/>
      <c r="F27" s="89" t="str">
        <f>IF(D27="","",E27*'Prod 1'!E27)</f>
        <v/>
      </c>
      <c r="G27" s="71" t="str">
        <f t="shared" si="0"/>
        <v/>
      </c>
      <c r="H27" s="59" t="str">
        <f t="shared" si="1"/>
        <v/>
      </c>
    </row>
    <row r="28" spans="3:8" ht="30" customHeight="1" x14ac:dyDescent="0.25">
      <c r="C28" s="42">
        <v>24</v>
      </c>
      <c r="D28" s="67" t="str">
        <f>IF('Prod 1'!D28="","",'Prod 1'!D28)</f>
        <v/>
      </c>
      <c r="E28" s="64"/>
      <c r="F28" s="89" t="str">
        <f>IF(D28="","",E28*'Prod 1'!E28)</f>
        <v/>
      </c>
      <c r="G28" s="71" t="str">
        <f t="shared" si="0"/>
        <v/>
      </c>
      <c r="H28" s="59" t="str">
        <f t="shared" si="1"/>
        <v/>
      </c>
    </row>
    <row r="29" spans="3:8" ht="30" customHeight="1" x14ac:dyDescent="0.25">
      <c r="C29" s="42">
        <v>25</v>
      </c>
      <c r="D29" s="67" t="str">
        <f>IF('Prod 1'!D29="","",'Prod 1'!D29)</f>
        <v/>
      </c>
      <c r="E29" s="64"/>
      <c r="F29" s="89" t="str">
        <f>IF(D29="","",E29*'Prod 1'!E29)</f>
        <v/>
      </c>
      <c r="G29" s="71" t="str">
        <f t="shared" si="0"/>
        <v/>
      </c>
      <c r="H29" s="59" t="str">
        <f t="shared" si="1"/>
        <v/>
      </c>
    </row>
    <row r="30" spans="3:8" ht="30" customHeight="1" x14ac:dyDescent="0.25">
      <c r="C30" s="42">
        <v>26</v>
      </c>
      <c r="D30" s="67" t="str">
        <f>IF('Prod 1'!D30="","",'Prod 1'!D30)</f>
        <v/>
      </c>
      <c r="E30" s="64"/>
      <c r="F30" s="89" t="str">
        <f>IF(D30="","",E30*'Prod 1'!E30)</f>
        <v/>
      </c>
      <c r="G30" s="71" t="str">
        <f t="shared" si="0"/>
        <v/>
      </c>
      <c r="H30" s="59" t="str">
        <f t="shared" si="1"/>
        <v/>
      </c>
    </row>
    <row r="31" spans="3:8" ht="30" customHeight="1" x14ac:dyDescent="0.25">
      <c r="C31" s="42">
        <v>27</v>
      </c>
      <c r="D31" s="67" t="str">
        <f>IF('Prod 1'!D31="","",'Prod 1'!D31)</f>
        <v/>
      </c>
      <c r="E31" s="64"/>
      <c r="F31" s="89" t="str">
        <f>IF(D31="","",E31*'Prod 1'!E31)</f>
        <v/>
      </c>
      <c r="G31" s="71" t="str">
        <f t="shared" si="0"/>
        <v/>
      </c>
      <c r="H31" s="59" t="str">
        <f t="shared" si="1"/>
        <v/>
      </c>
    </row>
    <row r="32" spans="3:8" ht="30" customHeight="1" x14ac:dyDescent="0.25">
      <c r="C32" s="42">
        <v>28</v>
      </c>
      <c r="D32" s="67" t="str">
        <f>IF('Prod 1'!D32="","",'Prod 1'!D32)</f>
        <v/>
      </c>
      <c r="E32" s="64"/>
      <c r="F32" s="89" t="str">
        <f>IF(D32="","",E32*'Prod 1'!E32)</f>
        <v/>
      </c>
      <c r="G32" s="71" t="str">
        <f t="shared" si="0"/>
        <v/>
      </c>
      <c r="H32" s="59" t="str">
        <f t="shared" si="1"/>
        <v/>
      </c>
    </row>
    <row r="33" spans="3:8" ht="30" customHeight="1" x14ac:dyDescent="0.25">
      <c r="C33" s="42">
        <v>29</v>
      </c>
      <c r="D33" s="67" t="str">
        <f>IF('Prod 1'!D33="","",'Prod 1'!D33)</f>
        <v/>
      </c>
      <c r="E33" s="64"/>
      <c r="F33" s="89" t="str">
        <f>IF(D33="","",E33*'Prod 1'!E33)</f>
        <v/>
      </c>
      <c r="G33" s="71" t="str">
        <f t="shared" si="0"/>
        <v/>
      </c>
      <c r="H33" s="59" t="str">
        <f t="shared" si="1"/>
        <v/>
      </c>
    </row>
    <row r="34" spans="3:8" ht="30" customHeight="1" x14ac:dyDescent="0.25">
      <c r="C34" s="42">
        <v>30</v>
      </c>
      <c r="D34" s="67" t="str">
        <f>IF('Prod 1'!D34="","",'Prod 1'!D34)</f>
        <v/>
      </c>
      <c r="E34" s="64"/>
      <c r="F34" s="89" t="str">
        <f>IF(D34="","",E34*'Prod 1'!E34)</f>
        <v/>
      </c>
      <c r="G34" s="71" t="str">
        <f t="shared" si="0"/>
        <v/>
      </c>
      <c r="H34" s="59" t="str">
        <f t="shared" si="1"/>
        <v/>
      </c>
    </row>
    <row r="35" spans="3:8" ht="30" customHeight="1" x14ac:dyDescent="0.25">
      <c r="C35" s="42">
        <v>31</v>
      </c>
      <c r="D35" s="67" t="str">
        <f>IF('Prod 1'!D35="","",'Prod 1'!D35)</f>
        <v/>
      </c>
      <c r="E35" s="64"/>
      <c r="F35" s="89" t="str">
        <f>IF(D35="","",E35*'Prod 1'!E35)</f>
        <v/>
      </c>
      <c r="G35" s="71" t="str">
        <f t="shared" si="0"/>
        <v/>
      </c>
      <c r="H35" s="59" t="str">
        <f t="shared" si="1"/>
        <v/>
      </c>
    </row>
    <row r="36" spans="3:8" ht="30" customHeight="1" x14ac:dyDescent="0.25">
      <c r="C36" s="42">
        <v>32</v>
      </c>
      <c r="D36" s="67" t="str">
        <f>IF('Prod 1'!D36="","",'Prod 1'!D36)</f>
        <v/>
      </c>
      <c r="E36" s="64"/>
      <c r="F36" s="89" t="str">
        <f>IF(D36="","",E36*'Prod 1'!E36)</f>
        <v/>
      </c>
      <c r="G36" s="71" t="str">
        <f t="shared" si="0"/>
        <v/>
      </c>
      <c r="H36" s="59" t="str">
        <f t="shared" si="1"/>
        <v/>
      </c>
    </row>
    <row r="37" spans="3:8" ht="30" customHeight="1" x14ac:dyDescent="0.25">
      <c r="C37" s="42">
        <v>33</v>
      </c>
      <c r="D37" s="67" t="str">
        <f>IF('Prod 1'!D37="","",'Prod 1'!D37)</f>
        <v/>
      </c>
      <c r="E37" s="64"/>
      <c r="F37" s="89" t="str">
        <f>IF(D37="","",E37*'Prod 1'!E37)</f>
        <v/>
      </c>
      <c r="G37" s="71" t="str">
        <f t="shared" si="0"/>
        <v/>
      </c>
      <c r="H37" s="59" t="str">
        <f t="shared" si="1"/>
        <v/>
      </c>
    </row>
    <row r="38" spans="3:8" ht="30" customHeight="1" x14ac:dyDescent="0.25">
      <c r="C38" s="42">
        <v>34</v>
      </c>
      <c r="D38" s="67" t="str">
        <f>IF('Prod 1'!D38="","",'Prod 1'!D38)</f>
        <v/>
      </c>
      <c r="E38" s="64"/>
      <c r="F38" s="89" t="str">
        <f>IF(D38="","",E38*'Prod 1'!E38)</f>
        <v/>
      </c>
      <c r="G38" s="71" t="str">
        <f t="shared" si="0"/>
        <v/>
      </c>
      <c r="H38" s="59" t="str">
        <f t="shared" si="1"/>
        <v/>
      </c>
    </row>
    <row r="39" spans="3:8" ht="30" customHeight="1" x14ac:dyDescent="0.25">
      <c r="C39" s="42">
        <v>35</v>
      </c>
      <c r="D39" s="67" t="str">
        <f>IF('Prod 1'!D39="","",'Prod 1'!D39)</f>
        <v/>
      </c>
      <c r="E39" s="64"/>
      <c r="F39" s="89" t="str">
        <f>IF(D39="","",E39*'Prod 1'!E39)</f>
        <v/>
      </c>
      <c r="G39" s="71" t="str">
        <f t="shared" si="0"/>
        <v/>
      </c>
      <c r="H39" s="59" t="str">
        <f t="shared" si="1"/>
        <v/>
      </c>
    </row>
    <row r="40" spans="3:8" ht="30" customHeight="1" x14ac:dyDescent="0.25">
      <c r="C40" s="42">
        <v>36</v>
      </c>
      <c r="D40" s="67" t="str">
        <f>IF('Prod 1'!D40="","",'Prod 1'!D40)</f>
        <v/>
      </c>
      <c r="E40" s="64"/>
      <c r="F40" s="89" t="str">
        <f>IF(D40="","",E40*'Prod 1'!E40)</f>
        <v/>
      </c>
      <c r="G40" s="71" t="str">
        <f t="shared" si="0"/>
        <v/>
      </c>
      <c r="H40" s="59" t="str">
        <f t="shared" si="1"/>
        <v/>
      </c>
    </row>
    <row r="41" spans="3:8" ht="30" customHeight="1" x14ac:dyDescent="0.25">
      <c r="C41" s="42">
        <v>37</v>
      </c>
      <c r="D41" s="67" t="str">
        <f>IF('Prod 1'!D41="","",'Prod 1'!D41)</f>
        <v/>
      </c>
      <c r="E41" s="64"/>
      <c r="F41" s="89" t="str">
        <f>IF(D41="","",E41*'Prod 1'!E41)</f>
        <v/>
      </c>
      <c r="G41" s="71" t="str">
        <f t="shared" si="0"/>
        <v/>
      </c>
      <c r="H41" s="59" t="str">
        <f t="shared" si="1"/>
        <v/>
      </c>
    </row>
    <row r="42" spans="3:8" ht="30" customHeight="1" x14ac:dyDescent="0.25">
      <c r="C42" s="42">
        <v>38</v>
      </c>
      <c r="D42" s="67" t="str">
        <f>IF('Prod 1'!D42="","",'Prod 1'!D42)</f>
        <v/>
      </c>
      <c r="E42" s="64"/>
      <c r="F42" s="89" t="str">
        <f>IF(D42="","",E42*'Prod 1'!E42)</f>
        <v/>
      </c>
      <c r="G42" s="71" t="str">
        <f t="shared" si="0"/>
        <v/>
      </c>
      <c r="H42" s="59" t="str">
        <f t="shared" si="1"/>
        <v/>
      </c>
    </row>
    <row r="43" spans="3:8" ht="30" customHeight="1" x14ac:dyDescent="0.25">
      <c r="C43" s="42">
        <v>39</v>
      </c>
      <c r="D43" s="67" t="str">
        <f>IF('Prod 1'!D43="","",'Prod 1'!D43)</f>
        <v/>
      </c>
      <c r="E43" s="64"/>
      <c r="F43" s="89" t="str">
        <f>IF(D43="","",E43*'Prod 1'!E43)</f>
        <v/>
      </c>
      <c r="G43" s="71" t="str">
        <f t="shared" si="0"/>
        <v/>
      </c>
      <c r="H43" s="59" t="str">
        <f t="shared" si="1"/>
        <v/>
      </c>
    </row>
    <row r="44" spans="3:8" ht="30" customHeight="1" x14ac:dyDescent="0.25">
      <c r="C44" s="42">
        <v>40</v>
      </c>
      <c r="D44" s="67" t="str">
        <f>IF('Prod 1'!D44="","",'Prod 1'!D44)</f>
        <v/>
      </c>
      <c r="E44" s="64"/>
      <c r="F44" s="89" t="str">
        <f>IF(D44="","",E44*'Prod 1'!E44)</f>
        <v/>
      </c>
      <c r="G44" s="71" t="str">
        <f t="shared" si="0"/>
        <v/>
      </c>
      <c r="H44" s="59" t="str">
        <f t="shared" si="1"/>
        <v/>
      </c>
    </row>
    <row r="45" spans="3:8" ht="30" customHeight="1" x14ac:dyDescent="0.25">
      <c r="C45" s="42">
        <v>41</v>
      </c>
      <c r="D45" s="67" t="str">
        <f>IF('Prod 1'!D45="","",'Prod 1'!D45)</f>
        <v/>
      </c>
      <c r="E45" s="64"/>
      <c r="F45" s="89" t="str">
        <f>IF(D45="","",E45*'Prod 1'!E45)</f>
        <v/>
      </c>
      <c r="G45" s="71" t="str">
        <f t="shared" si="0"/>
        <v/>
      </c>
      <c r="H45" s="59" t="str">
        <f t="shared" si="1"/>
        <v/>
      </c>
    </row>
    <row r="46" spans="3:8" ht="30" customHeight="1" x14ac:dyDescent="0.25">
      <c r="C46" s="42">
        <v>42</v>
      </c>
      <c r="D46" s="67" t="str">
        <f>IF('Prod 1'!D46="","",'Prod 1'!D46)</f>
        <v/>
      </c>
      <c r="E46" s="64"/>
      <c r="F46" s="89" t="str">
        <f>IF(D46="","",E46*'Prod 1'!E46)</f>
        <v/>
      </c>
      <c r="G46" s="71" t="str">
        <f t="shared" si="0"/>
        <v/>
      </c>
      <c r="H46" s="59" t="str">
        <f t="shared" si="1"/>
        <v/>
      </c>
    </row>
    <row r="47" spans="3:8" ht="30" customHeight="1" x14ac:dyDescent="0.25">
      <c r="C47" s="42">
        <v>43</v>
      </c>
      <c r="D47" s="67" t="str">
        <f>IF('Prod 1'!D47="","",'Prod 1'!D47)</f>
        <v/>
      </c>
      <c r="E47" s="64"/>
      <c r="F47" s="89" t="str">
        <f>IF(D47="","",E47*'Prod 1'!E47)</f>
        <v/>
      </c>
      <c r="G47" s="71" t="str">
        <f t="shared" si="0"/>
        <v/>
      </c>
      <c r="H47" s="59" t="str">
        <f t="shared" si="1"/>
        <v/>
      </c>
    </row>
    <row r="48" spans="3:8" ht="30" customHeight="1" x14ac:dyDescent="0.25">
      <c r="C48" s="42">
        <v>44</v>
      </c>
      <c r="D48" s="67" t="str">
        <f>IF('Prod 1'!D48="","",'Prod 1'!D48)</f>
        <v/>
      </c>
      <c r="E48" s="64"/>
      <c r="F48" s="89" t="str">
        <f>IF(D48="","",E48*'Prod 1'!E48)</f>
        <v/>
      </c>
      <c r="G48" s="71" t="str">
        <f t="shared" si="0"/>
        <v/>
      </c>
      <c r="H48" s="59" t="str">
        <f t="shared" si="1"/>
        <v/>
      </c>
    </row>
    <row r="49" spans="3:8" ht="30" customHeight="1" x14ac:dyDescent="0.25">
      <c r="C49" s="42">
        <v>45</v>
      </c>
      <c r="D49" s="67" t="str">
        <f>IF('Prod 1'!D49="","",'Prod 1'!D49)</f>
        <v/>
      </c>
      <c r="E49" s="64"/>
      <c r="F49" s="89" t="str">
        <f>IF(D49="","",E49*'Prod 1'!E49)</f>
        <v/>
      </c>
      <c r="G49" s="71" t="str">
        <f t="shared" si="0"/>
        <v/>
      </c>
      <c r="H49" s="59" t="str">
        <f t="shared" si="1"/>
        <v/>
      </c>
    </row>
    <row r="50" spans="3:8" ht="30" customHeight="1" x14ac:dyDescent="0.25">
      <c r="C50" s="42">
        <v>46</v>
      </c>
      <c r="D50" s="67" t="str">
        <f>IF('Prod 1'!D50="","",'Prod 1'!D50)</f>
        <v/>
      </c>
      <c r="E50" s="64"/>
      <c r="F50" s="89" t="str">
        <f>IF(D50="","",E50*'Prod 1'!E50)</f>
        <v/>
      </c>
      <c r="G50" s="71" t="str">
        <f t="shared" si="0"/>
        <v/>
      </c>
      <c r="H50" s="59" t="str">
        <f t="shared" si="1"/>
        <v/>
      </c>
    </row>
    <row r="51" spans="3:8" ht="30" customHeight="1" x14ac:dyDescent="0.25">
      <c r="C51" s="42">
        <v>47</v>
      </c>
      <c r="D51" s="67" t="str">
        <f>IF('Prod 1'!D51="","",'Prod 1'!D51)</f>
        <v/>
      </c>
      <c r="E51" s="64"/>
      <c r="F51" s="89" t="str">
        <f>IF(D51="","",E51*'Prod 1'!E51)</f>
        <v/>
      </c>
      <c r="G51" s="71" t="str">
        <f t="shared" si="0"/>
        <v/>
      </c>
      <c r="H51" s="59" t="str">
        <f t="shared" si="1"/>
        <v/>
      </c>
    </row>
    <row r="52" spans="3:8" ht="30" customHeight="1" x14ac:dyDescent="0.25">
      <c r="C52" s="42">
        <v>48</v>
      </c>
      <c r="D52" s="67" t="str">
        <f>IF('Prod 1'!D52="","",'Prod 1'!D52)</f>
        <v/>
      </c>
      <c r="E52" s="64"/>
      <c r="F52" s="89" t="str">
        <f>IF(D52="","",E52*'Prod 1'!E52)</f>
        <v/>
      </c>
      <c r="G52" s="71" t="str">
        <f t="shared" si="0"/>
        <v/>
      </c>
      <c r="H52" s="59" t="str">
        <f t="shared" si="1"/>
        <v/>
      </c>
    </row>
    <row r="53" spans="3:8" ht="30" customHeight="1" x14ac:dyDescent="0.25">
      <c r="C53" s="42">
        <v>49</v>
      </c>
      <c r="D53" s="67" t="str">
        <f>IF('Prod 1'!D53="","",'Prod 1'!D53)</f>
        <v/>
      </c>
      <c r="E53" s="64"/>
      <c r="F53" s="89" t="str">
        <f>IF(D53="","",E53*'Prod 1'!E53)</f>
        <v/>
      </c>
      <c r="G53" s="71" t="str">
        <f t="shared" si="0"/>
        <v/>
      </c>
      <c r="H53" s="59" t="str">
        <f t="shared" si="1"/>
        <v/>
      </c>
    </row>
    <row r="54" spans="3:8" ht="30" customHeight="1" x14ac:dyDescent="0.25">
      <c r="C54" s="42">
        <v>50</v>
      </c>
      <c r="D54" s="67" t="str">
        <f>IF('Prod 1'!D54="","",'Prod 1'!D54)</f>
        <v/>
      </c>
      <c r="E54" s="64"/>
      <c r="F54" s="89" t="str">
        <f>IF(D54="","",E54*'Prod 1'!E54)</f>
        <v/>
      </c>
      <c r="G54" s="71" t="str">
        <f t="shared" si="0"/>
        <v/>
      </c>
      <c r="H54" s="59" t="str">
        <f t="shared" si="1"/>
        <v/>
      </c>
    </row>
    <row r="55" spans="3:8" ht="30" customHeight="1" x14ac:dyDescent="0.25">
      <c r="C55" s="42">
        <v>51</v>
      </c>
      <c r="D55" s="67" t="str">
        <f>IF('Prod 1'!D55="","",'Prod 1'!D55)</f>
        <v/>
      </c>
      <c r="E55" s="64"/>
      <c r="F55" s="89" t="str">
        <f>IF(D55="","",E55*'Prod 1'!E55)</f>
        <v/>
      </c>
      <c r="G55" s="71" t="str">
        <f t="shared" si="0"/>
        <v/>
      </c>
      <c r="H55" s="59" t="str">
        <f t="shared" si="1"/>
        <v/>
      </c>
    </row>
    <row r="56" spans="3:8" ht="30" customHeight="1" x14ac:dyDescent="0.25">
      <c r="C56" s="42">
        <v>52</v>
      </c>
      <c r="D56" s="67" t="str">
        <f>IF('Prod 1'!D56="","",'Prod 1'!D56)</f>
        <v/>
      </c>
      <c r="E56" s="64"/>
      <c r="F56" s="89" t="str">
        <f>IF(D56="","",E56*'Prod 1'!E56)</f>
        <v/>
      </c>
      <c r="G56" s="71" t="str">
        <f t="shared" si="0"/>
        <v/>
      </c>
      <c r="H56" s="59" t="str">
        <f t="shared" si="1"/>
        <v/>
      </c>
    </row>
    <row r="57" spans="3:8" ht="30" customHeight="1" x14ac:dyDescent="0.25">
      <c r="C57" s="42">
        <v>53</v>
      </c>
      <c r="D57" s="67" t="str">
        <f>IF('Prod 1'!D57="","",'Prod 1'!D57)</f>
        <v/>
      </c>
      <c r="E57" s="64"/>
      <c r="F57" s="89" t="str">
        <f>IF(D57="","",E57*'Prod 1'!E57)</f>
        <v/>
      </c>
      <c r="G57" s="71" t="str">
        <f t="shared" si="0"/>
        <v/>
      </c>
      <c r="H57" s="59" t="str">
        <f t="shared" si="1"/>
        <v/>
      </c>
    </row>
    <row r="58" spans="3:8" ht="30" customHeight="1" x14ac:dyDescent="0.25">
      <c r="C58" s="42">
        <v>54</v>
      </c>
      <c r="D58" s="67" t="str">
        <f>IF('Prod 1'!D58="","",'Prod 1'!D58)</f>
        <v/>
      </c>
      <c r="E58" s="64"/>
      <c r="F58" s="89" t="str">
        <f>IF(D58="","",E58*'Prod 1'!E58)</f>
        <v/>
      </c>
      <c r="G58" s="71" t="str">
        <f t="shared" si="0"/>
        <v/>
      </c>
      <c r="H58" s="59" t="str">
        <f t="shared" si="1"/>
        <v/>
      </c>
    </row>
    <row r="59" spans="3:8" ht="30" customHeight="1" x14ac:dyDescent="0.25">
      <c r="C59" s="42">
        <v>55</v>
      </c>
      <c r="D59" s="67" t="str">
        <f>IF('Prod 1'!D59="","",'Prod 1'!D59)</f>
        <v/>
      </c>
      <c r="E59" s="64"/>
      <c r="F59" s="89" t="str">
        <f>IF(D59="","",E59*'Prod 1'!E59)</f>
        <v/>
      </c>
      <c r="G59" s="71" t="str">
        <f t="shared" si="0"/>
        <v/>
      </c>
      <c r="H59" s="59" t="str">
        <f t="shared" si="1"/>
        <v/>
      </c>
    </row>
    <row r="60" spans="3:8" ht="30" customHeight="1" x14ac:dyDescent="0.25">
      <c r="C60" s="42">
        <v>56</v>
      </c>
      <c r="D60" s="67" t="str">
        <f>IF('Prod 1'!D60="","",'Prod 1'!D60)</f>
        <v/>
      </c>
      <c r="E60" s="64"/>
      <c r="F60" s="89" t="str">
        <f>IF(D60="","",E60*'Prod 1'!E60)</f>
        <v/>
      </c>
      <c r="G60" s="71" t="str">
        <f t="shared" si="0"/>
        <v/>
      </c>
      <c r="H60" s="59" t="str">
        <f t="shared" si="1"/>
        <v/>
      </c>
    </row>
    <row r="61" spans="3:8" ht="30" customHeight="1" x14ac:dyDescent="0.25">
      <c r="C61" s="42">
        <v>57</v>
      </c>
      <c r="D61" s="67" t="str">
        <f>IF('Prod 1'!D61="","",'Prod 1'!D61)</f>
        <v/>
      </c>
      <c r="E61" s="64"/>
      <c r="F61" s="89" t="str">
        <f>IF(D61="","",E61*'Prod 1'!E61)</f>
        <v/>
      </c>
      <c r="G61" s="71" t="str">
        <f t="shared" si="0"/>
        <v/>
      </c>
      <c r="H61" s="59" t="str">
        <f t="shared" si="1"/>
        <v/>
      </c>
    </row>
    <row r="62" spans="3:8" ht="30" customHeight="1" x14ac:dyDescent="0.25">
      <c r="C62" s="42">
        <v>58</v>
      </c>
      <c r="D62" s="67" t="str">
        <f>IF('Prod 1'!D62="","",'Prod 1'!D62)</f>
        <v/>
      </c>
      <c r="E62" s="64"/>
      <c r="F62" s="89" t="str">
        <f>IF(D62="","",E62*'Prod 1'!E62)</f>
        <v/>
      </c>
      <c r="G62" s="71" t="str">
        <f t="shared" si="0"/>
        <v/>
      </c>
      <c r="H62" s="59" t="str">
        <f t="shared" si="1"/>
        <v/>
      </c>
    </row>
    <row r="63" spans="3:8" ht="30" customHeight="1" x14ac:dyDescent="0.25">
      <c r="C63" s="42">
        <v>59</v>
      </c>
      <c r="D63" s="67" t="str">
        <f>IF('Prod 1'!D63="","",'Prod 1'!D63)</f>
        <v/>
      </c>
      <c r="E63" s="64"/>
      <c r="F63" s="89" t="str">
        <f>IF(D63="","",E63*'Prod 1'!E63)</f>
        <v/>
      </c>
      <c r="G63" s="71" t="str">
        <f t="shared" si="0"/>
        <v/>
      </c>
      <c r="H63" s="59" t="str">
        <f t="shared" si="1"/>
        <v/>
      </c>
    </row>
    <row r="64" spans="3:8" ht="30" customHeight="1" x14ac:dyDescent="0.25">
      <c r="C64" s="42">
        <v>60</v>
      </c>
      <c r="D64" s="67" t="str">
        <f>IF('Prod 1'!D64="","",'Prod 1'!D64)</f>
        <v/>
      </c>
      <c r="E64" s="64"/>
      <c r="F64" s="89" t="str">
        <f>IF(D64="","",E64*'Prod 1'!E64)</f>
        <v/>
      </c>
      <c r="G64" s="71" t="str">
        <f t="shared" si="0"/>
        <v/>
      </c>
      <c r="H64" s="59" t="str">
        <f t="shared" si="1"/>
        <v/>
      </c>
    </row>
    <row r="65" spans="3:8" ht="30" customHeight="1" x14ac:dyDescent="0.25">
      <c r="C65" s="42">
        <v>61</v>
      </c>
      <c r="D65" s="67" t="str">
        <f>IF('Prod 1'!D65="","",'Prod 1'!D65)</f>
        <v/>
      </c>
      <c r="E65" s="64"/>
      <c r="F65" s="89" t="str">
        <f>IF(D65="","",E65*'Prod 1'!E65)</f>
        <v/>
      </c>
      <c r="G65" s="71" t="str">
        <f t="shared" si="0"/>
        <v/>
      </c>
      <c r="H65" s="59" t="str">
        <f t="shared" si="1"/>
        <v/>
      </c>
    </row>
    <row r="66" spans="3:8" ht="30" customHeight="1" x14ac:dyDescent="0.25">
      <c r="C66" s="42">
        <v>62</v>
      </c>
      <c r="D66" s="67" t="str">
        <f>IF('Prod 1'!D66="","",'Prod 1'!D66)</f>
        <v/>
      </c>
      <c r="E66" s="64"/>
      <c r="F66" s="89" t="str">
        <f>IF(D66="","",E66*'Prod 1'!E66)</f>
        <v/>
      </c>
      <c r="G66" s="71" t="str">
        <f t="shared" si="0"/>
        <v/>
      </c>
      <c r="H66" s="59" t="str">
        <f t="shared" si="1"/>
        <v/>
      </c>
    </row>
    <row r="67" spans="3:8" ht="30" customHeight="1" x14ac:dyDescent="0.25">
      <c r="C67" s="42">
        <v>63</v>
      </c>
      <c r="D67" s="67" t="str">
        <f>IF('Prod 1'!D67="","",'Prod 1'!D67)</f>
        <v/>
      </c>
      <c r="E67" s="64"/>
      <c r="F67" s="89" t="str">
        <f>IF(D67="","",E67*'Prod 1'!E67)</f>
        <v/>
      </c>
      <c r="G67" s="71" t="str">
        <f t="shared" si="0"/>
        <v/>
      </c>
      <c r="H67" s="59" t="str">
        <f t="shared" si="1"/>
        <v/>
      </c>
    </row>
    <row r="68" spans="3:8" ht="30" customHeight="1" x14ac:dyDescent="0.25">
      <c r="C68" s="42">
        <v>64</v>
      </c>
      <c r="D68" s="67" t="str">
        <f>IF('Prod 1'!D68="","",'Prod 1'!D68)</f>
        <v/>
      </c>
      <c r="E68" s="64"/>
      <c r="F68" s="89" t="str">
        <f>IF(D68="","",E68*'Prod 1'!E68)</f>
        <v/>
      </c>
      <c r="G68" s="71" t="str">
        <f t="shared" si="0"/>
        <v/>
      </c>
      <c r="H68" s="59" t="str">
        <f t="shared" si="1"/>
        <v/>
      </c>
    </row>
    <row r="69" spans="3:8" ht="30" customHeight="1" x14ac:dyDescent="0.25">
      <c r="C69" s="42">
        <v>65</v>
      </c>
      <c r="D69" s="67" t="str">
        <f>IF('Prod 1'!D69="","",'Prod 1'!D69)</f>
        <v/>
      </c>
      <c r="E69" s="64"/>
      <c r="F69" s="89" t="str">
        <f>IF(D69="","",E69*'Prod 1'!E69)</f>
        <v/>
      </c>
      <c r="G69" s="71" t="str">
        <f t="shared" ref="G69:G132" si="2">IF(D69="","",IFERROR(F69/$H$3,0))</f>
        <v/>
      </c>
      <c r="H69" s="59" t="str">
        <f t="shared" ref="H69:H132" si="3">F69</f>
        <v/>
      </c>
    </row>
    <row r="70" spans="3:8" ht="30" customHeight="1" x14ac:dyDescent="0.25">
      <c r="C70" s="42">
        <v>66</v>
      </c>
      <c r="D70" s="67" t="str">
        <f>IF('Prod 1'!D70="","",'Prod 1'!D70)</f>
        <v/>
      </c>
      <c r="E70" s="64"/>
      <c r="F70" s="89" t="str">
        <f>IF(D70="","",E70*'Prod 1'!E70)</f>
        <v/>
      </c>
      <c r="G70" s="71" t="str">
        <f t="shared" si="2"/>
        <v/>
      </c>
      <c r="H70" s="59" t="str">
        <f t="shared" si="3"/>
        <v/>
      </c>
    </row>
    <row r="71" spans="3:8" ht="30" customHeight="1" x14ac:dyDescent="0.25">
      <c r="C71" s="42">
        <v>67</v>
      </c>
      <c r="D71" s="67" t="str">
        <f>IF('Prod 1'!D71="","",'Prod 1'!D71)</f>
        <v/>
      </c>
      <c r="E71" s="64"/>
      <c r="F71" s="89" t="str">
        <f>IF(D71="","",E71*'Prod 1'!E71)</f>
        <v/>
      </c>
      <c r="G71" s="71" t="str">
        <f t="shared" si="2"/>
        <v/>
      </c>
      <c r="H71" s="59" t="str">
        <f t="shared" si="3"/>
        <v/>
      </c>
    </row>
    <row r="72" spans="3:8" ht="30" customHeight="1" x14ac:dyDescent="0.25">
      <c r="C72" s="42">
        <v>68</v>
      </c>
      <c r="D72" s="67" t="str">
        <f>IF('Prod 1'!D72="","",'Prod 1'!D72)</f>
        <v/>
      </c>
      <c r="E72" s="64"/>
      <c r="F72" s="89" t="str">
        <f>IF(D72="","",E72*'Prod 1'!E72)</f>
        <v/>
      </c>
      <c r="G72" s="71" t="str">
        <f t="shared" si="2"/>
        <v/>
      </c>
      <c r="H72" s="59" t="str">
        <f t="shared" si="3"/>
        <v/>
      </c>
    </row>
    <row r="73" spans="3:8" ht="30" customHeight="1" x14ac:dyDescent="0.25">
      <c r="C73" s="42">
        <v>69</v>
      </c>
      <c r="D73" s="67" t="str">
        <f>IF('Prod 1'!D73="","",'Prod 1'!D73)</f>
        <v/>
      </c>
      <c r="E73" s="64"/>
      <c r="F73" s="89" t="str">
        <f>IF(D73="","",E73*'Prod 1'!E73)</f>
        <v/>
      </c>
      <c r="G73" s="71" t="str">
        <f t="shared" si="2"/>
        <v/>
      </c>
      <c r="H73" s="59" t="str">
        <f t="shared" si="3"/>
        <v/>
      </c>
    </row>
    <row r="74" spans="3:8" ht="30" customHeight="1" x14ac:dyDescent="0.25">
      <c r="C74" s="42">
        <v>70</v>
      </c>
      <c r="D74" s="67" t="str">
        <f>IF('Prod 1'!D74="","",'Prod 1'!D74)</f>
        <v/>
      </c>
      <c r="E74" s="64"/>
      <c r="F74" s="89" t="str">
        <f>IF(D74="","",E74*'Prod 1'!E74)</f>
        <v/>
      </c>
      <c r="G74" s="71" t="str">
        <f t="shared" si="2"/>
        <v/>
      </c>
      <c r="H74" s="59" t="str">
        <f t="shared" si="3"/>
        <v/>
      </c>
    </row>
    <row r="75" spans="3:8" ht="30" customHeight="1" x14ac:dyDescent="0.25">
      <c r="C75" s="42">
        <v>71</v>
      </c>
      <c r="D75" s="67" t="str">
        <f>IF('Prod 1'!D75="","",'Prod 1'!D75)</f>
        <v/>
      </c>
      <c r="E75" s="64"/>
      <c r="F75" s="89" t="str">
        <f>IF(D75="","",E75*'Prod 1'!E75)</f>
        <v/>
      </c>
      <c r="G75" s="71" t="str">
        <f t="shared" si="2"/>
        <v/>
      </c>
      <c r="H75" s="59" t="str">
        <f t="shared" si="3"/>
        <v/>
      </c>
    </row>
    <row r="76" spans="3:8" ht="30" customHeight="1" x14ac:dyDescent="0.25">
      <c r="C76" s="42">
        <v>72</v>
      </c>
      <c r="D76" s="67" t="str">
        <f>IF('Prod 1'!D76="","",'Prod 1'!D76)</f>
        <v/>
      </c>
      <c r="E76" s="64"/>
      <c r="F76" s="89" t="str">
        <f>IF(D76="","",E76*'Prod 1'!E76)</f>
        <v/>
      </c>
      <c r="G76" s="71" t="str">
        <f t="shared" si="2"/>
        <v/>
      </c>
      <c r="H76" s="59" t="str">
        <f t="shared" si="3"/>
        <v/>
      </c>
    </row>
    <row r="77" spans="3:8" ht="30" customHeight="1" x14ac:dyDescent="0.25">
      <c r="C77" s="42">
        <v>73</v>
      </c>
      <c r="D77" s="67" t="str">
        <f>IF('Prod 1'!D77="","",'Prod 1'!D77)</f>
        <v/>
      </c>
      <c r="E77" s="64"/>
      <c r="F77" s="89" t="str">
        <f>IF(D77="","",E77*'Prod 1'!E77)</f>
        <v/>
      </c>
      <c r="G77" s="71" t="str">
        <f t="shared" si="2"/>
        <v/>
      </c>
      <c r="H77" s="59" t="str">
        <f t="shared" si="3"/>
        <v/>
      </c>
    </row>
    <row r="78" spans="3:8" ht="30" customHeight="1" x14ac:dyDescent="0.25">
      <c r="C78" s="42">
        <v>74</v>
      </c>
      <c r="D78" s="67" t="str">
        <f>IF('Prod 1'!D78="","",'Prod 1'!D78)</f>
        <v/>
      </c>
      <c r="E78" s="64"/>
      <c r="F78" s="89" t="str">
        <f>IF(D78="","",E78*'Prod 1'!E78)</f>
        <v/>
      </c>
      <c r="G78" s="71" t="str">
        <f t="shared" si="2"/>
        <v/>
      </c>
      <c r="H78" s="59" t="str">
        <f t="shared" si="3"/>
        <v/>
      </c>
    </row>
    <row r="79" spans="3:8" ht="30" customHeight="1" x14ac:dyDescent="0.25">
      <c r="C79" s="42">
        <v>75</v>
      </c>
      <c r="D79" s="67" t="str">
        <f>IF('Prod 1'!D79="","",'Prod 1'!D79)</f>
        <v/>
      </c>
      <c r="E79" s="64"/>
      <c r="F79" s="89" t="str">
        <f>IF(D79="","",E79*'Prod 1'!E79)</f>
        <v/>
      </c>
      <c r="G79" s="71" t="str">
        <f t="shared" si="2"/>
        <v/>
      </c>
      <c r="H79" s="59" t="str">
        <f t="shared" si="3"/>
        <v/>
      </c>
    </row>
    <row r="80" spans="3:8" ht="30" customHeight="1" x14ac:dyDescent="0.25">
      <c r="C80" s="42">
        <v>76</v>
      </c>
      <c r="D80" s="67" t="str">
        <f>IF('Prod 1'!D80="","",'Prod 1'!D80)</f>
        <v/>
      </c>
      <c r="E80" s="64"/>
      <c r="F80" s="89" t="str">
        <f>IF(D80="","",E80*'Prod 1'!E80)</f>
        <v/>
      </c>
      <c r="G80" s="71" t="str">
        <f t="shared" si="2"/>
        <v/>
      </c>
      <c r="H80" s="59" t="str">
        <f t="shared" si="3"/>
        <v/>
      </c>
    </row>
    <row r="81" spans="3:8" ht="30" customHeight="1" x14ac:dyDescent="0.25">
      <c r="C81" s="42">
        <v>77</v>
      </c>
      <c r="D81" s="67" t="str">
        <f>IF('Prod 1'!D81="","",'Prod 1'!D81)</f>
        <v/>
      </c>
      <c r="E81" s="64"/>
      <c r="F81" s="89" t="str">
        <f>IF(D81="","",E81*'Prod 1'!E81)</f>
        <v/>
      </c>
      <c r="G81" s="71" t="str">
        <f t="shared" si="2"/>
        <v/>
      </c>
      <c r="H81" s="59" t="str">
        <f t="shared" si="3"/>
        <v/>
      </c>
    </row>
    <row r="82" spans="3:8" ht="30" customHeight="1" x14ac:dyDescent="0.25">
      <c r="C82" s="42">
        <v>78</v>
      </c>
      <c r="D82" s="67" t="str">
        <f>IF('Prod 1'!D82="","",'Prod 1'!D82)</f>
        <v/>
      </c>
      <c r="E82" s="64"/>
      <c r="F82" s="89" t="str">
        <f>IF(D82="","",E82*'Prod 1'!E82)</f>
        <v/>
      </c>
      <c r="G82" s="71" t="str">
        <f t="shared" si="2"/>
        <v/>
      </c>
      <c r="H82" s="59" t="str">
        <f t="shared" si="3"/>
        <v/>
      </c>
    </row>
    <row r="83" spans="3:8" ht="30" customHeight="1" x14ac:dyDescent="0.25">
      <c r="C83" s="42">
        <v>79</v>
      </c>
      <c r="D83" s="67" t="str">
        <f>IF('Prod 1'!D83="","",'Prod 1'!D83)</f>
        <v/>
      </c>
      <c r="E83" s="64"/>
      <c r="F83" s="89" t="str">
        <f>IF(D83="","",E83*'Prod 1'!E83)</f>
        <v/>
      </c>
      <c r="G83" s="71" t="str">
        <f t="shared" si="2"/>
        <v/>
      </c>
      <c r="H83" s="59" t="str">
        <f t="shared" si="3"/>
        <v/>
      </c>
    </row>
    <row r="84" spans="3:8" ht="30" customHeight="1" x14ac:dyDescent="0.25">
      <c r="C84" s="42">
        <v>80</v>
      </c>
      <c r="D84" s="67" t="str">
        <f>IF('Prod 1'!D84="","",'Prod 1'!D84)</f>
        <v/>
      </c>
      <c r="E84" s="64"/>
      <c r="F84" s="89" t="str">
        <f>IF(D84="","",E84*'Prod 1'!E84)</f>
        <v/>
      </c>
      <c r="G84" s="71" t="str">
        <f t="shared" si="2"/>
        <v/>
      </c>
      <c r="H84" s="59" t="str">
        <f t="shared" si="3"/>
        <v/>
      </c>
    </row>
    <row r="85" spans="3:8" ht="30" customHeight="1" x14ac:dyDescent="0.25">
      <c r="C85" s="42">
        <v>81</v>
      </c>
      <c r="D85" s="67" t="str">
        <f>IF('Prod 1'!D85="","",'Prod 1'!D85)</f>
        <v/>
      </c>
      <c r="E85" s="64"/>
      <c r="F85" s="89" t="str">
        <f>IF(D85="","",E85*'Prod 1'!E85)</f>
        <v/>
      </c>
      <c r="G85" s="71" t="str">
        <f t="shared" si="2"/>
        <v/>
      </c>
      <c r="H85" s="59" t="str">
        <f t="shared" si="3"/>
        <v/>
      </c>
    </row>
    <row r="86" spans="3:8" ht="30" customHeight="1" x14ac:dyDescent="0.25">
      <c r="C86" s="42">
        <v>82</v>
      </c>
      <c r="D86" s="67" t="str">
        <f>IF('Prod 1'!D86="","",'Prod 1'!D86)</f>
        <v/>
      </c>
      <c r="E86" s="64"/>
      <c r="F86" s="89" t="str">
        <f>IF(D86="","",E86*'Prod 1'!E86)</f>
        <v/>
      </c>
      <c r="G86" s="71" t="str">
        <f t="shared" si="2"/>
        <v/>
      </c>
      <c r="H86" s="59" t="str">
        <f t="shared" si="3"/>
        <v/>
      </c>
    </row>
    <row r="87" spans="3:8" ht="30" customHeight="1" x14ac:dyDescent="0.25">
      <c r="C87" s="42">
        <v>83</v>
      </c>
      <c r="D87" s="67" t="str">
        <f>IF('Prod 1'!D87="","",'Prod 1'!D87)</f>
        <v/>
      </c>
      <c r="E87" s="64"/>
      <c r="F87" s="89" t="str">
        <f>IF(D87="","",E87*'Prod 1'!E87)</f>
        <v/>
      </c>
      <c r="G87" s="71" t="str">
        <f t="shared" si="2"/>
        <v/>
      </c>
      <c r="H87" s="59" t="str">
        <f t="shared" si="3"/>
        <v/>
      </c>
    </row>
    <row r="88" spans="3:8" ht="30" customHeight="1" x14ac:dyDescent="0.25">
      <c r="C88" s="42">
        <v>84</v>
      </c>
      <c r="D88" s="67" t="str">
        <f>IF('Prod 1'!D88="","",'Prod 1'!D88)</f>
        <v/>
      </c>
      <c r="E88" s="64"/>
      <c r="F88" s="89" t="str">
        <f>IF(D88="","",E88*'Prod 1'!E88)</f>
        <v/>
      </c>
      <c r="G88" s="71" t="str">
        <f t="shared" si="2"/>
        <v/>
      </c>
      <c r="H88" s="59" t="str">
        <f t="shared" si="3"/>
        <v/>
      </c>
    </row>
    <row r="89" spans="3:8" ht="30" customHeight="1" x14ac:dyDescent="0.25">
      <c r="C89" s="42">
        <v>85</v>
      </c>
      <c r="D89" s="67" t="str">
        <f>IF('Prod 1'!D89="","",'Prod 1'!D89)</f>
        <v/>
      </c>
      <c r="E89" s="64"/>
      <c r="F89" s="89" t="str">
        <f>IF(D89="","",E89*'Prod 1'!E89)</f>
        <v/>
      </c>
      <c r="G89" s="71" t="str">
        <f t="shared" si="2"/>
        <v/>
      </c>
      <c r="H89" s="59" t="str">
        <f t="shared" si="3"/>
        <v/>
      </c>
    </row>
    <row r="90" spans="3:8" ht="30" customHeight="1" x14ac:dyDescent="0.25">
      <c r="C90" s="42">
        <v>86</v>
      </c>
      <c r="D90" s="67" t="str">
        <f>IF('Prod 1'!D90="","",'Prod 1'!D90)</f>
        <v/>
      </c>
      <c r="E90" s="64"/>
      <c r="F90" s="89" t="str">
        <f>IF(D90="","",E90*'Prod 1'!E90)</f>
        <v/>
      </c>
      <c r="G90" s="71" t="str">
        <f t="shared" si="2"/>
        <v/>
      </c>
      <c r="H90" s="59" t="str">
        <f t="shared" si="3"/>
        <v/>
      </c>
    </row>
    <row r="91" spans="3:8" ht="30" customHeight="1" x14ac:dyDescent="0.25">
      <c r="C91" s="42">
        <v>87</v>
      </c>
      <c r="D91" s="67" t="str">
        <f>IF('Prod 1'!D91="","",'Prod 1'!D91)</f>
        <v/>
      </c>
      <c r="E91" s="64"/>
      <c r="F91" s="89" t="str">
        <f>IF(D91="","",E91*'Prod 1'!E91)</f>
        <v/>
      </c>
      <c r="G91" s="71" t="str">
        <f t="shared" si="2"/>
        <v/>
      </c>
      <c r="H91" s="59" t="str">
        <f t="shared" si="3"/>
        <v/>
      </c>
    </row>
    <row r="92" spans="3:8" ht="30" customHeight="1" x14ac:dyDescent="0.25">
      <c r="C92" s="42">
        <v>88</v>
      </c>
      <c r="D92" s="67" t="str">
        <f>IF('Prod 1'!D92="","",'Prod 1'!D92)</f>
        <v/>
      </c>
      <c r="E92" s="64"/>
      <c r="F92" s="89" t="str">
        <f>IF(D92="","",E92*'Prod 1'!E92)</f>
        <v/>
      </c>
      <c r="G92" s="71" t="str">
        <f t="shared" si="2"/>
        <v/>
      </c>
      <c r="H92" s="59" t="str">
        <f t="shared" si="3"/>
        <v/>
      </c>
    </row>
    <row r="93" spans="3:8" ht="30" customHeight="1" x14ac:dyDescent="0.25">
      <c r="C93" s="42">
        <v>89</v>
      </c>
      <c r="D93" s="67" t="str">
        <f>IF('Prod 1'!D93="","",'Prod 1'!D93)</f>
        <v/>
      </c>
      <c r="E93" s="64"/>
      <c r="F93" s="89" t="str">
        <f>IF(D93="","",E93*'Prod 1'!E93)</f>
        <v/>
      </c>
      <c r="G93" s="71" t="str">
        <f t="shared" si="2"/>
        <v/>
      </c>
      <c r="H93" s="59" t="str">
        <f t="shared" si="3"/>
        <v/>
      </c>
    </row>
    <row r="94" spans="3:8" ht="30" customHeight="1" x14ac:dyDescent="0.25">
      <c r="C94" s="42">
        <v>90</v>
      </c>
      <c r="D94" s="67" t="str">
        <f>IF('Prod 1'!D94="","",'Prod 1'!D94)</f>
        <v/>
      </c>
      <c r="E94" s="64"/>
      <c r="F94" s="89" t="str">
        <f>IF(D94="","",E94*'Prod 1'!E94)</f>
        <v/>
      </c>
      <c r="G94" s="71" t="str">
        <f t="shared" si="2"/>
        <v/>
      </c>
      <c r="H94" s="59" t="str">
        <f t="shared" si="3"/>
        <v/>
      </c>
    </row>
    <row r="95" spans="3:8" ht="30" customHeight="1" x14ac:dyDescent="0.25">
      <c r="C95" s="42">
        <v>91</v>
      </c>
      <c r="D95" s="67" t="str">
        <f>IF('Prod 1'!D95="","",'Prod 1'!D95)</f>
        <v/>
      </c>
      <c r="E95" s="64"/>
      <c r="F95" s="89" t="str">
        <f>IF(D95="","",E95*'Prod 1'!E95)</f>
        <v/>
      </c>
      <c r="G95" s="71" t="str">
        <f t="shared" si="2"/>
        <v/>
      </c>
      <c r="H95" s="59" t="str">
        <f t="shared" si="3"/>
        <v/>
      </c>
    </row>
    <row r="96" spans="3:8" ht="30" customHeight="1" x14ac:dyDescent="0.25">
      <c r="C96" s="42">
        <v>92</v>
      </c>
      <c r="D96" s="67" t="str">
        <f>IF('Prod 1'!D96="","",'Prod 1'!D96)</f>
        <v/>
      </c>
      <c r="E96" s="64"/>
      <c r="F96" s="89" t="str">
        <f>IF(D96="","",E96*'Prod 1'!E96)</f>
        <v/>
      </c>
      <c r="G96" s="71" t="str">
        <f t="shared" si="2"/>
        <v/>
      </c>
      <c r="H96" s="59" t="str">
        <f t="shared" si="3"/>
        <v/>
      </c>
    </row>
    <row r="97" spans="3:8" ht="30" customHeight="1" x14ac:dyDescent="0.25">
      <c r="C97" s="42">
        <v>93</v>
      </c>
      <c r="D97" s="67" t="str">
        <f>IF('Prod 1'!D97="","",'Prod 1'!D97)</f>
        <v/>
      </c>
      <c r="E97" s="64"/>
      <c r="F97" s="89" t="str">
        <f>IF(D97="","",E97*'Prod 1'!E97)</f>
        <v/>
      </c>
      <c r="G97" s="71" t="str">
        <f t="shared" si="2"/>
        <v/>
      </c>
      <c r="H97" s="59" t="str">
        <f t="shared" si="3"/>
        <v/>
      </c>
    </row>
    <row r="98" spans="3:8" ht="30" customHeight="1" x14ac:dyDescent="0.25">
      <c r="C98" s="42">
        <v>94</v>
      </c>
      <c r="D98" s="67" t="str">
        <f>IF('Prod 1'!D98="","",'Prod 1'!D98)</f>
        <v/>
      </c>
      <c r="E98" s="64"/>
      <c r="F98" s="89" t="str">
        <f>IF(D98="","",E98*'Prod 1'!E98)</f>
        <v/>
      </c>
      <c r="G98" s="71" t="str">
        <f t="shared" si="2"/>
        <v/>
      </c>
      <c r="H98" s="59" t="str">
        <f t="shared" si="3"/>
        <v/>
      </c>
    </row>
    <row r="99" spans="3:8" ht="30" customHeight="1" x14ac:dyDescent="0.25">
      <c r="C99" s="42">
        <v>95</v>
      </c>
      <c r="D99" s="67" t="str">
        <f>IF('Prod 1'!D99="","",'Prod 1'!D99)</f>
        <v/>
      </c>
      <c r="E99" s="64"/>
      <c r="F99" s="89" t="str">
        <f>IF(D99="","",E99*'Prod 1'!E99)</f>
        <v/>
      </c>
      <c r="G99" s="71" t="str">
        <f t="shared" si="2"/>
        <v/>
      </c>
      <c r="H99" s="59" t="str">
        <f t="shared" si="3"/>
        <v/>
      </c>
    </row>
    <row r="100" spans="3:8" ht="30" customHeight="1" x14ac:dyDescent="0.25">
      <c r="C100" s="42">
        <v>96</v>
      </c>
      <c r="D100" s="67" t="str">
        <f>IF('Prod 1'!D100="","",'Prod 1'!D100)</f>
        <v/>
      </c>
      <c r="E100" s="64"/>
      <c r="F100" s="89" t="str">
        <f>IF(D100="","",E100*'Prod 1'!E100)</f>
        <v/>
      </c>
      <c r="G100" s="71" t="str">
        <f t="shared" si="2"/>
        <v/>
      </c>
      <c r="H100" s="59" t="str">
        <f t="shared" si="3"/>
        <v/>
      </c>
    </row>
    <row r="101" spans="3:8" ht="30" customHeight="1" x14ac:dyDescent="0.25">
      <c r="C101" s="42">
        <v>97</v>
      </c>
      <c r="D101" s="67" t="str">
        <f>IF('Prod 1'!D101="","",'Prod 1'!D101)</f>
        <v/>
      </c>
      <c r="E101" s="64"/>
      <c r="F101" s="89" t="str">
        <f>IF(D101="","",E101*'Prod 1'!E101)</f>
        <v/>
      </c>
      <c r="G101" s="71" t="str">
        <f t="shared" si="2"/>
        <v/>
      </c>
      <c r="H101" s="59" t="str">
        <f t="shared" si="3"/>
        <v/>
      </c>
    </row>
    <row r="102" spans="3:8" ht="30" customHeight="1" x14ac:dyDescent="0.25">
      <c r="C102" s="42">
        <v>98</v>
      </c>
      <c r="D102" s="67" t="str">
        <f>IF('Prod 1'!D102="","",'Prod 1'!D102)</f>
        <v/>
      </c>
      <c r="E102" s="64"/>
      <c r="F102" s="89" t="str">
        <f>IF(D102="","",E102*'Prod 1'!E102)</f>
        <v/>
      </c>
      <c r="G102" s="71" t="str">
        <f t="shared" si="2"/>
        <v/>
      </c>
      <c r="H102" s="59" t="str">
        <f t="shared" si="3"/>
        <v/>
      </c>
    </row>
    <row r="103" spans="3:8" ht="30" customHeight="1" x14ac:dyDescent="0.25">
      <c r="C103" s="42">
        <v>99</v>
      </c>
      <c r="D103" s="67" t="str">
        <f>IF('Prod 1'!D103="","",'Prod 1'!D103)</f>
        <v/>
      </c>
      <c r="E103" s="64"/>
      <c r="F103" s="89" t="str">
        <f>IF(D103="","",E103*'Prod 1'!E103)</f>
        <v/>
      </c>
      <c r="G103" s="71" t="str">
        <f t="shared" si="2"/>
        <v/>
      </c>
      <c r="H103" s="59" t="str">
        <f t="shared" si="3"/>
        <v/>
      </c>
    </row>
    <row r="104" spans="3:8" ht="30" customHeight="1" x14ac:dyDescent="0.25">
      <c r="C104" s="42">
        <v>100</v>
      </c>
      <c r="D104" s="67" t="str">
        <f>IF('Prod 1'!D104="","",'Prod 1'!D104)</f>
        <v/>
      </c>
      <c r="E104" s="64"/>
      <c r="F104" s="89" t="str">
        <f>IF(D104="","",E104*'Prod 1'!E104)</f>
        <v/>
      </c>
      <c r="G104" s="71" t="str">
        <f t="shared" si="2"/>
        <v/>
      </c>
      <c r="H104" s="59" t="str">
        <f t="shared" si="3"/>
        <v/>
      </c>
    </row>
    <row r="105" spans="3:8" ht="30" customHeight="1" x14ac:dyDescent="0.25">
      <c r="C105" s="42">
        <v>101</v>
      </c>
      <c r="D105" s="67" t="str">
        <f>IF('Prod 1'!D105="","",'Prod 1'!D105)</f>
        <v/>
      </c>
      <c r="E105" s="64"/>
      <c r="F105" s="89" t="str">
        <f>IF(D105="","",E105*'Prod 1'!E105)</f>
        <v/>
      </c>
      <c r="G105" s="71" t="str">
        <f t="shared" si="2"/>
        <v/>
      </c>
      <c r="H105" s="59" t="str">
        <f t="shared" si="3"/>
        <v/>
      </c>
    </row>
    <row r="106" spans="3:8" ht="30" customHeight="1" x14ac:dyDescent="0.25">
      <c r="C106" s="42">
        <v>102</v>
      </c>
      <c r="D106" s="67" t="str">
        <f>IF('Prod 1'!D106="","",'Prod 1'!D106)</f>
        <v/>
      </c>
      <c r="E106" s="64"/>
      <c r="F106" s="89" t="str">
        <f>IF(D106="","",E106*'Prod 1'!E106)</f>
        <v/>
      </c>
      <c r="G106" s="71" t="str">
        <f t="shared" si="2"/>
        <v/>
      </c>
      <c r="H106" s="59" t="str">
        <f t="shared" si="3"/>
        <v/>
      </c>
    </row>
    <row r="107" spans="3:8" ht="30" customHeight="1" x14ac:dyDescent="0.25">
      <c r="C107" s="42">
        <v>103</v>
      </c>
      <c r="D107" s="67" t="str">
        <f>IF('Prod 1'!D107="","",'Prod 1'!D107)</f>
        <v/>
      </c>
      <c r="E107" s="64"/>
      <c r="F107" s="89" t="str">
        <f>IF(D107="","",E107*'Prod 1'!E107)</f>
        <v/>
      </c>
      <c r="G107" s="71" t="str">
        <f t="shared" si="2"/>
        <v/>
      </c>
      <c r="H107" s="59" t="str">
        <f t="shared" si="3"/>
        <v/>
      </c>
    </row>
    <row r="108" spans="3:8" ht="30" customHeight="1" x14ac:dyDescent="0.25">
      <c r="C108" s="42">
        <v>104</v>
      </c>
      <c r="D108" s="67" t="str">
        <f>IF('Prod 1'!D108="","",'Prod 1'!D108)</f>
        <v/>
      </c>
      <c r="E108" s="64"/>
      <c r="F108" s="89" t="str">
        <f>IF(D108="","",E108*'Prod 1'!E108)</f>
        <v/>
      </c>
      <c r="G108" s="71" t="str">
        <f t="shared" si="2"/>
        <v/>
      </c>
      <c r="H108" s="59" t="str">
        <f t="shared" si="3"/>
        <v/>
      </c>
    </row>
    <row r="109" spans="3:8" ht="30" customHeight="1" x14ac:dyDescent="0.25">
      <c r="C109" s="42">
        <v>105</v>
      </c>
      <c r="D109" s="67" t="str">
        <f>IF('Prod 1'!D109="","",'Prod 1'!D109)</f>
        <v/>
      </c>
      <c r="E109" s="64"/>
      <c r="F109" s="89" t="str">
        <f>IF(D109="","",E109*'Prod 1'!E109)</f>
        <v/>
      </c>
      <c r="G109" s="71" t="str">
        <f t="shared" si="2"/>
        <v/>
      </c>
      <c r="H109" s="59" t="str">
        <f t="shared" si="3"/>
        <v/>
      </c>
    </row>
    <row r="110" spans="3:8" ht="30" customHeight="1" x14ac:dyDescent="0.25">
      <c r="C110" s="42">
        <v>106</v>
      </c>
      <c r="D110" s="67" t="str">
        <f>IF('Prod 1'!D110="","",'Prod 1'!D110)</f>
        <v/>
      </c>
      <c r="E110" s="64"/>
      <c r="F110" s="89" t="str">
        <f>IF(D110="","",E110*'Prod 1'!E110)</f>
        <v/>
      </c>
      <c r="G110" s="71" t="str">
        <f t="shared" si="2"/>
        <v/>
      </c>
      <c r="H110" s="59" t="str">
        <f t="shared" si="3"/>
        <v/>
      </c>
    </row>
    <row r="111" spans="3:8" ht="30" customHeight="1" x14ac:dyDescent="0.25">
      <c r="C111" s="42">
        <v>107</v>
      </c>
      <c r="D111" s="67" t="str">
        <f>IF('Prod 1'!D111="","",'Prod 1'!D111)</f>
        <v/>
      </c>
      <c r="E111" s="64"/>
      <c r="F111" s="89" t="str">
        <f>IF(D111="","",E111*'Prod 1'!E111)</f>
        <v/>
      </c>
      <c r="G111" s="71" t="str">
        <f t="shared" si="2"/>
        <v/>
      </c>
      <c r="H111" s="59" t="str">
        <f t="shared" si="3"/>
        <v/>
      </c>
    </row>
    <row r="112" spans="3:8" ht="30" customHeight="1" x14ac:dyDescent="0.25">
      <c r="C112" s="42">
        <v>108</v>
      </c>
      <c r="D112" s="67" t="str">
        <f>IF('Prod 1'!D112="","",'Prod 1'!D112)</f>
        <v/>
      </c>
      <c r="E112" s="64"/>
      <c r="F112" s="89" t="str">
        <f>IF(D112="","",E112*'Prod 1'!E112)</f>
        <v/>
      </c>
      <c r="G112" s="71" t="str">
        <f t="shared" si="2"/>
        <v/>
      </c>
      <c r="H112" s="59" t="str">
        <f t="shared" si="3"/>
        <v/>
      </c>
    </row>
    <row r="113" spans="3:8" ht="30" customHeight="1" x14ac:dyDescent="0.25">
      <c r="C113" s="42">
        <v>109</v>
      </c>
      <c r="D113" s="67" t="str">
        <f>IF('Prod 1'!D113="","",'Prod 1'!D113)</f>
        <v/>
      </c>
      <c r="E113" s="64"/>
      <c r="F113" s="89" t="str">
        <f>IF(D113="","",E113*'Prod 1'!E113)</f>
        <v/>
      </c>
      <c r="G113" s="71" t="str">
        <f t="shared" si="2"/>
        <v/>
      </c>
      <c r="H113" s="59" t="str">
        <f t="shared" si="3"/>
        <v/>
      </c>
    </row>
    <row r="114" spans="3:8" ht="30" customHeight="1" x14ac:dyDescent="0.25">
      <c r="C114" s="42">
        <v>110</v>
      </c>
      <c r="D114" s="67" t="str">
        <f>IF('Prod 1'!D114="","",'Prod 1'!D114)</f>
        <v/>
      </c>
      <c r="E114" s="64"/>
      <c r="F114" s="89" t="str">
        <f>IF(D114="","",E114*'Prod 1'!E114)</f>
        <v/>
      </c>
      <c r="G114" s="71" t="str">
        <f t="shared" si="2"/>
        <v/>
      </c>
      <c r="H114" s="59" t="str">
        <f t="shared" si="3"/>
        <v/>
      </c>
    </row>
    <row r="115" spans="3:8" ht="30" customHeight="1" x14ac:dyDescent="0.25">
      <c r="C115" s="42">
        <v>111</v>
      </c>
      <c r="D115" s="67" t="str">
        <f>IF('Prod 1'!D115="","",'Prod 1'!D115)</f>
        <v/>
      </c>
      <c r="E115" s="64"/>
      <c r="F115" s="89" t="str">
        <f>IF(D115="","",E115*'Prod 1'!E115)</f>
        <v/>
      </c>
      <c r="G115" s="71" t="str">
        <f t="shared" si="2"/>
        <v/>
      </c>
      <c r="H115" s="59" t="str">
        <f t="shared" si="3"/>
        <v/>
      </c>
    </row>
    <row r="116" spans="3:8" ht="30" customHeight="1" x14ac:dyDescent="0.25">
      <c r="C116" s="42">
        <v>112</v>
      </c>
      <c r="D116" s="67" t="str">
        <f>IF('Prod 1'!D116="","",'Prod 1'!D116)</f>
        <v/>
      </c>
      <c r="E116" s="64"/>
      <c r="F116" s="89" t="str">
        <f>IF(D116="","",E116*'Prod 1'!E116)</f>
        <v/>
      </c>
      <c r="G116" s="71" t="str">
        <f t="shared" si="2"/>
        <v/>
      </c>
      <c r="H116" s="59" t="str">
        <f t="shared" si="3"/>
        <v/>
      </c>
    </row>
    <row r="117" spans="3:8" ht="30" customHeight="1" x14ac:dyDescent="0.25">
      <c r="C117" s="42">
        <v>113</v>
      </c>
      <c r="D117" s="67" t="str">
        <f>IF('Prod 1'!D117="","",'Prod 1'!D117)</f>
        <v/>
      </c>
      <c r="E117" s="64"/>
      <c r="F117" s="89" t="str">
        <f>IF(D117="","",E117*'Prod 1'!E117)</f>
        <v/>
      </c>
      <c r="G117" s="71" t="str">
        <f t="shared" si="2"/>
        <v/>
      </c>
      <c r="H117" s="59" t="str">
        <f t="shared" si="3"/>
        <v/>
      </c>
    </row>
    <row r="118" spans="3:8" ht="30" customHeight="1" x14ac:dyDescent="0.25">
      <c r="C118" s="42">
        <v>114</v>
      </c>
      <c r="D118" s="67" t="str">
        <f>IF('Prod 1'!D118="","",'Prod 1'!D118)</f>
        <v/>
      </c>
      <c r="E118" s="64"/>
      <c r="F118" s="89" t="str">
        <f>IF(D118="","",E118*'Prod 1'!E118)</f>
        <v/>
      </c>
      <c r="G118" s="71" t="str">
        <f t="shared" si="2"/>
        <v/>
      </c>
      <c r="H118" s="59" t="str">
        <f t="shared" si="3"/>
        <v/>
      </c>
    </row>
    <row r="119" spans="3:8" ht="30" customHeight="1" x14ac:dyDescent="0.25">
      <c r="C119" s="42">
        <v>115</v>
      </c>
      <c r="D119" s="67" t="str">
        <f>IF('Prod 1'!D119="","",'Prod 1'!D119)</f>
        <v/>
      </c>
      <c r="E119" s="64"/>
      <c r="F119" s="89" t="str">
        <f>IF(D119="","",E119*'Prod 1'!E119)</f>
        <v/>
      </c>
      <c r="G119" s="71" t="str">
        <f t="shared" si="2"/>
        <v/>
      </c>
      <c r="H119" s="59" t="str">
        <f t="shared" si="3"/>
        <v/>
      </c>
    </row>
    <row r="120" spans="3:8" ht="30" customHeight="1" x14ac:dyDescent="0.25">
      <c r="C120" s="42">
        <v>116</v>
      </c>
      <c r="D120" s="67" t="str">
        <f>IF('Prod 1'!D120="","",'Prod 1'!D120)</f>
        <v/>
      </c>
      <c r="E120" s="64"/>
      <c r="F120" s="89" t="str">
        <f>IF(D120="","",E120*'Prod 1'!E120)</f>
        <v/>
      </c>
      <c r="G120" s="71" t="str">
        <f t="shared" si="2"/>
        <v/>
      </c>
      <c r="H120" s="59" t="str">
        <f t="shared" si="3"/>
        <v/>
      </c>
    </row>
    <row r="121" spans="3:8" ht="30" customHeight="1" x14ac:dyDescent="0.25">
      <c r="C121" s="42">
        <v>117</v>
      </c>
      <c r="D121" s="67" t="str">
        <f>IF('Prod 1'!D121="","",'Prod 1'!D121)</f>
        <v/>
      </c>
      <c r="E121" s="64"/>
      <c r="F121" s="89" t="str">
        <f>IF(D121="","",E121*'Prod 1'!E121)</f>
        <v/>
      </c>
      <c r="G121" s="71" t="str">
        <f t="shared" si="2"/>
        <v/>
      </c>
      <c r="H121" s="59" t="str">
        <f t="shared" si="3"/>
        <v/>
      </c>
    </row>
    <row r="122" spans="3:8" ht="30" customHeight="1" x14ac:dyDescent="0.25">
      <c r="C122" s="42">
        <v>118</v>
      </c>
      <c r="D122" s="67" t="str">
        <f>IF('Prod 1'!D122="","",'Prod 1'!D122)</f>
        <v/>
      </c>
      <c r="E122" s="64"/>
      <c r="F122" s="89" t="str">
        <f>IF(D122="","",E122*'Prod 1'!E122)</f>
        <v/>
      </c>
      <c r="G122" s="71" t="str">
        <f t="shared" si="2"/>
        <v/>
      </c>
      <c r="H122" s="59" t="str">
        <f t="shared" si="3"/>
        <v/>
      </c>
    </row>
    <row r="123" spans="3:8" ht="30" customHeight="1" x14ac:dyDescent="0.25">
      <c r="C123" s="42">
        <v>119</v>
      </c>
      <c r="D123" s="67" t="str">
        <f>IF('Prod 1'!D123="","",'Prod 1'!D123)</f>
        <v/>
      </c>
      <c r="E123" s="64"/>
      <c r="F123" s="89" t="str">
        <f>IF(D123="","",E123*'Prod 1'!E123)</f>
        <v/>
      </c>
      <c r="G123" s="71" t="str">
        <f t="shared" si="2"/>
        <v/>
      </c>
      <c r="H123" s="59" t="str">
        <f t="shared" si="3"/>
        <v/>
      </c>
    </row>
    <row r="124" spans="3:8" ht="30" customHeight="1" x14ac:dyDescent="0.25">
      <c r="C124" s="42">
        <v>120</v>
      </c>
      <c r="D124" s="67" t="str">
        <f>IF('Prod 1'!D124="","",'Prod 1'!D124)</f>
        <v/>
      </c>
      <c r="E124" s="64"/>
      <c r="F124" s="89" t="str">
        <f>IF(D124="","",E124*'Prod 1'!E124)</f>
        <v/>
      </c>
      <c r="G124" s="71" t="str">
        <f t="shared" si="2"/>
        <v/>
      </c>
      <c r="H124" s="59" t="str">
        <f t="shared" si="3"/>
        <v/>
      </c>
    </row>
    <row r="125" spans="3:8" ht="30" customHeight="1" x14ac:dyDescent="0.25">
      <c r="C125" s="42">
        <v>121</v>
      </c>
      <c r="D125" s="67" t="str">
        <f>IF('Prod 1'!D125="","",'Prod 1'!D125)</f>
        <v/>
      </c>
      <c r="E125" s="64"/>
      <c r="F125" s="89" t="str">
        <f>IF(D125="","",E125*'Prod 1'!E125)</f>
        <v/>
      </c>
      <c r="G125" s="71" t="str">
        <f t="shared" si="2"/>
        <v/>
      </c>
      <c r="H125" s="59" t="str">
        <f t="shared" si="3"/>
        <v/>
      </c>
    </row>
    <row r="126" spans="3:8" ht="30" customHeight="1" x14ac:dyDescent="0.25">
      <c r="C126" s="42">
        <v>122</v>
      </c>
      <c r="D126" s="67" t="str">
        <f>IF('Prod 1'!D126="","",'Prod 1'!D126)</f>
        <v/>
      </c>
      <c r="E126" s="64"/>
      <c r="F126" s="89" t="str">
        <f>IF(D126="","",E126*'Prod 1'!E126)</f>
        <v/>
      </c>
      <c r="G126" s="71" t="str">
        <f t="shared" si="2"/>
        <v/>
      </c>
      <c r="H126" s="59" t="str">
        <f t="shared" si="3"/>
        <v/>
      </c>
    </row>
    <row r="127" spans="3:8" ht="30" customHeight="1" x14ac:dyDescent="0.25">
      <c r="C127" s="42">
        <v>123</v>
      </c>
      <c r="D127" s="67" t="str">
        <f>IF('Prod 1'!D127="","",'Prod 1'!D127)</f>
        <v/>
      </c>
      <c r="E127" s="64"/>
      <c r="F127" s="89" t="str">
        <f>IF(D127="","",E127*'Prod 1'!E127)</f>
        <v/>
      </c>
      <c r="G127" s="71" t="str">
        <f t="shared" si="2"/>
        <v/>
      </c>
      <c r="H127" s="59" t="str">
        <f t="shared" si="3"/>
        <v/>
      </c>
    </row>
    <row r="128" spans="3:8" ht="30" customHeight="1" x14ac:dyDescent="0.25">
      <c r="C128" s="42">
        <v>124</v>
      </c>
      <c r="D128" s="67" t="str">
        <f>IF('Prod 1'!D128="","",'Prod 1'!D128)</f>
        <v/>
      </c>
      <c r="E128" s="64"/>
      <c r="F128" s="89" t="str">
        <f>IF(D128="","",E128*'Prod 1'!E128)</f>
        <v/>
      </c>
      <c r="G128" s="71" t="str">
        <f t="shared" si="2"/>
        <v/>
      </c>
      <c r="H128" s="59" t="str">
        <f t="shared" si="3"/>
        <v/>
      </c>
    </row>
    <row r="129" spans="3:8" ht="30" customHeight="1" x14ac:dyDescent="0.25">
      <c r="C129" s="42">
        <v>125</v>
      </c>
      <c r="D129" s="67" t="str">
        <f>IF('Prod 1'!D129="","",'Prod 1'!D129)</f>
        <v/>
      </c>
      <c r="E129" s="64"/>
      <c r="F129" s="89" t="str">
        <f>IF(D129="","",E129*'Prod 1'!E129)</f>
        <v/>
      </c>
      <c r="G129" s="71" t="str">
        <f t="shared" si="2"/>
        <v/>
      </c>
      <c r="H129" s="59" t="str">
        <f t="shared" si="3"/>
        <v/>
      </c>
    </row>
    <row r="130" spans="3:8" ht="30" customHeight="1" x14ac:dyDescent="0.25">
      <c r="C130" s="42">
        <v>126</v>
      </c>
      <c r="D130" s="67" t="str">
        <f>IF('Prod 1'!D130="","",'Prod 1'!D130)</f>
        <v/>
      </c>
      <c r="E130" s="64"/>
      <c r="F130" s="89" t="str">
        <f>IF(D130="","",E130*'Prod 1'!E130)</f>
        <v/>
      </c>
      <c r="G130" s="71" t="str">
        <f t="shared" si="2"/>
        <v/>
      </c>
      <c r="H130" s="59" t="str">
        <f t="shared" si="3"/>
        <v/>
      </c>
    </row>
    <row r="131" spans="3:8" ht="30" customHeight="1" x14ac:dyDescent="0.25">
      <c r="C131" s="42">
        <v>127</v>
      </c>
      <c r="D131" s="67" t="str">
        <f>IF('Prod 1'!D131="","",'Prod 1'!D131)</f>
        <v/>
      </c>
      <c r="E131" s="64"/>
      <c r="F131" s="89" t="str">
        <f>IF(D131="","",E131*'Prod 1'!E131)</f>
        <v/>
      </c>
      <c r="G131" s="71" t="str">
        <f t="shared" si="2"/>
        <v/>
      </c>
      <c r="H131" s="59" t="str">
        <f t="shared" si="3"/>
        <v/>
      </c>
    </row>
    <row r="132" spans="3:8" ht="30" customHeight="1" x14ac:dyDescent="0.25">
      <c r="C132" s="42">
        <v>128</v>
      </c>
      <c r="D132" s="67" t="str">
        <f>IF('Prod 1'!D132="","",'Prod 1'!D132)</f>
        <v/>
      </c>
      <c r="E132" s="64"/>
      <c r="F132" s="89" t="str">
        <f>IF(D132="","",E132*'Prod 1'!E132)</f>
        <v/>
      </c>
      <c r="G132" s="71" t="str">
        <f t="shared" si="2"/>
        <v/>
      </c>
      <c r="H132" s="59" t="str">
        <f t="shared" si="3"/>
        <v/>
      </c>
    </row>
    <row r="133" spans="3:8" ht="30" customHeight="1" x14ac:dyDescent="0.25">
      <c r="C133" s="42">
        <v>129</v>
      </c>
      <c r="D133" s="67" t="str">
        <f>IF('Prod 1'!D133="","",'Prod 1'!D133)</f>
        <v/>
      </c>
      <c r="E133" s="64"/>
      <c r="F133" s="89" t="str">
        <f>IF(D133="","",E133*'Prod 1'!E133)</f>
        <v/>
      </c>
      <c r="G133" s="71" t="str">
        <f t="shared" ref="G133:G196" si="4">IF(D133="","",IFERROR(F133/$H$3,0))</f>
        <v/>
      </c>
      <c r="H133" s="59" t="str">
        <f t="shared" ref="H133:H196" si="5">F133</f>
        <v/>
      </c>
    </row>
    <row r="134" spans="3:8" ht="30" customHeight="1" x14ac:dyDescent="0.25">
      <c r="C134" s="42">
        <v>130</v>
      </c>
      <c r="D134" s="67" t="str">
        <f>IF('Prod 1'!D134="","",'Prod 1'!D134)</f>
        <v/>
      </c>
      <c r="E134" s="64"/>
      <c r="F134" s="89" t="str">
        <f>IF(D134="","",E134*'Prod 1'!E134)</f>
        <v/>
      </c>
      <c r="G134" s="71" t="str">
        <f t="shared" si="4"/>
        <v/>
      </c>
      <c r="H134" s="59" t="str">
        <f t="shared" si="5"/>
        <v/>
      </c>
    </row>
    <row r="135" spans="3:8" ht="30" customHeight="1" x14ac:dyDescent="0.25">
      <c r="C135" s="42">
        <v>131</v>
      </c>
      <c r="D135" s="67" t="str">
        <f>IF('Prod 1'!D135="","",'Prod 1'!D135)</f>
        <v/>
      </c>
      <c r="E135" s="64"/>
      <c r="F135" s="89" t="str">
        <f>IF(D135="","",E135*'Prod 1'!E135)</f>
        <v/>
      </c>
      <c r="G135" s="71" t="str">
        <f t="shared" si="4"/>
        <v/>
      </c>
      <c r="H135" s="59" t="str">
        <f t="shared" si="5"/>
        <v/>
      </c>
    </row>
    <row r="136" spans="3:8" ht="30" customHeight="1" x14ac:dyDescent="0.25">
      <c r="C136" s="42">
        <v>132</v>
      </c>
      <c r="D136" s="67" t="str">
        <f>IF('Prod 1'!D136="","",'Prod 1'!D136)</f>
        <v/>
      </c>
      <c r="E136" s="64"/>
      <c r="F136" s="89" t="str">
        <f>IF(D136="","",E136*'Prod 1'!E136)</f>
        <v/>
      </c>
      <c r="G136" s="71" t="str">
        <f t="shared" si="4"/>
        <v/>
      </c>
      <c r="H136" s="59" t="str">
        <f t="shared" si="5"/>
        <v/>
      </c>
    </row>
    <row r="137" spans="3:8" ht="30" customHeight="1" x14ac:dyDescent="0.25">
      <c r="C137" s="42">
        <v>133</v>
      </c>
      <c r="D137" s="67" t="str">
        <f>IF('Prod 1'!D137="","",'Prod 1'!D137)</f>
        <v/>
      </c>
      <c r="E137" s="64"/>
      <c r="F137" s="89" t="str">
        <f>IF(D137="","",E137*'Prod 1'!E137)</f>
        <v/>
      </c>
      <c r="G137" s="71" t="str">
        <f t="shared" si="4"/>
        <v/>
      </c>
      <c r="H137" s="59" t="str">
        <f t="shared" si="5"/>
        <v/>
      </c>
    </row>
    <row r="138" spans="3:8" ht="30" customHeight="1" x14ac:dyDescent="0.25">
      <c r="C138" s="42">
        <v>134</v>
      </c>
      <c r="D138" s="67" t="str">
        <f>IF('Prod 1'!D138="","",'Prod 1'!D138)</f>
        <v/>
      </c>
      <c r="E138" s="64"/>
      <c r="F138" s="89" t="str">
        <f>IF(D138="","",E138*'Prod 1'!E138)</f>
        <v/>
      </c>
      <c r="G138" s="71" t="str">
        <f t="shared" si="4"/>
        <v/>
      </c>
      <c r="H138" s="59" t="str">
        <f t="shared" si="5"/>
        <v/>
      </c>
    </row>
    <row r="139" spans="3:8" ht="30" customHeight="1" x14ac:dyDescent="0.25">
      <c r="C139" s="42">
        <v>135</v>
      </c>
      <c r="D139" s="67" t="str">
        <f>IF('Prod 1'!D139="","",'Prod 1'!D139)</f>
        <v/>
      </c>
      <c r="E139" s="64"/>
      <c r="F139" s="89" t="str">
        <f>IF(D139="","",E139*'Prod 1'!E139)</f>
        <v/>
      </c>
      <c r="G139" s="71" t="str">
        <f t="shared" si="4"/>
        <v/>
      </c>
      <c r="H139" s="59" t="str">
        <f t="shared" si="5"/>
        <v/>
      </c>
    </row>
    <row r="140" spans="3:8" ht="30" customHeight="1" x14ac:dyDescent="0.25">
      <c r="C140" s="42">
        <v>136</v>
      </c>
      <c r="D140" s="67" t="str">
        <f>IF('Prod 1'!D140="","",'Prod 1'!D140)</f>
        <v/>
      </c>
      <c r="E140" s="64"/>
      <c r="F140" s="89" t="str">
        <f>IF(D140="","",E140*'Prod 1'!E140)</f>
        <v/>
      </c>
      <c r="G140" s="71" t="str">
        <f t="shared" si="4"/>
        <v/>
      </c>
      <c r="H140" s="59" t="str">
        <f t="shared" si="5"/>
        <v/>
      </c>
    </row>
    <row r="141" spans="3:8" ht="30" customHeight="1" x14ac:dyDescent="0.25">
      <c r="C141" s="42">
        <v>137</v>
      </c>
      <c r="D141" s="67" t="str">
        <f>IF('Prod 1'!D141="","",'Prod 1'!D141)</f>
        <v/>
      </c>
      <c r="E141" s="64"/>
      <c r="F141" s="89" t="str">
        <f>IF(D141="","",E141*'Prod 1'!E141)</f>
        <v/>
      </c>
      <c r="G141" s="71" t="str">
        <f t="shared" si="4"/>
        <v/>
      </c>
      <c r="H141" s="59" t="str">
        <f t="shared" si="5"/>
        <v/>
      </c>
    </row>
    <row r="142" spans="3:8" ht="30" customHeight="1" x14ac:dyDescent="0.25">
      <c r="C142" s="42">
        <v>138</v>
      </c>
      <c r="D142" s="67" t="str">
        <f>IF('Prod 1'!D142="","",'Prod 1'!D142)</f>
        <v/>
      </c>
      <c r="E142" s="64"/>
      <c r="F142" s="89" t="str">
        <f>IF(D142="","",E142*'Prod 1'!E142)</f>
        <v/>
      </c>
      <c r="G142" s="71" t="str">
        <f t="shared" si="4"/>
        <v/>
      </c>
      <c r="H142" s="59" t="str">
        <f t="shared" si="5"/>
        <v/>
      </c>
    </row>
    <row r="143" spans="3:8" ht="30" customHeight="1" x14ac:dyDescent="0.25">
      <c r="C143" s="42">
        <v>139</v>
      </c>
      <c r="D143" s="67" t="str">
        <f>IF('Prod 1'!D143="","",'Prod 1'!D143)</f>
        <v/>
      </c>
      <c r="E143" s="64"/>
      <c r="F143" s="89" t="str">
        <f>IF(D143="","",E143*'Prod 1'!E143)</f>
        <v/>
      </c>
      <c r="G143" s="71" t="str">
        <f t="shared" si="4"/>
        <v/>
      </c>
      <c r="H143" s="59" t="str">
        <f t="shared" si="5"/>
        <v/>
      </c>
    </row>
    <row r="144" spans="3:8" ht="30" customHeight="1" x14ac:dyDescent="0.25">
      <c r="C144" s="42">
        <v>140</v>
      </c>
      <c r="D144" s="67" t="str">
        <f>IF('Prod 1'!D144="","",'Prod 1'!D144)</f>
        <v/>
      </c>
      <c r="E144" s="64"/>
      <c r="F144" s="89" t="str">
        <f>IF(D144="","",E144*'Prod 1'!E144)</f>
        <v/>
      </c>
      <c r="G144" s="71" t="str">
        <f t="shared" si="4"/>
        <v/>
      </c>
      <c r="H144" s="59" t="str">
        <f t="shared" si="5"/>
        <v/>
      </c>
    </row>
    <row r="145" spans="3:8" ht="30" customHeight="1" x14ac:dyDescent="0.25">
      <c r="C145" s="42">
        <v>141</v>
      </c>
      <c r="D145" s="67" t="str">
        <f>IF('Prod 1'!D145="","",'Prod 1'!D145)</f>
        <v/>
      </c>
      <c r="E145" s="64"/>
      <c r="F145" s="89" t="str">
        <f>IF(D145="","",E145*'Prod 1'!E145)</f>
        <v/>
      </c>
      <c r="G145" s="71" t="str">
        <f t="shared" si="4"/>
        <v/>
      </c>
      <c r="H145" s="59" t="str">
        <f t="shared" si="5"/>
        <v/>
      </c>
    </row>
    <row r="146" spans="3:8" ht="30" customHeight="1" x14ac:dyDescent="0.25">
      <c r="C146" s="42">
        <v>142</v>
      </c>
      <c r="D146" s="67" t="str">
        <f>IF('Prod 1'!D146="","",'Prod 1'!D146)</f>
        <v/>
      </c>
      <c r="E146" s="64"/>
      <c r="F146" s="89" t="str">
        <f>IF(D146="","",E146*'Prod 1'!E146)</f>
        <v/>
      </c>
      <c r="G146" s="71" t="str">
        <f t="shared" si="4"/>
        <v/>
      </c>
      <c r="H146" s="59" t="str">
        <f t="shared" si="5"/>
        <v/>
      </c>
    </row>
    <row r="147" spans="3:8" ht="30" customHeight="1" x14ac:dyDescent="0.25">
      <c r="C147" s="42">
        <v>143</v>
      </c>
      <c r="D147" s="67" t="str">
        <f>IF('Prod 1'!D147="","",'Prod 1'!D147)</f>
        <v/>
      </c>
      <c r="E147" s="64"/>
      <c r="F147" s="89" t="str">
        <f>IF(D147="","",E147*'Prod 1'!E147)</f>
        <v/>
      </c>
      <c r="G147" s="71" t="str">
        <f t="shared" si="4"/>
        <v/>
      </c>
      <c r="H147" s="59" t="str">
        <f t="shared" si="5"/>
        <v/>
      </c>
    </row>
    <row r="148" spans="3:8" ht="30" customHeight="1" x14ac:dyDescent="0.25">
      <c r="C148" s="42">
        <v>144</v>
      </c>
      <c r="D148" s="67" t="str">
        <f>IF('Prod 1'!D148="","",'Prod 1'!D148)</f>
        <v/>
      </c>
      <c r="E148" s="64"/>
      <c r="F148" s="89" t="str">
        <f>IF(D148="","",E148*'Prod 1'!E148)</f>
        <v/>
      </c>
      <c r="G148" s="71" t="str">
        <f t="shared" si="4"/>
        <v/>
      </c>
      <c r="H148" s="59" t="str">
        <f t="shared" si="5"/>
        <v/>
      </c>
    </row>
    <row r="149" spans="3:8" ht="30" customHeight="1" x14ac:dyDescent="0.25">
      <c r="C149" s="42">
        <v>145</v>
      </c>
      <c r="D149" s="67" t="str">
        <f>IF('Prod 1'!D149="","",'Prod 1'!D149)</f>
        <v/>
      </c>
      <c r="E149" s="64"/>
      <c r="F149" s="89" t="str">
        <f>IF(D149="","",E149*'Prod 1'!E149)</f>
        <v/>
      </c>
      <c r="G149" s="71" t="str">
        <f t="shared" si="4"/>
        <v/>
      </c>
      <c r="H149" s="59" t="str">
        <f t="shared" si="5"/>
        <v/>
      </c>
    </row>
    <row r="150" spans="3:8" ht="30" customHeight="1" x14ac:dyDescent="0.25">
      <c r="C150" s="42">
        <v>146</v>
      </c>
      <c r="D150" s="67" t="str">
        <f>IF('Prod 1'!D150="","",'Prod 1'!D150)</f>
        <v/>
      </c>
      <c r="E150" s="64"/>
      <c r="F150" s="89" t="str">
        <f>IF(D150="","",E150*'Prod 1'!E150)</f>
        <v/>
      </c>
      <c r="G150" s="71" t="str">
        <f t="shared" si="4"/>
        <v/>
      </c>
      <c r="H150" s="59" t="str">
        <f t="shared" si="5"/>
        <v/>
      </c>
    </row>
    <row r="151" spans="3:8" ht="30" customHeight="1" x14ac:dyDescent="0.25">
      <c r="C151" s="42">
        <v>147</v>
      </c>
      <c r="D151" s="67" t="str">
        <f>IF('Prod 1'!D151="","",'Prod 1'!D151)</f>
        <v/>
      </c>
      <c r="E151" s="64"/>
      <c r="F151" s="89" t="str">
        <f>IF(D151="","",E151*'Prod 1'!E151)</f>
        <v/>
      </c>
      <c r="G151" s="71" t="str">
        <f t="shared" si="4"/>
        <v/>
      </c>
      <c r="H151" s="59" t="str">
        <f t="shared" si="5"/>
        <v/>
      </c>
    </row>
    <row r="152" spans="3:8" ht="30" customHeight="1" x14ac:dyDescent="0.25">
      <c r="C152" s="42">
        <v>148</v>
      </c>
      <c r="D152" s="67" t="str">
        <f>IF('Prod 1'!D152="","",'Prod 1'!D152)</f>
        <v/>
      </c>
      <c r="E152" s="64"/>
      <c r="F152" s="89" t="str">
        <f>IF(D152="","",E152*'Prod 1'!E152)</f>
        <v/>
      </c>
      <c r="G152" s="71" t="str">
        <f t="shared" si="4"/>
        <v/>
      </c>
      <c r="H152" s="59" t="str">
        <f t="shared" si="5"/>
        <v/>
      </c>
    </row>
    <row r="153" spans="3:8" ht="30" customHeight="1" x14ac:dyDescent="0.25">
      <c r="C153" s="42">
        <v>149</v>
      </c>
      <c r="D153" s="67" t="str">
        <f>IF('Prod 1'!D153="","",'Prod 1'!D153)</f>
        <v/>
      </c>
      <c r="E153" s="64"/>
      <c r="F153" s="89" t="str">
        <f>IF(D153="","",E153*'Prod 1'!E153)</f>
        <v/>
      </c>
      <c r="G153" s="71" t="str">
        <f t="shared" si="4"/>
        <v/>
      </c>
      <c r="H153" s="59" t="str">
        <f t="shared" si="5"/>
        <v/>
      </c>
    </row>
    <row r="154" spans="3:8" ht="30" customHeight="1" x14ac:dyDescent="0.25">
      <c r="C154" s="42">
        <v>150</v>
      </c>
      <c r="D154" s="67" t="str">
        <f>IF('Prod 1'!D154="","",'Prod 1'!D154)</f>
        <v/>
      </c>
      <c r="E154" s="64"/>
      <c r="F154" s="89" t="str">
        <f>IF(D154="","",E154*'Prod 1'!E154)</f>
        <v/>
      </c>
      <c r="G154" s="71" t="str">
        <f t="shared" si="4"/>
        <v/>
      </c>
      <c r="H154" s="59" t="str">
        <f t="shared" si="5"/>
        <v/>
      </c>
    </row>
    <row r="155" spans="3:8" ht="30" customHeight="1" x14ac:dyDescent="0.25">
      <c r="C155" s="42">
        <v>151</v>
      </c>
      <c r="D155" s="67" t="str">
        <f>IF('Prod 1'!D155="","",'Prod 1'!D155)</f>
        <v/>
      </c>
      <c r="E155" s="64"/>
      <c r="F155" s="89" t="str">
        <f>IF(D155="","",E155*'Prod 1'!E155)</f>
        <v/>
      </c>
      <c r="G155" s="71" t="str">
        <f t="shared" si="4"/>
        <v/>
      </c>
      <c r="H155" s="59" t="str">
        <f t="shared" si="5"/>
        <v/>
      </c>
    </row>
    <row r="156" spans="3:8" ht="30" customHeight="1" x14ac:dyDescent="0.25">
      <c r="C156" s="42">
        <v>152</v>
      </c>
      <c r="D156" s="67" t="str">
        <f>IF('Prod 1'!D156="","",'Prod 1'!D156)</f>
        <v/>
      </c>
      <c r="E156" s="64"/>
      <c r="F156" s="89" t="str">
        <f>IF(D156="","",E156*'Prod 1'!E156)</f>
        <v/>
      </c>
      <c r="G156" s="71" t="str">
        <f t="shared" si="4"/>
        <v/>
      </c>
      <c r="H156" s="59" t="str">
        <f t="shared" si="5"/>
        <v/>
      </c>
    </row>
    <row r="157" spans="3:8" ht="30" customHeight="1" x14ac:dyDescent="0.25">
      <c r="C157" s="42">
        <v>153</v>
      </c>
      <c r="D157" s="67" t="str">
        <f>IF('Prod 1'!D157="","",'Prod 1'!D157)</f>
        <v/>
      </c>
      <c r="E157" s="64"/>
      <c r="F157" s="89" t="str">
        <f>IF(D157="","",E157*'Prod 1'!E157)</f>
        <v/>
      </c>
      <c r="G157" s="71" t="str">
        <f t="shared" si="4"/>
        <v/>
      </c>
      <c r="H157" s="59" t="str">
        <f t="shared" si="5"/>
        <v/>
      </c>
    </row>
    <row r="158" spans="3:8" ht="30" customHeight="1" x14ac:dyDescent="0.25">
      <c r="C158" s="42">
        <v>154</v>
      </c>
      <c r="D158" s="67" t="str">
        <f>IF('Prod 1'!D158="","",'Prod 1'!D158)</f>
        <v/>
      </c>
      <c r="E158" s="64"/>
      <c r="F158" s="89" t="str">
        <f>IF(D158="","",E158*'Prod 1'!E158)</f>
        <v/>
      </c>
      <c r="G158" s="71" t="str">
        <f t="shared" si="4"/>
        <v/>
      </c>
      <c r="H158" s="59" t="str">
        <f t="shared" si="5"/>
        <v/>
      </c>
    </row>
    <row r="159" spans="3:8" ht="30" customHeight="1" x14ac:dyDescent="0.25">
      <c r="C159" s="42">
        <v>155</v>
      </c>
      <c r="D159" s="67" t="str">
        <f>IF('Prod 1'!D159="","",'Prod 1'!D159)</f>
        <v/>
      </c>
      <c r="E159" s="64"/>
      <c r="F159" s="89" t="str">
        <f>IF(D159="","",E159*'Prod 1'!E159)</f>
        <v/>
      </c>
      <c r="G159" s="71" t="str">
        <f t="shared" si="4"/>
        <v/>
      </c>
      <c r="H159" s="59" t="str">
        <f t="shared" si="5"/>
        <v/>
      </c>
    </row>
    <row r="160" spans="3:8" ht="30" customHeight="1" x14ac:dyDescent="0.25">
      <c r="C160" s="42">
        <v>156</v>
      </c>
      <c r="D160" s="67" t="str">
        <f>IF('Prod 1'!D160="","",'Prod 1'!D160)</f>
        <v/>
      </c>
      <c r="E160" s="64"/>
      <c r="F160" s="89" t="str">
        <f>IF(D160="","",E160*'Prod 1'!E160)</f>
        <v/>
      </c>
      <c r="G160" s="71" t="str">
        <f t="shared" si="4"/>
        <v/>
      </c>
      <c r="H160" s="59" t="str">
        <f t="shared" si="5"/>
        <v/>
      </c>
    </row>
    <row r="161" spans="3:8" ht="30" customHeight="1" x14ac:dyDescent="0.25">
      <c r="C161" s="42">
        <v>157</v>
      </c>
      <c r="D161" s="67" t="str">
        <f>IF('Prod 1'!D161="","",'Prod 1'!D161)</f>
        <v/>
      </c>
      <c r="E161" s="64"/>
      <c r="F161" s="89" t="str">
        <f>IF(D161="","",E161*'Prod 1'!E161)</f>
        <v/>
      </c>
      <c r="G161" s="71" t="str">
        <f t="shared" si="4"/>
        <v/>
      </c>
      <c r="H161" s="59" t="str">
        <f t="shared" si="5"/>
        <v/>
      </c>
    </row>
    <row r="162" spans="3:8" ht="30" customHeight="1" x14ac:dyDescent="0.25">
      <c r="C162" s="42">
        <v>158</v>
      </c>
      <c r="D162" s="67" t="str">
        <f>IF('Prod 1'!D162="","",'Prod 1'!D162)</f>
        <v/>
      </c>
      <c r="E162" s="64"/>
      <c r="F162" s="89" t="str">
        <f>IF(D162="","",E162*'Prod 1'!E162)</f>
        <v/>
      </c>
      <c r="G162" s="71" t="str">
        <f t="shared" si="4"/>
        <v/>
      </c>
      <c r="H162" s="59" t="str">
        <f t="shared" si="5"/>
        <v/>
      </c>
    </row>
    <row r="163" spans="3:8" ht="30" customHeight="1" x14ac:dyDescent="0.25">
      <c r="C163" s="42">
        <v>159</v>
      </c>
      <c r="D163" s="67" t="str">
        <f>IF('Prod 1'!D163="","",'Prod 1'!D163)</f>
        <v/>
      </c>
      <c r="E163" s="64"/>
      <c r="F163" s="89" t="str">
        <f>IF(D163="","",E163*'Prod 1'!E163)</f>
        <v/>
      </c>
      <c r="G163" s="71" t="str">
        <f t="shared" si="4"/>
        <v/>
      </c>
      <c r="H163" s="59" t="str">
        <f t="shared" si="5"/>
        <v/>
      </c>
    </row>
    <row r="164" spans="3:8" ht="30" customHeight="1" x14ac:dyDescent="0.25">
      <c r="C164" s="42">
        <v>160</v>
      </c>
      <c r="D164" s="67" t="str">
        <f>IF('Prod 1'!D164="","",'Prod 1'!D164)</f>
        <v/>
      </c>
      <c r="E164" s="64"/>
      <c r="F164" s="89" t="str">
        <f>IF(D164="","",E164*'Prod 1'!E164)</f>
        <v/>
      </c>
      <c r="G164" s="71" t="str">
        <f t="shared" si="4"/>
        <v/>
      </c>
      <c r="H164" s="59" t="str">
        <f t="shared" si="5"/>
        <v/>
      </c>
    </row>
    <row r="165" spans="3:8" ht="30" customHeight="1" x14ac:dyDescent="0.25">
      <c r="C165" s="42">
        <v>161</v>
      </c>
      <c r="D165" s="67" t="str">
        <f>IF('Prod 1'!D165="","",'Prod 1'!D165)</f>
        <v/>
      </c>
      <c r="E165" s="64"/>
      <c r="F165" s="89" t="str">
        <f>IF(D165="","",E165*'Prod 1'!E165)</f>
        <v/>
      </c>
      <c r="G165" s="71" t="str">
        <f t="shared" si="4"/>
        <v/>
      </c>
      <c r="H165" s="59" t="str">
        <f t="shared" si="5"/>
        <v/>
      </c>
    </row>
    <row r="166" spans="3:8" ht="30" customHeight="1" x14ac:dyDescent="0.25">
      <c r="C166" s="42">
        <v>162</v>
      </c>
      <c r="D166" s="67" t="str">
        <f>IF('Prod 1'!D166="","",'Prod 1'!D166)</f>
        <v/>
      </c>
      <c r="E166" s="64"/>
      <c r="F166" s="89" t="str">
        <f>IF(D166="","",E166*'Prod 1'!E166)</f>
        <v/>
      </c>
      <c r="G166" s="71" t="str">
        <f t="shared" si="4"/>
        <v/>
      </c>
      <c r="H166" s="59" t="str">
        <f t="shared" si="5"/>
        <v/>
      </c>
    </row>
    <row r="167" spans="3:8" ht="30" customHeight="1" x14ac:dyDescent="0.25">
      <c r="C167" s="42">
        <v>163</v>
      </c>
      <c r="D167" s="67" t="str">
        <f>IF('Prod 1'!D167="","",'Prod 1'!D167)</f>
        <v/>
      </c>
      <c r="E167" s="64"/>
      <c r="F167" s="89" t="str">
        <f>IF(D167="","",E167*'Prod 1'!E167)</f>
        <v/>
      </c>
      <c r="G167" s="71" t="str">
        <f t="shared" si="4"/>
        <v/>
      </c>
      <c r="H167" s="59" t="str">
        <f t="shared" si="5"/>
        <v/>
      </c>
    </row>
    <row r="168" spans="3:8" ht="30" customHeight="1" x14ac:dyDescent="0.25">
      <c r="C168" s="42">
        <v>164</v>
      </c>
      <c r="D168" s="67" t="str">
        <f>IF('Prod 1'!D168="","",'Prod 1'!D168)</f>
        <v/>
      </c>
      <c r="E168" s="64"/>
      <c r="F168" s="89" t="str">
        <f>IF(D168="","",E168*'Prod 1'!E168)</f>
        <v/>
      </c>
      <c r="G168" s="71" t="str">
        <f t="shared" si="4"/>
        <v/>
      </c>
      <c r="H168" s="59" t="str">
        <f t="shared" si="5"/>
        <v/>
      </c>
    </row>
    <row r="169" spans="3:8" ht="30" customHeight="1" x14ac:dyDescent="0.25">
      <c r="C169" s="42">
        <v>165</v>
      </c>
      <c r="D169" s="67" t="str">
        <f>IF('Prod 1'!D169="","",'Prod 1'!D169)</f>
        <v/>
      </c>
      <c r="E169" s="64"/>
      <c r="F169" s="89" t="str">
        <f>IF(D169="","",E169*'Prod 1'!E169)</f>
        <v/>
      </c>
      <c r="G169" s="71" t="str">
        <f t="shared" si="4"/>
        <v/>
      </c>
      <c r="H169" s="59" t="str">
        <f t="shared" si="5"/>
        <v/>
      </c>
    </row>
    <row r="170" spans="3:8" ht="30" customHeight="1" x14ac:dyDescent="0.25">
      <c r="C170" s="42">
        <v>166</v>
      </c>
      <c r="D170" s="67" t="str">
        <f>IF('Prod 1'!D170="","",'Prod 1'!D170)</f>
        <v/>
      </c>
      <c r="E170" s="64"/>
      <c r="F170" s="89" t="str">
        <f>IF(D170="","",E170*'Prod 1'!E170)</f>
        <v/>
      </c>
      <c r="G170" s="71" t="str">
        <f t="shared" si="4"/>
        <v/>
      </c>
      <c r="H170" s="59" t="str">
        <f t="shared" si="5"/>
        <v/>
      </c>
    </row>
    <row r="171" spans="3:8" ht="30" customHeight="1" x14ac:dyDescent="0.25">
      <c r="C171" s="42">
        <v>167</v>
      </c>
      <c r="D171" s="67" t="str">
        <f>IF('Prod 1'!D171="","",'Prod 1'!D171)</f>
        <v/>
      </c>
      <c r="E171" s="64"/>
      <c r="F171" s="89" t="str">
        <f>IF(D171="","",E171*'Prod 1'!E171)</f>
        <v/>
      </c>
      <c r="G171" s="71" t="str">
        <f t="shared" si="4"/>
        <v/>
      </c>
      <c r="H171" s="59" t="str">
        <f t="shared" si="5"/>
        <v/>
      </c>
    </row>
    <row r="172" spans="3:8" ht="30" customHeight="1" x14ac:dyDescent="0.25">
      <c r="C172" s="42">
        <v>168</v>
      </c>
      <c r="D172" s="67" t="str">
        <f>IF('Prod 1'!D172="","",'Prod 1'!D172)</f>
        <v/>
      </c>
      <c r="E172" s="64"/>
      <c r="F172" s="89" t="str">
        <f>IF(D172="","",E172*'Prod 1'!E172)</f>
        <v/>
      </c>
      <c r="G172" s="71" t="str">
        <f t="shared" si="4"/>
        <v/>
      </c>
      <c r="H172" s="59" t="str">
        <f t="shared" si="5"/>
        <v/>
      </c>
    </row>
    <row r="173" spans="3:8" ht="30" customHeight="1" x14ac:dyDescent="0.25">
      <c r="C173" s="42">
        <v>169</v>
      </c>
      <c r="D173" s="67" t="str">
        <f>IF('Prod 1'!D173="","",'Prod 1'!D173)</f>
        <v/>
      </c>
      <c r="E173" s="64"/>
      <c r="F173" s="89" t="str">
        <f>IF(D173="","",E173*'Prod 1'!E173)</f>
        <v/>
      </c>
      <c r="G173" s="71" t="str">
        <f t="shared" si="4"/>
        <v/>
      </c>
      <c r="H173" s="59" t="str">
        <f t="shared" si="5"/>
        <v/>
      </c>
    </row>
    <row r="174" spans="3:8" ht="30" customHeight="1" x14ac:dyDescent="0.25">
      <c r="C174" s="42">
        <v>170</v>
      </c>
      <c r="D174" s="67" t="str">
        <f>IF('Prod 1'!D174="","",'Prod 1'!D174)</f>
        <v/>
      </c>
      <c r="E174" s="64"/>
      <c r="F174" s="89" t="str">
        <f>IF(D174="","",E174*'Prod 1'!E174)</f>
        <v/>
      </c>
      <c r="G174" s="71" t="str">
        <f t="shared" si="4"/>
        <v/>
      </c>
      <c r="H174" s="59" t="str">
        <f t="shared" si="5"/>
        <v/>
      </c>
    </row>
    <row r="175" spans="3:8" ht="30" customHeight="1" x14ac:dyDescent="0.25">
      <c r="C175" s="42">
        <v>171</v>
      </c>
      <c r="D175" s="67" t="str">
        <f>IF('Prod 1'!D175="","",'Prod 1'!D175)</f>
        <v/>
      </c>
      <c r="E175" s="64"/>
      <c r="F175" s="89" t="str">
        <f>IF(D175="","",E175*'Prod 1'!E175)</f>
        <v/>
      </c>
      <c r="G175" s="71" t="str">
        <f t="shared" si="4"/>
        <v/>
      </c>
      <c r="H175" s="59" t="str">
        <f t="shared" si="5"/>
        <v/>
      </c>
    </row>
    <row r="176" spans="3:8" ht="30" customHeight="1" x14ac:dyDescent="0.25">
      <c r="C176" s="42">
        <v>172</v>
      </c>
      <c r="D176" s="67" t="str">
        <f>IF('Prod 1'!D176="","",'Prod 1'!D176)</f>
        <v/>
      </c>
      <c r="E176" s="64"/>
      <c r="F176" s="89" t="str">
        <f>IF(D176="","",E176*'Prod 1'!E176)</f>
        <v/>
      </c>
      <c r="G176" s="71" t="str">
        <f t="shared" si="4"/>
        <v/>
      </c>
      <c r="H176" s="59" t="str">
        <f t="shared" si="5"/>
        <v/>
      </c>
    </row>
    <row r="177" spans="3:8" ht="30" customHeight="1" x14ac:dyDescent="0.25">
      <c r="C177" s="42">
        <v>173</v>
      </c>
      <c r="D177" s="67" t="str">
        <f>IF('Prod 1'!D177="","",'Prod 1'!D177)</f>
        <v/>
      </c>
      <c r="E177" s="64"/>
      <c r="F177" s="89" t="str">
        <f>IF(D177="","",E177*'Prod 1'!E177)</f>
        <v/>
      </c>
      <c r="G177" s="71" t="str">
        <f t="shared" si="4"/>
        <v/>
      </c>
      <c r="H177" s="59" t="str">
        <f t="shared" si="5"/>
        <v/>
      </c>
    </row>
    <row r="178" spans="3:8" ht="30" customHeight="1" x14ac:dyDescent="0.25">
      <c r="C178" s="42">
        <v>174</v>
      </c>
      <c r="D178" s="67" t="str">
        <f>IF('Prod 1'!D178="","",'Prod 1'!D178)</f>
        <v/>
      </c>
      <c r="E178" s="64"/>
      <c r="F178" s="89" t="str">
        <f>IF(D178="","",E178*'Prod 1'!E178)</f>
        <v/>
      </c>
      <c r="G178" s="71" t="str">
        <f t="shared" si="4"/>
        <v/>
      </c>
      <c r="H178" s="59" t="str">
        <f t="shared" si="5"/>
        <v/>
      </c>
    </row>
    <row r="179" spans="3:8" ht="30" customHeight="1" x14ac:dyDescent="0.25">
      <c r="C179" s="42">
        <v>175</v>
      </c>
      <c r="D179" s="67" t="str">
        <f>IF('Prod 1'!D179="","",'Prod 1'!D179)</f>
        <v/>
      </c>
      <c r="E179" s="64"/>
      <c r="F179" s="89" t="str">
        <f>IF(D179="","",E179*'Prod 1'!E179)</f>
        <v/>
      </c>
      <c r="G179" s="71" t="str">
        <f t="shared" si="4"/>
        <v/>
      </c>
      <c r="H179" s="59" t="str">
        <f t="shared" si="5"/>
        <v/>
      </c>
    </row>
    <row r="180" spans="3:8" ht="30" customHeight="1" x14ac:dyDescent="0.25">
      <c r="C180" s="42">
        <v>176</v>
      </c>
      <c r="D180" s="67" t="str">
        <f>IF('Prod 1'!D180="","",'Prod 1'!D180)</f>
        <v/>
      </c>
      <c r="E180" s="64"/>
      <c r="F180" s="89" t="str">
        <f>IF(D180="","",E180*'Prod 1'!E180)</f>
        <v/>
      </c>
      <c r="G180" s="71" t="str">
        <f t="shared" si="4"/>
        <v/>
      </c>
      <c r="H180" s="59" t="str">
        <f t="shared" si="5"/>
        <v/>
      </c>
    </row>
    <row r="181" spans="3:8" ht="30" customHeight="1" x14ac:dyDescent="0.25">
      <c r="C181" s="42">
        <v>177</v>
      </c>
      <c r="D181" s="67" t="str">
        <f>IF('Prod 1'!D181="","",'Prod 1'!D181)</f>
        <v/>
      </c>
      <c r="E181" s="64"/>
      <c r="F181" s="89" t="str">
        <f>IF(D181="","",E181*'Prod 1'!E181)</f>
        <v/>
      </c>
      <c r="G181" s="71" t="str">
        <f t="shared" si="4"/>
        <v/>
      </c>
      <c r="H181" s="59" t="str">
        <f t="shared" si="5"/>
        <v/>
      </c>
    </row>
    <row r="182" spans="3:8" ht="30" customHeight="1" x14ac:dyDescent="0.25">
      <c r="C182" s="42">
        <v>178</v>
      </c>
      <c r="D182" s="67" t="str">
        <f>IF('Prod 1'!D182="","",'Prod 1'!D182)</f>
        <v/>
      </c>
      <c r="E182" s="64"/>
      <c r="F182" s="89" t="str">
        <f>IF(D182="","",E182*'Prod 1'!E182)</f>
        <v/>
      </c>
      <c r="G182" s="71" t="str">
        <f t="shared" si="4"/>
        <v/>
      </c>
      <c r="H182" s="59" t="str">
        <f t="shared" si="5"/>
        <v/>
      </c>
    </row>
    <row r="183" spans="3:8" ht="30" customHeight="1" x14ac:dyDescent="0.25">
      <c r="C183" s="42">
        <v>179</v>
      </c>
      <c r="D183" s="67" t="str">
        <f>IF('Prod 1'!D183="","",'Prod 1'!D183)</f>
        <v/>
      </c>
      <c r="E183" s="64"/>
      <c r="F183" s="89" t="str">
        <f>IF(D183="","",E183*'Prod 1'!E183)</f>
        <v/>
      </c>
      <c r="G183" s="71" t="str">
        <f t="shared" si="4"/>
        <v/>
      </c>
      <c r="H183" s="59" t="str">
        <f t="shared" si="5"/>
        <v/>
      </c>
    </row>
    <row r="184" spans="3:8" ht="30" customHeight="1" x14ac:dyDescent="0.25">
      <c r="C184" s="42">
        <v>180</v>
      </c>
      <c r="D184" s="67" t="str">
        <f>IF('Prod 1'!D184="","",'Prod 1'!D184)</f>
        <v/>
      </c>
      <c r="E184" s="64"/>
      <c r="F184" s="89" t="str">
        <f>IF(D184="","",E184*'Prod 1'!E184)</f>
        <v/>
      </c>
      <c r="G184" s="71" t="str">
        <f t="shared" si="4"/>
        <v/>
      </c>
      <c r="H184" s="59" t="str">
        <f t="shared" si="5"/>
        <v/>
      </c>
    </row>
    <row r="185" spans="3:8" ht="30" customHeight="1" x14ac:dyDescent="0.25">
      <c r="C185" s="42">
        <v>181</v>
      </c>
      <c r="D185" s="67" t="str">
        <f>IF('Prod 1'!D185="","",'Prod 1'!D185)</f>
        <v/>
      </c>
      <c r="E185" s="64"/>
      <c r="F185" s="89" t="str">
        <f>IF(D185="","",E185*'Prod 1'!E185)</f>
        <v/>
      </c>
      <c r="G185" s="71" t="str">
        <f t="shared" si="4"/>
        <v/>
      </c>
      <c r="H185" s="59" t="str">
        <f t="shared" si="5"/>
        <v/>
      </c>
    </row>
    <row r="186" spans="3:8" ht="30" customHeight="1" x14ac:dyDescent="0.25">
      <c r="C186" s="42">
        <v>182</v>
      </c>
      <c r="D186" s="67" t="str">
        <f>IF('Prod 1'!D186="","",'Prod 1'!D186)</f>
        <v/>
      </c>
      <c r="E186" s="64"/>
      <c r="F186" s="89" t="str">
        <f>IF(D186="","",E186*'Prod 1'!E186)</f>
        <v/>
      </c>
      <c r="G186" s="71" t="str">
        <f t="shared" si="4"/>
        <v/>
      </c>
      <c r="H186" s="59" t="str">
        <f t="shared" si="5"/>
        <v/>
      </c>
    </row>
    <row r="187" spans="3:8" ht="30" customHeight="1" x14ac:dyDescent="0.25">
      <c r="C187" s="42">
        <v>183</v>
      </c>
      <c r="D187" s="67" t="str">
        <f>IF('Prod 1'!D187="","",'Prod 1'!D187)</f>
        <v/>
      </c>
      <c r="E187" s="64"/>
      <c r="F187" s="89" t="str">
        <f>IF(D187="","",E187*'Prod 1'!E187)</f>
        <v/>
      </c>
      <c r="G187" s="71" t="str">
        <f t="shared" si="4"/>
        <v/>
      </c>
      <c r="H187" s="59" t="str">
        <f t="shared" si="5"/>
        <v/>
      </c>
    </row>
    <row r="188" spans="3:8" ht="30" customHeight="1" x14ac:dyDescent="0.25">
      <c r="C188" s="42">
        <v>184</v>
      </c>
      <c r="D188" s="67" t="str">
        <f>IF('Prod 1'!D188="","",'Prod 1'!D188)</f>
        <v/>
      </c>
      <c r="E188" s="64"/>
      <c r="F188" s="89" t="str">
        <f>IF(D188="","",E188*'Prod 1'!E188)</f>
        <v/>
      </c>
      <c r="G188" s="71" t="str">
        <f t="shared" si="4"/>
        <v/>
      </c>
      <c r="H188" s="59" t="str">
        <f t="shared" si="5"/>
        <v/>
      </c>
    </row>
    <row r="189" spans="3:8" ht="30" customHeight="1" x14ac:dyDescent="0.25">
      <c r="C189" s="42">
        <v>185</v>
      </c>
      <c r="D189" s="67" t="str">
        <f>IF('Prod 1'!D189="","",'Prod 1'!D189)</f>
        <v/>
      </c>
      <c r="E189" s="64"/>
      <c r="F189" s="89" t="str">
        <f>IF(D189="","",E189*'Prod 1'!E189)</f>
        <v/>
      </c>
      <c r="G189" s="71" t="str">
        <f t="shared" si="4"/>
        <v/>
      </c>
      <c r="H189" s="59" t="str">
        <f t="shared" si="5"/>
        <v/>
      </c>
    </row>
    <row r="190" spans="3:8" ht="30" customHeight="1" x14ac:dyDescent="0.25">
      <c r="C190" s="42">
        <v>186</v>
      </c>
      <c r="D190" s="67" t="str">
        <f>IF('Prod 1'!D190="","",'Prod 1'!D190)</f>
        <v/>
      </c>
      <c r="E190" s="64"/>
      <c r="F190" s="89" t="str">
        <f>IF(D190="","",E190*'Prod 1'!E190)</f>
        <v/>
      </c>
      <c r="G190" s="71" t="str">
        <f t="shared" si="4"/>
        <v/>
      </c>
      <c r="H190" s="59" t="str">
        <f t="shared" si="5"/>
        <v/>
      </c>
    </row>
    <row r="191" spans="3:8" ht="30" customHeight="1" x14ac:dyDescent="0.25">
      <c r="C191" s="42">
        <v>187</v>
      </c>
      <c r="D191" s="67" t="str">
        <f>IF('Prod 1'!D191="","",'Prod 1'!D191)</f>
        <v/>
      </c>
      <c r="E191" s="64"/>
      <c r="F191" s="89" t="str">
        <f>IF(D191="","",E191*'Prod 1'!E191)</f>
        <v/>
      </c>
      <c r="G191" s="71" t="str">
        <f t="shared" si="4"/>
        <v/>
      </c>
      <c r="H191" s="59" t="str">
        <f t="shared" si="5"/>
        <v/>
      </c>
    </row>
    <row r="192" spans="3:8" ht="30" customHeight="1" x14ac:dyDescent="0.25">
      <c r="C192" s="42">
        <v>188</v>
      </c>
      <c r="D192" s="67" t="str">
        <f>IF('Prod 1'!D192="","",'Prod 1'!D192)</f>
        <v/>
      </c>
      <c r="E192" s="64"/>
      <c r="F192" s="89" t="str">
        <f>IF(D192="","",E192*'Prod 1'!E192)</f>
        <v/>
      </c>
      <c r="G192" s="71" t="str">
        <f t="shared" si="4"/>
        <v/>
      </c>
      <c r="H192" s="59" t="str">
        <f t="shared" si="5"/>
        <v/>
      </c>
    </row>
    <row r="193" spans="3:8" ht="30" customHeight="1" x14ac:dyDescent="0.25">
      <c r="C193" s="42">
        <v>189</v>
      </c>
      <c r="D193" s="67" t="str">
        <f>IF('Prod 1'!D193="","",'Prod 1'!D193)</f>
        <v/>
      </c>
      <c r="E193" s="64"/>
      <c r="F193" s="89" t="str">
        <f>IF(D193="","",E193*'Prod 1'!E193)</f>
        <v/>
      </c>
      <c r="G193" s="71" t="str">
        <f t="shared" si="4"/>
        <v/>
      </c>
      <c r="H193" s="59" t="str">
        <f t="shared" si="5"/>
        <v/>
      </c>
    </row>
    <row r="194" spans="3:8" ht="30" customHeight="1" x14ac:dyDescent="0.25">
      <c r="C194" s="42">
        <v>190</v>
      </c>
      <c r="D194" s="67" t="str">
        <f>IF('Prod 1'!D194="","",'Prod 1'!D194)</f>
        <v/>
      </c>
      <c r="E194" s="64"/>
      <c r="F194" s="89" t="str">
        <f>IF(D194="","",E194*'Prod 1'!E194)</f>
        <v/>
      </c>
      <c r="G194" s="71" t="str">
        <f t="shared" si="4"/>
        <v/>
      </c>
      <c r="H194" s="59" t="str">
        <f t="shared" si="5"/>
        <v/>
      </c>
    </row>
    <row r="195" spans="3:8" ht="30" customHeight="1" x14ac:dyDescent="0.25">
      <c r="C195" s="42">
        <v>191</v>
      </c>
      <c r="D195" s="67" t="str">
        <f>IF('Prod 1'!D195="","",'Prod 1'!D195)</f>
        <v/>
      </c>
      <c r="E195" s="64"/>
      <c r="F195" s="89" t="str">
        <f>IF(D195="","",E195*'Prod 1'!E195)</f>
        <v/>
      </c>
      <c r="G195" s="71" t="str">
        <f t="shared" si="4"/>
        <v/>
      </c>
      <c r="H195" s="59" t="str">
        <f t="shared" si="5"/>
        <v/>
      </c>
    </row>
    <row r="196" spans="3:8" ht="30" customHeight="1" x14ac:dyDescent="0.25">
      <c r="C196" s="42">
        <v>192</v>
      </c>
      <c r="D196" s="67" t="str">
        <f>IF('Prod 1'!D196="","",'Prod 1'!D196)</f>
        <v/>
      </c>
      <c r="E196" s="64"/>
      <c r="F196" s="89" t="str">
        <f>IF(D196="","",E196*'Prod 1'!E196)</f>
        <v/>
      </c>
      <c r="G196" s="71" t="str">
        <f t="shared" si="4"/>
        <v/>
      </c>
      <c r="H196" s="59" t="str">
        <f t="shared" si="5"/>
        <v/>
      </c>
    </row>
    <row r="197" spans="3:8" ht="30" customHeight="1" x14ac:dyDescent="0.25">
      <c r="C197" s="42">
        <v>193</v>
      </c>
      <c r="D197" s="67" t="str">
        <f>IF('Prod 1'!D197="","",'Prod 1'!D197)</f>
        <v/>
      </c>
      <c r="E197" s="64"/>
      <c r="F197" s="89" t="str">
        <f>IF(D197="","",E197*'Prod 1'!E197)</f>
        <v/>
      </c>
      <c r="G197" s="71" t="str">
        <f t="shared" ref="G197:G260" si="6">IF(D197="","",IFERROR(F197/$H$3,0))</f>
        <v/>
      </c>
      <c r="H197" s="59" t="str">
        <f t="shared" ref="H197:H260" si="7">F197</f>
        <v/>
      </c>
    </row>
    <row r="198" spans="3:8" ht="30" customHeight="1" x14ac:dyDescent="0.25">
      <c r="C198" s="42">
        <v>194</v>
      </c>
      <c r="D198" s="67" t="str">
        <f>IF('Prod 1'!D198="","",'Prod 1'!D198)</f>
        <v/>
      </c>
      <c r="E198" s="64"/>
      <c r="F198" s="89" t="str">
        <f>IF(D198="","",E198*'Prod 1'!E198)</f>
        <v/>
      </c>
      <c r="G198" s="71" t="str">
        <f t="shared" si="6"/>
        <v/>
      </c>
      <c r="H198" s="59" t="str">
        <f t="shared" si="7"/>
        <v/>
      </c>
    </row>
    <row r="199" spans="3:8" ht="30" customHeight="1" x14ac:dyDescent="0.25">
      <c r="C199" s="42">
        <v>195</v>
      </c>
      <c r="D199" s="67" t="str">
        <f>IF('Prod 1'!D199="","",'Prod 1'!D199)</f>
        <v/>
      </c>
      <c r="E199" s="64"/>
      <c r="F199" s="89" t="str">
        <f>IF(D199="","",E199*'Prod 1'!E199)</f>
        <v/>
      </c>
      <c r="G199" s="71" t="str">
        <f t="shared" si="6"/>
        <v/>
      </c>
      <c r="H199" s="59" t="str">
        <f t="shared" si="7"/>
        <v/>
      </c>
    </row>
    <row r="200" spans="3:8" ht="30" customHeight="1" x14ac:dyDescent="0.25">
      <c r="C200" s="42">
        <v>196</v>
      </c>
      <c r="D200" s="67" t="str">
        <f>IF('Prod 1'!D200="","",'Prod 1'!D200)</f>
        <v/>
      </c>
      <c r="E200" s="64"/>
      <c r="F200" s="89" t="str">
        <f>IF(D200="","",E200*'Prod 1'!E200)</f>
        <v/>
      </c>
      <c r="G200" s="71" t="str">
        <f t="shared" si="6"/>
        <v/>
      </c>
      <c r="H200" s="59" t="str">
        <f t="shared" si="7"/>
        <v/>
      </c>
    </row>
    <row r="201" spans="3:8" ht="30" customHeight="1" x14ac:dyDescent="0.25">
      <c r="C201" s="42">
        <v>197</v>
      </c>
      <c r="D201" s="67" t="str">
        <f>IF('Prod 1'!D201="","",'Prod 1'!D201)</f>
        <v/>
      </c>
      <c r="E201" s="64"/>
      <c r="F201" s="89" t="str">
        <f>IF(D201="","",E201*'Prod 1'!E201)</f>
        <v/>
      </c>
      <c r="G201" s="71" t="str">
        <f t="shared" si="6"/>
        <v/>
      </c>
      <c r="H201" s="59" t="str">
        <f t="shared" si="7"/>
        <v/>
      </c>
    </row>
    <row r="202" spans="3:8" ht="30" customHeight="1" x14ac:dyDescent="0.25">
      <c r="C202" s="42">
        <v>198</v>
      </c>
      <c r="D202" s="67" t="str">
        <f>IF('Prod 1'!D202="","",'Prod 1'!D202)</f>
        <v/>
      </c>
      <c r="E202" s="64"/>
      <c r="F202" s="89" t="str">
        <f>IF(D202="","",E202*'Prod 1'!E202)</f>
        <v/>
      </c>
      <c r="G202" s="71" t="str">
        <f t="shared" si="6"/>
        <v/>
      </c>
      <c r="H202" s="59" t="str">
        <f t="shared" si="7"/>
        <v/>
      </c>
    </row>
    <row r="203" spans="3:8" ht="30" customHeight="1" x14ac:dyDescent="0.25">
      <c r="C203" s="42">
        <v>199</v>
      </c>
      <c r="D203" s="67" t="str">
        <f>IF('Prod 1'!D203="","",'Prod 1'!D203)</f>
        <v/>
      </c>
      <c r="E203" s="64"/>
      <c r="F203" s="89" t="str">
        <f>IF(D203="","",E203*'Prod 1'!E203)</f>
        <v/>
      </c>
      <c r="G203" s="71" t="str">
        <f t="shared" si="6"/>
        <v/>
      </c>
      <c r="H203" s="59" t="str">
        <f t="shared" si="7"/>
        <v/>
      </c>
    </row>
    <row r="204" spans="3:8" ht="30" customHeight="1" x14ac:dyDescent="0.25">
      <c r="C204" s="42">
        <v>200</v>
      </c>
      <c r="D204" s="67" t="str">
        <f>IF('Prod 1'!D204="","",'Prod 1'!D204)</f>
        <v/>
      </c>
      <c r="E204" s="64"/>
      <c r="F204" s="89" t="str">
        <f>IF(D204="","",E204*'Prod 1'!E204)</f>
        <v/>
      </c>
      <c r="G204" s="71" t="str">
        <f t="shared" si="6"/>
        <v/>
      </c>
      <c r="H204" s="59" t="str">
        <f t="shared" si="7"/>
        <v/>
      </c>
    </row>
    <row r="205" spans="3:8" ht="30" customHeight="1" x14ac:dyDescent="0.25">
      <c r="C205" s="42">
        <v>201</v>
      </c>
      <c r="D205" s="67" t="str">
        <f>IF('Prod 1'!D205="","",'Prod 1'!D205)</f>
        <v/>
      </c>
      <c r="E205" s="64"/>
      <c r="F205" s="89" t="str">
        <f>IF(D205="","",E205*'Prod 1'!E205)</f>
        <v/>
      </c>
      <c r="G205" s="71" t="str">
        <f t="shared" si="6"/>
        <v/>
      </c>
      <c r="H205" s="59" t="str">
        <f t="shared" si="7"/>
        <v/>
      </c>
    </row>
    <row r="206" spans="3:8" ht="30" customHeight="1" x14ac:dyDescent="0.25">
      <c r="C206" s="42">
        <v>202</v>
      </c>
      <c r="D206" s="67" t="str">
        <f>IF('Prod 1'!D206="","",'Prod 1'!D206)</f>
        <v/>
      </c>
      <c r="E206" s="64"/>
      <c r="F206" s="89" t="str">
        <f>IF(D206="","",E206*'Prod 1'!E206)</f>
        <v/>
      </c>
      <c r="G206" s="71" t="str">
        <f t="shared" si="6"/>
        <v/>
      </c>
      <c r="H206" s="59" t="str">
        <f t="shared" si="7"/>
        <v/>
      </c>
    </row>
    <row r="207" spans="3:8" ht="30" customHeight="1" x14ac:dyDescent="0.25">
      <c r="C207" s="42">
        <v>203</v>
      </c>
      <c r="D207" s="67" t="str">
        <f>IF('Prod 1'!D207="","",'Prod 1'!D207)</f>
        <v/>
      </c>
      <c r="E207" s="64"/>
      <c r="F207" s="89" t="str">
        <f>IF(D207="","",E207*'Prod 1'!E207)</f>
        <v/>
      </c>
      <c r="G207" s="71" t="str">
        <f t="shared" si="6"/>
        <v/>
      </c>
      <c r="H207" s="59" t="str">
        <f t="shared" si="7"/>
        <v/>
      </c>
    </row>
    <row r="208" spans="3:8" ht="30" customHeight="1" x14ac:dyDescent="0.25">
      <c r="C208" s="42">
        <v>204</v>
      </c>
      <c r="D208" s="67" t="str">
        <f>IF('Prod 1'!D208="","",'Prod 1'!D208)</f>
        <v/>
      </c>
      <c r="E208" s="64"/>
      <c r="F208" s="89" t="str">
        <f>IF(D208="","",E208*'Prod 1'!E208)</f>
        <v/>
      </c>
      <c r="G208" s="71" t="str">
        <f t="shared" si="6"/>
        <v/>
      </c>
      <c r="H208" s="59" t="str">
        <f t="shared" si="7"/>
        <v/>
      </c>
    </row>
    <row r="209" spans="3:8" ht="30" customHeight="1" x14ac:dyDescent="0.25">
      <c r="C209" s="42">
        <v>205</v>
      </c>
      <c r="D209" s="67" t="str">
        <f>IF('Prod 1'!D209="","",'Prod 1'!D209)</f>
        <v/>
      </c>
      <c r="E209" s="64"/>
      <c r="F209" s="89" t="str">
        <f>IF(D209="","",E209*'Prod 1'!E209)</f>
        <v/>
      </c>
      <c r="G209" s="71" t="str">
        <f t="shared" si="6"/>
        <v/>
      </c>
      <c r="H209" s="59" t="str">
        <f t="shared" si="7"/>
        <v/>
      </c>
    </row>
    <row r="210" spans="3:8" ht="30" customHeight="1" x14ac:dyDescent="0.25">
      <c r="C210" s="42">
        <v>206</v>
      </c>
      <c r="D210" s="67" t="str">
        <f>IF('Prod 1'!D210="","",'Prod 1'!D210)</f>
        <v/>
      </c>
      <c r="E210" s="64"/>
      <c r="F210" s="89" t="str">
        <f>IF(D210="","",E210*'Prod 1'!E210)</f>
        <v/>
      </c>
      <c r="G210" s="71" t="str">
        <f t="shared" si="6"/>
        <v/>
      </c>
      <c r="H210" s="59" t="str">
        <f t="shared" si="7"/>
        <v/>
      </c>
    </row>
    <row r="211" spans="3:8" ht="30" customHeight="1" x14ac:dyDescent="0.25">
      <c r="C211" s="42">
        <v>207</v>
      </c>
      <c r="D211" s="67" t="str">
        <f>IF('Prod 1'!D211="","",'Prod 1'!D211)</f>
        <v/>
      </c>
      <c r="E211" s="64"/>
      <c r="F211" s="89" t="str">
        <f>IF(D211="","",E211*'Prod 1'!E211)</f>
        <v/>
      </c>
      <c r="G211" s="71" t="str">
        <f t="shared" si="6"/>
        <v/>
      </c>
      <c r="H211" s="59" t="str">
        <f t="shared" si="7"/>
        <v/>
      </c>
    </row>
    <row r="212" spans="3:8" ht="30" customHeight="1" x14ac:dyDescent="0.25">
      <c r="C212" s="42">
        <v>208</v>
      </c>
      <c r="D212" s="67" t="str">
        <f>IF('Prod 1'!D212="","",'Prod 1'!D212)</f>
        <v/>
      </c>
      <c r="E212" s="64"/>
      <c r="F212" s="89" t="str">
        <f>IF(D212="","",E212*'Prod 1'!E212)</f>
        <v/>
      </c>
      <c r="G212" s="71" t="str">
        <f t="shared" si="6"/>
        <v/>
      </c>
      <c r="H212" s="59" t="str">
        <f t="shared" si="7"/>
        <v/>
      </c>
    </row>
    <row r="213" spans="3:8" ht="30" customHeight="1" x14ac:dyDescent="0.25">
      <c r="C213" s="42">
        <v>209</v>
      </c>
      <c r="D213" s="67" t="str">
        <f>IF('Prod 1'!D213="","",'Prod 1'!D213)</f>
        <v/>
      </c>
      <c r="E213" s="64"/>
      <c r="F213" s="89" t="str">
        <f>IF(D213="","",E213*'Prod 1'!E213)</f>
        <v/>
      </c>
      <c r="G213" s="71" t="str">
        <f t="shared" si="6"/>
        <v/>
      </c>
      <c r="H213" s="59" t="str">
        <f t="shared" si="7"/>
        <v/>
      </c>
    </row>
    <row r="214" spans="3:8" ht="30" customHeight="1" x14ac:dyDescent="0.25">
      <c r="C214" s="42">
        <v>210</v>
      </c>
      <c r="D214" s="67" t="str">
        <f>IF('Prod 1'!D214="","",'Prod 1'!D214)</f>
        <v/>
      </c>
      <c r="E214" s="64"/>
      <c r="F214" s="89" t="str">
        <f>IF(D214="","",E214*'Prod 1'!E214)</f>
        <v/>
      </c>
      <c r="G214" s="71" t="str">
        <f t="shared" si="6"/>
        <v/>
      </c>
      <c r="H214" s="59" t="str">
        <f t="shared" si="7"/>
        <v/>
      </c>
    </row>
    <row r="215" spans="3:8" ht="30" customHeight="1" x14ac:dyDescent="0.25">
      <c r="C215" s="42">
        <v>211</v>
      </c>
      <c r="D215" s="67" t="str">
        <f>IF('Prod 1'!D215="","",'Prod 1'!D215)</f>
        <v/>
      </c>
      <c r="E215" s="64"/>
      <c r="F215" s="89" t="str">
        <f>IF(D215="","",E215*'Prod 1'!E215)</f>
        <v/>
      </c>
      <c r="G215" s="71" t="str">
        <f t="shared" si="6"/>
        <v/>
      </c>
      <c r="H215" s="59" t="str">
        <f t="shared" si="7"/>
        <v/>
      </c>
    </row>
    <row r="216" spans="3:8" ht="30" customHeight="1" x14ac:dyDescent="0.25">
      <c r="C216" s="42">
        <v>212</v>
      </c>
      <c r="D216" s="67" t="str">
        <f>IF('Prod 1'!D216="","",'Prod 1'!D216)</f>
        <v/>
      </c>
      <c r="E216" s="64"/>
      <c r="F216" s="89" t="str">
        <f>IF(D216="","",E216*'Prod 1'!E216)</f>
        <v/>
      </c>
      <c r="G216" s="71" t="str">
        <f t="shared" si="6"/>
        <v/>
      </c>
      <c r="H216" s="59" t="str">
        <f t="shared" si="7"/>
        <v/>
      </c>
    </row>
    <row r="217" spans="3:8" ht="30" customHeight="1" x14ac:dyDescent="0.25">
      <c r="C217" s="42">
        <v>213</v>
      </c>
      <c r="D217" s="67" t="str">
        <f>IF('Prod 1'!D217="","",'Prod 1'!D217)</f>
        <v/>
      </c>
      <c r="E217" s="64"/>
      <c r="F217" s="89" t="str">
        <f>IF(D217="","",E217*'Prod 1'!E217)</f>
        <v/>
      </c>
      <c r="G217" s="71" t="str">
        <f t="shared" si="6"/>
        <v/>
      </c>
      <c r="H217" s="59" t="str">
        <f t="shared" si="7"/>
        <v/>
      </c>
    </row>
    <row r="218" spans="3:8" ht="30" customHeight="1" x14ac:dyDescent="0.25">
      <c r="C218" s="42">
        <v>214</v>
      </c>
      <c r="D218" s="67" t="str">
        <f>IF('Prod 1'!D218="","",'Prod 1'!D218)</f>
        <v/>
      </c>
      <c r="E218" s="64"/>
      <c r="F218" s="89" t="str">
        <f>IF(D218="","",E218*'Prod 1'!E218)</f>
        <v/>
      </c>
      <c r="G218" s="71" t="str">
        <f t="shared" si="6"/>
        <v/>
      </c>
      <c r="H218" s="59" t="str">
        <f t="shared" si="7"/>
        <v/>
      </c>
    </row>
    <row r="219" spans="3:8" ht="30" customHeight="1" x14ac:dyDescent="0.25">
      <c r="C219" s="42">
        <v>215</v>
      </c>
      <c r="D219" s="67" t="str">
        <f>IF('Prod 1'!D219="","",'Prod 1'!D219)</f>
        <v/>
      </c>
      <c r="E219" s="64"/>
      <c r="F219" s="89" t="str">
        <f>IF(D219="","",E219*'Prod 1'!E219)</f>
        <v/>
      </c>
      <c r="G219" s="71" t="str">
        <f t="shared" si="6"/>
        <v/>
      </c>
      <c r="H219" s="59" t="str">
        <f t="shared" si="7"/>
        <v/>
      </c>
    </row>
    <row r="220" spans="3:8" ht="30" customHeight="1" x14ac:dyDescent="0.25">
      <c r="C220" s="42">
        <v>216</v>
      </c>
      <c r="D220" s="67" t="str">
        <f>IF('Prod 1'!D220="","",'Prod 1'!D220)</f>
        <v/>
      </c>
      <c r="E220" s="64"/>
      <c r="F220" s="89" t="str">
        <f>IF(D220="","",E220*'Prod 1'!E220)</f>
        <v/>
      </c>
      <c r="G220" s="71" t="str">
        <f t="shared" si="6"/>
        <v/>
      </c>
      <c r="H220" s="59" t="str">
        <f t="shared" si="7"/>
        <v/>
      </c>
    </row>
    <row r="221" spans="3:8" ht="30" customHeight="1" x14ac:dyDescent="0.25">
      <c r="C221" s="42">
        <v>217</v>
      </c>
      <c r="D221" s="67" t="str">
        <f>IF('Prod 1'!D221="","",'Prod 1'!D221)</f>
        <v/>
      </c>
      <c r="E221" s="64"/>
      <c r="F221" s="89" t="str">
        <f>IF(D221="","",E221*'Prod 1'!E221)</f>
        <v/>
      </c>
      <c r="G221" s="71" t="str">
        <f t="shared" si="6"/>
        <v/>
      </c>
      <c r="H221" s="59" t="str">
        <f t="shared" si="7"/>
        <v/>
      </c>
    </row>
    <row r="222" spans="3:8" ht="30" customHeight="1" x14ac:dyDescent="0.25">
      <c r="C222" s="42">
        <v>218</v>
      </c>
      <c r="D222" s="67" t="str">
        <f>IF('Prod 1'!D222="","",'Prod 1'!D222)</f>
        <v/>
      </c>
      <c r="E222" s="64"/>
      <c r="F222" s="89" t="str">
        <f>IF(D222="","",E222*'Prod 1'!E222)</f>
        <v/>
      </c>
      <c r="G222" s="71" t="str">
        <f t="shared" si="6"/>
        <v/>
      </c>
      <c r="H222" s="59" t="str">
        <f t="shared" si="7"/>
        <v/>
      </c>
    </row>
    <row r="223" spans="3:8" ht="30" customHeight="1" x14ac:dyDescent="0.25">
      <c r="C223" s="42">
        <v>219</v>
      </c>
      <c r="D223" s="67" t="str">
        <f>IF('Prod 1'!D223="","",'Prod 1'!D223)</f>
        <v/>
      </c>
      <c r="E223" s="64"/>
      <c r="F223" s="89" t="str">
        <f>IF(D223="","",E223*'Prod 1'!E223)</f>
        <v/>
      </c>
      <c r="G223" s="71" t="str">
        <f t="shared" si="6"/>
        <v/>
      </c>
      <c r="H223" s="59" t="str">
        <f t="shared" si="7"/>
        <v/>
      </c>
    </row>
    <row r="224" spans="3:8" ht="30" customHeight="1" x14ac:dyDescent="0.25">
      <c r="C224" s="42">
        <v>220</v>
      </c>
      <c r="D224" s="67" t="str">
        <f>IF('Prod 1'!D224="","",'Prod 1'!D224)</f>
        <v/>
      </c>
      <c r="E224" s="64"/>
      <c r="F224" s="89" t="str">
        <f>IF(D224="","",E224*'Prod 1'!E224)</f>
        <v/>
      </c>
      <c r="G224" s="71" t="str">
        <f t="shared" si="6"/>
        <v/>
      </c>
      <c r="H224" s="59" t="str">
        <f t="shared" si="7"/>
        <v/>
      </c>
    </row>
    <row r="225" spans="3:8" ht="30" customHeight="1" x14ac:dyDescent="0.25">
      <c r="C225" s="42">
        <v>221</v>
      </c>
      <c r="D225" s="67" t="str">
        <f>IF('Prod 1'!D225="","",'Prod 1'!D225)</f>
        <v/>
      </c>
      <c r="E225" s="64"/>
      <c r="F225" s="89" t="str">
        <f>IF(D225="","",E225*'Prod 1'!E225)</f>
        <v/>
      </c>
      <c r="G225" s="71" t="str">
        <f t="shared" si="6"/>
        <v/>
      </c>
      <c r="H225" s="59" t="str">
        <f t="shared" si="7"/>
        <v/>
      </c>
    </row>
    <row r="226" spans="3:8" ht="30" customHeight="1" x14ac:dyDescent="0.25">
      <c r="C226" s="42">
        <v>222</v>
      </c>
      <c r="D226" s="67" t="str">
        <f>IF('Prod 1'!D226="","",'Prod 1'!D226)</f>
        <v/>
      </c>
      <c r="E226" s="64"/>
      <c r="F226" s="89" t="str">
        <f>IF(D226="","",E226*'Prod 1'!E226)</f>
        <v/>
      </c>
      <c r="G226" s="71" t="str">
        <f t="shared" si="6"/>
        <v/>
      </c>
      <c r="H226" s="59" t="str">
        <f t="shared" si="7"/>
        <v/>
      </c>
    </row>
    <row r="227" spans="3:8" ht="30" customHeight="1" x14ac:dyDescent="0.25">
      <c r="C227" s="42">
        <v>223</v>
      </c>
      <c r="D227" s="67" t="str">
        <f>IF('Prod 1'!D227="","",'Prod 1'!D227)</f>
        <v/>
      </c>
      <c r="E227" s="64"/>
      <c r="F227" s="89" t="str">
        <f>IF(D227="","",E227*'Prod 1'!E227)</f>
        <v/>
      </c>
      <c r="G227" s="71" t="str">
        <f t="shared" si="6"/>
        <v/>
      </c>
      <c r="H227" s="59" t="str">
        <f t="shared" si="7"/>
        <v/>
      </c>
    </row>
    <row r="228" spans="3:8" ht="30" customHeight="1" x14ac:dyDescent="0.25">
      <c r="C228" s="42">
        <v>224</v>
      </c>
      <c r="D228" s="67" t="str">
        <f>IF('Prod 1'!D228="","",'Prod 1'!D228)</f>
        <v/>
      </c>
      <c r="E228" s="64"/>
      <c r="F228" s="89" t="str">
        <f>IF(D228="","",E228*'Prod 1'!E228)</f>
        <v/>
      </c>
      <c r="G228" s="71" t="str">
        <f t="shared" si="6"/>
        <v/>
      </c>
      <c r="H228" s="59" t="str">
        <f t="shared" si="7"/>
        <v/>
      </c>
    </row>
    <row r="229" spans="3:8" ht="30" customHeight="1" x14ac:dyDescent="0.25">
      <c r="C229" s="42">
        <v>225</v>
      </c>
      <c r="D229" s="67" t="str">
        <f>IF('Prod 1'!D229="","",'Prod 1'!D229)</f>
        <v/>
      </c>
      <c r="E229" s="64"/>
      <c r="F229" s="89" t="str">
        <f>IF(D229="","",E229*'Prod 1'!E229)</f>
        <v/>
      </c>
      <c r="G229" s="71" t="str">
        <f t="shared" si="6"/>
        <v/>
      </c>
      <c r="H229" s="59" t="str">
        <f t="shared" si="7"/>
        <v/>
      </c>
    </row>
    <row r="230" spans="3:8" ht="30" customHeight="1" x14ac:dyDescent="0.25">
      <c r="C230" s="42">
        <v>226</v>
      </c>
      <c r="D230" s="67" t="str">
        <f>IF('Prod 1'!D230="","",'Prod 1'!D230)</f>
        <v/>
      </c>
      <c r="E230" s="64"/>
      <c r="F230" s="89" t="str">
        <f>IF(D230="","",E230*'Prod 1'!E230)</f>
        <v/>
      </c>
      <c r="G230" s="71" t="str">
        <f t="shared" si="6"/>
        <v/>
      </c>
      <c r="H230" s="59" t="str">
        <f t="shared" si="7"/>
        <v/>
      </c>
    </row>
    <row r="231" spans="3:8" ht="30" customHeight="1" x14ac:dyDescent="0.25">
      <c r="C231" s="42">
        <v>227</v>
      </c>
      <c r="D231" s="67" t="str">
        <f>IF('Prod 1'!D231="","",'Prod 1'!D231)</f>
        <v/>
      </c>
      <c r="E231" s="64"/>
      <c r="F231" s="89" t="str">
        <f>IF(D231="","",E231*'Prod 1'!E231)</f>
        <v/>
      </c>
      <c r="G231" s="71" t="str">
        <f t="shared" si="6"/>
        <v/>
      </c>
      <c r="H231" s="59" t="str">
        <f t="shared" si="7"/>
        <v/>
      </c>
    </row>
    <row r="232" spans="3:8" ht="30" customHeight="1" x14ac:dyDescent="0.25">
      <c r="C232" s="42">
        <v>228</v>
      </c>
      <c r="D232" s="67" t="str">
        <f>IF('Prod 1'!D232="","",'Prod 1'!D232)</f>
        <v/>
      </c>
      <c r="E232" s="64"/>
      <c r="F232" s="89" t="str">
        <f>IF(D232="","",E232*'Prod 1'!E232)</f>
        <v/>
      </c>
      <c r="G232" s="71" t="str">
        <f t="shared" si="6"/>
        <v/>
      </c>
      <c r="H232" s="59" t="str">
        <f t="shared" si="7"/>
        <v/>
      </c>
    </row>
    <row r="233" spans="3:8" ht="30" customHeight="1" x14ac:dyDescent="0.25">
      <c r="C233" s="42">
        <v>229</v>
      </c>
      <c r="D233" s="67" t="str">
        <f>IF('Prod 1'!D233="","",'Prod 1'!D233)</f>
        <v/>
      </c>
      <c r="E233" s="64"/>
      <c r="F233" s="89" t="str">
        <f>IF(D233="","",E233*'Prod 1'!E233)</f>
        <v/>
      </c>
      <c r="G233" s="71" t="str">
        <f t="shared" si="6"/>
        <v/>
      </c>
      <c r="H233" s="59" t="str">
        <f t="shared" si="7"/>
        <v/>
      </c>
    </row>
    <row r="234" spans="3:8" ht="30" customHeight="1" x14ac:dyDescent="0.25">
      <c r="C234" s="42">
        <v>230</v>
      </c>
      <c r="D234" s="67" t="str">
        <f>IF('Prod 1'!D234="","",'Prod 1'!D234)</f>
        <v/>
      </c>
      <c r="E234" s="64"/>
      <c r="F234" s="89" t="str">
        <f>IF(D234="","",E234*'Prod 1'!E234)</f>
        <v/>
      </c>
      <c r="G234" s="71" t="str">
        <f t="shared" si="6"/>
        <v/>
      </c>
      <c r="H234" s="59" t="str">
        <f t="shared" si="7"/>
        <v/>
      </c>
    </row>
    <row r="235" spans="3:8" ht="30" customHeight="1" x14ac:dyDescent="0.25">
      <c r="C235" s="42">
        <v>231</v>
      </c>
      <c r="D235" s="67" t="str">
        <f>IF('Prod 1'!D235="","",'Prod 1'!D235)</f>
        <v/>
      </c>
      <c r="E235" s="64"/>
      <c r="F235" s="89" t="str">
        <f>IF(D235="","",E235*'Prod 1'!E235)</f>
        <v/>
      </c>
      <c r="G235" s="71" t="str">
        <f t="shared" si="6"/>
        <v/>
      </c>
      <c r="H235" s="59" t="str">
        <f t="shared" si="7"/>
        <v/>
      </c>
    </row>
    <row r="236" spans="3:8" ht="30" customHeight="1" x14ac:dyDescent="0.25">
      <c r="C236" s="42">
        <v>232</v>
      </c>
      <c r="D236" s="67" t="str">
        <f>IF('Prod 1'!D236="","",'Prod 1'!D236)</f>
        <v/>
      </c>
      <c r="E236" s="64"/>
      <c r="F236" s="89" t="str">
        <f>IF(D236="","",E236*'Prod 1'!E236)</f>
        <v/>
      </c>
      <c r="G236" s="71" t="str">
        <f t="shared" si="6"/>
        <v/>
      </c>
      <c r="H236" s="59" t="str">
        <f t="shared" si="7"/>
        <v/>
      </c>
    </row>
    <row r="237" spans="3:8" ht="30" customHeight="1" x14ac:dyDescent="0.25">
      <c r="C237" s="42">
        <v>233</v>
      </c>
      <c r="D237" s="67" t="str">
        <f>IF('Prod 1'!D237="","",'Prod 1'!D237)</f>
        <v/>
      </c>
      <c r="E237" s="64"/>
      <c r="F237" s="89" t="str">
        <f>IF(D237="","",E237*'Prod 1'!E237)</f>
        <v/>
      </c>
      <c r="G237" s="71" t="str">
        <f t="shared" si="6"/>
        <v/>
      </c>
      <c r="H237" s="59" t="str">
        <f t="shared" si="7"/>
        <v/>
      </c>
    </row>
    <row r="238" spans="3:8" ht="30" customHeight="1" x14ac:dyDescent="0.25">
      <c r="C238" s="42">
        <v>234</v>
      </c>
      <c r="D238" s="67" t="str">
        <f>IF('Prod 1'!D238="","",'Prod 1'!D238)</f>
        <v/>
      </c>
      <c r="E238" s="64"/>
      <c r="F238" s="89" t="str">
        <f>IF(D238="","",E238*'Prod 1'!E238)</f>
        <v/>
      </c>
      <c r="G238" s="71" t="str">
        <f t="shared" si="6"/>
        <v/>
      </c>
      <c r="H238" s="59" t="str">
        <f t="shared" si="7"/>
        <v/>
      </c>
    </row>
    <row r="239" spans="3:8" ht="30" customHeight="1" x14ac:dyDescent="0.25">
      <c r="C239" s="42">
        <v>235</v>
      </c>
      <c r="D239" s="67" t="str">
        <f>IF('Prod 1'!D239="","",'Prod 1'!D239)</f>
        <v/>
      </c>
      <c r="E239" s="64"/>
      <c r="F239" s="89" t="str">
        <f>IF(D239="","",E239*'Prod 1'!E239)</f>
        <v/>
      </c>
      <c r="G239" s="71" t="str">
        <f t="shared" si="6"/>
        <v/>
      </c>
      <c r="H239" s="59" t="str">
        <f t="shared" si="7"/>
        <v/>
      </c>
    </row>
    <row r="240" spans="3:8" ht="30" customHeight="1" x14ac:dyDescent="0.25">
      <c r="C240" s="42">
        <v>236</v>
      </c>
      <c r="D240" s="67" t="str">
        <f>IF('Prod 1'!D240="","",'Prod 1'!D240)</f>
        <v/>
      </c>
      <c r="E240" s="64"/>
      <c r="F240" s="89" t="str">
        <f>IF(D240="","",E240*'Prod 1'!E240)</f>
        <v/>
      </c>
      <c r="G240" s="71" t="str">
        <f t="shared" si="6"/>
        <v/>
      </c>
      <c r="H240" s="59" t="str">
        <f t="shared" si="7"/>
        <v/>
      </c>
    </row>
    <row r="241" spans="3:8" ht="30" customHeight="1" x14ac:dyDescent="0.25">
      <c r="C241" s="42">
        <v>237</v>
      </c>
      <c r="D241" s="67" t="str">
        <f>IF('Prod 1'!D241="","",'Prod 1'!D241)</f>
        <v/>
      </c>
      <c r="E241" s="64"/>
      <c r="F241" s="89" t="str">
        <f>IF(D241="","",E241*'Prod 1'!E241)</f>
        <v/>
      </c>
      <c r="G241" s="71" t="str">
        <f t="shared" si="6"/>
        <v/>
      </c>
      <c r="H241" s="59" t="str">
        <f t="shared" si="7"/>
        <v/>
      </c>
    </row>
    <row r="242" spans="3:8" ht="30" customHeight="1" x14ac:dyDescent="0.25">
      <c r="C242" s="42">
        <v>238</v>
      </c>
      <c r="D242" s="67" t="str">
        <f>IF('Prod 1'!D242="","",'Prod 1'!D242)</f>
        <v/>
      </c>
      <c r="E242" s="64"/>
      <c r="F242" s="89" t="str">
        <f>IF(D242="","",E242*'Prod 1'!E242)</f>
        <v/>
      </c>
      <c r="G242" s="71" t="str">
        <f t="shared" si="6"/>
        <v/>
      </c>
      <c r="H242" s="59" t="str">
        <f t="shared" si="7"/>
        <v/>
      </c>
    </row>
    <row r="243" spans="3:8" ht="30" customHeight="1" x14ac:dyDescent="0.25">
      <c r="C243" s="42">
        <v>239</v>
      </c>
      <c r="D243" s="67" t="str">
        <f>IF('Prod 1'!D243="","",'Prod 1'!D243)</f>
        <v/>
      </c>
      <c r="E243" s="64"/>
      <c r="F243" s="89" t="str">
        <f>IF(D243="","",E243*'Prod 1'!E243)</f>
        <v/>
      </c>
      <c r="G243" s="71" t="str">
        <f t="shared" si="6"/>
        <v/>
      </c>
      <c r="H243" s="59" t="str">
        <f t="shared" si="7"/>
        <v/>
      </c>
    </row>
    <row r="244" spans="3:8" ht="30" customHeight="1" x14ac:dyDescent="0.25">
      <c r="C244" s="42">
        <v>240</v>
      </c>
      <c r="D244" s="67" t="str">
        <f>IF('Prod 1'!D244="","",'Prod 1'!D244)</f>
        <v/>
      </c>
      <c r="E244" s="64"/>
      <c r="F244" s="89" t="str">
        <f>IF(D244="","",E244*'Prod 1'!E244)</f>
        <v/>
      </c>
      <c r="G244" s="71" t="str">
        <f t="shared" si="6"/>
        <v/>
      </c>
      <c r="H244" s="59" t="str">
        <f t="shared" si="7"/>
        <v/>
      </c>
    </row>
    <row r="245" spans="3:8" ht="30" customHeight="1" x14ac:dyDescent="0.25">
      <c r="C245" s="42">
        <v>241</v>
      </c>
      <c r="D245" s="67" t="str">
        <f>IF('Prod 1'!D245="","",'Prod 1'!D245)</f>
        <v/>
      </c>
      <c r="E245" s="64"/>
      <c r="F245" s="89" t="str">
        <f>IF(D245="","",E245*'Prod 1'!E245)</f>
        <v/>
      </c>
      <c r="G245" s="71" t="str">
        <f t="shared" si="6"/>
        <v/>
      </c>
      <c r="H245" s="59" t="str">
        <f t="shared" si="7"/>
        <v/>
      </c>
    </row>
    <row r="246" spans="3:8" ht="30" customHeight="1" x14ac:dyDescent="0.25">
      <c r="C246" s="42">
        <v>242</v>
      </c>
      <c r="D246" s="67" t="str">
        <f>IF('Prod 1'!D246="","",'Prod 1'!D246)</f>
        <v/>
      </c>
      <c r="E246" s="64"/>
      <c r="F246" s="89" t="str">
        <f>IF(D246="","",E246*'Prod 1'!E246)</f>
        <v/>
      </c>
      <c r="G246" s="71" t="str">
        <f t="shared" si="6"/>
        <v/>
      </c>
      <c r="H246" s="59" t="str">
        <f t="shared" si="7"/>
        <v/>
      </c>
    </row>
    <row r="247" spans="3:8" ht="30" customHeight="1" x14ac:dyDescent="0.25">
      <c r="C247" s="42">
        <v>243</v>
      </c>
      <c r="D247" s="67" t="str">
        <f>IF('Prod 1'!D247="","",'Prod 1'!D247)</f>
        <v/>
      </c>
      <c r="E247" s="64"/>
      <c r="F247" s="89" t="str">
        <f>IF(D247="","",E247*'Prod 1'!E247)</f>
        <v/>
      </c>
      <c r="G247" s="71" t="str">
        <f t="shared" si="6"/>
        <v/>
      </c>
      <c r="H247" s="59" t="str">
        <f t="shared" si="7"/>
        <v/>
      </c>
    </row>
    <row r="248" spans="3:8" ht="30" customHeight="1" x14ac:dyDescent="0.25">
      <c r="C248" s="42">
        <v>244</v>
      </c>
      <c r="D248" s="67" t="str">
        <f>IF('Prod 1'!D248="","",'Prod 1'!D248)</f>
        <v/>
      </c>
      <c r="E248" s="64"/>
      <c r="F248" s="89" t="str">
        <f>IF(D248="","",E248*'Prod 1'!E248)</f>
        <v/>
      </c>
      <c r="G248" s="71" t="str">
        <f t="shared" si="6"/>
        <v/>
      </c>
      <c r="H248" s="59" t="str">
        <f t="shared" si="7"/>
        <v/>
      </c>
    </row>
    <row r="249" spans="3:8" ht="30" customHeight="1" x14ac:dyDescent="0.25">
      <c r="C249" s="42">
        <v>245</v>
      </c>
      <c r="D249" s="67" t="str">
        <f>IF('Prod 1'!D249="","",'Prod 1'!D249)</f>
        <v/>
      </c>
      <c r="E249" s="64"/>
      <c r="F249" s="89" t="str">
        <f>IF(D249="","",E249*'Prod 1'!E249)</f>
        <v/>
      </c>
      <c r="G249" s="71" t="str">
        <f t="shared" si="6"/>
        <v/>
      </c>
      <c r="H249" s="59" t="str">
        <f t="shared" si="7"/>
        <v/>
      </c>
    </row>
    <row r="250" spans="3:8" ht="30" customHeight="1" x14ac:dyDescent="0.25">
      <c r="C250" s="42">
        <v>246</v>
      </c>
      <c r="D250" s="67" t="str">
        <f>IF('Prod 1'!D250="","",'Prod 1'!D250)</f>
        <v/>
      </c>
      <c r="E250" s="64"/>
      <c r="F250" s="89" t="str">
        <f>IF(D250="","",E250*'Prod 1'!E250)</f>
        <v/>
      </c>
      <c r="G250" s="71" t="str">
        <f t="shared" si="6"/>
        <v/>
      </c>
      <c r="H250" s="59" t="str">
        <f t="shared" si="7"/>
        <v/>
      </c>
    </row>
    <row r="251" spans="3:8" ht="30" customHeight="1" x14ac:dyDescent="0.25">
      <c r="C251" s="42">
        <v>247</v>
      </c>
      <c r="D251" s="67" t="str">
        <f>IF('Prod 1'!D251="","",'Prod 1'!D251)</f>
        <v/>
      </c>
      <c r="E251" s="64"/>
      <c r="F251" s="89" t="str">
        <f>IF(D251="","",E251*'Prod 1'!E251)</f>
        <v/>
      </c>
      <c r="G251" s="71" t="str">
        <f t="shared" si="6"/>
        <v/>
      </c>
      <c r="H251" s="59" t="str">
        <f t="shared" si="7"/>
        <v/>
      </c>
    </row>
    <row r="252" spans="3:8" ht="30" customHeight="1" x14ac:dyDescent="0.25">
      <c r="C252" s="42">
        <v>248</v>
      </c>
      <c r="D252" s="67" t="str">
        <f>IF('Prod 1'!D252="","",'Prod 1'!D252)</f>
        <v/>
      </c>
      <c r="E252" s="64"/>
      <c r="F252" s="89" t="str">
        <f>IF(D252="","",E252*'Prod 1'!E252)</f>
        <v/>
      </c>
      <c r="G252" s="71" t="str">
        <f t="shared" si="6"/>
        <v/>
      </c>
      <c r="H252" s="59" t="str">
        <f t="shared" si="7"/>
        <v/>
      </c>
    </row>
    <row r="253" spans="3:8" ht="30" customHeight="1" x14ac:dyDescent="0.25">
      <c r="C253" s="42">
        <v>249</v>
      </c>
      <c r="D253" s="67" t="str">
        <f>IF('Prod 1'!D253="","",'Prod 1'!D253)</f>
        <v/>
      </c>
      <c r="E253" s="64"/>
      <c r="F253" s="89" t="str">
        <f>IF(D253="","",E253*'Prod 1'!E253)</f>
        <v/>
      </c>
      <c r="G253" s="71" t="str">
        <f t="shared" si="6"/>
        <v/>
      </c>
      <c r="H253" s="59" t="str">
        <f t="shared" si="7"/>
        <v/>
      </c>
    </row>
    <row r="254" spans="3:8" ht="30" customHeight="1" x14ac:dyDescent="0.25">
      <c r="C254" s="42">
        <v>250</v>
      </c>
      <c r="D254" s="67" t="str">
        <f>IF('Prod 1'!D254="","",'Prod 1'!D254)</f>
        <v/>
      </c>
      <c r="E254" s="64"/>
      <c r="F254" s="89" t="str">
        <f>IF(D254="","",E254*'Prod 1'!E254)</f>
        <v/>
      </c>
      <c r="G254" s="71" t="str">
        <f t="shared" si="6"/>
        <v/>
      </c>
      <c r="H254" s="59" t="str">
        <f t="shared" si="7"/>
        <v/>
      </c>
    </row>
    <row r="255" spans="3:8" ht="30" customHeight="1" x14ac:dyDescent="0.25">
      <c r="C255" s="42">
        <v>251</v>
      </c>
      <c r="D255" s="67" t="str">
        <f>IF('Prod 1'!D255="","",'Prod 1'!D255)</f>
        <v/>
      </c>
      <c r="E255" s="64"/>
      <c r="F255" s="89" t="str">
        <f>IF(D255="","",E255*'Prod 1'!E255)</f>
        <v/>
      </c>
      <c r="G255" s="71" t="str">
        <f t="shared" si="6"/>
        <v/>
      </c>
      <c r="H255" s="59" t="str">
        <f t="shared" si="7"/>
        <v/>
      </c>
    </row>
    <row r="256" spans="3:8" ht="30" customHeight="1" x14ac:dyDescent="0.25">
      <c r="C256" s="42">
        <v>252</v>
      </c>
      <c r="D256" s="67" t="str">
        <f>IF('Prod 1'!D256="","",'Prod 1'!D256)</f>
        <v/>
      </c>
      <c r="E256" s="64"/>
      <c r="F256" s="89" t="str">
        <f>IF(D256="","",E256*'Prod 1'!E256)</f>
        <v/>
      </c>
      <c r="G256" s="71" t="str">
        <f t="shared" si="6"/>
        <v/>
      </c>
      <c r="H256" s="59" t="str">
        <f t="shared" si="7"/>
        <v/>
      </c>
    </row>
    <row r="257" spans="3:8" ht="30" customHeight="1" x14ac:dyDescent="0.25">
      <c r="C257" s="42">
        <v>253</v>
      </c>
      <c r="D257" s="67" t="str">
        <f>IF('Prod 1'!D257="","",'Prod 1'!D257)</f>
        <v/>
      </c>
      <c r="E257" s="64"/>
      <c r="F257" s="89" t="str">
        <f>IF(D257="","",E257*'Prod 1'!E257)</f>
        <v/>
      </c>
      <c r="G257" s="71" t="str">
        <f t="shared" si="6"/>
        <v/>
      </c>
      <c r="H257" s="59" t="str">
        <f t="shared" si="7"/>
        <v/>
      </c>
    </row>
    <row r="258" spans="3:8" ht="30" customHeight="1" x14ac:dyDescent="0.25">
      <c r="C258" s="42">
        <v>254</v>
      </c>
      <c r="D258" s="67" t="str">
        <f>IF('Prod 1'!D258="","",'Prod 1'!D258)</f>
        <v/>
      </c>
      <c r="E258" s="64"/>
      <c r="F258" s="89" t="str">
        <f>IF(D258="","",E258*'Prod 1'!E258)</f>
        <v/>
      </c>
      <c r="G258" s="71" t="str">
        <f t="shared" si="6"/>
        <v/>
      </c>
      <c r="H258" s="59" t="str">
        <f t="shared" si="7"/>
        <v/>
      </c>
    </row>
    <row r="259" spans="3:8" ht="30" customHeight="1" x14ac:dyDescent="0.25">
      <c r="C259" s="42">
        <v>255</v>
      </c>
      <c r="D259" s="67" t="str">
        <f>IF('Prod 1'!D259="","",'Prod 1'!D259)</f>
        <v/>
      </c>
      <c r="E259" s="64"/>
      <c r="F259" s="89" t="str">
        <f>IF(D259="","",E259*'Prod 1'!E259)</f>
        <v/>
      </c>
      <c r="G259" s="71" t="str">
        <f t="shared" si="6"/>
        <v/>
      </c>
      <c r="H259" s="59" t="str">
        <f t="shared" si="7"/>
        <v/>
      </c>
    </row>
    <row r="260" spans="3:8" ht="30" customHeight="1" x14ac:dyDescent="0.25">
      <c r="C260" s="42">
        <v>256</v>
      </c>
      <c r="D260" s="67" t="str">
        <f>IF('Prod 1'!D260="","",'Prod 1'!D260)</f>
        <v/>
      </c>
      <c r="E260" s="64"/>
      <c r="F260" s="89" t="str">
        <f>IF(D260="","",E260*'Prod 1'!E260)</f>
        <v/>
      </c>
      <c r="G260" s="71" t="str">
        <f t="shared" si="6"/>
        <v/>
      </c>
      <c r="H260" s="59" t="str">
        <f t="shared" si="7"/>
        <v/>
      </c>
    </row>
    <row r="261" spans="3:8" ht="30" customHeight="1" x14ac:dyDescent="0.25">
      <c r="C261" s="42">
        <v>257</v>
      </c>
      <c r="D261" s="67" t="str">
        <f>IF('Prod 1'!D261="","",'Prod 1'!D261)</f>
        <v/>
      </c>
      <c r="E261" s="64"/>
      <c r="F261" s="89" t="str">
        <f>IF(D261="","",E261*'Prod 1'!E261)</f>
        <v/>
      </c>
      <c r="G261" s="71" t="str">
        <f t="shared" ref="G261:G324" si="8">IF(D261="","",IFERROR(F261/$H$3,0))</f>
        <v/>
      </c>
      <c r="H261" s="59" t="str">
        <f t="shared" ref="H261:H324" si="9">F261</f>
        <v/>
      </c>
    </row>
    <row r="262" spans="3:8" ht="30" customHeight="1" x14ac:dyDescent="0.25">
      <c r="C262" s="42">
        <v>258</v>
      </c>
      <c r="D262" s="67" t="str">
        <f>IF('Prod 1'!D262="","",'Prod 1'!D262)</f>
        <v/>
      </c>
      <c r="E262" s="64"/>
      <c r="F262" s="89" t="str">
        <f>IF(D262="","",E262*'Prod 1'!E262)</f>
        <v/>
      </c>
      <c r="G262" s="71" t="str">
        <f t="shared" si="8"/>
        <v/>
      </c>
      <c r="H262" s="59" t="str">
        <f t="shared" si="9"/>
        <v/>
      </c>
    </row>
    <row r="263" spans="3:8" ht="30" customHeight="1" x14ac:dyDescent="0.25">
      <c r="C263" s="42">
        <v>259</v>
      </c>
      <c r="D263" s="67" t="str">
        <f>IF('Prod 1'!D263="","",'Prod 1'!D263)</f>
        <v/>
      </c>
      <c r="E263" s="64"/>
      <c r="F263" s="89" t="str">
        <f>IF(D263="","",E263*'Prod 1'!E263)</f>
        <v/>
      </c>
      <c r="G263" s="71" t="str">
        <f t="shared" si="8"/>
        <v/>
      </c>
      <c r="H263" s="59" t="str">
        <f t="shared" si="9"/>
        <v/>
      </c>
    </row>
    <row r="264" spans="3:8" ht="30" customHeight="1" x14ac:dyDescent="0.25">
      <c r="C264" s="42">
        <v>260</v>
      </c>
      <c r="D264" s="67" t="str">
        <f>IF('Prod 1'!D264="","",'Prod 1'!D264)</f>
        <v/>
      </c>
      <c r="E264" s="64"/>
      <c r="F264" s="89" t="str">
        <f>IF(D264="","",E264*'Prod 1'!E264)</f>
        <v/>
      </c>
      <c r="G264" s="71" t="str">
        <f t="shared" si="8"/>
        <v/>
      </c>
      <c r="H264" s="59" t="str">
        <f t="shared" si="9"/>
        <v/>
      </c>
    </row>
    <row r="265" spans="3:8" ht="30" customHeight="1" x14ac:dyDescent="0.25">
      <c r="C265" s="42">
        <v>261</v>
      </c>
      <c r="D265" s="67" t="str">
        <f>IF('Prod 1'!D265="","",'Prod 1'!D265)</f>
        <v/>
      </c>
      <c r="E265" s="64"/>
      <c r="F265" s="89" t="str">
        <f>IF(D265="","",E265*'Prod 1'!E265)</f>
        <v/>
      </c>
      <c r="G265" s="71" t="str">
        <f t="shared" si="8"/>
        <v/>
      </c>
      <c r="H265" s="59" t="str">
        <f t="shared" si="9"/>
        <v/>
      </c>
    </row>
    <row r="266" spans="3:8" ht="30" customHeight="1" x14ac:dyDescent="0.25">
      <c r="C266" s="42">
        <v>262</v>
      </c>
      <c r="D266" s="67" t="str">
        <f>IF('Prod 1'!D266="","",'Prod 1'!D266)</f>
        <v/>
      </c>
      <c r="E266" s="64"/>
      <c r="F266" s="89" t="str">
        <f>IF(D266="","",E266*'Prod 1'!E266)</f>
        <v/>
      </c>
      <c r="G266" s="71" t="str">
        <f t="shared" si="8"/>
        <v/>
      </c>
      <c r="H266" s="59" t="str">
        <f t="shared" si="9"/>
        <v/>
      </c>
    </row>
    <row r="267" spans="3:8" ht="30" customHeight="1" x14ac:dyDescent="0.25">
      <c r="C267" s="42">
        <v>263</v>
      </c>
      <c r="D267" s="67" t="str">
        <f>IF('Prod 1'!D267="","",'Prod 1'!D267)</f>
        <v/>
      </c>
      <c r="E267" s="64"/>
      <c r="F267" s="89" t="str">
        <f>IF(D267="","",E267*'Prod 1'!E267)</f>
        <v/>
      </c>
      <c r="G267" s="71" t="str">
        <f t="shared" si="8"/>
        <v/>
      </c>
      <c r="H267" s="59" t="str">
        <f t="shared" si="9"/>
        <v/>
      </c>
    </row>
    <row r="268" spans="3:8" ht="30" customHeight="1" x14ac:dyDescent="0.25">
      <c r="C268" s="42">
        <v>264</v>
      </c>
      <c r="D268" s="67" t="str">
        <f>IF('Prod 1'!D268="","",'Prod 1'!D268)</f>
        <v/>
      </c>
      <c r="E268" s="64"/>
      <c r="F268" s="89" t="str">
        <f>IF(D268="","",E268*'Prod 1'!E268)</f>
        <v/>
      </c>
      <c r="G268" s="71" t="str">
        <f t="shared" si="8"/>
        <v/>
      </c>
      <c r="H268" s="59" t="str">
        <f t="shared" si="9"/>
        <v/>
      </c>
    </row>
    <row r="269" spans="3:8" ht="30" customHeight="1" x14ac:dyDescent="0.25">
      <c r="C269" s="42">
        <v>265</v>
      </c>
      <c r="D269" s="67" t="str">
        <f>IF('Prod 1'!D269="","",'Prod 1'!D269)</f>
        <v/>
      </c>
      <c r="E269" s="64"/>
      <c r="F269" s="89" t="str">
        <f>IF(D269="","",E269*'Prod 1'!E269)</f>
        <v/>
      </c>
      <c r="G269" s="71" t="str">
        <f t="shared" si="8"/>
        <v/>
      </c>
      <c r="H269" s="59" t="str">
        <f t="shared" si="9"/>
        <v/>
      </c>
    </row>
    <row r="270" spans="3:8" ht="30" customHeight="1" x14ac:dyDescent="0.25">
      <c r="C270" s="42">
        <v>266</v>
      </c>
      <c r="D270" s="67" t="str">
        <f>IF('Prod 1'!D270="","",'Prod 1'!D270)</f>
        <v/>
      </c>
      <c r="E270" s="64"/>
      <c r="F270" s="89" t="str">
        <f>IF(D270="","",E270*'Prod 1'!E270)</f>
        <v/>
      </c>
      <c r="G270" s="71" t="str">
        <f t="shared" si="8"/>
        <v/>
      </c>
      <c r="H270" s="59" t="str">
        <f t="shared" si="9"/>
        <v/>
      </c>
    </row>
    <row r="271" spans="3:8" ht="30" customHeight="1" x14ac:dyDescent="0.25">
      <c r="C271" s="42">
        <v>267</v>
      </c>
      <c r="D271" s="67" t="str">
        <f>IF('Prod 1'!D271="","",'Prod 1'!D271)</f>
        <v/>
      </c>
      <c r="E271" s="64"/>
      <c r="F271" s="89" t="str">
        <f>IF(D271="","",E271*'Prod 1'!E271)</f>
        <v/>
      </c>
      <c r="G271" s="71" t="str">
        <f t="shared" si="8"/>
        <v/>
      </c>
      <c r="H271" s="59" t="str">
        <f t="shared" si="9"/>
        <v/>
      </c>
    </row>
    <row r="272" spans="3:8" ht="30" customHeight="1" x14ac:dyDescent="0.25">
      <c r="C272" s="42">
        <v>268</v>
      </c>
      <c r="D272" s="67" t="str">
        <f>IF('Prod 1'!D272="","",'Prod 1'!D272)</f>
        <v/>
      </c>
      <c r="E272" s="64"/>
      <c r="F272" s="89" t="str">
        <f>IF(D272="","",E272*'Prod 1'!E272)</f>
        <v/>
      </c>
      <c r="G272" s="71" t="str">
        <f t="shared" si="8"/>
        <v/>
      </c>
      <c r="H272" s="59" t="str">
        <f t="shared" si="9"/>
        <v/>
      </c>
    </row>
    <row r="273" spans="3:8" ht="30" customHeight="1" x14ac:dyDescent="0.25">
      <c r="C273" s="42">
        <v>269</v>
      </c>
      <c r="D273" s="67" t="str">
        <f>IF('Prod 1'!D273="","",'Prod 1'!D273)</f>
        <v/>
      </c>
      <c r="E273" s="64"/>
      <c r="F273" s="89" t="str">
        <f>IF(D273="","",E273*'Prod 1'!E273)</f>
        <v/>
      </c>
      <c r="G273" s="71" t="str">
        <f t="shared" si="8"/>
        <v/>
      </c>
      <c r="H273" s="59" t="str">
        <f t="shared" si="9"/>
        <v/>
      </c>
    </row>
    <row r="274" spans="3:8" ht="30" customHeight="1" x14ac:dyDescent="0.25">
      <c r="C274" s="42">
        <v>270</v>
      </c>
      <c r="D274" s="67" t="str">
        <f>IF('Prod 1'!D274="","",'Prod 1'!D274)</f>
        <v/>
      </c>
      <c r="E274" s="64"/>
      <c r="F274" s="89" t="str">
        <f>IF(D274="","",E274*'Prod 1'!E274)</f>
        <v/>
      </c>
      <c r="G274" s="71" t="str">
        <f t="shared" si="8"/>
        <v/>
      </c>
      <c r="H274" s="59" t="str">
        <f t="shared" si="9"/>
        <v/>
      </c>
    </row>
    <row r="275" spans="3:8" ht="30" customHeight="1" x14ac:dyDescent="0.25">
      <c r="C275" s="42">
        <v>271</v>
      </c>
      <c r="D275" s="67" t="str">
        <f>IF('Prod 1'!D275="","",'Prod 1'!D275)</f>
        <v/>
      </c>
      <c r="E275" s="64"/>
      <c r="F275" s="89" t="str">
        <f>IF(D275="","",E275*'Prod 1'!E275)</f>
        <v/>
      </c>
      <c r="G275" s="71" t="str">
        <f t="shared" si="8"/>
        <v/>
      </c>
      <c r="H275" s="59" t="str">
        <f t="shared" si="9"/>
        <v/>
      </c>
    </row>
    <row r="276" spans="3:8" ht="30" customHeight="1" x14ac:dyDescent="0.25">
      <c r="C276" s="42">
        <v>272</v>
      </c>
      <c r="D276" s="67" t="str">
        <f>IF('Prod 1'!D276="","",'Prod 1'!D276)</f>
        <v/>
      </c>
      <c r="E276" s="64"/>
      <c r="F276" s="89" t="str">
        <f>IF(D276="","",E276*'Prod 1'!E276)</f>
        <v/>
      </c>
      <c r="G276" s="71" t="str">
        <f t="shared" si="8"/>
        <v/>
      </c>
      <c r="H276" s="59" t="str">
        <f t="shared" si="9"/>
        <v/>
      </c>
    </row>
    <row r="277" spans="3:8" ht="30" customHeight="1" x14ac:dyDescent="0.25">
      <c r="C277" s="42">
        <v>273</v>
      </c>
      <c r="D277" s="67" t="str">
        <f>IF('Prod 1'!D277="","",'Prod 1'!D277)</f>
        <v/>
      </c>
      <c r="E277" s="64"/>
      <c r="F277" s="89" t="str">
        <f>IF(D277="","",E277*'Prod 1'!E277)</f>
        <v/>
      </c>
      <c r="G277" s="71" t="str">
        <f t="shared" si="8"/>
        <v/>
      </c>
      <c r="H277" s="59" t="str">
        <f t="shared" si="9"/>
        <v/>
      </c>
    </row>
    <row r="278" spans="3:8" ht="30" customHeight="1" x14ac:dyDescent="0.25">
      <c r="C278" s="42">
        <v>274</v>
      </c>
      <c r="D278" s="67" t="str">
        <f>IF('Prod 1'!D278="","",'Prod 1'!D278)</f>
        <v/>
      </c>
      <c r="E278" s="64"/>
      <c r="F278" s="89" t="str">
        <f>IF(D278="","",E278*'Prod 1'!E278)</f>
        <v/>
      </c>
      <c r="G278" s="71" t="str">
        <f t="shared" si="8"/>
        <v/>
      </c>
      <c r="H278" s="59" t="str">
        <f t="shared" si="9"/>
        <v/>
      </c>
    </row>
    <row r="279" spans="3:8" ht="30" customHeight="1" x14ac:dyDescent="0.25">
      <c r="C279" s="42">
        <v>275</v>
      </c>
      <c r="D279" s="67" t="str">
        <f>IF('Prod 1'!D279="","",'Prod 1'!D279)</f>
        <v/>
      </c>
      <c r="E279" s="64"/>
      <c r="F279" s="89" t="str">
        <f>IF(D279="","",E279*'Prod 1'!E279)</f>
        <v/>
      </c>
      <c r="G279" s="71" t="str">
        <f t="shared" si="8"/>
        <v/>
      </c>
      <c r="H279" s="59" t="str">
        <f t="shared" si="9"/>
        <v/>
      </c>
    </row>
    <row r="280" spans="3:8" ht="30" customHeight="1" x14ac:dyDescent="0.25">
      <c r="C280" s="42">
        <v>276</v>
      </c>
      <c r="D280" s="67" t="str">
        <f>IF('Prod 1'!D280="","",'Prod 1'!D280)</f>
        <v/>
      </c>
      <c r="E280" s="64"/>
      <c r="F280" s="89" t="str">
        <f>IF(D280="","",E280*'Prod 1'!E280)</f>
        <v/>
      </c>
      <c r="G280" s="71" t="str">
        <f t="shared" si="8"/>
        <v/>
      </c>
      <c r="H280" s="59" t="str">
        <f t="shared" si="9"/>
        <v/>
      </c>
    </row>
    <row r="281" spans="3:8" ht="30" customHeight="1" x14ac:dyDescent="0.25">
      <c r="C281" s="42">
        <v>277</v>
      </c>
      <c r="D281" s="67" t="str">
        <f>IF('Prod 1'!D281="","",'Prod 1'!D281)</f>
        <v/>
      </c>
      <c r="E281" s="64"/>
      <c r="F281" s="89" t="str">
        <f>IF(D281="","",E281*'Prod 1'!E281)</f>
        <v/>
      </c>
      <c r="G281" s="71" t="str">
        <f t="shared" si="8"/>
        <v/>
      </c>
      <c r="H281" s="59" t="str">
        <f t="shared" si="9"/>
        <v/>
      </c>
    </row>
    <row r="282" spans="3:8" ht="30" customHeight="1" x14ac:dyDescent="0.25">
      <c r="C282" s="42">
        <v>278</v>
      </c>
      <c r="D282" s="67" t="str">
        <f>IF('Prod 1'!D282="","",'Prod 1'!D282)</f>
        <v/>
      </c>
      <c r="E282" s="64"/>
      <c r="F282" s="89" t="str">
        <f>IF(D282="","",E282*'Prod 1'!E282)</f>
        <v/>
      </c>
      <c r="G282" s="71" t="str">
        <f t="shared" si="8"/>
        <v/>
      </c>
      <c r="H282" s="59" t="str">
        <f t="shared" si="9"/>
        <v/>
      </c>
    </row>
    <row r="283" spans="3:8" ht="30" customHeight="1" x14ac:dyDescent="0.25">
      <c r="C283" s="42">
        <v>279</v>
      </c>
      <c r="D283" s="67" t="str">
        <f>IF('Prod 1'!D283="","",'Prod 1'!D283)</f>
        <v/>
      </c>
      <c r="E283" s="64"/>
      <c r="F283" s="89" t="str">
        <f>IF(D283="","",E283*'Prod 1'!E283)</f>
        <v/>
      </c>
      <c r="G283" s="71" t="str">
        <f t="shared" si="8"/>
        <v/>
      </c>
      <c r="H283" s="59" t="str">
        <f t="shared" si="9"/>
        <v/>
      </c>
    </row>
    <row r="284" spans="3:8" ht="30" customHeight="1" x14ac:dyDescent="0.25">
      <c r="C284" s="42">
        <v>280</v>
      </c>
      <c r="D284" s="67" t="str">
        <f>IF('Prod 1'!D284="","",'Prod 1'!D284)</f>
        <v/>
      </c>
      <c r="E284" s="64"/>
      <c r="F284" s="89" t="str">
        <f>IF(D284="","",E284*'Prod 1'!E284)</f>
        <v/>
      </c>
      <c r="G284" s="71" t="str">
        <f t="shared" si="8"/>
        <v/>
      </c>
      <c r="H284" s="59" t="str">
        <f t="shared" si="9"/>
        <v/>
      </c>
    </row>
    <row r="285" spans="3:8" ht="30" customHeight="1" x14ac:dyDescent="0.25">
      <c r="C285" s="42">
        <v>281</v>
      </c>
      <c r="D285" s="67" t="str">
        <f>IF('Prod 1'!D285="","",'Prod 1'!D285)</f>
        <v/>
      </c>
      <c r="E285" s="64"/>
      <c r="F285" s="89" t="str">
        <f>IF(D285="","",E285*'Prod 1'!E285)</f>
        <v/>
      </c>
      <c r="G285" s="71" t="str">
        <f t="shared" si="8"/>
        <v/>
      </c>
      <c r="H285" s="59" t="str">
        <f t="shared" si="9"/>
        <v/>
      </c>
    </row>
    <row r="286" spans="3:8" ht="30" customHeight="1" x14ac:dyDescent="0.25">
      <c r="C286" s="42">
        <v>282</v>
      </c>
      <c r="D286" s="67" t="str">
        <f>IF('Prod 1'!D286="","",'Prod 1'!D286)</f>
        <v/>
      </c>
      <c r="E286" s="64"/>
      <c r="F286" s="89" t="str">
        <f>IF(D286="","",E286*'Prod 1'!E286)</f>
        <v/>
      </c>
      <c r="G286" s="71" t="str">
        <f t="shared" si="8"/>
        <v/>
      </c>
      <c r="H286" s="59" t="str">
        <f t="shared" si="9"/>
        <v/>
      </c>
    </row>
    <row r="287" spans="3:8" ht="30" customHeight="1" x14ac:dyDescent="0.25">
      <c r="C287" s="42">
        <v>283</v>
      </c>
      <c r="D287" s="67" t="str">
        <f>IF('Prod 1'!D287="","",'Prod 1'!D287)</f>
        <v/>
      </c>
      <c r="E287" s="64"/>
      <c r="F287" s="89" t="str">
        <f>IF(D287="","",E287*'Prod 1'!E287)</f>
        <v/>
      </c>
      <c r="G287" s="71" t="str">
        <f t="shared" si="8"/>
        <v/>
      </c>
      <c r="H287" s="59" t="str">
        <f t="shared" si="9"/>
        <v/>
      </c>
    </row>
    <row r="288" spans="3:8" ht="30" customHeight="1" x14ac:dyDescent="0.25">
      <c r="C288" s="42">
        <v>284</v>
      </c>
      <c r="D288" s="67" t="str">
        <f>IF('Prod 1'!D288="","",'Prod 1'!D288)</f>
        <v/>
      </c>
      <c r="E288" s="64"/>
      <c r="F288" s="89" t="str">
        <f>IF(D288="","",E288*'Prod 1'!E288)</f>
        <v/>
      </c>
      <c r="G288" s="71" t="str">
        <f t="shared" si="8"/>
        <v/>
      </c>
      <c r="H288" s="59" t="str">
        <f t="shared" si="9"/>
        <v/>
      </c>
    </row>
    <row r="289" spans="3:8" ht="30" customHeight="1" x14ac:dyDescent="0.25">
      <c r="C289" s="42">
        <v>285</v>
      </c>
      <c r="D289" s="67" t="str">
        <f>IF('Prod 1'!D289="","",'Prod 1'!D289)</f>
        <v/>
      </c>
      <c r="E289" s="64"/>
      <c r="F289" s="89" t="str">
        <f>IF(D289="","",E289*'Prod 1'!E289)</f>
        <v/>
      </c>
      <c r="G289" s="71" t="str">
        <f t="shared" si="8"/>
        <v/>
      </c>
      <c r="H289" s="59" t="str">
        <f t="shared" si="9"/>
        <v/>
      </c>
    </row>
    <row r="290" spans="3:8" ht="30" customHeight="1" x14ac:dyDescent="0.25">
      <c r="C290" s="42">
        <v>286</v>
      </c>
      <c r="D290" s="67" t="str">
        <f>IF('Prod 1'!D290="","",'Prod 1'!D290)</f>
        <v/>
      </c>
      <c r="E290" s="64"/>
      <c r="F290" s="89" t="str">
        <f>IF(D290="","",E290*'Prod 1'!E290)</f>
        <v/>
      </c>
      <c r="G290" s="71" t="str">
        <f t="shared" si="8"/>
        <v/>
      </c>
      <c r="H290" s="59" t="str">
        <f t="shared" si="9"/>
        <v/>
      </c>
    </row>
    <row r="291" spans="3:8" ht="30" customHeight="1" x14ac:dyDescent="0.25">
      <c r="C291" s="42">
        <v>287</v>
      </c>
      <c r="D291" s="67" t="str">
        <f>IF('Prod 1'!D291="","",'Prod 1'!D291)</f>
        <v/>
      </c>
      <c r="E291" s="64"/>
      <c r="F291" s="89" t="str">
        <f>IF(D291="","",E291*'Prod 1'!E291)</f>
        <v/>
      </c>
      <c r="G291" s="71" t="str">
        <f t="shared" si="8"/>
        <v/>
      </c>
      <c r="H291" s="59" t="str">
        <f t="shared" si="9"/>
        <v/>
      </c>
    </row>
    <row r="292" spans="3:8" ht="30" customHeight="1" x14ac:dyDescent="0.25">
      <c r="C292" s="42">
        <v>288</v>
      </c>
      <c r="D292" s="67" t="str">
        <f>IF('Prod 1'!D292="","",'Prod 1'!D292)</f>
        <v/>
      </c>
      <c r="E292" s="64"/>
      <c r="F292" s="89" t="str">
        <f>IF(D292="","",E292*'Prod 1'!E292)</f>
        <v/>
      </c>
      <c r="G292" s="71" t="str">
        <f t="shared" si="8"/>
        <v/>
      </c>
      <c r="H292" s="59" t="str">
        <f t="shared" si="9"/>
        <v/>
      </c>
    </row>
    <row r="293" spans="3:8" ht="30" customHeight="1" x14ac:dyDescent="0.25">
      <c r="C293" s="42">
        <v>289</v>
      </c>
      <c r="D293" s="67" t="str">
        <f>IF('Prod 1'!D293="","",'Prod 1'!D293)</f>
        <v/>
      </c>
      <c r="E293" s="64"/>
      <c r="F293" s="89" t="str">
        <f>IF(D293="","",E293*'Prod 1'!E293)</f>
        <v/>
      </c>
      <c r="G293" s="71" t="str">
        <f t="shared" si="8"/>
        <v/>
      </c>
      <c r="H293" s="59" t="str">
        <f t="shared" si="9"/>
        <v/>
      </c>
    </row>
    <row r="294" spans="3:8" ht="30" customHeight="1" x14ac:dyDescent="0.25">
      <c r="C294" s="42">
        <v>290</v>
      </c>
      <c r="D294" s="67" t="str">
        <f>IF('Prod 1'!D294="","",'Prod 1'!D294)</f>
        <v/>
      </c>
      <c r="E294" s="64"/>
      <c r="F294" s="89" t="str">
        <f>IF(D294="","",E294*'Prod 1'!E294)</f>
        <v/>
      </c>
      <c r="G294" s="71" t="str">
        <f t="shared" si="8"/>
        <v/>
      </c>
      <c r="H294" s="59" t="str">
        <f t="shared" si="9"/>
        <v/>
      </c>
    </row>
    <row r="295" spans="3:8" ht="30" customHeight="1" x14ac:dyDescent="0.25">
      <c r="C295" s="42">
        <v>291</v>
      </c>
      <c r="D295" s="67" t="str">
        <f>IF('Prod 1'!D295="","",'Prod 1'!D295)</f>
        <v/>
      </c>
      <c r="E295" s="64"/>
      <c r="F295" s="89" t="str">
        <f>IF(D295="","",E295*'Prod 1'!E295)</f>
        <v/>
      </c>
      <c r="G295" s="71" t="str">
        <f t="shared" si="8"/>
        <v/>
      </c>
      <c r="H295" s="59" t="str">
        <f t="shared" si="9"/>
        <v/>
      </c>
    </row>
    <row r="296" spans="3:8" ht="30" customHeight="1" x14ac:dyDescent="0.25">
      <c r="C296" s="42">
        <v>292</v>
      </c>
      <c r="D296" s="67" t="str">
        <f>IF('Prod 1'!D296="","",'Prod 1'!D296)</f>
        <v/>
      </c>
      <c r="E296" s="64"/>
      <c r="F296" s="89" t="str">
        <f>IF(D296="","",E296*'Prod 1'!E296)</f>
        <v/>
      </c>
      <c r="G296" s="71" t="str">
        <f t="shared" si="8"/>
        <v/>
      </c>
      <c r="H296" s="59" t="str">
        <f t="shared" si="9"/>
        <v/>
      </c>
    </row>
    <row r="297" spans="3:8" ht="30" customHeight="1" x14ac:dyDescent="0.25">
      <c r="C297" s="42">
        <v>293</v>
      </c>
      <c r="D297" s="67" t="str">
        <f>IF('Prod 1'!D297="","",'Prod 1'!D297)</f>
        <v/>
      </c>
      <c r="E297" s="64"/>
      <c r="F297" s="89" t="str">
        <f>IF(D297="","",E297*'Prod 1'!E297)</f>
        <v/>
      </c>
      <c r="G297" s="71" t="str">
        <f t="shared" si="8"/>
        <v/>
      </c>
      <c r="H297" s="59" t="str">
        <f t="shared" si="9"/>
        <v/>
      </c>
    </row>
    <row r="298" spans="3:8" ht="30" customHeight="1" x14ac:dyDescent="0.25">
      <c r="C298" s="42">
        <v>294</v>
      </c>
      <c r="D298" s="67" t="str">
        <f>IF('Prod 1'!D298="","",'Prod 1'!D298)</f>
        <v/>
      </c>
      <c r="E298" s="64"/>
      <c r="F298" s="89" t="str">
        <f>IF(D298="","",E298*'Prod 1'!E298)</f>
        <v/>
      </c>
      <c r="G298" s="71" t="str">
        <f t="shared" si="8"/>
        <v/>
      </c>
      <c r="H298" s="59" t="str">
        <f t="shared" si="9"/>
        <v/>
      </c>
    </row>
    <row r="299" spans="3:8" ht="30" customHeight="1" x14ac:dyDescent="0.25">
      <c r="C299" s="42">
        <v>295</v>
      </c>
      <c r="D299" s="67" t="str">
        <f>IF('Prod 1'!D299="","",'Prod 1'!D299)</f>
        <v/>
      </c>
      <c r="E299" s="64"/>
      <c r="F299" s="89" t="str">
        <f>IF(D299="","",E299*'Prod 1'!E299)</f>
        <v/>
      </c>
      <c r="G299" s="71" t="str">
        <f t="shared" si="8"/>
        <v/>
      </c>
      <c r="H299" s="59" t="str">
        <f t="shared" si="9"/>
        <v/>
      </c>
    </row>
    <row r="300" spans="3:8" ht="30" customHeight="1" x14ac:dyDescent="0.25">
      <c r="C300" s="42">
        <v>296</v>
      </c>
      <c r="D300" s="67" t="str">
        <f>IF('Prod 1'!D300="","",'Prod 1'!D300)</f>
        <v/>
      </c>
      <c r="E300" s="64"/>
      <c r="F300" s="89" t="str">
        <f>IF(D300="","",E300*'Prod 1'!E300)</f>
        <v/>
      </c>
      <c r="G300" s="71" t="str">
        <f t="shared" si="8"/>
        <v/>
      </c>
      <c r="H300" s="59" t="str">
        <f t="shared" si="9"/>
        <v/>
      </c>
    </row>
    <row r="301" spans="3:8" ht="30" customHeight="1" x14ac:dyDescent="0.25">
      <c r="C301" s="42">
        <v>297</v>
      </c>
      <c r="D301" s="67" t="str">
        <f>IF('Prod 1'!D301="","",'Prod 1'!D301)</f>
        <v/>
      </c>
      <c r="E301" s="64"/>
      <c r="F301" s="89" t="str">
        <f>IF(D301="","",E301*'Prod 1'!E301)</f>
        <v/>
      </c>
      <c r="G301" s="71" t="str">
        <f t="shared" si="8"/>
        <v/>
      </c>
      <c r="H301" s="59" t="str">
        <f t="shared" si="9"/>
        <v/>
      </c>
    </row>
    <row r="302" spans="3:8" ht="30" customHeight="1" x14ac:dyDescent="0.25">
      <c r="C302" s="42">
        <v>298</v>
      </c>
      <c r="D302" s="67" t="str">
        <f>IF('Prod 1'!D302="","",'Prod 1'!D302)</f>
        <v/>
      </c>
      <c r="E302" s="64"/>
      <c r="F302" s="89" t="str">
        <f>IF(D302="","",E302*'Prod 1'!E302)</f>
        <v/>
      </c>
      <c r="G302" s="71" t="str">
        <f t="shared" si="8"/>
        <v/>
      </c>
      <c r="H302" s="59" t="str">
        <f t="shared" si="9"/>
        <v/>
      </c>
    </row>
    <row r="303" spans="3:8" ht="30" customHeight="1" x14ac:dyDescent="0.25">
      <c r="C303" s="42">
        <v>299</v>
      </c>
      <c r="D303" s="67" t="str">
        <f>IF('Prod 1'!D303="","",'Prod 1'!D303)</f>
        <v/>
      </c>
      <c r="E303" s="64"/>
      <c r="F303" s="89" t="str">
        <f>IF(D303="","",E303*'Prod 1'!E303)</f>
        <v/>
      </c>
      <c r="G303" s="71" t="str">
        <f t="shared" si="8"/>
        <v/>
      </c>
      <c r="H303" s="59" t="str">
        <f t="shared" si="9"/>
        <v/>
      </c>
    </row>
    <row r="304" spans="3:8" ht="30" customHeight="1" x14ac:dyDescent="0.25">
      <c r="C304" s="42">
        <v>300</v>
      </c>
      <c r="D304" s="67" t="str">
        <f>IF('Prod 1'!D304="","",'Prod 1'!D304)</f>
        <v/>
      </c>
      <c r="E304" s="64"/>
      <c r="F304" s="89" t="str">
        <f>IF(D304="","",E304*'Prod 1'!E304)</f>
        <v/>
      </c>
      <c r="G304" s="71" t="str">
        <f t="shared" si="8"/>
        <v/>
      </c>
      <c r="H304" s="59" t="str">
        <f t="shared" si="9"/>
        <v/>
      </c>
    </row>
    <row r="305" spans="3:8" ht="30" customHeight="1" x14ac:dyDescent="0.25">
      <c r="C305" s="42">
        <v>301</v>
      </c>
      <c r="D305" s="67" t="str">
        <f>IF('Prod 1'!D305="","",'Prod 1'!D305)</f>
        <v/>
      </c>
      <c r="E305" s="64"/>
      <c r="F305" s="89" t="str">
        <f>IF(D305="","",E305*'Prod 1'!E305)</f>
        <v/>
      </c>
      <c r="G305" s="71" t="str">
        <f t="shared" si="8"/>
        <v/>
      </c>
      <c r="H305" s="59" t="str">
        <f t="shared" si="9"/>
        <v/>
      </c>
    </row>
    <row r="306" spans="3:8" ht="30" customHeight="1" x14ac:dyDescent="0.25">
      <c r="C306" s="42">
        <v>302</v>
      </c>
      <c r="D306" s="67" t="str">
        <f>IF('Prod 1'!D306="","",'Prod 1'!D306)</f>
        <v/>
      </c>
      <c r="E306" s="64"/>
      <c r="F306" s="89" t="str">
        <f>IF(D306="","",E306*'Prod 1'!E306)</f>
        <v/>
      </c>
      <c r="G306" s="71" t="str">
        <f t="shared" si="8"/>
        <v/>
      </c>
      <c r="H306" s="59" t="str">
        <f t="shared" si="9"/>
        <v/>
      </c>
    </row>
    <row r="307" spans="3:8" ht="30" customHeight="1" x14ac:dyDescent="0.25">
      <c r="C307" s="42">
        <v>303</v>
      </c>
      <c r="D307" s="67" t="str">
        <f>IF('Prod 1'!D307="","",'Prod 1'!D307)</f>
        <v/>
      </c>
      <c r="E307" s="64"/>
      <c r="F307" s="89" t="str">
        <f>IF(D307="","",E307*'Prod 1'!E307)</f>
        <v/>
      </c>
      <c r="G307" s="71" t="str">
        <f t="shared" si="8"/>
        <v/>
      </c>
      <c r="H307" s="59" t="str">
        <f t="shared" si="9"/>
        <v/>
      </c>
    </row>
    <row r="308" spans="3:8" ht="30" customHeight="1" x14ac:dyDescent="0.25">
      <c r="C308" s="42">
        <v>304</v>
      </c>
      <c r="D308" s="67" t="str">
        <f>IF('Prod 1'!D308="","",'Prod 1'!D308)</f>
        <v/>
      </c>
      <c r="E308" s="64"/>
      <c r="F308" s="89" t="str">
        <f>IF(D308="","",E308*'Prod 1'!E308)</f>
        <v/>
      </c>
      <c r="G308" s="71" t="str">
        <f t="shared" si="8"/>
        <v/>
      </c>
      <c r="H308" s="59" t="str">
        <f t="shared" si="9"/>
        <v/>
      </c>
    </row>
    <row r="309" spans="3:8" ht="30" customHeight="1" x14ac:dyDescent="0.25">
      <c r="C309" s="42">
        <v>305</v>
      </c>
      <c r="D309" s="67" t="str">
        <f>IF('Prod 1'!D309="","",'Prod 1'!D309)</f>
        <v/>
      </c>
      <c r="E309" s="64"/>
      <c r="F309" s="89" t="str">
        <f>IF(D309="","",E309*'Prod 1'!E309)</f>
        <v/>
      </c>
      <c r="G309" s="71" t="str">
        <f t="shared" si="8"/>
        <v/>
      </c>
      <c r="H309" s="59" t="str">
        <f t="shared" si="9"/>
        <v/>
      </c>
    </row>
    <row r="310" spans="3:8" ht="30" customHeight="1" x14ac:dyDescent="0.25">
      <c r="C310" s="42">
        <v>306</v>
      </c>
      <c r="D310" s="67" t="str">
        <f>IF('Prod 1'!D310="","",'Prod 1'!D310)</f>
        <v/>
      </c>
      <c r="E310" s="64"/>
      <c r="F310" s="89" t="str">
        <f>IF(D310="","",E310*'Prod 1'!E310)</f>
        <v/>
      </c>
      <c r="G310" s="71" t="str">
        <f t="shared" si="8"/>
        <v/>
      </c>
      <c r="H310" s="59" t="str">
        <f t="shared" si="9"/>
        <v/>
      </c>
    </row>
    <row r="311" spans="3:8" ht="30" customHeight="1" x14ac:dyDescent="0.25">
      <c r="C311" s="42">
        <v>307</v>
      </c>
      <c r="D311" s="67" t="str">
        <f>IF('Prod 1'!D311="","",'Prod 1'!D311)</f>
        <v/>
      </c>
      <c r="E311" s="64"/>
      <c r="F311" s="89" t="str">
        <f>IF(D311="","",E311*'Prod 1'!E311)</f>
        <v/>
      </c>
      <c r="G311" s="71" t="str">
        <f t="shared" si="8"/>
        <v/>
      </c>
      <c r="H311" s="59" t="str">
        <f t="shared" si="9"/>
        <v/>
      </c>
    </row>
    <row r="312" spans="3:8" ht="30" customHeight="1" x14ac:dyDescent="0.25">
      <c r="C312" s="42">
        <v>308</v>
      </c>
      <c r="D312" s="67" t="str">
        <f>IF('Prod 1'!D312="","",'Prod 1'!D312)</f>
        <v/>
      </c>
      <c r="E312" s="64"/>
      <c r="F312" s="89" t="str">
        <f>IF(D312="","",E312*'Prod 1'!E312)</f>
        <v/>
      </c>
      <c r="G312" s="71" t="str">
        <f t="shared" si="8"/>
        <v/>
      </c>
      <c r="H312" s="59" t="str">
        <f t="shared" si="9"/>
        <v/>
      </c>
    </row>
    <row r="313" spans="3:8" ht="30" customHeight="1" x14ac:dyDescent="0.25">
      <c r="C313" s="42">
        <v>309</v>
      </c>
      <c r="D313" s="67" t="str">
        <f>IF('Prod 1'!D313="","",'Prod 1'!D313)</f>
        <v/>
      </c>
      <c r="E313" s="64"/>
      <c r="F313" s="89" t="str">
        <f>IF(D313="","",E313*'Prod 1'!E313)</f>
        <v/>
      </c>
      <c r="G313" s="71" t="str">
        <f t="shared" si="8"/>
        <v/>
      </c>
      <c r="H313" s="59" t="str">
        <f t="shared" si="9"/>
        <v/>
      </c>
    </row>
    <row r="314" spans="3:8" ht="30" customHeight="1" x14ac:dyDescent="0.25">
      <c r="C314" s="42">
        <v>310</v>
      </c>
      <c r="D314" s="67" t="str">
        <f>IF('Prod 1'!D314="","",'Prod 1'!D314)</f>
        <v/>
      </c>
      <c r="E314" s="64"/>
      <c r="F314" s="89" t="str">
        <f>IF(D314="","",E314*'Prod 1'!E314)</f>
        <v/>
      </c>
      <c r="G314" s="71" t="str">
        <f t="shared" si="8"/>
        <v/>
      </c>
      <c r="H314" s="59" t="str">
        <f t="shared" si="9"/>
        <v/>
      </c>
    </row>
    <row r="315" spans="3:8" ht="30" customHeight="1" x14ac:dyDescent="0.25">
      <c r="C315" s="42">
        <v>311</v>
      </c>
      <c r="D315" s="67" t="str">
        <f>IF('Prod 1'!D315="","",'Prod 1'!D315)</f>
        <v/>
      </c>
      <c r="E315" s="64"/>
      <c r="F315" s="89" t="str">
        <f>IF(D315="","",E315*'Prod 1'!E315)</f>
        <v/>
      </c>
      <c r="G315" s="71" t="str">
        <f t="shared" si="8"/>
        <v/>
      </c>
      <c r="H315" s="59" t="str">
        <f t="shared" si="9"/>
        <v/>
      </c>
    </row>
    <row r="316" spans="3:8" ht="30" customHeight="1" x14ac:dyDescent="0.25">
      <c r="C316" s="42">
        <v>312</v>
      </c>
      <c r="D316" s="67" t="str">
        <f>IF('Prod 1'!D316="","",'Prod 1'!D316)</f>
        <v/>
      </c>
      <c r="E316" s="64"/>
      <c r="F316" s="89" t="str">
        <f>IF(D316="","",E316*'Prod 1'!E316)</f>
        <v/>
      </c>
      <c r="G316" s="71" t="str">
        <f t="shared" si="8"/>
        <v/>
      </c>
      <c r="H316" s="59" t="str">
        <f t="shared" si="9"/>
        <v/>
      </c>
    </row>
    <row r="317" spans="3:8" ht="30" customHeight="1" x14ac:dyDescent="0.25">
      <c r="C317" s="42">
        <v>313</v>
      </c>
      <c r="D317" s="67" t="str">
        <f>IF('Prod 1'!D317="","",'Prod 1'!D317)</f>
        <v/>
      </c>
      <c r="E317" s="64"/>
      <c r="F317" s="89" t="str">
        <f>IF(D317="","",E317*'Prod 1'!E317)</f>
        <v/>
      </c>
      <c r="G317" s="71" t="str">
        <f t="shared" si="8"/>
        <v/>
      </c>
      <c r="H317" s="59" t="str">
        <f t="shared" si="9"/>
        <v/>
      </c>
    </row>
    <row r="318" spans="3:8" ht="30" customHeight="1" x14ac:dyDescent="0.25">
      <c r="C318" s="42">
        <v>314</v>
      </c>
      <c r="D318" s="67" t="str">
        <f>IF('Prod 1'!D318="","",'Prod 1'!D318)</f>
        <v/>
      </c>
      <c r="E318" s="64"/>
      <c r="F318" s="89" t="str">
        <f>IF(D318="","",E318*'Prod 1'!E318)</f>
        <v/>
      </c>
      <c r="G318" s="71" t="str">
        <f t="shared" si="8"/>
        <v/>
      </c>
      <c r="H318" s="59" t="str">
        <f t="shared" si="9"/>
        <v/>
      </c>
    </row>
    <row r="319" spans="3:8" ht="30" customHeight="1" x14ac:dyDescent="0.25">
      <c r="C319" s="42">
        <v>315</v>
      </c>
      <c r="D319" s="67" t="str">
        <f>IF('Prod 1'!D319="","",'Prod 1'!D319)</f>
        <v/>
      </c>
      <c r="E319" s="64"/>
      <c r="F319" s="89" t="str">
        <f>IF(D319="","",E319*'Prod 1'!E319)</f>
        <v/>
      </c>
      <c r="G319" s="71" t="str">
        <f t="shared" si="8"/>
        <v/>
      </c>
      <c r="H319" s="59" t="str">
        <f t="shared" si="9"/>
        <v/>
      </c>
    </row>
    <row r="320" spans="3:8" ht="30" customHeight="1" x14ac:dyDescent="0.25">
      <c r="C320" s="42">
        <v>316</v>
      </c>
      <c r="D320" s="67" t="str">
        <f>IF('Prod 1'!D320="","",'Prod 1'!D320)</f>
        <v/>
      </c>
      <c r="E320" s="64"/>
      <c r="F320" s="89" t="str">
        <f>IF(D320="","",E320*'Prod 1'!E320)</f>
        <v/>
      </c>
      <c r="G320" s="71" t="str">
        <f t="shared" si="8"/>
        <v/>
      </c>
      <c r="H320" s="59" t="str">
        <f t="shared" si="9"/>
        <v/>
      </c>
    </row>
    <row r="321" spans="3:8" ht="30" customHeight="1" x14ac:dyDescent="0.25">
      <c r="C321" s="42">
        <v>317</v>
      </c>
      <c r="D321" s="67" t="str">
        <f>IF('Prod 1'!D321="","",'Prod 1'!D321)</f>
        <v/>
      </c>
      <c r="E321" s="64"/>
      <c r="F321" s="89" t="str">
        <f>IF(D321="","",E321*'Prod 1'!E321)</f>
        <v/>
      </c>
      <c r="G321" s="71" t="str">
        <f t="shared" si="8"/>
        <v/>
      </c>
      <c r="H321" s="59" t="str">
        <f t="shared" si="9"/>
        <v/>
      </c>
    </row>
    <row r="322" spans="3:8" ht="30" customHeight="1" x14ac:dyDescent="0.25">
      <c r="C322" s="42">
        <v>318</v>
      </c>
      <c r="D322" s="67" t="str">
        <f>IF('Prod 1'!D322="","",'Prod 1'!D322)</f>
        <v/>
      </c>
      <c r="E322" s="64"/>
      <c r="F322" s="89" t="str">
        <f>IF(D322="","",E322*'Prod 1'!E322)</f>
        <v/>
      </c>
      <c r="G322" s="71" t="str">
        <f t="shared" si="8"/>
        <v/>
      </c>
      <c r="H322" s="59" t="str">
        <f t="shared" si="9"/>
        <v/>
      </c>
    </row>
    <row r="323" spans="3:8" ht="30" customHeight="1" x14ac:dyDescent="0.25">
      <c r="C323" s="42">
        <v>319</v>
      </c>
      <c r="D323" s="67" t="str">
        <f>IF('Prod 1'!D323="","",'Prod 1'!D323)</f>
        <v/>
      </c>
      <c r="E323" s="64"/>
      <c r="F323" s="89" t="str">
        <f>IF(D323="","",E323*'Prod 1'!E323)</f>
        <v/>
      </c>
      <c r="G323" s="71" t="str">
        <f t="shared" si="8"/>
        <v/>
      </c>
      <c r="H323" s="59" t="str">
        <f t="shared" si="9"/>
        <v/>
      </c>
    </row>
    <row r="324" spans="3:8" ht="30" customHeight="1" x14ac:dyDescent="0.25">
      <c r="C324" s="42">
        <v>320</v>
      </c>
      <c r="D324" s="67" t="str">
        <f>IF('Prod 1'!D324="","",'Prod 1'!D324)</f>
        <v/>
      </c>
      <c r="E324" s="64"/>
      <c r="F324" s="89" t="str">
        <f>IF(D324="","",E324*'Prod 1'!E324)</f>
        <v/>
      </c>
      <c r="G324" s="71" t="str">
        <f t="shared" si="8"/>
        <v/>
      </c>
      <c r="H324" s="59" t="str">
        <f t="shared" si="9"/>
        <v/>
      </c>
    </row>
    <row r="325" spans="3:8" ht="30" customHeight="1" x14ac:dyDescent="0.25">
      <c r="C325" s="42">
        <v>321</v>
      </c>
      <c r="D325" s="67" t="str">
        <f>IF('Prod 1'!D325="","",'Prod 1'!D325)</f>
        <v/>
      </c>
      <c r="E325" s="64"/>
      <c r="F325" s="89" t="str">
        <f>IF(D325="","",E325*'Prod 1'!E325)</f>
        <v/>
      </c>
      <c r="G325" s="71" t="str">
        <f t="shared" ref="G325:G388" si="10">IF(D325="","",IFERROR(F325/$H$3,0))</f>
        <v/>
      </c>
      <c r="H325" s="59" t="str">
        <f t="shared" ref="H325:H388" si="11">F325</f>
        <v/>
      </c>
    </row>
    <row r="326" spans="3:8" ht="30" customHeight="1" x14ac:dyDescent="0.25">
      <c r="C326" s="42">
        <v>322</v>
      </c>
      <c r="D326" s="67" t="str">
        <f>IF('Prod 1'!D326="","",'Prod 1'!D326)</f>
        <v/>
      </c>
      <c r="E326" s="64"/>
      <c r="F326" s="89" t="str">
        <f>IF(D326="","",E326*'Prod 1'!E326)</f>
        <v/>
      </c>
      <c r="G326" s="71" t="str">
        <f t="shared" si="10"/>
        <v/>
      </c>
      <c r="H326" s="59" t="str">
        <f t="shared" si="11"/>
        <v/>
      </c>
    </row>
    <row r="327" spans="3:8" ht="30" customHeight="1" x14ac:dyDescent="0.25">
      <c r="C327" s="42">
        <v>323</v>
      </c>
      <c r="D327" s="67" t="str">
        <f>IF('Prod 1'!D327="","",'Prod 1'!D327)</f>
        <v/>
      </c>
      <c r="E327" s="64"/>
      <c r="F327" s="89" t="str">
        <f>IF(D327="","",E327*'Prod 1'!E327)</f>
        <v/>
      </c>
      <c r="G327" s="71" t="str">
        <f t="shared" si="10"/>
        <v/>
      </c>
      <c r="H327" s="59" t="str">
        <f t="shared" si="11"/>
        <v/>
      </c>
    </row>
    <row r="328" spans="3:8" ht="30" customHeight="1" x14ac:dyDescent="0.25">
      <c r="C328" s="42">
        <v>324</v>
      </c>
      <c r="D328" s="67" t="str">
        <f>IF('Prod 1'!D328="","",'Prod 1'!D328)</f>
        <v/>
      </c>
      <c r="E328" s="64"/>
      <c r="F328" s="89" t="str">
        <f>IF(D328="","",E328*'Prod 1'!E328)</f>
        <v/>
      </c>
      <c r="G328" s="71" t="str">
        <f t="shared" si="10"/>
        <v/>
      </c>
      <c r="H328" s="59" t="str">
        <f t="shared" si="11"/>
        <v/>
      </c>
    </row>
    <row r="329" spans="3:8" ht="30" customHeight="1" x14ac:dyDescent="0.25">
      <c r="C329" s="42">
        <v>325</v>
      </c>
      <c r="D329" s="67" t="str">
        <f>IF('Prod 1'!D329="","",'Prod 1'!D329)</f>
        <v/>
      </c>
      <c r="E329" s="64"/>
      <c r="F329" s="89" t="str">
        <f>IF(D329="","",E329*'Prod 1'!E329)</f>
        <v/>
      </c>
      <c r="G329" s="71" t="str">
        <f t="shared" si="10"/>
        <v/>
      </c>
      <c r="H329" s="59" t="str">
        <f t="shared" si="11"/>
        <v/>
      </c>
    </row>
    <row r="330" spans="3:8" ht="30" customHeight="1" x14ac:dyDescent="0.25">
      <c r="C330" s="42">
        <v>326</v>
      </c>
      <c r="D330" s="67" t="str">
        <f>IF('Prod 1'!D330="","",'Prod 1'!D330)</f>
        <v/>
      </c>
      <c r="E330" s="64"/>
      <c r="F330" s="89" t="str">
        <f>IF(D330="","",E330*'Prod 1'!E330)</f>
        <v/>
      </c>
      <c r="G330" s="71" t="str">
        <f t="shared" si="10"/>
        <v/>
      </c>
      <c r="H330" s="59" t="str">
        <f t="shared" si="11"/>
        <v/>
      </c>
    </row>
    <row r="331" spans="3:8" ht="30" customHeight="1" x14ac:dyDescent="0.25">
      <c r="C331" s="42">
        <v>327</v>
      </c>
      <c r="D331" s="67" t="str">
        <f>IF('Prod 1'!D331="","",'Prod 1'!D331)</f>
        <v/>
      </c>
      <c r="E331" s="64"/>
      <c r="F331" s="89" t="str">
        <f>IF(D331="","",E331*'Prod 1'!E331)</f>
        <v/>
      </c>
      <c r="G331" s="71" t="str">
        <f t="shared" si="10"/>
        <v/>
      </c>
      <c r="H331" s="59" t="str">
        <f t="shared" si="11"/>
        <v/>
      </c>
    </row>
    <row r="332" spans="3:8" ht="30" customHeight="1" x14ac:dyDescent="0.25">
      <c r="C332" s="42">
        <v>328</v>
      </c>
      <c r="D332" s="67" t="str">
        <f>IF('Prod 1'!D332="","",'Prod 1'!D332)</f>
        <v/>
      </c>
      <c r="E332" s="64"/>
      <c r="F332" s="89" t="str">
        <f>IF(D332="","",E332*'Prod 1'!E332)</f>
        <v/>
      </c>
      <c r="G332" s="71" t="str">
        <f t="shared" si="10"/>
        <v/>
      </c>
      <c r="H332" s="59" t="str">
        <f t="shared" si="11"/>
        <v/>
      </c>
    </row>
    <row r="333" spans="3:8" ht="30" customHeight="1" x14ac:dyDescent="0.25">
      <c r="C333" s="42">
        <v>329</v>
      </c>
      <c r="D333" s="67" t="str">
        <f>IF('Prod 1'!D333="","",'Prod 1'!D333)</f>
        <v/>
      </c>
      <c r="E333" s="64"/>
      <c r="F333" s="89" t="str">
        <f>IF(D333="","",E333*'Prod 1'!E333)</f>
        <v/>
      </c>
      <c r="G333" s="71" t="str">
        <f t="shared" si="10"/>
        <v/>
      </c>
      <c r="H333" s="59" t="str">
        <f t="shared" si="11"/>
        <v/>
      </c>
    </row>
    <row r="334" spans="3:8" ht="30" customHeight="1" x14ac:dyDescent="0.25">
      <c r="C334" s="42">
        <v>330</v>
      </c>
      <c r="D334" s="67" t="str">
        <f>IF('Prod 1'!D334="","",'Prod 1'!D334)</f>
        <v/>
      </c>
      <c r="E334" s="64"/>
      <c r="F334" s="89" t="str">
        <f>IF(D334="","",E334*'Prod 1'!E334)</f>
        <v/>
      </c>
      <c r="G334" s="71" t="str">
        <f t="shared" si="10"/>
        <v/>
      </c>
      <c r="H334" s="59" t="str">
        <f t="shared" si="11"/>
        <v/>
      </c>
    </row>
    <row r="335" spans="3:8" ht="30" customHeight="1" x14ac:dyDescent="0.25">
      <c r="C335" s="42">
        <v>331</v>
      </c>
      <c r="D335" s="67" t="str">
        <f>IF('Prod 1'!D335="","",'Prod 1'!D335)</f>
        <v/>
      </c>
      <c r="E335" s="64"/>
      <c r="F335" s="89" t="str">
        <f>IF(D335="","",E335*'Prod 1'!E335)</f>
        <v/>
      </c>
      <c r="G335" s="71" t="str">
        <f t="shared" si="10"/>
        <v/>
      </c>
      <c r="H335" s="59" t="str">
        <f t="shared" si="11"/>
        <v/>
      </c>
    </row>
    <row r="336" spans="3:8" ht="30" customHeight="1" x14ac:dyDescent="0.25">
      <c r="C336" s="42">
        <v>332</v>
      </c>
      <c r="D336" s="67" t="str">
        <f>IF('Prod 1'!D336="","",'Prod 1'!D336)</f>
        <v/>
      </c>
      <c r="E336" s="64"/>
      <c r="F336" s="89" t="str">
        <f>IF(D336="","",E336*'Prod 1'!E336)</f>
        <v/>
      </c>
      <c r="G336" s="71" t="str">
        <f t="shared" si="10"/>
        <v/>
      </c>
      <c r="H336" s="59" t="str">
        <f t="shared" si="11"/>
        <v/>
      </c>
    </row>
    <row r="337" spans="3:8" ht="30" customHeight="1" x14ac:dyDescent="0.25">
      <c r="C337" s="42">
        <v>333</v>
      </c>
      <c r="D337" s="67" t="str">
        <f>IF('Prod 1'!D337="","",'Prod 1'!D337)</f>
        <v/>
      </c>
      <c r="E337" s="64"/>
      <c r="F337" s="89" t="str">
        <f>IF(D337="","",E337*'Prod 1'!E337)</f>
        <v/>
      </c>
      <c r="G337" s="71" t="str">
        <f t="shared" si="10"/>
        <v/>
      </c>
      <c r="H337" s="59" t="str">
        <f t="shared" si="11"/>
        <v/>
      </c>
    </row>
    <row r="338" spans="3:8" ht="30" customHeight="1" x14ac:dyDescent="0.25">
      <c r="C338" s="42">
        <v>334</v>
      </c>
      <c r="D338" s="67" t="str">
        <f>IF('Prod 1'!D338="","",'Prod 1'!D338)</f>
        <v/>
      </c>
      <c r="E338" s="64"/>
      <c r="F338" s="89" t="str">
        <f>IF(D338="","",E338*'Prod 1'!E338)</f>
        <v/>
      </c>
      <c r="G338" s="71" t="str">
        <f t="shared" si="10"/>
        <v/>
      </c>
      <c r="H338" s="59" t="str">
        <f t="shared" si="11"/>
        <v/>
      </c>
    </row>
    <row r="339" spans="3:8" ht="30" customHeight="1" x14ac:dyDescent="0.25">
      <c r="C339" s="42">
        <v>335</v>
      </c>
      <c r="D339" s="67" t="str">
        <f>IF('Prod 1'!D339="","",'Prod 1'!D339)</f>
        <v/>
      </c>
      <c r="E339" s="64"/>
      <c r="F339" s="89" t="str">
        <f>IF(D339="","",E339*'Prod 1'!E339)</f>
        <v/>
      </c>
      <c r="G339" s="71" t="str">
        <f t="shared" si="10"/>
        <v/>
      </c>
      <c r="H339" s="59" t="str">
        <f t="shared" si="11"/>
        <v/>
      </c>
    </row>
    <row r="340" spans="3:8" ht="30" customHeight="1" x14ac:dyDescent="0.25">
      <c r="C340" s="42">
        <v>336</v>
      </c>
      <c r="D340" s="67" t="str">
        <f>IF('Prod 1'!D340="","",'Prod 1'!D340)</f>
        <v/>
      </c>
      <c r="E340" s="64"/>
      <c r="F340" s="89" t="str">
        <f>IF(D340="","",E340*'Prod 1'!E340)</f>
        <v/>
      </c>
      <c r="G340" s="71" t="str">
        <f t="shared" si="10"/>
        <v/>
      </c>
      <c r="H340" s="59" t="str">
        <f t="shared" si="11"/>
        <v/>
      </c>
    </row>
    <row r="341" spans="3:8" ht="30" customHeight="1" x14ac:dyDescent="0.25">
      <c r="C341" s="42">
        <v>337</v>
      </c>
      <c r="D341" s="67" t="str">
        <f>IF('Prod 1'!D341="","",'Prod 1'!D341)</f>
        <v/>
      </c>
      <c r="E341" s="64"/>
      <c r="F341" s="89" t="str">
        <f>IF(D341="","",E341*'Prod 1'!E341)</f>
        <v/>
      </c>
      <c r="G341" s="71" t="str">
        <f t="shared" si="10"/>
        <v/>
      </c>
      <c r="H341" s="59" t="str">
        <f t="shared" si="11"/>
        <v/>
      </c>
    </row>
    <row r="342" spans="3:8" ht="30" customHeight="1" x14ac:dyDescent="0.25">
      <c r="C342" s="42">
        <v>338</v>
      </c>
      <c r="D342" s="67" t="str">
        <f>IF('Prod 1'!D342="","",'Prod 1'!D342)</f>
        <v/>
      </c>
      <c r="E342" s="64"/>
      <c r="F342" s="89" t="str">
        <f>IF(D342="","",E342*'Prod 1'!E342)</f>
        <v/>
      </c>
      <c r="G342" s="71" t="str">
        <f t="shared" si="10"/>
        <v/>
      </c>
      <c r="H342" s="59" t="str">
        <f t="shared" si="11"/>
        <v/>
      </c>
    </row>
    <row r="343" spans="3:8" ht="30" customHeight="1" x14ac:dyDescent="0.25">
      <c r="C343" s="42">
        <v>339</v>
      </c>
      <c r="D343" s="67" t="str">
        <f>IF('Prod 1'!D343="","",'Prod 1'!D343)</f>
        <v/>
      </c>
      <c r="E343" s="64"/>
      <c r="F343" s="89" t="str">
        <f>IF(D343="","",E343*'Prod 1'!E343)</f>
        <v/>
      </c>
      <c r="G343" s="71" t="str">
        <f t="shared" si="10"/>
        <v/>
      </c>
      <c r="H343" s="59" t="str">
        <f t="shared" si="11"/>
        <v/>
      </c>
    </row>
    <row r="344" spans="3:8" ht="30" customHeight="1" x14ac:dyDescent="0.25">
      <c r="C344" s="42">
        <v>340</v>
      </c>
      <c r="D344" s="67" t="str">
        <f>IF('Prod 1'!D344="","",'Prod 1'!D344)</f>
        <v/>
      </c>
      <c r="E344" s="64"/>
      <c r="F344" s="89" t="str">
        <f>IF(D344="","",E344*'Prod 1'!E344)</f>
        <v/>
      </c>
      <c r="G344" s="71" t="str">
        <f t="shared" si="10"/>
        <v/>
      </c>
      <c r="H344" s="59" t="str">
        <f t="shared" si="11"/>
        <v/>
      </c>
    </row>
    <row r="345" spans="3:8" ht="30" customHeight="1" x14ac:dyDescent="0.25">
      <c r="C345" s="42">
        <v>341</v>
      </c>
      <c r="D345" s="67" t="str">
        <f>IF('Prod 1'!D345="","",'Prod 1'!D345)</f>
        <v/>
      </c>
      <c r="E345" s="64"/>
      <c r="F345" s="89" t="str">
        <f>IF(D345="","",E345*'Prod 1'!E345)</f>
        <v/>
      </c>
      <c r="G345" s="71" t="str">
        <f t="shared" si="10"/>
        <v/>
      </c>
      <c r="H345" s="59" t="str">
        <f t="shared" si="11"/>
        <v/>
      </c>
    </row>
    <row r="346" spans="3:8" ht="30" customHeight="1" x14ac:dyDescent="0.25">
      <c r="C346" s="42">
        <v>342</v>
      </c>
      <c r="D346" s="67" t="str">
        <f>IF('Prod 1'!D346="","",'Prod 1'!D346)</f>
        <v/>
      </c>
      <c r="E346" s="64"/>
      <c r="F346" s="89" t="str">
        <f>IF(D346="","",E346*'Prod 1'!E346)</f>
        <v/>
      </c>
      <c r="G346" s="71" t="str">
        <f t="shared" si="10"/>
        <v/>
      </c>
      <c r="H346" s="59" t="str">
        <f t="shared" si="11"/>
        <v/>
      </c>
    </row>
    <row r="347" spans="3:8" ht="30" customHeight="1" x14ac:dyDescent="0.25">
      <c r="C347" s="42">
        <v>343</v>
      </c>
      <c r="D347" s="67" t="str">
        <f>IF('Prod 1'!D347="","",'Prod 1'!D347)</f>
        <v/>
      </c>
      <c r="E347" s="64"/>
      <c r="F347" s="89" t="str">
        <f>IF(D347="","",E347*'Prod 1'!E347)</f>
        <v/>
      </c>
      <c r="G347" s="71" t="str">
        <f t="shared" si="10"/>
        <v/>
      </c>
      <c r="H347" s="59" t="str">
        <f t="shared" si="11"/>
        <v/>
      </c>
    </row>
    <row r="348" spans="3:8" ht="30" customHeight="1" x14ac:dyDescent="0.25">
      <c r="C348" s="42">
        <v>344</v>
      </c>
      <c r="D348" s="67" t="str">
        <f>IF('Prod 1'!D348="","",'Prod 1'!D348)</f>
        <v/>
      </c>
      <c r="E348" s="64"/>
      <c r="F348" s="89" t="str">
        <f>IF(D348="","",E348*'Prod 1'!E348)</f>
        <v/>
      </c>
      <c r="G348" s="71" t="str">
        <f t="shared" si="10"/>
        <v/>
      </c>
      <c r="H348" s="59" t="str">
        <f t="shared" si="11"/>
        <v/>
      </c>
    </row>
    <row r="349" spans="3:8" ht="30" customHeight="1" x14ac:dyDescent="0.25">
      <c r="C349" s="42">
        <v>345</v>
      </c>
      <c r="D349" s="67" t="str">
        <f>IF('Prod 1'!D349="","",'Prod 1'!D349)</f>
        <v/>
      </c>
      <c r="E349" s="64"/>
      <c r="F349" s="89" t="str">
        <f>IF(D349="","",E349*'Prod 1'!E349)</f>
        <v/>
      </c>
      <c r="G349" s="71" t="str">
        <f t="shared" si="10"/>
        <v/>
      </c>
      <c r="H349" s="59" t="str">
        <f t="shared" si="11"/>
        <v/>
      </c>
    </row>
    <row r="350" spans="3:8" ht="30" customHeight="1" x14ac:dyDescent="0.25">
      <c r="C350" s="42">
        <v>346</v>
      </c>
      <c r="D350" s="67" t="str">
        <f>IF('Prod 1'!D350="","",'Prod 1'!D350)</f>
        <v/>
      </c>
      <c r="E350" s="64"/>
      <c r="F350" s="89" t="str">
        <f>IF(D350="","",E350*'Prod 1'!E350)</f>
        <v/>
      </c>
      <c r="G350" s="71" t="str">
        <f t="shared" si="10"/>
        <v/>
      </c>
      <c r="H350" s="59" t="str">
        <f t="shared" si="11"/>
        <v/>
      </c>
    </row>
    <row r="351" spans="3:8" ht="30" customHeight="1" x14ac:dyDescent="0.25">
      <c r="C351" s="42">
        <v>347</v>
      </c>
      <c r="D351" s="67" t="str">
        <f>IF('Prod 1'!D351="","",'Prod 1'!D351)</f>
        <v/>
      </c>
      <c r="E351" s="64"/>
      <c r="F351" s="89" t="str">
        <f>IF(D351="","",E351*'Prod 1'!E351)</f>
        <v/>
      </c>
      <c r="G351" s="71" t="str">
        <f t="shared" si="10"/>
        <v/>
      </c>
      <c r="H351" s="59" t="str">
        <f t="shared" si="11"/>
        <v/>
      </c>
    </row>
    <row r="352" spans="3:8" ht="30" customHeight="1" x14ac:dyDescent="0.25">
      <c r="C352" s="42">
        <v>348</v>
      </c>
      <c r="D352" s="67" t="str">
        <f>IF('Prod 1'!D352="","",'Prod 1'!D352)</f>
        <v/>
      </c>
      <c r="E352" s="64"/>
      <c r="F352" s="89" t="str">
        <f>IF(D352="","",E352*'Prod 1'!E352)</f>
        <v/>
      </c>
      <c r="G352" s="71" t="str">
        <f t="shared" si="10"/>
        <v/>
      </c>
      <c r="H352" s="59" t="str">
        <f t="shared" si="11"/>
        <v/>
      </c>
    </row>
    <row r="353" spans="3:8" ht="30" customHeight="1" x14ac:dyDescent="0.25">
      <c r="C353" s="42">
        <v>349</v>
      </c>
      <c r="D353" s="67" t="str">
        <f>IF('Prod 1'!D353="","",'Prod 1'!D353)</f>
        <v/>
      </c>
      <c r="E353" s="64"/>
      <c r="F353" s="89" t="str">
        <f>IF(D353="","",E353*'Prod 1'!E353)</f>
        <v/>
      </c>
      <c r="G353" s="71" t="str">
        <f t="shared" si="10"/>
        <v/>
      </c>
      <c r="H353" s="59" t="str">
        <f t="shared" si="11"/>
        <v/>
      </c>
    </row>
    <row r="354" spans="3:8" ht="30" customHeight="1" x14ac:dyDescent="0.25">
      <c r="C354" s="42">
        <v>350</v>
      </c>
      <c r="D354" s="67" t="str">
        <f>IF('Prod 1'!D354="","",'Prod 1'!D354)</f>
        <v/>
      </c>
      <c r="E354" s="64"/>
      <c r="F354" s="89" t="str">
        <f>IF(D354="","",E354*'Prod 1'!E354)</f>
        <v/>
      </c>
      <c r="G354" s="71" t="str">
        <f t="shared" si="10"/>
        <v/>
      </c>
      <c r="H354" s="59" t="str">
        <f t="shared" si="11"/>
        <v/>
      </c>
    </row>
    <row r="355" spans="3:8" ht="30" customHeight="1" x14ac:dyDescent="0.25">
      <c r="C355" s="42">
        <v>351</v>
      </c>
      <c r="D355" s="67" t="str">
        <f>IF('Prod 1'!D355="","",'Prod 1'!D355)</f>
        <v/>
      </c>
      <c r="E355" s="64"/>
      <c r="F355" s="89" t="str">
        <f>IF(D355="","",E355*'Prod 1'!E355)</f>
        <v/>
      </c>
      <c r="G355" s="71" t="str">
        <f t="shared" si="10"/>
        <v/>
      </c>
      <c r="H355" s="59" t="str">
        <f t="shared" si="11"/>
        <v/>
      </c>
    </row>
    <row r="356" spans="3:8" ht="30" customHeight="1" x14ac:dyDescent="0.25">
      <c r="C356" s="42">
        <v>352</v>
      </c>
      <c r="D356" s="67" t="str">
        <f>IF('Prod 1'!D356="","",'Prod 1'!D356)</f>
        <v/>
      </c>
      <c r="E356" s="64"/>
      <c r="F356" s="89" t="str">
        <f>IF(D356="","",E356*'Prod 1'!E356)</f>
        <v/>
      </c>
      <c r="G356" s="71" t="str">
        <f t="shared" si="10"/>
        <v/>
      </c>
      <c r="H356" s="59" t="str">
        <f t="shared" si="11"/>
        <v/>
      </c>
    </row>
    <row r="357" spans="3:8" ht="30" customHeight="1" x14ac:dyDescent="0.25">
      <c r="C357" s="42">
        <v>353</v>
      </c>
      <c r="D357" s="67" t="str">
        <f>IF('Prod 1'!D357="","",'Prod 1'!D357)</f>
        <v/>
      </c>
      <c r="E357" s="64"/>
      <c r="F357" s="89" t="str">
        <f>IF(D357="","",E357*'Prod 1'!E357)</f>
        <v/>
      </c>
      <c r="G357" s="71" t="str">
        <f t="shared" si="10"/>
        <v/>
      </c>
      <c r="H357" s="59" t="str">
        <f t="shared" si="11"/>
        <v/>
      </c>
    </row>
    <row r="358" spans="3:8" ht="30" customHeight="1" x14ac:dyDescent="0.25">
      <c r="C358" s="42">
        <v>354</v>
      </c>
      <c r="D358" s="67" t="str">
        <f>IF('Prod 1'!D358="","",'Prod 1'!D358)</f>
        <v/>
      </c>
      <c r="E358" s="64"/>
      <c r="F358" s="89" t="str">
        <f>IF(D358="","",E358*'Prod 1'!E358)</f>
        <v/>
      </c>
      <c r="G358" s="71" t="str">
        <f t="shared" si="10"/>
        <v/>
      </c>
      <c r="H358" s="59" t="str">
        <f t="shared" si="11"/>
        <v/>
      </c>
    </row>
    <row r="359" spans="3:8" ht="30" customHeight="1" x14ac:dyDescent="0.25">
      <c r="C359" s="42">
        <v>355</v>
      </c>
      <c r="D359" s="67" t="str">
        <f>IF('Prod 1'!D359="","",'Prod 1'!D359)</f>
        <v/>
      </c>
      <c r="E359" s="64"/>
      <c r="F359" s="89" t="str">
        <f>IF(D359="","",E359*'Prod 1'!E359)</f>
        <v/>
      </c>
      <c r="G359" s="71" t="str">
        <f t="shared" si="10"/>
        <v/>
      </c>
      <c r="H359" s="59" t="str">
        <f t="shared" si="11"/>
        <v/>
      </c>
    </row>
    <row r="360" spans="3:8" ht="30" customHeight="1" x14ac:dyDescent="0.25">
      <c r="C360" s="42">
        <v>356</v>
      </c>
      <c r="D360" s="67" t="str">
        <f>IF('Prod 1'!D360="","",'Prod 1'!D360)</f>
        <v/>
      </c>
      <c r="E360" s="64"/>
      <c r="F360" s="89" t="str">
        <f>IF(D360="","",E360*'Prod 1'!E360)</f>
        <v/>
      </c>
      <c r="G360" s="71" t="str">
        <f t="shared" si="10"/>
        <v/>
      </c>
      <c r="H360" s="59" t="str">
        <f t="shared" si="11"/>
        <v/>
      </c>
    </row>
    <row r="361" spans="3:8" ht="30" customHeight="1" x14ac:dyDescent="0.25">
      <c r="C361" s="42">
        <v>357</v>
      </c>
      <c r="D361" s="67" t="str">
        <f>IF('Prod 1'!D361="","",'Prod 1'!D361)</f>
        <v/>
      </c>
      <c r="E361" s="64"/>
      <c r="F361" s="89" t="str">
        <f>IF(D361="","",E361*'Prod 1'!E361)</f>
        <v/>
      </c>
      <c r="G361" s="71" t="str">
        <f t="shared" si="10"/>
        <v/>
      </c>
      <c r="H361" s="59" t="str">
        <f t="shared" si="11"/>
        <v/>
      </c>
    </row>
    <row r="362" spans="3:8" ht="30" customHeight="1" x14ac:dyDescent="0.25">
      <c r="C362" s="42">
        <v>358</v>
      </c>
      <c r="D362" s="67" t="str">
        <f>IF('Prod 1'!D362="","",'Prod 1'!D362)</f>
        <v/>
      </c>
      <c r="E362" s="64"/>
      <c r="F362" s="89" t="str">
        <f>IF(D362="","",E362*'Prod 1'!E362)</f>
        <v/>
      </c>
      <c r="G362" s="71" t="str">
        <f t="shared" si="10"/>
        <v/>
      </c>
      <c r="H362" s="59" t="str">
        <f t="shared" si="11"/>
        <v/>
      </c>
    </row>
    <row r="363" spans="3:8" ht="30" customHeight="1" x14ac:dyDescent="0.25">
      <c r="C363" s="42">
        <v>359</v>
      </c>
      <c r="D363" s="67" t="str">
        <f>IF('Prod 1'!D363="","",'Prod 1'!D363)</f>
        <v/>
      </c>
      <c r="E363" s="64"/>
      <c r="F363" s="89" t="str">
        <f>IF(D363="","",E363*'Prod 1'!E363)</f>
        <v/>
      </c>
      <c r="G363" s="71" t="str">
        <f t="shared" si="10"/>
        <v/>
      </c>
      <c r="H363" s="59" t="str">
        <f t="shared" si="11"/>
        <v/>
      </c>
    </row>
    <row r="364" spans="3:8" ht="30" customHeight="1" x14ac:dyDescent="0.25">
      <c r="C364" s="42">
        <v>360</v>
      </c>
      <c r="D364" s="67" t="str">
        <f>IF('Prod 1'!D364="","",'Prod 1'!D364)</f>
        <v/>
      </c>
      <c r="E364" s="64"/>
      <c r="F364" s="89" t="str">
        <f>IF(D364="","",E364*'Prod 1'!E364)</f>
        <v/>
      </c>
      <c r="G364" s="71" t="str">
        <f t="shared" si="10"/>
        <v/>
      </c>
      <c r="H364" s="59" t="str">
        <f t="shared" si="11"/>
        <v/>
      </c>
    </row>
    <row r="365" spans="3:8" ht="30" customHeight="1" x14ac:dyDescent="0.25">
      <c r="C365" s="42">
        <v>361</v>
      </c>
      <c r="D365" s="67" t="str">
        <f>IF('Prod 1'!D365="","",'Prod 1'!D365)</f>
        <v/>
      </c>
      <c r="E365" s="64"/>
      <c r="F365" s="89" t="str">
        <f>IF(D365="","",E365*'Prod 1'!E365)</f>
        <v/>
      </c>
      <c r="G365" s="71" t="str">
        <f t="shared" si="10"/>
        <v/>
      </c>
      <c r="H365" s="59" t="str">
        <f t="shared" si="11"/>
        <v/>
      </c>
    </row>
    <row r="366" spans="3:8" ht="30" customHeight="1" x14ac:dyDescent="0.25">
      <c r="C366" s="42">
        <v>362</v>
      </c>
      <c r="D366" s="67" t="str">
        <f>IF('Prod 1'!D366="","",'Prod 1'!D366)</f>
        <v/>
      </c>
      <c r="E366" s="64"/>
      <c r="F366" s="89" t="str">
        <f>IF(D366="","",E366*'Prod 1'!E366)</f>
        <v/>
      </c>
      <c r="G366" s="71" t="str">
        <f t="shared" si="10"/>
        <v/>
      </c>
      <c r="H366" s="59" t="str">
        <f t="shared" si="11"/>
        <v/>
      </c>
    </row>
    <row r="367" spans="3:8" ht="30" customHeight="1" x14ac:dyDescent="0.25">
      <c r="C367" s="42">
        <v>363</v>
      </c>
      <c r="D367" s="67" t="str">
        <f>IF('Prod 1'!D367="","",'Prod 1'!D367)</f>
        <v/>
      </c>
      <c r="E367" s="64"/>
      <c r="F367" s="89" t="str">
        <f>IF(D367="","",E367*'Prod 1'!E367)</f>
        <v/>
      </c>
      <c r="G367" s="71" t="str">
        <f t="shared" si="10"/>
        <v/>
      </c>
      <c r="H367" s="59" t="str">
        <f t="shared" si="11"/>
        <v/>
      </c>
    </row>
    <row r="368" spans="3:8" ht="30" customHeight="1" x14ac:dyDescent="0.25">
      <c r="C368" s="42">
        <v>364</v>
      </c>
      <c r="D368" s="67" t="str">
        <f>IF('Prod 1'!D368="","",'Prod 1'!D368)</f>
        <v/>
      </c>
      <c r="E368" s="64"/>
      <c r="F368" s="89" t="str">
        <f>IF(D368="","",E368*'Prod 1'!E368)</f>
        <v/>
      </c>
      <c r="G368" s="71" t="str">
        <f t="shared" si="10"/>
        <v/>
      </c>
      <c r="H368" s="59" t="str">
        <f t="shared" si="11"/>
        <v/>
      </c>
    </row>
    <row r="369" spans="3:8" ht="30" customHeight="1" x14ac:dyDescent="0.25">
      <c r="C369" s="42">
        <v>365</v>
      </c>
      <c r="D369" s="67" t="str">
        <f>IF('Prod 1'!D369="","",'Prod 1'!D369)</f>
        <v/>
      </c>
      <c r="E369" s="64"/>
      <c r="F369" s="89" t="str">
        <f>IF(D369="","",E369*'Prod 1'!E369)</f>
        <v/>
      </c>
      <c r="G369" s="71" t="str">
        <f t="shared" si="10"/>
        <v/>
      </c>
      <c r="H369" s="59" t="str">
        <f t="shared" si="11"/>
        <v/>
      </c>
    </row>
    <row r="370" spans="3:8" ht="30" customHeight="1" x14ac:dyDescent="0.25">
      <c r="C370" s="42">
        <v>366</v>
      </c>
      <c r="D370" s="67" t="str">
        <f>IF('Prod 1'!D370="","",'Prod 1'!D370)</f>
        <v/>
      </c>
      <c r="E370" s="64"/>
      <c r="F370" s="89" t="str">
        <f>IF(D370="","",E370*'Prod 1'!E370)</f>
        <v/>
      </c>
      <c r="G370" s="71" t="str">
        <f t="shared" si="10"/>
        <v/>
      </c>
      <c r="H370" s="59" t="str">
        <f t="shared" si="11"/>
        <v/>
      </c>
    </row>
    <row r="371" spans="3:8" ht="30" customHeight="1" x14ac:dyDescent="0.25">
      <c r="C371" s="42">
        <v>367</v>
      </c>
      <c r="D371" s="67" t="str">
        <f>IF('Prod 1'!D371="","",'Prod 1'!D371)</f>
        <v/>
      </c>
      <c r="E371" s="64"/>
      <c r="F371" s="89" t="str">
        <f>IF(D371="","",E371*'Prod 1'!E371)</f>
        <v/>
      </c>
      <c r="G371" s="71" t="str">
        <f t="shared" si="10"/>
        <v/>
      </c>
      <c r="H371" s="59" t="str">
        <f t="shared" si="11"/>
        <v/>
      </c>
    </row>
    <row r="372" spans="3:8" ht="30" customHeight="1" x14ac:dyDescent="0.25">
      <c r="C372" s="42">
        <v>368</v>
      </c>
      <c r="D372" s="67" t="str">
        <f>IF('Prod 1'!D372="","",'Prod 1'!D372)</f>
        <v/>
      </c>
      <c r="E372" s="64"/>
      <c r="F372" s="89" t="str">
        <f>IF(D372="","",E372*'Prod 1'!E372)</f>
        <v/>
      </c>
      <c r="G372" s="71" t="str">
        <f t="shared" si="10"/>
        <v/>
      </c>
      <c r="H372" s="59" t="str">
        <f t="shared" si="11"/>
        <v/>
      </c>
    </row>
    <row r="373" spans="3:8" ht="30" customHeight="1" x14ac:dyDescent="0.25">
      <c r="C373" s="42">
        <v>369</v>
      </c>
      <c r="D373" s="67" t="str">
        <f>IF('Prod 1'!D373="","",'Prod 1'!D373)</f>
        <v/>
      </c>
      <c r="E373" s="64"/>
      <c r="F373" s="89" t="str">
        <f>IF(D373="","",E373*'Prod 1'!E373)</f>
        <v/>
      </c>
      <c r="G373" s="71" t="str">
        <f t="shared" si="10"/>
        <v/>
      </c>
      <c r="H373" s="59" t="str">
        <f t="shared" si="11"/>
        <v/>
      </c>
    </row>
    <row r="374" spans="3:8" ht="30" customHeight="1" x14ac:dyDescent="0.25">
      <c r="C374" s="42">
        <v>370</v>
      </c>
      <c r="D374" s="67" t="str">
        <f>IF('Prod 1'!D374="","",'Prod 1'!D374)</f>
        <v/>
      </c>
      <c r="E374" s="64"/>
      <c r="F374" s="89" t="str">
        <f>IF(D374="","",E374*'Prod 1'!E374)</f>
        <v/>
      </c>
      <c r="G374" s="71" t="str">
        <f t="shared" si="10"/>
        <v/>
      </c>
      <c r="H374" s="59" t="str">
        <f t="shared" si="11"/>
        <v/>
      </c>
    </row>
    <row r="375" spans="3:8" ht="30" customHeight="1" x14ac:dyDescent="0.25">
      <c r="C375" s="42">
        <v>371</v>
      </c>
      <c r="D375" s="67" t="str">
        <f>IF('Prod 1'!D375="","",'Prod 1'!D375)</f>
        <v/>
      </c>
      <c r="E375" s="64"/>
      <c r="F375" s="89" t="str">
        <f>IF(D375="","",E375*'Prod 1'!E375)</f>
        <v/>
      </c>
      <c r="G375" s="71" t="str">
        <f t="shared" si="10"/>
        <v/>
      </c>
      <c r="H375" s="59" t="str">
        <f t="shared" si="11"/>
        <v/>
      </c>
    </row>
    <row r="376" spans="3:8" ht="30" customHeight="1" x14ac:dyDescent="0.25">
      <c r="C376" s="42">
        <v>372</v>
      </c>
      <c r="D376" s="67" t="str">
        <f>IF('Prod 1'!D376="","",'Prod 1'!D376)</f>
        <v/>
      </c>
      <c r="E376" s="64"/>
      <c r="F376" s="89" t="str">
        <f>IF(D376="","",E376*'Prod 1'!E376)</f>
        <v/>
      </c>
      <c r="G376" s="71" t="str">
        <f t="shared" si="10"/>
        <v/>
      </c>
      <c r="H376" s="59" t="str">
        <f t="shared" si="11"/>
        <v/>
      </c>
    </row>
    <row r="377" spans="3:8" ht="30" customHeight="1" x14ac:dyDescent="0.25">
      <c r="C377" s="42">
        <v>373</v>
      </c>
      <c r="D377" s="67" t="str">
        <f>IF('Prod 1'!D377="","",'Prod 1'!D377)</f>
        <v/>
      </c>
      <c r="E377" s="64"/>
      <c r="F377" s="89" t="str">
        <f>IF(D377="","",E377*'Prod 1'!E377)</f>
        <v/>
      </c>
      <c r="G377" s="71" t="str">
        <f t="shared" si="10"/>
        <v/>
      </c>
      <c r="H377" s="59" t="str">
        <f t="shared" si="11"/>
        <v/>
      </c>
    </row>
    <row r="378" spans="3:8" ht="30" customHeight="1" x14ac:dyDescent="0.25">
      <c r="C378" s="42">
        <v>374</v>
      </c>
      <c r="D378" s="67" t="str">
        <f>IF('Prod 1'!D378="","",'Prod 1'!D378)</f>
        <v/>
      </c>
      <c r="E378" s="64"/>
      <c r="F378" s="89" t="str">
        <f>IF(D378="","",E378*'Prod 1'!E378)</f>
        <v/>
      </c>
      <c r="G378" s="71" t="str">
        <f t="shared" si="10"/>
        <v/>
      </c>
      <c r="H378" s="59" t="str">
        <f t="shared" si="11"/>
        <v/>
      </c>
    </row>
    <row r="379" spans="3:8" ht="30" customHeight="1" x14ac:dyDescent="0.25">
      <c r="C379" s="42">
        <v>375</v>
      </c>
      <c r="D379" s="67" t="str">
        <f>IF('Prod 1'!D379="","",'Prod 1'!D379)</f>
        <v/>
      </c>
      <c r="E379" s="64"/>
      <c r="F379" s="89" t="str">
        <f>IF(D379="","",E379*'Prod 1'!E379)</f>
        <v/>
      </c>
      <c r="G379" s="71" t="str">
        <f t="shared" si="10"/>
        <v/>
      </c>
      <c r="H379" s="59" t="str">
        <f t="shared" si="11"/>
        <v/>
      </c>
    </row>
    <row r="380" spans="3:8" ht="30" customHeight="1" x14ac:dyDescent="0.25">
      <c r="C380" s="42">
        <v>376</v>
      </c>
      <c r="D380" s="67" t="str">
        <f>IF('Prod 1'!D380="","",'Prod 1'!D380)</f>
        <v/>
      </c>
      <c r="E380" s="64"/>
      <c r="F380" s="89" t="str">
        <f>IF(D380="","",E380*'Prod 1'!E380)</f>
        <v/>
      </c>
      <c r="G380" s="71" t="str">
        <f t="shared" si="10"/>
        <v/>
      </c>
      <c r="H380" s="59" t="str">
        <f t="shared" si="11"/>
        <v/>
      </c>
    </row>
    <row r="381" spans="3:8" ht="30" customHeight="1" x14ac:dyDescent="0.25">
      <c r="C381" s="42">
        <v>377</v>
      </c>
      <c r="D381" s="67" t="str">
        <f>IF('Prod 1'!D381="","",'Prod 1'!D381)</f>
        <v/>
      </c>
      <c r="E381" s="64"/>
      <c r="F381" s="89" t="str">
        <f>IF(D381="","",E381*'Prod 1'!E381)</f>
        <v/>
      </c>
      <c r="G381" s="71" t="str">
        <f t="shared" si="10"/>
        <v/>
      </c>
      <c r="H381" s="59" t="str">
        <f t="shared" si="11"/>
        <v/>
      </c>
    </row>
    <row r="382" spans="3:8" ht="30" customHeight="1" x14ac:dyDescent="0.25">
      <c r="C382" s="42">
        <v>378</v>
      </c>
      <c r="D382" s="67" t="str">
        <f>IF('Prod 1'!D382="","",'Prod 1'!D382)</f>
        <v/>
      </c>
      <c r="E382" s="64"/>
      <c r="F382" s="89" t="str">
        <f>IF(D382="","",E382*'Prod 1'!E382)</f>
        <v/>
      </c>
      <c r="G382" s="71" t="str">
        <f t="shared" si="10"/>
        <v/>
      </c>
      <c r="H382" s="59" t="str">
        <f t="shared" si="11"/>
        <v/>
      </c>
    </row>
    <row r="383" spans="3:8" ht="30" customHeight="1" x14ac:dyDescent="0.25">
      <c r="C383" s="42">
        <v>379</v>
      </c>
      <c r="D383" s="67" t="str">
        <f>IF('Prod 1'!D383="","",'Prod 1'!D383)</f>
        <v/>
      </c>
      <c r="E383" s="64"/>
      <c r="F383" s="89" t="str">
        <f>IF(D383="","",E383*'Prod 1'!E383)</f>
        <v/>
      </c>
      <c r="G383" s="71" t="str">
        <f t="shared" si="10"/>
        <v/>
      </c>
      <c r="H383" s="59" t="str">
        <f t="shared" si="11"/>
        <v/>
      </c>
    </row>
    <row r="384" spans="3:8" ht="30" customHeight="1" x14ac:dyDescent="0.25">
      <c r="C384" s="42">
        <v>380</v>
      </c>
      <c r="D384" s="67" t="str">
        <f>IF('Prod 1'!D384="","",'Prod 1'!D384)</f>
        <v/>
      </c>
      <c r="E384" s="64"/>
      <c r="F384" s="89" t="str">
        <f>IF(D384="","",E384*'Prod 1'!E384)</f>
        <v/>
      </c>
      <c r="G384" s="71" t="str">
        <f t="shared" si="10"/>
        <v/>
      </c>
      <c r="H384" s="59" t="str">
        <f t="shared" si="11"/>
        <v/>
      </c>
    </row>
    <row r="385" spans="3:8" ht="30" customHeight="1" x14ac:dyDescent="0.25">
      <c r="C385" s="42">
        <v>381</v>
      </c>
      <c r="D385" s="67" t="str">
        <f>IF('Prod 1'!D385="","",'Prod 1'!D385)</f>
        <v/>
      </c>
      <c r="E385" s="64"/>
      <c r="F385" s="89" t="str">
        <f>IF(D385="","",E385*'Prod 1'!E385)</f>
        <v/>
      </c>
      <c r="G385" s="71" t="str">
        <f t="shared" si="10"/>
        <v/>
      </c>
      <c r="H385" s="59" t="str">
        <f t="shared" si="11"/>
        <v/>
      </c>
    </row>
    <row r="386" spans="3:8" ht="30" customHeight="1" x14ac:dyDescent="0.25">
      <c r="C386" s="42">
        <v>382</v>
      </c>
      <c r="D386" s="67" t="str">
        <f>IF('Prod 1'!D386="","",'Prod 1'!D386)</f>
        <v/>
      </c>
      <c r="E386" s="64"/>
      <c r="F386" s="89" t="str">
        <f>IF(D386="","",E386*'Prod 1'!E386)</f>
        <v/>
      </c>
      <c r="G386" s="71" t="str">
        <f t="shared" si="10"/>
        <v/>
      </c>
      <c r="H386" s="59" t="str">
        <f t="shared" si="11"/>
        <v/>
      </c>
    </row>
    <row r="387" spans="3:8" ht="30" customHeight="1" x14ac:dyDescent="0.25">
      <c r="C387" s="42">
        <v>383</v>
      </c>
      <c r="D387" s="67" t="str">
        <f>IF('Prod 1'!D387="","",'Prod 1'!D387)</f>
        <v/>
      </c>
      <c r="E387" s="64"/>
      <c r="F387" s="89" t="str">
        <f>IF(D387="","",E387*'Prod 1'!E387)</f>
        <v/>
      </c>
      <c r="G387" s="71" t="str">
        <f t="shared" si="10"/>
        <v/>
      </c>
      <c r="H387" s="59" t="str">
        <f t="shared" si="11"/>
        <v/>
      </c>
    </row>
    <row r="388" spans="3:8" ht="30" customHeight="1" x14ac:dyDescent="0.25">
      <c r="C388" s="42">
        <v>384</v>
      </c>
      <c r="D388" s="67" t="str">
        <f>IF('Prod 1'!D388="","",'Prod 1'!D388)</f>
        <v/>
      </c>
      <c r="E388" s="64"/>
      <c r="F388" s="89" t="str">
        <f>IF(D388="","",E388*'Prod 1'!E388)</f>
        <v/>
      </c>
      <c r="G388" s="71" t="str">
        <f t="shared" si="10"/>
        <v/>
      </c>
      <c r="H388" s="59" t="str">
        <f t="shared" si="11"/>
        <v/>
      </c>
    </row>
    <row r="389" spans="3:8" ht="30" customHeight="1" x14ac:dyDescent="0.25">
      <c r="C389" s="42">
        <v>385</v>
      </c>
      <c r="D389" s="67" t="str">
        <f>IF('Prod 1'!D389="","",'Prod 1'!D389)</f>
        <v/>
      </c>
      <c r="E389" s="64"/>
      <c r="F389" s="89" t="str">
        <f>IF(D389="","",E389*'Prod 1'!E389)</f>
        <v/>
      </c>
      <c r="G389" s="71" t="str">
        <f t="shared" ref="G389:G452" si="12">IF(D389="","",IFERROR(F389/$H$3,0))</f>
        <v/>
      </c>
      <c r="H389" s="59" t="str">
        <f t="shared" ref="H389:H452" si="13">F389</f>
        <v/>
      </c>
    </row>
    <row r="390" spans="3:8" ht="30" customHeight="1" x14ac:dyDescent="0.25">
      <c r="C390" s="42">
        <v>386</v>
      </c>
      <c r="D390" s="67" t="str">
        <f>IF('Prod 1'!D390="","",'Prod 1'!D390)</f>
        <v/>
      </c>
      <c r="E390" s="64"/>
      <c r="F390" s="89" t="str">
        <f>IF(D390="","",E390*'Prod 1'!E390)</f>
        <v/>
      </c>
      <c r="G390" s="71" t="str">
        <f t="shared" si="12"/>
        <v/>
      </c>
      <c r="H390" s="59" t="str">
        <f t="shared" si="13"/>
        <v/>
      </c>
    </row>
    <row r="391" spans="3:8" ht="30" customHeight="1" x14ac:dyDescent="0.25">
      <c r="C391" s="42">
        <v>387</v>
      </c>
      <c r="D391" s="67" t="str">
        <f>IF('Prod 1'!D391="","",'Prod 1'!D391)</f>
        <v/>
      </c>
      <c r="E391" s="64"/>
      <c r="F391" s="89" t="str">
        <f>IF(D391="","",E391*'Prod 1'!E391)</f>
        <v/>
      </c>
      <c r="G391" s="71" t="str">
        <f t="shared" si="12"/>
        <v/>
      </c>
      <c r="H391" s="59" t="str">
        <f t="shared" si="13"/>
        <v/>
      </c>
    </row>
    <row r="392" spans="3:8" ht="30" customHeight="1" x14ac:dyDescent="0.25">
      <c r="C392" s="42">
        <v>388</v>
      </c>
      <c r="D392" s="67" t="str">
        <f>IF('Prod 1'!D392="","",'Prod 1'!D392)</f>
        <v/>
      </c>
      <c r="E392" s="64"/>
      <c r="F392" s="89" t="str">
        <f>IF(D392="","",E392*'Prod 1'!E392)</f>
        <v/>
      </c>
      <c r="G392" s="71" t="str">
        <f t="shared" si="12"/>
        <v/>
      </c>
      <c r="H392" s="59" t="str">
        <f t="shared" si="13"/>
        <v/>
      </c>
    </row>
    <row r="393" spans="3:8" ht="30" customHeight="1" x14ac:dyDescent="0.25">
      <c r="C393" s="42">
        <v>389</v>
      </c>
      <c r="D393" s="67" t="str">
        <f>IF('Prod 1'!D393="","",'Prod 1'!D393)</f>
        <v/>
      </c>
      <c r="E393" s="64"/>
      <c r="F393" s="89" t="str">
        <f>IF(D393="","",E393*'Prod 1'!E393)</f>
        <v/>
      </c>
      <c r="G393" s="71" t="str">
        <f t="shared" si="12"/>
        <v/>
      </c>
      <c r="H393" s="59" t="str">
        <f t="shared" si="13"/>
        <v/>
      </c>
    </row>
    <row r="394" spans="3:8" ht="30" customHeight="1" x14ac:dyDescent="0.25">
      <c r="C394" s="42">
        <v>390</v>
      </c>
      <c r="D394" s="67" t="str">
        <f>IF('Prod 1'!D394="","",'Prod 1'!D394)</f>
        <v/>
      </c>
      <c r="E394" s="64"/>
      <c r="F394" s="89" t="str">
        <f>IF(D394="","",E394*'Prod 1'!E394)</f>
        <v/>
      </c>
      <c r="G394" s="71" t="str">
        <f t="shared" si="12"/>
        <v/>
      </c>
      <c r="H394" s="59" t="str">
        <f t="shared" si="13"/>
        <v/>
      </c>
    </row>
    <row r="395" spans="3:8" ht="30" customHeight="1" x14ac:dyDescent="0.25">
      <c r="C395" s="42">
        <v>391</v>
      </c>
      <c r="D395" s="67" t="str">
        <f>IF('Prod 1'!D395="","",'Prod 1'!D395)</f>
        <v/>
      </c>
      <c r="E395" s="64"/>
      <c r="F395" s="89" t="str">
        <f>IF(D395="","",E395*'Prod 1'!E395)</f>
        <v/>
      </c>
      <c r="G395" s="71" t="str">
        <f t="shared" si="12"/>
        <v/>
      </c>
      <c r="H395" s="59" t="str">
        <f t="shared" si="13"/>
        <v/>
      </c>
    </row>
    <row r="396" spans="3:8" ht="30" customHeight="1" x14ac:dyDescent="0.25">
      <c r="C396" s="42">
        <v>392</v>
      </c>
      <c r="D396" s="67" t="str">
        <f>IF('Prod 1'!D396="","",'Prod 1'!D396)</f>
        <v/>
      </c>
      <c r="E396" s="64"/>
      <c r="F396" s="89" t="str">
        <f>IF(D396="","",E396*'Prod 1'!E396)</f>
        <v/>
      </c>
      <c r="G396" s="71" t="str">
        <f t="shared" si="12"/>
        <v/>
      </c>
      <c r="H396" s="59" t="str">
        <f t="shared" si="13"/>
        <v/>
      </c>
    </row>
    <row r="397" spans="3:8" ht="30" customHeight="1" x14ac:dyDescent="0.25">
      <c r="C397" s="42">
        <v>393</v>
      </c>
      <c r="D397" s="67" t="str">
        <f>IF('Prod 1'!D397="","",'Prod 1'!D397)</f>
        <v/>
      </c>
      <c r="E397" s="64"/>
      <c r="F397" s="89" t="str">
        <f>IF(D397="","",E397*'Prod 1'!E397)</f>
        <v/>
      </c>
      <c r="G397" s="71" t="str">
        <f t="shared" si="12"/>
        <v/>
      </c>
      <c r="H397" s="59" t="str">
        <f t="shared" si="13"/>
        <v/>
      </c>
    </row>
    <row r="398" spans="3:8" ht="30" customHeight="1" x14ac:dyDescent="0.25">
      <c r="C398" s="42">
        <v>394</v>
      </c>
      <c r="D398" s="67" t="str">
        <f>IF('Prod 1'!D398="","",'Prod 1'!D398)</f>
        <v/>
      </c>
      <c r="E398" s="64"/>
      <c r="F398" s="89" t="str">
        <f>IF(D398="","",E398*'Prod 1'!E398)</f>
        <v/>
      </c>
      <c r="G398" s="71" t="str">
        <f t="shared" si="12"/>
        <v/>
      </c>
      <c r="H398" s="59" t="str">
        <f t="shared" si="13"/>
        <v/>
      </c>
    </row>
    <row r="399" spans="3:8" ht="30" customHeight="1" x14ac:dyDescent="0.25">
      <c r="C399" s="42">
        <v>395</v>
      </c>
      <c r="D399" s="67" t="str">
        <f>IF('Prod 1'!D399="","",'Prod 1'!D399)</f>
        <v/>
      </c>
      <c r="E399" s="64"/>
      <c r="F399" s="89" t="str">
        <f>IF(D399="","",E399*'Prod 1'!E399)</f>
        <v/>
      </c>
      <c r="G399" s="71" t="str">
        <f t="shared" si="12"/>
        <v/>
      </c>
      <c r="H399" s="59" t="str">
        <f t="shared" si="13"/>
        <v/>
      </c>
    </row>
    <row r="400" spans="3:8" ht="30" customHeight="1" x14ac:dyDescent="0.25">
      <c r="C400" s="42">
        <v>396</v>
      </c>
      <c r="D400" s="67" t="str">
        <f>IF('Prod 1'!D400="","",'Prod 1'!D400)</f>
        <v/>
      </c>
      <c r="E400" s="64"/>
      <c r="F400" s="89" t="str">
        <f>IF(D400="","",E400*'Prod 1'!E400)</f>
        <v/>
      </c>
      <c r="G400" s="71" t="str">
        <f t="shared" si="12"/>
        <v/>
      </c>
      <c r="H400" s="59" t="str">
        <f t="shared" si="13"/>
        <v/>
      </c>
    </row>
    <row r="401" spans="3:8" ht="30" customHeight="1" x14ac:dyDescent="0.25">
      <c r="C401" s="42">
        <v>397</v>
      </c>
      <c r="D401" s="67" t="str">
        <f>IF('Prod 1'!D401="","",'Prod 1'!D401)</f>
        <v/>
      </c>
      <c r="E401" s="64"/>
      <c r="F401" s="89" t="str">
        <f>IF(D401="","",E401*'Prod 1'!E401)</f>
        <v/>
      </c>
      <c r="G401" s="71" t="str">
        <f t="shared" si="12"/>
        <v/>
      </c>
      <c r="H401" s="59" t="str">
        <f t="shared" si="13"/>
        <v/>
      </c>
    </row>
    <row r="402" spans="3:8" ht="30" customHeight="1" x14ac:dyDescent="0.25">
      <c r="C402" s="42">
        <v>398</v>
      </c>
      <c r="D402" s="67" t="str">
        <f>IF('Prod 1'!D402="","",'Prod 1'!D402)</f>
        <v/>
      </c>
      <c r="E402" s="64"/>
      <c r="F402" s="89" t="str">
        <f>IF(D402="","",E402*'Prod 1'!E402)</f>
        <v/>
      </c>
      <c r="G402" s="71" t="str">
        <f t="shared" si="12"/>
        <v/>
      </c>
      <c r="H402" s="59" t="str">
        <f t="shared" si="13"/>
        <v/>
      </c>
    </row>
    <row r="403" spans="3:8" ht="30" customHeight="1" x14ac:dyDescent="0.25">
      <c r="C403" s="42">
        <v>399</v>
      </c>
      <c r="D403" s="67" t="str">
        <f>IF('Prod 1'!D403="","",'Prod 1'!D403)</f>
        <v/>
      </c>
      <c r="E403" s="64"/>
      <c r="F403" s="89" t="str">
        <f>IF(D403="","",E403*'Prod 1'!E403)</f>
        <v/>
      </c>
      <c r="G403" s="71" t="str">
        <f t="shared" si="12"/>
        <v/>
      </c>
      <c r="H403" s="59" t="str">
        <f t="shared" si="13"/>
        <v/>
      </c>
    </row>
    <row r="404" spans="3:8" ht="30" customHeight="1" x14ac:dyDescent="0.25">
      <c r="C404" s="42">
        <v>400</v>
      </c>
      <c r="D404" s="67" t="str">
        <f>IF('Prod 1'!D404="","",'Prod 1'!D404)</f>
        <v/>
      </c>
      <c r="E404" s="64"/>
      <c r="F404" s="89" t="str">
        <f>IF(D404="","",E404*'Prod 1'!E404)</f>
        <v/>
      </c>
      <c r="G404" s="71" t="str">
        <f t="shared" si="12"/>
        <v/>
      </c>
      <c r="H404" s="59" t="str">
        <f t="shared" si="13"/>
        <v/>
      </c>
    </row>
    <row r="405" spans="3:8" ht="30" customHeight="1" x14ac:dyDescent="0.25">
      <c r="C405" s="42">
        <v>401</v>
      </c>
      <c r="D405" s="67" t="str">
        <f>IF('Prod 1'!D405="","",'Prod 1'!D405)</f>
        <v/>
      </c>
      <c r="E405" s="64"/>
      <c r="F405" s="89" t="str">
        <f>IF(D405="","",E405*'Prod 1'!E405)</f>
        <v/>
      </c>
      <c r="G405" s="71" t="str">
        <f t="shared" si="12"/>
        <v/>
      </c>
      <c r="H405" s="59" t="str">
        <f t="shared" si="13"/>
        <v/>
      </c>
    </row>
    <row r="406" spans="3:8" ht="30" customHeight="1" x14ac:dyDescent="0.25">
      <c r="C406" s="42">
        <v>402</v>
      </c>
      <c r="D406" s="67" t="str">
        <f>IF('Prod 1'!D406="","",'Prod 1'!D406)</f>
        <v/>
      </c>
      <c r="E406" s="64"/>
      <c r="F406" s="89" t="str">
        <f>IF(D406="","",E406*'Prod 1'!E406)</f>
        <v/>
      </c>
      <c r="G406" s="71" t="str">
        <f t="shared" si="12"/>
        <v/>
      </c>
      <c r="H406" s="59" t="str">
        <f t="shared" si="13"/>
        <v/>
      </c>
    </row>
    <row r="407" spans="3:8" ht="30" customHeight="1" x14ac:dyDescent="0.25">
      <c r="C407" s="42">
        <v>403</v>
      </c>
      <c r="D407" s="67" t="str">
        <f>IF('Prod 1'!D407="","",'Prod 1'!D407)</f>
        <v/>
      </c>
      <c r="E407" s="64"/>
      <c r="F407" s="89" t="str">
        <f>IF(D407="","",E407*'Prod 1'!E407)</f>
        <v/>
      </c>
      <c r="G407" s="71" t="str">
        <f t="shared" si="12"/>
        <v/>
      </c>
      <c r="H407" s="59" t="str">
        <f t="shared" si="13"/>
        <v/>
      </c>
    </row>
    <row r="408" spans="3:8" ht="30" customHeight="1" x14ac:dyDescent="0.25">
      <c r="C408" s="42">
        <v>404</v>
      </c>
      <c r="D408" s="67" t="str">
        <f>IF('Prod 1'!D408="","",'Prod 1'!D408)</f>
        <v/>
      </c>
      <c r="E408" s="64"/>
      <c r="F408" s="89" t="str">
        <f>IF(D408="","",E408*'Prod 1'!E408)</f>
        <v/>
      </c>
      <c r="G408" s="71" t="str">
        <f t="shared" si="12"/>
        <v/>
      </c>
      <c r="H408" s="59" t="str">
        <f t="shared" si="13"/>
        <v/>
      </c>
    </row>
    <row r="409" spans="3:8" ht="30" customHeight="1" x14ac:dyDescent="0.25">
      <c r="C409" s="42">
        <v>405</v>
      </c>
      <c r="D409" s="67" t="str">
        <f>IF('Prod 1'!D409="","",'Prod 1'!D409)</f>
        <v/>
      </c>
      <c r="E409" s="64"/>
      <c r="F409" s="89" t="str">
        <f>IF(D409="","",E409*'Prod 1'!E409)</f>
        <v/>
      </c>
      <c r="G409" s="71" t="str">
        <f t="shared" si="12"/>
        <v/>
      </c>
      <c r="H409" s="59" t="str">
        <f t="shared" si="13"/>
        <v/>
      </c>
    </row>
    <row r="410" spans="3:8" ht="30" customHeight="1" x14ac:dyDescent="0.25">
      <c r="C410" s="42">
        <v>406</v>
      </c>
      <c r="D410" s="67" t="str">
        <f>IF('Prod 1'!D410="","",'Prod 1'!D410)</f>
        <v/>
      </c>
      <c r="E410" s="64"/>
      <c r="F410" s="89" t="str">
        <f>IF(D410="","",E410*'Prod 1'!E410)</f>
        <v/>
      </c>
      <c r="G410" s="71" t="str">
        <f t="shared" si="12"/>
        <v/>
      </c>
      <c r="H410" s="59" t="str">
        <f t="shared" si="13"/>
        <v/>
      </c>
    </row>
    <row r="411" spans="3:8" ht="30" customHeight="1" x14ac:dyDescent="0.25">
      <c r="C411" s="42">
        <v>407</v>
      </c>
      <c r="D411" s="67" t="str">
        <f>IF('Prod 1'!D411="","",'Prod 1'!D411)</f>
        <v/>
      </c>
      <c r="E411" s="64"/>
      <c r="F411" s="89" t="str">
        <f>IF(D411="","",E411*'Prod 1'!E411)</f>
        <v/>
      </c>
      <c r="G411" s="71" t="str">
        <f t="shared" si="12"/>
        <v/>
      </c>
      <c r="H411" s="59" t="str">
        <f t="shared" si="13"/>
        <v/>
      </c>
    </row>
    <row r="412" spans="3:8" ht="30" customHeight="1" x14ac:dyDescent="0.25">
      <c r="C412" s="42">
        <v>408</v>
      </c>
      <c r="D412" s="67" t="str">
        <f>IF('Prod 1'!D412="","",'Prod 1'!D412)</f>
        <v/>
      </c>
      <c r="E412" s="64"/>
      <c r="F412" s="89" t="str">
        <f>IF(D412="","",E412*'Prod 1'!E412)</f>
        <v/>
      </c>
      <c r="G412" s="71" t="str">
        <f t="shared" si="12"/>
        <v/>
      </c>
      <c r="H412" s="59" t="str">
        <f t="shared" si="13"/>
        <v/>
      </c>
    </row>
    <row r="413" spans="3:8" ht="30" customHeight="1" x14ac:dyDescent="0.25">
      <c r="C413" s="42">
        <v>409</v>
      </c>
      <c r="D413" s="67" t="str">
        <f>IF('Prod 1'!D413="","",'Prod 1'!D413)</f>
        <v/>
      </c>
      <c r="E413" s="64"/>
      <c r="F413" s="89" t="str">
        <f>IF(D413="","",E413*'Prod 1'!E413)</f>
        <v/>
      </c>
      <c r="G413" s="71" t="str">
        <f t="shared" si="12"/>
        <v/>
      </c>
      <c r="H413" s="59" t="str">
        <f t="shared" si="13"/>
        <v/>
      </c>
    </row>
    <row r="414" spans="3:8" ht="30" customHeight="1" x14ac:dyDescent="0.25">
      <c r="C414" s="42">
        <v>410</v>
      </c>
      <c r="D414" s="67" t="str">
        <f>IF('Prod 1'!D414="","",'Prod 1'!D414)</f>
        <v/>
      </c>
      <c r="E414" s="64"/>
      <c r="F414" s="89" t="str">
        <f>IF(D414="","",E414*'Prod 1'!E414)</f>
        <v/>
      </c>
      <c r="G414" s="71" t="str">
        <f t="shared" si="12"/>
        <v/>
      </c>
      <c r="H414" s="59" t="str">
        <f t="shared" si="13"/>
        <v/>
      </c>
    </row>
    <row r="415" spans="3:8" ht="30" customHeight="1" x14ac:dyDescent="0.25">
      <c r="C415" s="42">
        <v>411</v>
      </c>
      <c r="D415" s="67" t="str">
        <f>IF('Prod 1'!D415="","",'Prod 1'!D415)</f>
        <v/>
      </c>
      <c r="E415" s="64"/>
      <c r="F415" s="89" t="str">
        <f>IF(D415="","",E415*'Prod 1'!E415)</f>
        <v/>
      </c>
      <c r="G415" s="71" t="str">
        <f t="shared" si="12"/>
        <v/>
      </c>
      <c r="H415" s="59" t="str">
        <f t="shared" si="13"/>
        <v/>
      </c>
    </row>
    <row r="416" spans="3:8" ht="30" customHeight="1" x14ac:dyDescent="0.25">
      <c r="C416" s="42">
        <v>412</v>
      </c>
      <c r="D416" s="67" t="str">
        <f>IF('Prod 1'!D416="","",'Prod 1'!D416)</f>
        <v/>
      </c>
      <c r="E416" s="64"/>
      <c r="F416" s="89" t="str">
        <f>IF(D416="","",E416*'Prod 1'!E416)</f>
        <v/>
      </c>
      <c r="G416" s="71" t="str">
        <f t="shared" si="12"/>
        <v/>
      </c>
      <c r="H416" s="59" t="str">
        <f t="shared" si="13"/>
        <v/>
      </c>
    </row>
    <row r="417" spans="3:8" ht="30" customHeight="1" x14ac:dyDescent="0.25">
      <c r="C417" s="42">
        <v>413</v>
      </c>
      <c r="D417" s="67" t="str">
        <f>IF('Prod 1'!D417="","",'Prod 1'!D417)</f>
        <v/>
      </c>
      <c r="E417" s="64"/>
      <c r="F417" s="89" t="str">
        <f>IF(D417="","",E417*'Prod 1'!E417)</f>
        <v/>
      </c>
      <c r="G417" s="71" t="str">
        <f t="shared" si="12"/>
        <v/>
      </c>
      <c r="H417" s="59" t="str">
        <f t="shared" si="13"/>
        <v/>
      </c>
    </row>
    <row r="418" spans="3:8" ht="30" customHeight="1" x14ac:dyDescent="0.25">
      <c r="C418" s="42">
        <v>414</v>
      </c>
      <c r="D418" s="67" t="str">
        <f>IF('Prod 1'!D418="","",'Prod 1'!D418)</f>
        <v/>
      </c>
      <c r="E418" s="64"/>
      <c r="F418" s="89" t="str">
        <f>IF(D418="","",E418*'Prod 1'!E418)</f>
        <v/>
      </c>
      <c r="G418" s="71" t="str">
        <f t="shared" si="12"/>
        <v/>
      </c>
      <c r="H418" s="59" t="str">
        <f t="shared" si="13"/>
        <v/>
      </c>
    </row>
    <row r="419" spans="3:8" ht="30" customHeight="1" x14ac:dyDescent="0.25">
      <c r="C419" s="42">
        <v>415</v>
      </c>
      <c r="D419" s="67" t="str">
        <f>IF('Prod 1'!D419="","",'Prod 1'!D419)</f>
        <v/>
      </c>
      <c r="E419" s="64"/>
      <c r="F419" s="89" t="str">
        <f>IF(D419="","",E419*'Prod 1'!E419)</f>
        <v/>
      </c>
      <c r="G419" s="71" t="str">
        <f t="shared" si="12"/>
        <v/>
      </c>
      <c r="H419" s="59" t="str">
        <f t="shared" si="13"/>
        <v/>
      </c>
    </row>
    <row r="420" spans="3:8" ht="30" customHeight="1" x14ac:dyDescent="0.25">
      <c r="C420" s="42">
        <v>416</v>
      </c>
      <c r="D420" s="67" t="str">
        <f>IF('Prod 1'!D420="","",'Prod 1'!D420)</f>
        <v/>
      </c>
      <c r="E420" s="64"/>
      <c r="F420" s="89" t="str">
        <f>IF(D420="","",E420*'Prod 1'!E420)</f>
        <v/>
      </c>
      <c r="G420" s="71" t="str">
        <f t="shared" si="12"/>
        <v/>
      </c>
      <c r="H420" s="59" t="str">
        <f t="shared" si="13"/>
        <v/>
      </c>
    </row>
    <row r="421" spans="3:8" ht="30" customHeight="1" x14ac:dyDescent="0.25">
      <c r="C421" s="42">
        <v>417</v>
      </c>
      <c r="D421" s="67" t="str">
        <f>IF('Prod 1'!D421="","",'Prod 1'!D421)</f>
        <v/>
      </c>
      <c r="E421" s="64"/>
      <c r="F421" s="89" t="str">
        <f>IF(D421="","",E421*'Prod 1'!E421)</f>
        <v/>
      </c>
      <c r="G421" s="71" t="str">
        <f t="shared" si="12"/>
        <v/>
      </c>
      <c r="H421" s="59" t="str">
        <f t="shared" si="13"/>
        <v/>
      </c>
    </row>
    <row r="422" spans="3:8" ht="30" customHeight="1" x14ac:dyDescent="0.25">
      <c r="C422" s="42">
        <v>418</v>
      </c>
      <c r="D422" s="67" t="str">
        <f>IF('Prod 1'!D422="","",'Prod 1'!D422)</f>
        <v/>
      </c>
      <c r="E422" s="64"/>
      <c r="F422" s="89" t="str">
        <f>IF(D422="","",E422*'Prod 1'!E422)</f>
        <v/>
      </c>
      <c r="G422" s="71" t="str">
        <f t="shared" si="12"/>
        <v/>
      </c>
      <c r="H422" s="59" t="str">
        <f t="shared" si="13"/>
        <v/>
      </c>
    </row>
    <row r="423" spans="3:8" ht="30" customHeight="1" x14ac:dyDescent="0.25">
      <c r="C423" s="42">
        <v>419</v>
      </c>
      <c r="D423" s="67" t="str">
        <f>IF('Prod 1'!D423="","",'Prod 1'!D423)</f>
        <v/>
      </c>
      <c r="E423" s="64"/>
      <c r="F423" s="89" t="str">
        <f>IF(D423="","",E423*'Prod 1'!E423)</f>
        <v/>
      </c>
      <c r="G423" s="71" t="str">
        <f t="shared" si="12"/>
        <v/>
      </c>
      <c r="H423" s="59" t="str">
        <f t="shared" si="13"/>
        <v/>
      </c>
    </row>
    <row r="424" spans="3:8" ht="30" customHeight="1" x14ac:dyDescent="0.25">
      <c r="C424" s="42">
        <v>420</v>
      </c>
      <c r="D424" s="67" t="str">
        <f>IF('Prod 1'!D424="","",'Prod 1'!D424)</f>
        <v/>
      </c>
      <c r="E424" s="64"/>
      <c r="F424" s="89" t="str">
        <f>IF(D424="","",E424*'Prod 1'!E424)</f>
        <v/>
      </c>
      <c r="G424" s="71" t="str">
        <f t="shared" si="12"/>
        <v/>
      </c>
      <c r="H424" s="59" t="str">
        <f t="shared" si="13"/>
        <v/>
      </c>
    </row>
    <row r="425" spans="3:8" ht="30" customHeight="1" x14ac:dyDescent="0.25">
      <c r="C425" s="42">
        <v>421</v>
      </c>
      <c r="D425" s="67" t="str">
        <f>IF('Prod 1'!D425="","",'Prod 1'!D425)</f>
        <v/>
      </c>
      <c r="E425" s="64"/>
      <c r="F425" s="89" t="str">
        <f>IF(D425="","",E425*'Prod 1'!E425)</f>
        <v/>
      </c>
      <c r="G425" s="71" t="str">
        <f t="shared" si="12"/>
        <v/>
      </c>
      <c r="H425" s="59" t="str">
        <f t="shared" si="13"/>
        <v/>
      </c>
    </row>
    <row r="426" spans="3:8" ht="30" customHeight="1" x14ac:dyDescent="0.25">
      <c r="C426" s="42">
        <v>422</v>
      </c>
      <c r="D426" s="67" t="str">
        <f>IF('Prod 1'!D426="","",'Prod 1'!D426)</f>
        <v/>
      </c>
      <c r="E426" s="64"/>
      <c r="F426" s="89" t="str">
        <f>IF(D426="","",E426*'Prod 1'!E426)</f>
        <v/>
      </c>
      <c r="G426" s="71" t="str">
        <f t="shared" si="12"/>
        <v/>
      </c>
      <c r="H426" s="59" t="str">
        <f t="shared" si="13"/>
        <v/>
      </c>
    </row>
    <row r="427" spans="3:8" ht="30" customHeight="1" x14ac:dyDescent="0.25">
      <c r="C427" s="42">
        <v>423</v>
      </c>
      <c r="D427" s="67" t="str">
        <f>IF('Prod 1'!D427="","",'Prod 1'!D427)</f>
        <v/>
      </c>
      <c r="E427" s="64"/>
      <c r="F427" s="89" t="str">
        <f>IF(D427="","",E427*'Prod 1'!E427)</f>
        <v/>
      </c>
      <c r="G427" s="71" t="str">
        <f t="shared" si="12"/>
        <v/>
      </c>
      <c r="H427" s="59" t="str">
        <f t="shared" si="13"/>
        <v/>
      </c>
    </row>
    <row r="428" spans="3:8" ht="30" customHeight="1" x14ac:dyDescent="0.25">
      <c r="C428" s="42">
        <v>424</v>
      </c>
      <c r="D428" s="67" t="str">
        <f>IF('Prod 1'!D428="","",'Prod 1'!D428)</f>
        <v/>
      </c>
      <c r="E428" s="64"/>
      <c r="F428" s="89" t="str">
        <f>IF(D428="","",E428*'Prod 1'!E428)</f>
        <v/>
      </c>
      <c r="G428" s="71" t="str">
        <f t="shared" si="12"/>
        <v/>
      </c>
      <c r="H428" s="59" t="str">
        <f t="shared" si="13"/>
        <v/>
      </c>
    </row>
    <row r="429" spans="3:8" ht="30" customHeight="1" x14ac:dyDescent="0.25">
      <c r="C429" s="42">
        <v>425</v>
      </c>
      <c r="D429" s="67" t="str">
        <f>IF('Prod 1'!D429="","",'Prod 1'!D429)</f>
        <v/>
      </c>
      <c r="E429" s="64"/>
      <c r="F429" s="89" t="str">
        <f>IF(D429="","",E429*'Prod 1'!E429)</f>
        <v/>
      </c>
      <c r="G429" s="71" t="str">
        <f t="shared" si="12"/>
        <v/>
      </c>
      <c r="H429" s="59" t="str">
        <f t="shared" si="13"/>
        <v/>
      </c>
    </row>
    <row r="430" spans="3:8" ht="30" customHeight="1" x14ac:dyDescent="0.25">
      <c r="C430" s="42">
        <v>426</v>
      </c>
      <c r="D430" s="67" t="str">
        <f>IF('Prod 1'!D430="","",'Prod 1'!D430)</f>
        <v/>
      </c>
      <c r="E430" s="64"/>
      <c r="F430" s="89" t="str">
        <f>IF(D430="","",E430*'Prod 1'!E430)</f>
        <v/>
      </c>
      <c r="G430" s="71" t="str">
        <f t="shared" si="12"/>
        <v/>
      </c>
      <c r="H430" s="59" t="str">
        <f t="shared" si="13"/>
        <v/>
      </c>
    </row>
    <row r="431" spans="3:8" ht="30" customHeight="1" x14ac:dyDescent="0.25">
      <c r="C431" s="42">
        <v>427</v>
      </c>
      <c r="D431" s="67" t="str">
        <f>IF('Prod 1'!D431="","",'Prod 1'!D431)</f>
        <v/>
      </c>
      <c r="E431" s="64"/>
      <c r="F431" s="89" t="str">
        <f>IF(D431="","",E431*'Prod 1'!E431)</f>
        <v/>
      </c>
      <c r="G431" s="71" t="str">
        <f t="shared" si="12"/>
        <v/>
      </c>
      <c r="H431" s="59" t="str">
        <f t="shared" si="13"/>
        <v/>
      </c>
    </row>
    <row r="432" spans="3:8" ht="30" customHeight="1" x14ac:dyDescent="0.25">
      <c r="C432" s="42">
        <v>428</v>
      </c>
      <c r="D432" s="67" t="str">
        <f>IF('Prod 1'!D432="","",'Prod 1'!D432)</f>
        <v/>
      </c>
      <c r="E432" s="64"/>
      <c r="F432" s="89" t="str">
        <f>IF(D432="","",E432*'Prod 1'!E432)</f>
        <v/>
      </c>
      <c r="G432" s="71" t="str">
        <f t="shared" si="12"/>
        <v/>
      </c>
      <c r="H432" s="59" t="str">
        <f t="shared" si="13"/>
        <v/>
      </c>
    </row>
    <row r="433" spans="3:8" ht="30" customHeight="1" x14ac:dyDescent="0.25">
      <c r="C433" s="42">
        <v>429</v>
      </c>
      <c r="D433" s="67" t="str">
        <f>IF('Prod 1'!D433="","",'Prod 1'!D433)</f>
        <v/>
      </c>
      <c r="E433" s="64"/>
      <c r="F433" s="89" t="str">
        <f>IF(D433="","",E433*'Prod 1'!E433)</f>
        <v/>
      </c>
      <c r="G433" s="71" t="str">
        <f t="shared" si="12"/>
        <v/>
      </c>
      <c r="H433" s="59" t="str">
        <f t="shared" si="13"/>
        <v/>
      </c>
    </row>
    <row r="434" spans="3:8" ht="30" customHeight="1" x14ac:dyDescent="0.25">
      <c r="C434" s="42">
        <v>430</v>
      </c>
      <c r="D434" s="67" t="str">
        <f>IF('Prod 1'!D434="","",'Prod 1'!D434)</f>
        <v/>
      </c>
      <c r="E434" s="64"/>
      <c r="F434" s="89" t="str">
        <f>IF(D434="","",E434*'Prod 1'!E434)</f>
        <v/>
      </c>
      <c r="G434" s="71" t="str">
        <f t="shared" si="12"/>
        <v/>
      </c>
      <c r="H434" s="59" t="str">
        <f t="shared" si="13"/>
        <v/>
      </c>
    </row>
    <row r="435" spans="3:8" ht="30" customHeight="1" x14ac:dyDescent="0.25">
      <c r="C435" s="42">
        <v>431</v>
      </c>
      <c r="D435" s="67" t="str">
        <f>IF('Prod 1'!D435="","",'Prod 1'!D435)</f>
        <v/>
      </c>
      <c r="E435" s="64"/>
      <c r="F435" s="89" t="str">
        <f>IF(D435="","",E435*'Prod 1'!E435)</f>
        <v/>
      </c>
      <c r="G435" s="71" t="str">
        <f t="shared" si="12"/>
        <v/>
      </c>
      <c r="H435" s="59" t="str">
        <f t="shared" si="13"/>
        <v/>
      </c>
    </row>
    <row r="436" spans="3:8" ht="30" customHeight="1" x14ac:dyDescent="0.25">
      <c r="C436" s="42">
        <v>432</v>
      </c>
      <c r="D436" s="67" t="str">
        <f>IF('Prod 1'!D436="","",'Prod 1'!D436)</f>
        <v/>
      </c>
      <c r="E436" s="64"/>
      <c r="F436" s="89" t="str">
        <f>IF(D436="","",E436*'Prod 1'!E436)</f>
        <v/>
      </c>
      <c r="G436" s="71" t="str">
        <f t="shared" si="12"/>
        <v/>
      </c>
      <c r="H436" s="59" t="str">
        <f t="shared" si="13"/>
        <v/>
      </c>
    </row>
    <row r="437" spans="3:8" ht="30" customHeight="1" x14ac:dyDescent="0.25">
      <c r="C437" s="42">
        <v>433</v>
      </c>
      <c r="D437" s="67" t="str">
        <f>IF('Prod 1'!D437="","",'Prod 1'!D437)</f>
        <v/>
      </c>
      <c r="E437" s="64"/>
      <c r="F437" s="89" t="str">
        <f>IF(D437="","",E437*'Prod 1'!E437)</f>
        <v/>
      </c>
      <c r="G437" s="71" t="str">
        <f t="shared" si="12"/>
        <v/>
      </c>
      <c r="H437" s="59" t="str">
        <f t="shared" si="13"/>
        <v/>
      </c>
    </row>
    <row r="438" spans="3:8" ht="30" customHeight="1" x14ac:dyDescent="0.25">
      <c r="C438" s="42">
        <v>434</v>
      </c>
      <c r="D438" s="67" t="str">
        <f>IF('Prod 1'!D438="","",'Prod 1'!D438)</f>
        <v/>
      </c>
      <c r="E438" s="64"/>
      <c r="F438" s="89" t="str">
        <f>IF(D438="","",E438*'Prod 1'!E438)</f>
        <v/>
      </c>
      <c r="G438" s="71" t="str">
        <f t="shared" si="12"/>
        <v/>
      </c>
      <c r="H438" s="59" t="str">
        <f t="shared" si="13"/>
        <v/>
      </c>
    </row>
    <row r="439" spans="3:8" ht="30" customHeight="1" x14ac:dyDescent="0.25">
      <c r="C439" s="42">
        <v>435</v>
      </c>
      <c r="D439" s="67" t="str">
        <f>IF('Prod 1'!D439="","",'Prod 1'!D439)</f>
        <v/>
      </c>
      <c r="E439" s="64"/>
      <c r="F439" s="89" t="str">
        <f>IF(D439="","",E439*'Prod 1'!E439)</f>
        <v/>
      </c>
      <c r="G439" s="71" t="str">
        <f t="shared" si="12"/>
        <v/>
      </c>
      <c r="H439" s="59" t="str">
        <f t="shared" si="13"/>
        <v/>
      </c>
    </row>
    <row r="440" spans="3:8" ht="30" customHeight="1" x14ac:dyDescent="0.25">
      <c r="C440" s="42">
        <v>436</v>
      </c>
      <c r="D440" s="67" t="str">
        <f>IF('Prod 1'!D440="","",'Prod 1'!D440)</f>
        <v/>
      </c>
      <c r="E440" s="64"/>
      <c r="F440" s="89" t="str">
        <f>IF(D440="","",E440*'Prod 1'!E440)</f>
        <v/>
      </c>
      <c r="G440" s="71" t="str">
        <f t="shared" si="12"/>
        <v/>
      </c>
      <c r="H440" s="59" t="str">
        <f t="shared" si="13"/>
        <v/>
      </c>
    </row>
    <row r="441" spans="3:8" ht="30" customHeight="1" x14ac:dyDescent="0.25">
      <c r="C441" s="42">
        <v>437</v>
      </c>
      <c r="D441" s="67" t="str">
        <f>IF('Prod 1'!D441="","",'Prod 1'!D441)</f>
        <v/>
      </c>
      <c r="E441" s="64"/>
      <c r="F441" s="89" t="str">
        <f>IF(D441="","",E441*'Prod 1'!E441)</f>
        <v/>
      </c>
      <c r="G441" s="71" t="str">
        <f t="shared" si="12"/>
        <v/>
      </c>
      <c r="H441" s="59" t="str">
        <f t="shared" si="13"/>
        <v/>
      </c>
    </row>
    <row r="442" spans="3:8" ht="30" customHeight="1" x14ac:dyDescent="0.25">
      <c r="C442" s="42">
        <v>438</v>
      </c>
      <c r="D442" s="67" t="str">
        <f>IF('Prod 1'!D442="","",'Prod 1'!D442)</f>
        <v/>
      </c>
      <c r="E442" s="64"/>
      <c r="F442" s="89" t="str">
        <f>IF(D442="","",E442*'Prod 1'!E442)</f>
        <v/>
      </c>
      <c r="G442" s="71" t="str">
        <f t="shared" si="12"/>
        <v/>
      </c>
      <c r="H442" s="59" t="str">
        <f t="shared" si="13"/>
        <v/>
      </c>
    </row>
    <row r="443" spans="3:8" ht="30" customHeight="1" x14ac:dyDescent="0.25">
      <c r="C443" s="42">
        <v>439</v>
      </c>
      <c r="D443" s="67" t="str">
        <f>IF('Prod 1'!D443="","",'Prod 1'!D443)</f>
        <v/>
      </c>
      <c r="E443" s="64"/>
      <c r="F443" s="89" t="str">
        <f>IF(D443="","",E443*'Prod 1'!E443)</f>
        <v/>
      </c>
      <c r="G443" s="71" t="str">
        <f t="shared" si="12"/>
        <v/>
      </c>
      <c r="H443" s="59" t="str">
        <f t="shared" si="13"/>
        <v/>
      </c>
    </row>
    <row r="444" spans="3:8" ht="30" customHeight="1" x14ac:dyDescent="0.25">
      <c r="C444" s="42">
        <v>440</v>
      </c>
      <c r="D444" s="67" t="str">
        <f>IF('Prod 1'!D444="","",'Prod 1'!D444)</f>
        <v/>
      </c>
      <c r="E444" s="64"/>
      <c r="F444" s="89" t="str">
        <f>IF(D444="","",E444*'Prod 1'!E444)</f>
        <v/>
      </c>
      <c r="G444" s="71" t="str">
        <f t="shared" si="12"/>
        <v/>
      </c>
      <c r="H444" s="59" t="str">
        <f t="shared" si="13"/>
        <v/>
      </c>
    </row>
    <row r="445" spans="3:8" ht="30" customHeight="1" x14ac:dyDescent="0.25">
      <c r="C445" s="42">
        <v>441</v>
      </c>
      <c r="D445" s="67" t="str">
        <f>IF('Prod 1'!D445="","",'Prod 1'!D445)</f>
        <v/>
      </c>
      <c r="E445" s="64"/>
      <c r="F445" s="89" t="str">
        <f>IF(D445="","",E445*'Prod 1'!E445)</f>
        <v/>
      </c>
      <c r="G445" s="71" t="str">
        <f t="shared" si="12"/>
        <v/>
      </c>
      <c r="H445" s="59" t="str">
        <f t="shared" si="13"/>
        <v/>
      </c>
    </row>
    <row r="446" spans="3:8" ht="30" customHeight="1" x14ac:dyDescent="0.25">
      <c r="C446" s="42">
        <v>442</v>
      </c>
      <c r="D446" s="67" t="str">
        <f>IF('Prod 1'!D446="","",'Prod 1'!D446)</f>
        <v/>
      </c>
      <c r="E446" s="64"/>
      <c r="F446" s="89" t="str">
        <f>IF(D446="","",E446*'Prod 1'!E446)</f>
        <v/>
      </c>
      <c r="G446" s="71" t="str">
        <f t="shared" si="12"/>
        <v/>
      </c>
      <c r="H446" s="59" t="str">
        <f t="shared" si="13"/>
        <v/>
      </c>
    </row>
    <row r="447" spans="3:8" ht="30" customHeight="1" x14ac:dyDescent="0.25">
      <c r="C447" s="42">
        <v>443</v>
      </c>
      <c r="D447" s="67" t="str">
        <f>IF('Prod 1'!D447="","",'Prod 1'!D447)</f>
        <v/>
      </c>
      <c r="E447" s="64"/>
      <c r="F447" s="89" t="str">
        <f>IF(D447="","",E447*'Prod 1'!E447)</f>
        <v/>
      </c>
      <c r="G447" s="71" t="str">
        <f t="shared" si="12"/>
        <v/>
      </c>
      <c r="H447" s="59" t="str">
        <f t="shared" si="13"/>
        <v/>
      </c>
    </row>
    <row r="448" spans="3:8" ht="30" customHeight="1" x14ac:dyDescent="0.25">
      <c r="C448" s="42">
        <v>444</v>
      </c>
      <c r="D448" s="67" t="str">
        <f>IF('Prod 1'!D448="","",'Prod 1'!D448)</f>
        <v/>
      </c>
      <c r="E448" s="64"/>
      <c r="F448" s="89" t="str">
        <f>IF(D448="","",E448*'Prod 1'!E448)</f>
        <v/>
      </c>
      <c r="G448" s="71" t="str">
        <f t="shared" si="12"/>
        <v/>
      </c>
      <c r="H448" s="59" t="str">
        <f t="shared" si="13"/>
        <v/>
      </c>
    </row>
    <row r="449" spans="3:8" ht="30" customHeight="1" x14ac:dyDescent="0.25">
      <c r="C449" s="42">
        <v>445</v>
      </c>
      <c r="D449" s="67" t="str">
        <f>IF('Prod 1'!D449="","",'Prod 1'!D449)</f>
        <v/>
      </c>
      <c r="E449" s="64"/>
      <c r="F449" s="89" t="str">
        <f>IF(D449="","",E449*'Prod 1'!E449)</f>
        <v/>
      </c>
      <c r="G449" s="71" t="str">
        <f t="shared" si="12"/>
        <v/>
      </c>
      <c r="H449" s="59" t="str">
        <f t="shared" si="13"/>
        <v/>
      </c>
    </row>
    <row r="450" spans="3:8" ht="30" customHeight="1" x14ac:dyDescent="0.25">
      <c r="C450" s="42">
        <v>446</v>
      </c>
      <c r="D450" s="67" t="str">
        <f>IF('Prod 1'!D450="","",'Prod 1'!D450)</f>
        <v/>
      </c>
      <c r="E450" s="64"/>
      <c r="F450" s="89" t="str">
        <f>IF(D450="","",E450*'Prod 1'!E450)</f>
        <v/>
      </c>
      <c r="G450" s="71" t="str">
        <f t="shared" si="12"/>
        <v/>
      </c>
      <c r="H450" s="59" t="str">
        <f t="shared" si="13"/>
        <v/>
      </c>
    </row>
    <row r="451" spans="3:8" ht="30" customHeight="1" x14ac:dyDescent="0.25">
      <c r="C451" s="42">
        <v>447</v>
      </c>
      <c r="D451" s="67" t="str">
        <f>IF('Prod 1'!D451="","",'Prod 1'!D451)</f>
        <v/>
      </c>
      <c r="E451" s="64"/>
      <c r="F451" s="89" t="str">
        <f>IF(D451="","",E451*'Prod 1'!E451)</f>
        <v/>
      </c>
      <c r="G451" s="71" t="str">
        <f t="shared" si="12"/>
        <v/>
      </c>
      <c r="H451" s="59" t="str">
        <f t="shared" si="13"/>
        <v/>
      </c>
    </row>
    <row r="452" spans="3:8" ht="30" customHeight="1" x14ac:dyDescent="0.25">
      <c r="C452" s="42">
        <v>448</v>
      </c>
      <c r="D452" s="67" t="str">
        <f>IF('Prod 1'!D452="","",'Prod 1'!D452)</f>
        <v/>
      </c>
      <c r="E452" s="64"/>
      <c r="F452" s="89" t="str">
        <f>IF(D452="","",E452*'Prod 1'!E452)</f>
        <v/>
      </c>
      <c r="G452" s="71" t="str">
        <f t="shared" si="12"/>
        <v/>
      </c>
      <c r="H452" s="59" t="str">
        <f t="shared" si="13"/>
        <v/>
      </c>
    </row>
    <row r="453" spans="3:8" ht="30" customHeight="1" x14ac:dyDescent="0.25">
      <c r="C453" s="42">
        <v>449</v>
      </c>
      <c r="D453" s="67" t="str">
        <f>IF('Prod 1'!D453="","",'Prod 1'!D453)</f>
        <v/>
      </c>
      <c r="E453" s="64"/>
      <c r="F453" s="89" t="str">
        <f>IF(D453="","",E453*'Prod 1'!E453)</f>
        <v/>
      </c>
      <c r="G453" s="71" t="str">
        <f t="shared" ref="G453:G516" si="14">IF(D453="","",IFERROR(F453/$H$3,0))</f>
        <v/>
      </c>
      <c r="H453" s="59" t="str">
        <f t="shared" ref="H453:H516" si="15">F453</f>
        <v/>
      </c>
    </row>
    <row r="454" spans="3:8" ht="30" customHeight="1" x14ac:dyDescent="0.25">
      <c r="C454" s="42">
        <v>450</v>
      </c>
      <c r="D454" s="67" t="str">
        <f>IF('Prod 1'!D454="","",'Prod 1'!D454)</f>
        <v/>
      </c>
      <c r="E454" s="64"/>
      <c r="F454" s="89" t="str">
        <f>IF(D454="","",E454*'Prod 1'!E454)</f>
        <v/>
      </c>
      <c r="G454" s="71" t="str">
        <f t="shared" si="14"/>
        <v/>
      </c>
      <c r="H454" s="59" t="str">
        <f t="shared" si="15"/>
        <v/>
      </c>
    </row>
    <row r="455" spans="3:8" ht="30" customHeight="1" x14ac:dyDescent="0.25">
      <c r="C455" s="42">
        <v>451</v>
      </c>
      <c r="D455" s="67" t="str">
        <f>IF('Prod 1'!D455="","",'Prod 1'!D455)</f>
        <v/>
      </c>
      <c r="E455" s="64"/>
      <c r="F455" s="89" t="str">
        <f>IF(D455="","",E455*'Prod 1'!E455)</f>
        <v/>
      </c>
      <c r="G455" s="71" t="str">
        <f t="shared" si="14"/>
        <v/>
      </c>
      <c r="H455" s="59" t="str">
        <f t="shared" si="15"/>
        <v/>
      </c>
    </row>
    <row r="456" spans="3:8" ht="30" customHeight="1" x14ac:dyDescent="0.25">
      <c r="C456" s="42">
        <v>452</v>
      </c>
      <c r="D456" s="67" t="str">
        <f>IF('Prod 1'!D456="","",'Prod 1'!D456)</f>
        <v/>
      </c>
      <c r="E456" s="64"/>
      <c r="F456" s="89" t="str">
        <f>IF(D456="","",E456*'Prod 1'!E456)</f>
        <v/>
      </c>
      <c r="G456" s="71" t="str">
        <f t="shared" si="14"/>
        <v/>
      </c>
      <c r="H456" s="59" t="str">
        <f t="shared" si="15"/>
        <v/>
      </c>
    </row>
    <row r="457" spans="3:8" ht="30" customHeight="1" x14ac:dyDescent="0.25">
      <c r="C457" s="42">
        <v>453</v>
      </c>
      <c r="D457" s="67" t="str">
        <f>IF('Prod 1'!D457="","",'Prod 1'!D457)</f>
        <v/>
      </c>
      <c r="E457" s="64"/>
      <c r="F457" s="89" t="str">
        <f>IF(D457="","",E457*'Prod 1'!E457)</f>
        <v/>
      </c>
      <c r="G457" s="71" t="str">
        <f t="shared" si="14"/>
        <v/>
      </c>
      <c r="H457" s="59" t="str">
        <f t="shared" si="15"/>
        <v/>
      </c>
    </row>
    <row r="458" spans="3:8" ht="30" customHeight="1" x14ac:dyDescent="0.25">
      <c r="C458" s="42">
        <v>454</v>
      </c>
      <c r="D458" s="67" t="str">
        <f>IF('Prod 1'!D458="","",'Prod 1'!D458)</f>
        <v/>
      </c>
      <c r="E458" s="64"/>
      <c r="F458" s="89" t="str">
        <f>IF(D458="","",E458*'Prod 1'!E458)</f>
        <v/>
      </c>
      <c r="G458" s="71" t="str">
        <f t="shared" si="14"/>
        <v/>
      </c>
      <c r="H458" s="59" t="str">
        <f t="shared" si="15"/>
        <v/>
      </c>
    </row>
    <row r="459" spans="3:8" ht="30" customHeight="1" x14ac:dyDescent="0.25">
      <c r="C459" s="42">
        <v>455</v>
      </c>
      <c r="D459" s="67" t="str">
        <f>IF('Prod 1'!D459="","",'Prod 1'!D459)</f>
        <v/>
      </c>
      <c r="E459" s="64"/>
      <c r="F459" s="89" t="str">
        <f>IF(D459="","",E459*'Prod 1'!E459)</f>
        <v/>
      </c>
      <c r="G459" s="71" t="str">
        <f t="shared" si="14"/>
        <v/>
      </c>
      <c r="H459" s="59" t="str">
        <f t="shared" si="15"/>
        <v/>
      </c>
    </row>
    <row r="460" spans="3:8" ht="30" customHeight="1" x14ac:dyDescent="0.25">
      <c r="C460" s="42">
        <v>456</v>
      </c>
      <c r="D460" s="67" t="str">
        <f>IF('Prod 1'!D460="","",'Prod 1'!D460)</f>
        <v/>
      </c>
      <c r="E460" s="64"/>
      <c r="F460" s="89" t="str">
        <f>IF(D460="","",E460*'Prod 1'!E460)</f>
        <v/>
      </c>
      <c r="G460" s="71" t="str">
        <f t="shared" si="14"/>
        <v/>
      </c>
      <c r="H460" s="59" t="str">
        <f t="shared" si="15"/>
        <v/>
      </c>
    </row>
    <row r="461" spans="3:8" ht="30" customHeight="1" x14ac:dyDescent="0.25">
      <c r="C461" s="42">
        <v>457</v>
      </c>
      <c r="D461" s="67" t="str">
        <f>IF('Prod 1'!D461="","",'Prod 1'!D461)</f>
        <v/>
      </c>
      <c r="E461" s="64"/>
      <c r="F461" s="89" t="str">
        <f>IF(D461="","",E461*'Prod 1'!E461)</f>
        <v/>
      </c>
      <c r="G461" s="71" t="str">
        <f t="shared" si="14"/>
        <v/>
      </c>
      <c r="H461" s="59" t="str">
        <f t="shared" si="15"/>
        <v/>
      </c>
    </row>
    <row r="462" spans="3:8" ht="30" customHeight="1" x14ac:dyDescent="0.25">
      <c r="C462" s="42">
        <v>458</v>
      </c>
      <c r="D462" s="67" t="str">
        <f>IF('Prod 1'!D462="","",'Prod 1'!D462)</f>
        <v/>
      </c>
      <c r="E462" s="64"/>
      <c r="F462" s="89" t="str">
        <f>IF(D462="","",E462*'Prod 1'!E462)</f>
        <v/>
      </c>
      <c r="G462" s="71" t="str">
        <f t="shared" si="14"/>
        <v/>
      </c>
      <c r="H462" s="59" t="str">
        <f t="shared" si="15"/>
        <v/>
      </c>
    </row>
    <row r="463" spans="3:8" ht="30" customHeight="1" x14ac:dyDescent="0.25">
      <c r="C463" s="42">
        <v>459</v>
      </c>
      <c r="D463" s="67" t="str">
        <f>IF('Prod 1'!D463="","",'Prod 1'!D463)</f>
        <v/>
      </c>
      <c r="E463" s="64"/>
      <c r="F463" s="89" t="str">
        <f>IF(D463="","",E463*'Prod 1'!E463)</f>
        <v/>
      </c>
      <c r="G463" s="71" t="str">
        <f t="shared" si="14"/>
        <v/>
      </c>
      <c r="H463" s="59" t="str">
        <f t="shared" si="15"/>
        <v/>
      </c>
    </row>
    <row r="464" spans="3:8" ht="30" customHeight="1" x14ac:dyDescent="0.25">
      <c r="C464" s="42">
        <v>460</v>
      </c>
      <c r="D464" s="67" t="str">
        <f>IF('Prod 1'!D464="","",'Prod 1'!D464)</f>
        <v/>
      </c>
      <c r="E464" s="64"/>
      <c r="F464" s="89" t="str">
        <f>IF(D464="","",E464*'Prod 1'!E464)</f>
        <v/>
      </c>
      <c r="G464" s="71" t="str">
        <f t="shared" si="14"/>
        <v/>
      </c>
      <c r="H464" s="59" t="str">
        <f t="shared" si="15"/>
        <v/>
      </c>
    </row>
    <row r="465" spans="3:8" ht="30" customHeight="1" x14ac:dyDescent="0.25">
      <c r="C465" s="42">
        <v>461</v>
      </c>
      <c r="D465" s="67" t="str">
        <f>IF('Prod 1'!D465="","",'Prod 1'!D465)</f>
        <v/>
      </c>
      <c r="E465" s="64"/>
      <c r="F465" s="89" t="str">
        <f>IF(D465="","",E465*'Prod 1'!E465)</f>
        <v/>
      </c>
      <c r="G465" s="71" t="str">
        <f t="shared" si="14"/>
        <v/>
      </c>
      <c r="H465" s="59" t="str">
        <f t="shared" si="15"/>
        <v/>
      </c>
    </row>
    <row r="466" spans="3:8" ht="30" customHeight="1" x14ac:dyDescent="0.25">
      <c r="C466" s="42">
        <v>462</v>
      </c>
      <c r="D466" s="67" t="str">
        <f>IF('Prod 1'!D466="","",'Prod 1'!D466)</f>
        <v/>
      </c>
      <c r="E466" s="64"/>
      <c r="F466" s="89" t="str">
        <f>IF(D466="","",E466*'Prod 1'!E466)</f>
        <v/>
      </c>
      <c r="G466" s="71" t="str">
        <f t="shared" si="14"/>
        <v/>
      </c>
      <c r="H466" s="59" t="str">
        <f t="shared" si="15"/>
        <v/>
      </c>
    </row>
    <row r="467" spans="3:8" ht="30" customHeight="1" x14ac:dyDescent="0.25">
      <c r="C467" s="42">
        <v>463</v>
      </c>
      <c r="D467" s="67" t="str">
        <f>IF('Prod 1'!D467="","",'Prod 1'!D467)</f>
        <v/>
      </c>
      <c r="E467" s="64"/>
      <c r="F467" s="89" t="str">
        <f>IF(D467="","",E467*'Prod 1'!E467)</f>
        <v/>
      </c>
      <c r="G467" s="71" t="str">
        <f t="shared" si="14"/>
        <v/>
      </c>
      <c r="H467" s="59" t="str">
        <f t="shared" si="15"/>
        <v/>
      </c>
    </row>
    <row r="468" spans="3:8" ht="30" customHeight="1" x14ac:dyDescent="0.25">
      <c r="C468" s="42">
        <v>464</v>
      </c>
      <c r="D468" s="67" t="str">
        <f>IF('Prod 1'!D468="","",'Prod 1'!D468)</f>
        <v/>
      </c>
      <c r="E468" s="64"/>
      <c r="F468" s="89" t="str">
        <f>IF(D468="","",E468*'Prod 1'!E468)</f>
        <v/>
      </c>
      <c r="G468" s="71" t="str">
        <f t="shared" si="14"/>
        <v/>
      </c>
      <c r="H468" s="59" t="str">
        <f t="shared" si="15"/>
        <v/>
      </c>
    </row>
    <row r="469" spans="3:8" ht="30" customHeight="1" x14ac:dyDescent="0.25">
      <c r="C469" s="42">
        <v>465</v>
      </c>
      <c r="D469" s="67" t="str">
        <f>IF('Prod 1'!D469="","",'Prod 1'!D469)</f>
        <v/>
      </c>
      <c r="E469" s="64"/>
      <c r="F469" s="89" t="str">
        <f>IF(D469="","",E469*'Prod 1'!E469)</f>
        <v/>
      </c>
      <c r="G469" s="71" t="str">
        <f t="shared" si="14"/>
        <v/>
      </c>
      <c r="H469" s="59" t="str">
        <f t="shared" si="15"/>
        <v/>
      </c>
    </row>
    <row r="470" spans="3:8" ht="30" customHeight="1" x14ac:dyDescent="0.25">
      <c r="C470" s="42">
        <v>466</v>
      </c>
      <c r="D470" s="67" t="str">
        <f>IF('Prod 1'!D470="","",'Prod 1'!D470)</f>
        <v/>
      </c>
      <c r="E470" s="64"/>
      <c r="F470" s="89" t="str">
        <f>IF(D470="","",E470*'Prod 1'!E470)</f>
        <v/>
      </c>
      <c r="G470" s="71" t="str">
        <f t="shared" si="14"/>
        <v/>
      </c>
      <c r="H470" s="59" t="str">
        <f t="shared" si="15"/>
        <v/>
      </c>
    </row>
    <row r="471" spans="3:8" ht="30" customHeight="1" x14ac:dyDescent="0.25">
      <c r="C471" s="42">
        <v>467</v>
      </c>
      <c r="D471" s="67" t="str">
        <f>IF('Prod 1'!D471="","",'Prod 1'!D471)</f>
        <v/>
      </c>
      <c r="E471" s="64"/>
      <c r="F471" s="89" t="str">
        <f>IF(D471="","",E471*'Prod 1'!E471)</f>
        <v/>
      </c>
      <c r="G471" s="71" t="str">
        <f t="shared" si="14"/>
        <v/>
      </c>
      <c r="H471" s="59" t="str">
        <f t="shared" si="15"/>
        <v/>
      </c>
    </row>
    <row r="472" spans="3:8" ht="30" customHeight="1" x14ac:dyDescent="0.25">
      <c r="C472" s="42">
        <v>468</v>
      </c>
      <c r="D472" s="67" t="str">
        <f>IF('Prod 1'!D472="","",'Prod 1'!D472)</f>
        <v/>
      </c>
      <c r="E472" s="64"/>
      <c r="F472" s="89" t="str">
        <f>IF(D472="","",E472*'Prod 1'!E472)</f>
        <v/>
      </c>
      <c r="G472" s="71" t="str">
        <f t="shared" si="14"/>
        <v/>
      </c>
      <c r="H472" s="59" t="str">
        <f t="shared" si="15"/>
        <v/>
      </c>
    </row>
    <row r="473" spans="3:8" ht="30" customHeight="1" x14ac:dyDescent="0.25">
      <c r="C473" s="42">
        <v>469</v>
      </c>
      <c r="D473" s="67" t="str">
        <f>IF('Prod 1'!D473="","",'Prod 1'!D473)</f>
        <v/>
      </c>
      <c r="E473" s="64"/>
      <c r="F473" s="89" t="str">
        <f>IF(D473="","",E473*'Prod 1'!E473)</f>
        <v/>
      </c>
      <c r="G473" s="71" t="str">
        <f t="shared" si="14"/>
        <v/>
      </c>
      <c r="H473" s="59" t="str">
        <f t="shared" si="15"/>
        <v/>
      </c>
    </row>
    <row r="474" spans="3:8" ht="30" customHeight="1" x14ac:dyDescent="0.25">
      <c r="C474" s="42">
        <v>470</v>
      </c>
      <c r="D474" s="67" t="str">
        <f>IF('Prod 1'!D474="","",'Prod 1'!D474)</f>
        <v/>
      </c>
      <c r="E474" s="64"/>
      <c r="F474" s="89" t="str">
        <f>IF(D474="","",E474*'Prod 1'!E474)</f>
        <v/>
      </c>
      <c r="G474" s="71" t="str">
        <f t="shared" si="14"/>
        <v/>
      </c>
      <c r="H474" s="59" t="str">
        <f t="shared" si="15"/>
        <v/>
      </c>
    </row>
    <row r="475" spans="3:8" ht="30" customHeight="1" x14ac:dyDescent="0.25">
      <c r="C475" s="42">
        <v>471</v>
      </c>
      <c r="D475" s="67" t="str">
        <f>IF('Prod 1'!D475="","",'Prod 1'!D475)</f>
        <v/>
      </c>
      <c r="E475" s="64"/>
      <c r="F475" s="89" t="str">
        <f>IF(D475="","",E475*'Prod 1'!E475)</f>
        <v/>
      </c>
      <c r="G475" s="71" t="str">
        <f t="shared" si="14"/>
        <v/>
      </c>
      <c r="H475" s="59" t="str">
        <f t="shared" si="15"/>
        <v/>
      </c>
    </row>
    <row r="476" spans="3:8" ht="30" customHeight="1" x14ac:dyDescent="0.25">
      <c r="C476" s="42">
        <v>472</v>
      </c>
      <c r="D476" s="67" t="str">
        <f>IF('Prod 1'!D476="","",'Prod 1'!D476)</f>
        <v/>
      </c>
      <c r="E476" s="64"/>
      <c r="F476" s="89" t="str">
        <f>IF(D476="","",E476*'Prod 1'!E476)</f>
        <v/>
      </c>
      <c r="G476" s="71" t="str">
        <f t="shared" si="14"/>
        <v/>
      </c>
      <c r="H476" s="59" t="str">
        <f t="shared" si="15"/>
        <v/>
      </c>
    </row>
    <row r="477" spans="3:8" ht="30" customHeight="1" x14ac:dyDescent="0.25">
      <c r="C477" s="42">
        <v>473</v>
      </c>
      <c r="D477" s="67" t="str">
        <f>IF('Prod 1'!D477="","",'Prod 1'!D477)</f>
        <v/>
      </c>
      <c r="E477" s="64"/>
      <c r="F477" s="89" t="str">
        <f>IF(D477="","",E477*'Prod 1'!E477)</f>
        <v/>
      </c>
      <c r="G477" s="71" t="str">
        <f t="shared" si="14"/>
        <v/>
      </c>
      <c r="H477" s="59" t="str">
        <f t="shared" si="15"/>
        <v/>
      </c>
    </row>
    <row r="478" spans="3:8" ht="30" customHeight="1" x14ac:dyDescent="0.25">
      <c r="C478" s="42">
        <v>474</v>
      </c>
      <c r="D478" s="67" t="str">
        <f>IF('Prod 1'!D478="","",'Prod 1'!D478)</f>
        <v/>
      </c>
      <c r="E478" s="64"/>
      <c r="F478" s="89" t="str">
        <f>IF(D478="","",E478*'Prod 1'!E478)</f>
        <v/>
      </c>
      <c r="G478" s="71" t="str">
        <f t="shared" si="14"/>
        <v/>
      </c>
      <c r="H478" s="59" t="str">
        <f t="shared" si="15"/>
        <v/>
      </c>
    </row>
    <row r="479" spans="3:8" ht="30" customHeight="1" x14ac:dyDescent="0.25">
      <c r="C479" s="42">
        <v>475</v>
      </c>
      <c r="D479" s="67" t="str">
        <f>IF('Prod 1'!D479="","",'Prod 1'!D479)</f>
        <v/>
      </c>
      <c r="E479" s="64"/>
      <c r="F479" s="89" t="str">
        <f>IF(D479="","",E479*'Prod 1'!E479)</f>
        <v/>
      </c>
      <c r="G479" s="71" t="str">
        <f t="shared" si="14"/>
        <v/>
      </c>
      <c r="H479" s="59" t="str">
        <f t="shared" si="15"/>
        <v/>
      </c>
    </row>
    <row r="480" spans="3:8" ht="30" customHeight="1" x14ac:dyDescent="0.25">
      <c r="C480" s="42">
        <v>476</v>
      </c>
      <c r="D480" s="67" t="str">
        <f>IF('Prod 1'!D480="","",'Prod 1'!D480)</f>
        <v/>
      </c>
      <c r="E480" s="64"/>
      <c r="F480" s="89" t="str">
        <f>IF(D480="","",E480*'Prod 1'!E480)</f>
        <v/>
      </c>
      <c r="G480" s="71" t="str">
        <f t="shared" si="14"/>
        <v/>
      </c>
      <c r="H480" s="59" t="str">
        <f t="shared" si="15"/>
        <v/>
      </c>
    </row>
    <row r="481" spans="3:8" ht="30" customHeight="1" x14ac:dyDescent="0.25">
      <c r="C481" s="42">
        <v>477</v>
      </c>
      <c r="D481" s="67" t="str">
        <f>IF('Prod 1'!D481="","",'Prod 1'!D481)</f>
        <v/>
      </c>
      <c r="E481" s="64"/>
      <c r="F481" s="89" t="str">
        <f>IF(D481="","",E481*'Prod 1'!E481)</f>
        <v/>
      </c>
      <c r="G481" s="71" t="str">
        <f t="shared" si="14"/>
        <v/>
      </c>
      <c r="H481" s="59" t="str">
        <f t="shared" si="15"/>
        <v/>
      </c>
    </row>
    <row r="482" spans="3:8" ht="30" customHeight="1" x14ac:dyDescent="0.25">
      <c r="C482" s="42">
        <v>478</v>
      </c>
      <c r="D482" s="67" t="str">
        <f>IF('Prod 1'!D482="","",'Prod 1'!D482)</f>
        <v/>
      </c>
      <c r="E482" s="64"/>
      <c r="F482" s="89" t="str">
        <f>IF(D482="","",E482*'Prod 1'!E482)</f>
        <v/>
      </c>
      <c r="G482" s="71" t="str">
        <f t="shared" si="14"/>
        <v/>
      </c>
      <c r="H482" s="59" t="str">
        <f t="shared" si="15"/>
        <v/>
      </c>
    </row>
    <row r="483" spans="3:8" ht="30" customHeight="1" x14ac:dyDescent="0.25">
      <c r="C483" s="42">
        <v>479</v>
      </c>
      <c r="D483" s="67" t="str">
        <f>IF('Prod 1'!D483="","",'Prod 1'!D483)</f>
        <v/>
      </c>
      <c r="E483" s="64"/>
      <c r="F483" s="89" t="str">
        <f>IF(D483="","",E483*'Prod 1'!E483)</f>
        <v/>
      </c>
      <c r="G483" s="71" t="str">
        <f t="shared" si="14"/>
        <v/>
      </c>
      <c r="H483" s="59" t="str">
        <f t="shared" si="15"/>
        <v/>
      </c>
    </row>
    <row r="484" spans="3:8" ht="30" customHeight="1" x14ac:dyDescent="0.25">
      <c r="C484" s="42">
        <v>480</v>
      </c>
      <c r="D484" s="67" t="str">
        <f>IF('Prod 1'!D484="","",'Prod 1'!D484)</f>
        <v/>
      </c>
      <c r="E484" s="64"/>
      <c r="F484" s="89" t="str">
        <f>IF(D484="","",E484*'Prod 1'!E484)</f>
        <v/>
      </c>
      <c r="G484" s="71" t="str">
        <f t="shared" si="14"/>
        <v/>
      </c>
      <c r="H484" s="59" t="str">
        <f t="shared" si="15"/>
        <v/>
      </c>
    </row>
    <row r="485" spans="3:8" ht="30" customHeight="1" x14ac:dyDescent="0.25">
      <c r="C485" s="42">
        <v>481</v>
      </c>
      <c r="D485" s="67" t="str">
        <f>IF('Prod 1'!D485="","",'Prod 1'!D485)</f>
        <v/>
      </c>
      <c r="E485" s="64"/>
      <c r="F485" s="89" t="str">
        <f>IF(D485="","",E485*'Prod 1'!E485)</f>
        <v/>
      </c>
      <c r="G485" s="71" t="str">
        <f t="shared" si="14"/>
        <v/>
      </c>
      <c r="H485" s="59" t="str">
        <f t="shared" si="15"/>
        <v/>
      </c>
    </row>
    <row r="486" spans="3:8" ht="30" customHeight="1" x14ac:dyDescent="0.25">
      <c r="C486" s="42">
        <v>482</v>
      </c>
      <c r="D486" s="67" t="str">
        <f>IF('Prod 1'!D486="","",'Prod 1'!D486)</f>
        <v/>
      </c>
      <c r="E486" s="64"/>
      <c r="F486" s="89" t="str">
        <f>IF(D486="","",E486*'Prod 1'!E486)</f>
        <v/>
      </c>
      <c r="G486" s="71" t="str">
        <f t="shared" si="14"/>
        <v/>
      </c>
      <c r="H486" s="59" t="str">
        <f t="shared" si="15"/>
        <v/>
      </c>
    </row>
    <row r="487" spans="3:8" ht="30" customHeight="1" x14ac:dyDescent="0.25">
      <c r="C487" s="42">
        <v>483</v>
      </c>
      <c r="D487" s="67" t="str">
        <f>IF('Prod 1'!D487="","",'Prod 1'!D487)</f>
        <v/>
      </c>
      <c r="E487" s="64"/>
      <c r="F487" s="89" t="str">
        <f>IF(D487="","",E487*'Prod 1'!E487)</f>
        <v/>
      </c>
      <c r="G487" s="71" t="str">
        <f t="shared" si="14"/>
        <v/>
      </c>
      <c r="H487" s="59" t="str">
        <f t="shared" si="15"/>
        <v/>
      </c>
    </row>
    <row r="488" spans="3:8" ht="30" customHeight="1" x14ac:dyDescent="0.25">
      <c r="C488" s="42">
        <v>484</v>
      </c>
      <c r="D488" s="67" t="str">
        <f>IF('Prod 1'!D488="","",'Prod 1'!D488)</f>
        <v/>
      </c>
      <c r="E488" s="64"/>
      <c r="F488" s="89" t="str">
        <f>IF(D488="","",E488*'Prod 1'!E488)</f>
        <v/>
      </c>
      <c r="G488" s="71" t="str">
        <f t="shared" si="14"/>
        <v/>
      </c>
      <c r="H488" s="59" t="str">
        <f t="shared" si="15"/>
        <v/>
      </c>
    </row>
    <row r="489" spans="3:8" ht="30" customHeight="1" x14ac:dyDescent="0.25">
      <c r="C489" s="42">
        <v>485</v>
      </c>
      <c r="D489" s="67" t="str">
        <f>IF('Prod 1'!D489="","",'Prod 1'!D489)</f>
        <v/>
      </c>
      <c r="E489" s="64"/>
      <c r="F489" s="89" t="str">
        <f>IF(D489="","",E489*'Prod 1'!E489)</f>
        <v/>
      </c>
      <c r="G489" s="71" t="str">
        <f t="shared" si="14"/>
        <v/>
      </c>
      <c r="H489" s="59" t="str">
        <f t="shared" si="15"/>
        <v/>
      </c>
    </row>
    <row r="490" spans="3:8" ht="30" customHeight="1" x14ac:dyDescent="0.25">
      <c r="C490" s="42">
        <v>486</v>
      </c>
      <c r="D490" s="67" t="str">
        <f>IF('Prod 1'!D490="","",'Prod 1'!D490)</f>
        <v/>
      </c>
      <c r="E490" s="64"/>
      <c r="F490" s="89" t="str">
        <f>IF(D490="","",E490*'Prod 1'!E490)</f>
        <v/>
      </c>
      <c r="G490" s="71" t="str">
        <f t="shared" si="14"/>
        <v/>
      </c>
      <c r="H490" s="59" t="str">
        <f t="shared" si="15"/>
        <v/>
      </c>
    </row>
    <row r="491" spans="3:8" ht="30" customHeight="1" x14ac:dyDescent="0.25">
      <c r="C491" s="42">
        <v>487</v>
      </c>
      <c r="D491" s="67" t="str">
        <f>IF('Prod 1'!D491="","",'Prod 1'!D491)</f>
        <v/>
      </c>
      <c r="E491" s="64"/>
      <c r="F491" s="89" t="str">
        <f>IF(D491="","",E491*'Prod 1'!E491)</f>
        <v/>
      </c>
      <c r="G491" s="71" t="str">
        <f t="shared" si="14"/>
        <v/>
      </c>
      <c r="H491" s="59" t="str">
        <f t="shared" si="15"/>
        <v/>
      </c>
    </row>
    <row r="492" spans="3:8" ht="30" customHeight="1" x14ac:dyDescent="0.25">
      <c r="C492" s="42">
        <v>488</v>
      </c>
      <c r="D492" s="67" t="str">
        <f>IF('Prod 1'!D492="","",'Prod 1'!D492)</f>
        <v/>
      </c>
      <c r="E492" s="64"/>
      <c r="F492" s="89" t="str">
        <f>IF(D492="","",E492*'Prod 1'!E492)</f>
        <v/>
      </c>
      <c r="G492" s="71" t="str">
        <f t="shared" si="14"/>
        <v/>
      </c>
      <c r="H492" s="59" t="str">
        <f t="shared" si="15"/>
        <v/>
      </c>
    </row>
    <row r="493" spans="3:8" ht="30" customHeight="1" x14ac:dyDescent="0.25">
      <c r="C493" s="42">
        <v>489</v>
      </c>
      <c r="D493" s="67" t="str">
        <f>IF('Prod 1'!D493="","",'Prod 1'!D493)</f>
        <v/>
      </c>
      <c r="E493" s="64"/>
      <c r="F493" s="89" t="str">
        <f>IF(D493="","",E493*'Prod 1'!E493)</f>
        <v/>
      </c>
      <c r="G493" s="71" t="str">
        <f t="shared" si="14"/>
        <v/>
      </c>
      <c r="H493" s="59" t="str">
        <f t="shared" si="15"/>
        <v/>
      </c>
    </row>
    <row r="494" spans="3:8" ht="30" customHeight="1" x14ac:dyDescent="0.25">
      <c r="C494" s="42">
        <v>490</v>
      </c>
      <c r="D494" s="67" t="str">
        <f>IF('Prod 1'!D494="","",'Prod 1'!D494)</f>
        <v/>
      </c>
      <c r="E494" s="64"/>
      <c r="F494" s="89" t="str">
        <f>IF(D494="","",E494*'Prod 1'!E494)</f>
        <v/>
      </c>
      <c r="G494" s="71" t="str">
        <f t="shared" si="14"/>
        <v/>
      </c>
      <c r="H494" s="59" t="str">
        <f t="shared" si="15"/>
        <v/>
      </c>
    </row>
    <row r="495" spans="3:8" ht="30" customHeight="1" x14ac:dyDescent="0.25">
      <c r="C495" s="42">
        <v>491</v>
      </c>
      <c r="D495" s="67" t="str">
        <f>IF('Prod 1'!D495="","",'Prod 1'!D495)</f>
        <v/>
      </c>
      <c r="E495" s="64"/>
      <c r="F495" s="89" t="str">
        <f>IF(D495="","",E495*'Prod 1'!E495)</f>
        <v/>
      </c>
      <c r="G495" s="71" t="str">
        <f t="shared" si="14"/>
        <v/>
      </c>
      <c r="H495" s="59" t="str">
        <f t="shared" si="15"/>
        <v/>
      </c>
    </row>
    <row r="496" spans="3:8" ht="30" customHeight="1" x14ac:dyDescent="0.25">
      <c r="C496" s="42">
        <v>492</v>
      </c>
      <c r="D496" s="67" t="str">
        <f>IF('Prod 1'!D496="","",'Prod 1'!D496)</f>
        <v/>
      </c>
      <c r="E496" s="64"/>
      <c r="F496" s="89" t="str">
        <f>IF(D496="","",E496*'Prod 1'!E496)</f>
        <v/>
      </c>
      <c r="G496" s="71" t="str">
        <f t="shared" si="14"/>
        <v/>
      </c>
      <c r="H496" s="59" t="str">
        <f t="shared" si="15"/>
        <v/>
      </c>
    </row>
    <row r="497" spans="3:8" ht="30" customHeight="1" x14ac:dyDescent="0.25">
      <c r="C497" s="42">
        <v>493</v>
      </c>
      <c r="D497" s="67" t="str">
        <f>IF('Prod 1'!D497="","",'Prod 1'!D497)</f>
        <v/>
      </c>
      <c r="E497" s="64"/>
      <c r="F497" s="89" t="str">
        <f>IF(D497="","",E497*'Prod 1'!E497)</f>
        <v/>
      </c>
      <c r="G497" s="71" t="str">
        <f t="shared" si="14"/>
        <v/>
      </c>
      <c r="H497" s="59" t="str">
        <f t="shared" si="15"/>
        <v/>
      </c>
    </row>
    <row r="498" spans="3:8" ht="30" customHeight="1" x14ac:dyDescent="0.25">
      <c r="C498" s="42">
        <v>494</v>
      </c>
      <c r="D498" s="67" t="str">
        <f>IF('Prod 1'!D498="","",'Prod 1'!D498)</f>
        <v/>
      </c>
      <c r="E498" s="64"/>
      <c r="F498" s="89" t="str">
        <f>IF(D498="","",E498*'Prod 1'!E498)</f>
        <v/>
      </c>
      <c r="G498" s="71" t="str">
        <f t="shared" si="14"/>
        <v/>
      </c>
      <c r="H498" s="59" t="str">
        <f t="shared" si="15"/>
        <v/>
      </c>
    </row>
    <row r="499" spans="3:8" ht="30" customHeight="1" x14ac:dyDescent="0.25">
      <c r="C499" s="42">
        <v>495</v>
      </c>
      <c r="D499" s="67" t="str">
        <f>IF('Prod 1'!D499="","",'Prod 1'!D499)</f>
        <v/>
      </c>
      <c r="E499" s="64"/>
      <c r="F499" s="89" t="str">
        <f>IF(D499="","",E499*'Prod 1'!E499)</f>
        <v/>
      </c>
      <c r="G499" s="71" t="str">
        <f t="shared" si="14"/>
        <v/>
      </c>
      <c r="H499" s="59" t="str">
        <f t="shared" si="15"/>
        <v/>
      </c>
    </row>
    <row r="500" spans="3:8" ht="30" customHeight="1" x14ac:dyDescent="0.25">
      <c r="C500" s="42">
        <v>496</v>
      </c>
      <c r="D500" s="67" t="str">
        <f>IF('Prod 1'!D500="","",'Prod 1'!D500)</f>
        <v/>
      </c>
      <c r="E500" s="64"/>
      <c r="F500" s="89" t="str">
        <f>IF(D500="","",E500*'Prod 1'!E500)</f>
        <v/>
      </c>
      <c r="G500" s="71" t="str">
        <f t="shared" si="14"/>
        <v/>
      </c>
      <c r="H500" s="59" t="str">
        <f t="shared" si="15"/>
        <v/>
      </c>
    </row>
    <row r="501" spans="3:8" ht="30" customHeight="1" x14ac:dyDescent="0.25">
      <c r="C501" s="42">
        <v>497</v>
      </c>
      <c r="D501" s="67" t="str">
        <f>IF('Prod 1'!D501="","",'Prod 1'!D501)</f>
        <v/>
      </c>
      <c r="E501" s="64"/>
      <c r="F501" s="89" t="str">
        <f>IF(D501="","",E501*'Prod 1'!E501)</f>
        <v/>
      </c>
      <c r="G501" s="71" t="str">
        <f t="shared" si="14"/>
        <v/>
      </c>
      <c r="H501" s="59" t="str">
        <f t="shared" si="15"/>
        <v/>
      </c>
    </row>
    <row r="502" spans="3:8" ht="30" customHeight="1" x14ac:dyDescent="0.25">
      <c r="C502" s="42">
        <v>498</v>
      </c>
      <c r="D502" s="67" t="str">
        <f>IF('Prod 1'!D502="","",'Prod 1'!D502)</f>
        <v/>
      </c>
      <c r="E502" s="64"/>
      <c r="F502" s="89" t="str">
        <f>IF(D502="","",E502*'Prod 1'!E502)</f>
        <v/>
      </c>
      <c r="G502" s="71" t="str">
        <f t="shared" si="14"/>
        <v/>
      </c>
      <c r="H502" s="59" t="str">
        <f t="shared" si="15"/>
        <v/>
      </c>
    </row>
    <row r="503" spans="3:8" ht="30" customHeight="1" x14ac:dyDescent="0.25">
      <c r="C503" s="42">
        <v>499</v>
      </c>
      <c r="D503" s="67" t="str">
        <f>IF('Prod 1'!D503="","",'Prod 1'!D503)</f>
        <v/>
      </c>
      <c r="E503" s="64"/>
      <c r="F503" s="89" t="str">
        <f>IF(D503="","",E503*'Prod 1'!E503)</f>
        <v/>
      </c>
      <c r="G503" s="71" t="str">
        <f t="shared" si="14"/>
        <v/>
      </c>
      <c r="H503" s="59" t="str">
        <f t="shared" si="15"/>
        <v/>
      </c>
    </row>
    <row r="504" spans="3:8" ht="30" customHeight="1" x14ac:dyDescent="0.25">
      <c r="C504" s="42">
        <v>500</v>
      </c>
      <c r="D504" s="67" t="str">
        <f>IF('Prod 1'!D504="","",'Prod 1'!D504)</f>
        <v/>
      </c>
      <c r="E504" s="64"/>
      <c r="F504" s="89" t="str">
        <f>IF(D504="","",E504*'Prod 1'!E504)</f>
        <v/>
      </c>
      <c r="G504" s="71" t="str">
        <f t="shared" si="14"/>
        <v/>
      </c>
      <c r="H504" s="59" t="str">
        <f t="shared" si="15"/>
        <v/>
      </c>
    </row>
    <row r="505" spans="3:8" ht="30" customHeight="1" x14ac:dyDescent="0.25">
      <c r="C505" s="42">
        <v>501</v>
      </c>
      <c r="D505" s="67" t="str">
        <f>IF('Prod 1'!D505="","",'Prod 1'!D505)</f>
        <v/>
      </c>
      <c r="E505" s="64"/>
      <c r="F505" s="89" t="str">
        <f>IF(D505="","",E505*'Prod 1'!E505)</f>
        <v/>
      </c>
      <c r="G505" s="71" t="str">
        <f t="shared" si="14"/>
        <v/>
      </c>
      <c r="H505" s="59" t="str">
        <f t="shared" si="15"/>
        <v/>
      </c>
    </row>
    <row r="506" spans="3:8" ht="30" customHeight="1" x14ac:dyDescent="0.25">
      <c r="C506" s="42">
        <v>502</v>
      </c>
      <c r="D506" s="67" t="str">
        <f>IF('Prod 1'!D506="","",'Prod 1'!D506)</f>
        <v/>
      </c>
      <c r="E506" s="64"/>
      <c r="F506" s="89" t="str">
        <f>IF(D506="","",E506*'Prod 1'!E506)</f>
        <v/>
      </c>
      <c r="G506" s="71" t="str">
        <f t="shared" si="14"/>
        <v/>
      </c>
      <c r="H506" s="59" t="str">
        <f t="shared" si="15"/>
        <v/>
      </c>
    </row>
    <row r="507" spans="3:8" ht="30" customHeight="1" x14ac:dyDescent="0.25">
      <c r="C507" s="42">
        <v>503</v>
      </c>
      <c r="D507" s="67" t="str">
        <f>IF('Prod 1'!D507="","",'Prod 1'!D507)</f>
        <v/>
      </c>
      <c r="E507" s="64"/>
      <c r="F507" s="89" t="str">
        <f>IF(D507="","",E507*'Prod 1'!E507)</f>
        <v/>
      </c>
      <c r="G507" s="71" t="str">
        <f t="shared" si="14"/>
        <v/>
      </c>
      <c r="H507" s="59" t="str">
        <f t="shared" si="15"/>
        <v/>
      </c>
    </row>
    <row r="508" spans="3:8" ht="30" customHeight="1" x14ac:dyDescent="0.25">
      <c r="C508" s="42">
        <v>504</v>
      </c>
      <c r="D508" s="67" t="str">
        <f>IF('Prod 1'!D508="","",'Prod 1'!D508)</f>
        <v/>
      </c>
      <c r="E508" s="64"/>
      <c r="F508" s="89" t="str">
        <f>IF(D508="","",E508*'Prod 1'!E508)</f>
        <v/>
      </c>
      <c r="G508" s="71" t="str">
        <f t="shared" si="14"/>
        <v/>
      </c>
      <c r="H508" s="59" t="str">
        <f t="shared" si="15"/>
        <v/>
      </c>
    </row>
    <row r="509" spans="3:8" ht="30" customHeight="1" x14ac:dyDescent="0.25">
      <c r="C509" s="42">
        <v>505</v>
      </c>
      <c r="D509" s="67" t="str">
        <f>IF('Prod 1'!D509="","",'Prod 1'!D509)</f>
        <v/>
      </c>
      <c r="E509" s="64"/>
      <c r="F509" s="89" t="str">
        <f>IF(D509="","",E509*'Prod 1'!E509)</f>
        <v/>
      </c>
      <c r="G509" s="71" t="str">
        <f t="shared" si="14"/>
        <v/>
      </c>
      <c r="H509" s="59" t="str">
        <f t="shared" si="15"/>
        <v/>
      </c>
    </row>
    <row r="510" spans="3:8" ht="30" customHeight="1" x14ac:dyDescent="0.25">
      <c r="C510" s="42">
        <v>506</v>
      </c>
      <c r="D510" s="67" t="str">
        <f>IF('Prod 1'!D510="","",'Prod 1'!D510)</f>
        <v/>
      </c>
      <c r="E510" s="64"/>
      <c r="F510" s="89" t="str">
        <f>IF(D510="","",E510*'Prod 1'!E510)</f>
        <v/>
      </c>
      <c r="G510" s="71" t="str">
        <f t="shared" si="14"/>
        <v/>
      </c>
      <c r="H510" s="59" t="str">
        <f t="shared" si="15"/>
        <v/>
      </c>
    </row>
    <row r="511" spans="3:8" ht="30" customHeight="1" x14ac:dyDescent="0.25">
      <c r="C511" s="42">
        <v>507</v>
      </c>
      <c r="D511" s="67" t="str">
        <f>IF('Prod 1'!D511="","",'Prod 1'!D511)</f>
        <v/>
      </c>
      <c r="E511" s="64"/>
      <c r="F511" s="89" t="str">
        <f>IF(D511="","",E511*'Prod 1'!E511)</f>
        <v/>
      </c>
      <c r="G511" s="71" t="str">
        <f t="shared" si="14"/>
        <v/>
      </c>
      <c r="H511" s="59" t="str">
        <f t="shared" si="15"/>
        <v/>
      </c>
    </row>
    <row r="512" spans="3:8" ht="30" customHeight="1" x14ac:dyDescent="0.25">
      <c r="C512" s="42">
        <v>508</v>
      </c>
      <c r="D512" s="67" t="str">
        <f>IF('Prod 1'!D512="","",'Prod 1'!D512)</f>
        <v/>
      </c>
      <c r="E512" s="64"/>
      <c r="F512" s="89" t="str">
        <f>IF(D512="","",E512*'Prod 1'!E512)</f>
        <v/>
      </c>
      <c r="G512" s="71" t="str">
        <f t="shared" si="14"/>
        <v/>
      </c>
      <c r="H512" s="59" t="str">
        <f t="shared" si="15"/>
        <v/>
      </c>
    </row>
    <row r="513" spans="3:8" ht="30" customHeight="1" x14ac:dyDescent="0.25">
      <c r="C513" s="42">
        <v>509</v>
      </c>
      <c r="D513" s="67" t="str">
        <f>IF('Prod 1'!D513="","",'Prod 1'!D513)</f>
        <v/>
      </c>
      <c r="E513" s="64"/>
      <c r="F513" s="89" t="str">
        <f>IF(D513="","",E513*'Prod 1'!E513)</f>
        <v/>
      </c>
      <c r="G513" s="71" t="str">
        <f t="shared" si="14"/>
        <v/>
      </c>
      <c r="H513" s="59" t="str">
        <f t="shared" si="15"/>
        <v/>
      </c>
    </row>
    <row r="514" spans="3:8" ht="30" customHeight="1" x14ac:dyDescent="0.25">
      <c r="C514" s="42">
        <v>510</v>
      </c>
      <c r="D514" s="67" t="str">
        <f>IF('Prod 1'!D514="","",'Prod 1'!D514)</f>
        <v/>
      </c>
      <c r="E514" s="64"/>
      <c r="F514" s="89" t="str">
        <f>IF(D514="","",E514*'Prod 1'!E514)</f>
        <v/>
      </c>
      <c r="G514" s="71" t="str">
        <f t="shared" si="14"/>
        <v/>
      </c>
      <c r="H514" s="59" t="str">
        <f t="shared" si="15"/>
        <v/>
      </c>
    </row>
    <row r="515" spans="3:8" ht="30" customHeight="1" x14ac:dyDescent="0.25">
      <c r="C515" s="42">
        <v>511</v>
      </c>
      <c r="D515" s="67" t="str">
        <f>IF('Prod 1'!D515="","",'Prod 1'!D515)</f>
        <v/>
      </c>
      <c r="E515" s="64"/>
      <c r="F515" s="89" t="str">
        <f>IF(D515="","",E515*'Prod 1'!E515)</f>
        <v/>
      </c>
      <c r="G515" s="71" t="str">
        <f t="shared" si="14"/>
        <v/>
      </c>
      <c r="H515" s="59" t="str">
        <f t="shared" si="15"/>
        <v/>
      </c>
    </row>
    <row r="516" spans="3:8" ht="30" customHeight="1" x14ac:dyDescent="0.25">
      <c r="C516" s="42">
        <v>512</v>
      </c>
      <c r="D516" s="67" t="str">
        <f>IF('Prod 1'!D516="","",'Prod 1'!D516)</f>
        <v/>
      </c>
      <c r="E516" s="64"/>
      <c r="F516" s="89" t="str">
        <f>IF(D516="","",E516*'Prod 1'!E516)</f>
        <v/>
      </c>
      <c r="G516" s="71" t="str">
        <f t="shared" si="14"/>
        <v/>
      </c>
      <c r="H516" s="59" t="str">
        <f t="shared" si="15"/>
        <v/>
      </c>
    </row>
    <row r="517" spans="3:8" ht="30" customHeight="1" x14ac:dyDescent="0.25">
      <c r="C517" s="42">
        <v>513</v>
      </c>
      <c r="D517" s="67" t="str">
        <f>IF('Prod 1'!D517="","",'Prod 1'!D517)</f>
        <v/>
      </c>
      <c r="E517" s="64"/>
      <c r="F517" s="89" t="str">
        <f>IF(D517="","",E517*'Prod 1'!E517)</f>
        <v/>
      </c>
      <c r="G517" s="71" t="str">
        <f t="shared" ref="G517:G580" si="16">IF(D517="","",IFERROR(F517/$H$3,0))</f>
        <v/>
      </c>
      <c r="H517" s="59" t="str">
        <f t="shared" ref="H517:H580" si="17">F517</f>
        <v/>
      </c>
    </row>
    <row r="518" spans="3:8" ht="30" customHeight="1" x14ac:dyDescent="0.25">
      <c r="C518" s="42">
        <v>514</v>
      </c>
      <c r="D518" s="67" t="str">
        <f>IF('Prod 1'!D518="","",'Prod 1'!D518)</f>
        <v/>
      </c>
      <c r="E518" s="64"/>
      <c r="F518" s="89" t="str">
        <f>IF(D518="","",E518*'Prod 1'!E518)</f>
        <v/>
      </c>
      <c r="G518" s="71" t="str">
        <f t="shared" si="16"/>
        <v/>
      </c>
      <c r="H518" s="59" t="str">
        <f t="shared" si="17"/>
        <v/>
      </c>
    </row>
    <row r="519" spans="3:8" ht="30" customHeight="1" x14ac:dyDescent="0.25">
      <c r="C519" s="42">
        <v>515</v>
      </c>
      <c r="D519" s="67" t="str">
        <f>IF('Prod 1'!D519="","",'Prod 1'!D519)</f>
        <v/>
      </c>
      <c r="E519" s="64"/>
      <c r="F519" s="89" t="str">
        <f>IF(D519="","",E519*'Prod 1'!E519)</f>
        <v/>
      </c>
      <c r="G519" s="71" t="str">
        <f t="shared" si="16"/>
        <v/>
      </c>
      <c r="H519" s="59" t="str">
        <f t="shared" si="17"/>
        <v/>
      </c>
    </row>
    <row r="520" spans="3:8" ht="30" customHeight="1" x14ac:dyDescent="0.25">
      <c r="C520" s="42">
        <v>516</v>
      </c>
      <c r="D520" s="67" t="str">
        <f>IF('Prod 1'!D520="","",'Prod 1'!D520)</f>
        <v/>
      </c>
      <c r="E520" s="64"/>
      <c r="F520" s="89" t="str">
        <f>IF(D520="","",E520*'Prod 1'!E520)</f>
        <v/>
      </c>
      <c r="G520" s="71" t="str">
        <f t="shared" si="16"/>
        <v/>
      </c>
      <c r="H520" s="59" t="str">
        <f t="shared" si="17"/>
        <v/>
      </c>
    </row>
    <row r="521" spans="3:8" ht="30" customHeight="1" x14ac:dyDescent="0.25">
      <c r="C521" s="42">
        <v>517</v>
      </c>
      <c r="D521" s="67" t="str">
        <f>IF('Prod 1'!D521="","",'Prod 1'!D521)</f>
        <v/>
      </c>
      <c r="E521" s="64"/>
      <c r="F521" s="89" t="str">
        <f>IF(D521="","",E521*'Prod 1'!E521)</f>
        <v/>
      </c>
      <c r="G521" s="71" t="str">
        <f t="shared" si="16"/>
        <v/>
      </c>
      <c r="H521" s="59" t="str">
        <f t="shared" si="17"/>
        <v/>
      </c>
    </row>
    <row r="522" spans="3:8" ht="30" customHeight="1" x14ac:dyDescent="0.25">
      <c r="C522" s="42">
        <v>518</v>
      </c>
      <c r="D522" s="67" t="str">
        <f>IF('Prod 1'!D522="","",'Prod 1'!D522)</f>
        <v/>
      </c>
      <c r="E522" s="64"/>
      <c r="F522" s="89" t="str">
        <f>IF(D522="","",E522*'Prod 1'!E522)</f>
        <v/>
      </c>
      <c r="G522" s="71" t="str">
        <f t="shared" si="16"/>
        <v/>
      </c>
      <c r="H522" s="59" t="str">
        <f t="shared" si="17"/>
        <v/>
      </c>
    </row>
    <row r="523" spans="3:8" ht="30" customHeight="1" x14ac:dyDescent="0.25">
      <c r="C523" s="42">
        <v>519</v>
      </c>
      <c r="D523" s="67" t="str">
        <f>IF('Prod 1'!D523="","",'Prod 1'!D523)</f>
        <v/>
      </c>
      <c r="E523" s="64"/>
      <c r="F523" s="89" t="str">
        <f>IF(D523="","",E523*'Prod 1'!E523)</f>
        <v/>
      </c>
      <c r="G523" s="71" t="str">
        <f t="shared" si="16"/>
        <v/>
      </c>
      <c r="H523" s="59" t="str">
        <f t="shared" si="17"/>
        <v/>
      </c>
    </row>
    <row r="524" spans="3:8" ht="30" customHeight="1" x14ac:dyDescent="0.25">
      <c r="C524" s="42">
        <v>520</v>
      </c>
      <c r="D524" s="67" t="str">
        <f>IF('Prod 1'!D524="","",'Prod 1'!D524)</f>
        <v/>
      </c>
      <c r="E524" s="64"/>
      <c r="F524" s="89" t="str">
        <f>IF(D524="","",E524*'Prod 1'!E524)</f>
        <v/>
      </c>
      <c r="G524" s="71" t="str">
        <f t="shared" si="16"/>
        <v/>
      </c>
      <c r="H524" s="59" t="str">
        <f t="shared" si="17"/>
        <v/>
      </c>
    </row>
    <row r="525" spans="3:8" ht="30" customHeight="1" x14ac:dyDescent="0.25">
      <c r="C525" s="42">
        <v>521</v>
      </c>
      <c r="D525" s="67" t="str">
        <f>IF('Prod 1'!D525="","",'Prod 1'!D525)</f>
        <v/>
      </c>
      <c r="E525" s="64"/>
      <c r="F525" s="89" t="str">
        <f>IF(D525="","",E525*'Prod 1'!E525)</f>
        <v/>
      </c>
      <c r="G525" s="71" t="str">
        <f t="shared" si="16"/>
        <v/>
      </c>
      <c r="H525" s="59" t="str">
        <f t="shared" si="17"/>
        <v/>
      </c>
    </row>
    <row r="526" spans="3:8" ht="30" customHeight="1" x14ac:dyDescent="0.25">
      <c r="C526" s="42">
        <v>522</v>
      </c>
      <c r="D526" s="67" t="str">
        <f>IF('Prod 1'!D526="","",'Prod 1'!D526)</f>
        <v/>
      </c>
      <c r="E526" s="64"/>
      <c r="F526" s="89" t="str">
        <f>IF(D526="","",E526*'Prod 1'!E526)</f>
        <v/>
      </c>
      <c r="G526" s="71" t="str">
        <f t="shared" si="16"/>
        <v/>
      </c>
      <c r="H526" s="59" t="str">
        <f t="shared" si="17"/>
        <v/>
      </c>
    </row>
    <row r="527" spans="3:8" ht="30" customHeight="1" x14ac:dyDescent="0.25">
      <c r="C527" s="42">
        <v>523</v>
      </c>
      <c r="D527" s="67" t="str">
        <f>IF('Prod 1'!D527="","",'Prod 1'!D527)</f>
        <v/>
      </c>
      <c r="E527" s="64"/>
      <c r="F527" s="89" t="str">
        <f>IF(D527="","",E527*'Prod 1'!E527)</f>
        <v/>
      </c>
      <c r="G527" s="71" t="str">
        <f t="shared" si="16"/>
        <v/>
      </c>
      <c r="H527" s="59" t="str">
        <f t="shared" si="17"/>
        <v/>
      </c>
    </row>
    <row r="528" spans="3:8" ht="30" customHeight="1" x14ac:dyDescent="0.25">
      <c r="C528" s="42">
        <v>524</v>
      </c>
      <c r="D528" s="67" t="str">
        <f>IF('Prod 1'!D528="","",'Prod 1'!D528)</f>
        <v/>
      </c>
      <c r="E528" s="64"/>
      <c r="F528" s="89" t="str">
        <f>IF(D528="","",E528*'Prod 1'!E528)</f>
        <v/>
      </c>
      <c r="G528" s="71" t="str">
        <f t="shared" si="16"/>
        <v/>
      </c>
      <c r="H528" s="59" t="str">
        <f t="shared" si="17"/>
        <v/>
      </c>
    </row>
    <row r="529" spans="3:8" ht="30" customHeight="1" x14ac:dyDescent="0.25">
      <c r="C529" s="42">
        <v>525</v>
      </c>
      <c r="D529" s="67" t="str">
        <f>IF('Prod 1'!D529="","",'Prod 1'!D529)</f>
        <v/>
      </c>
      <c r="E529" s="64"/>
      <c r="F529" s="89" t="str">
        <f>IF(D529="","",E529*'Prod 1'!E529)</f>
        <v/>
      </c>
      <c r="G529" s="71" t="str">
        <f t="shared" si="16"/>
        <v/>
      </c>
      <c r="H529" s="59" t="str">
        <f t="shared" si="17"/>
        <v/>
      </c>
    </row>
    <row r="530" spans="3:8" ht="30" customHeight="1" x14ac:dyDescent="0.25">
      <c r="C530" s="42">
        <v>526</v>
      </c>
      <c r="D530" s="67" t="str">
        <f>IF('Prod 1'!D530="","",'Prod 1'!D530)</f>
        <v/>
      </c>
      <c r="E530" s="64"/>
      <c r="F530" s="89" t="str">
        <f>IF(D530="","",E530*'Prod 1'!E530)</f>
        <v/>
      </c>
      <c r="G530" s="71" t="str">
        <f t="shared" si="16"/>
        <v/>
      </c>
      <c r="H530" s="59" t="str">
        <f t="shared" si="17"/>
        <v/>
      </c>
    </row>
    <row r="531" spans="3:8" ht="30" customHeight="1" x14ac:dyDescent="0.25">
      <c r="C531" s="42">
        <v>527</v>
      </c>
      <c r="D531" s="67" t="str">
        <f>IF('Prod 1'!D531="","",'Prod 1'!D531)</f>
        <v/>
      </c>
      <c r="E531" s="64"/>
      <c r="F531" s="89" t="str">
        <f>IF(D531="","",E531*'Prod 1'!E531)</f>
        <v/>
      </c>
      <c r="G531" s="71" t="str">
        <f t="shared" si="16"/>
        <v/>
      </c>
      <c r="H531" s="59" t="str">
        <f t="shared" si="17"/>
        <v/>
      </c>
    </row>
    <row r="532" spans="3:8" ht="30" customHeight="1" x14ac:dyDescent="0.25">
      <c r="C532" s="42">
        <v>528</v>
      </c>
      <c r="D532" s="67" t="str">
        <f>IF('Prod 1'!D532="","",'Prod 1'!D532)</f>
        <v/>
      </c>
      <c r="E532" s="64"/>
      <c r="F532" s="89" t="str">
        <f>IF(D532="","",E532*'Prod 1'!E532)</f>
        <v/>
      </c>
      <c r="G532" s="71" t="str">
        <f t="shared" si="16"/>
        <v/>
      </c>
      <c r="H532" s="59" t="str">
        <f t="shared" si="17"/>
        <v/>
      </c>
    </row>
    <row r="533" spans="3:8" ht="30" customHeight="1" x14ac:dyDescent="0.25">
      <c r="C533" s="42">
        <v>529</v>
      </c>
      <c r="D533" s="67" t="str">
        <f>IF('Prod 1'!D533="","",'Prod 1'!D533)</f>
        <v/>
      </c>
      <c r="E533" s="64"/>
      <c r="F533" s="89" t="str">
        <f>IF(D533="","",E533*'Prod 1'!E533)</f>
        <v/>
      </c>
      <c r="G533" s="71" t="str">
        <f t="shared" si="16"/>
        <v/>
      </c>
      <c r="H533" s="59" t="str">
        <f t="shared" si="17"/>
        <v/>
      </c>
    </row>
    <row r="534" spans="3:8" ht="30" customHeight="1" x14ac:dyDescent="0.25">
      <c r="C534" s="42">
        <v>530</v>
      </c>
      <c r="D534" s="67" t="str">
        <f>IF('Prod 1'!D534="","",'Prod 1'!D534)</f>
        <v/>
      </c>
      <c r="E534" s="64"/>
      <c r="F534" s="89" t="str">
        <f>IF(D534="","",E534*'Prod 1'!E534)</f>
        <v/>
      </c>
      <c r="G534" s="71" t="str">
        <f t="shared" si="16"/>
        <v/>
      </c>
      <c r="H534" s="59" t="str">
        <f t="shared" si="17"/>
        <v/>
      </c>
    </row>
    <row r="535" spans="3:8" ht="30" customHeight="1" x14ac:dyDescent="0.25">
      <c r="C535" s="42">
        <v>531</v>
      </c>
      <c r="D535" s="67" t="str">
        <f>IF('Prod 1'!D535="","",'Prod 1'!D535)</f>
        <v/>
      </c>
      <c r="E535" s="64"/>
      <c r="F535" s="89" t="str">
        <f>IF(D535="","",E535*'Prod 1'!E535)</f>
        <v/>
      </c>
      <c r="G535" s="71" t="str">
        <f t="shared" si="16"/>
        <v/>
      </c>
      <c r="H535" s="59" t="str">
        <f t="shared" si="17"/>
        <v/>
      </c>
    </row>
    <row r="536" spans="3:8" ht="30" customHeight="1" x14ac:dyDescent="0.25">
      <c r="C536" s="42">
        <v>532</v>
      </c>
      <c r="D536" s="67" t="str">
        <f>IF('Prod 1'!D536="","",'Prod 1'!D536)</f>
        <v/>
      </c>
      <c r="E536" s="64"/>
      <c r="F536" s="89" t="str">
        <f>IF(D536="","",E536*'Prod 1'!E536)</f>
        <v/>
      </c>
      <c r="G536" s="71" t="str">
        <f t="shared" si="16"/>
        <v/>
      </c>
      <c r="H536" s="59" t="str">
        <f t="shared" si="17"/>
        <v/>
      </c>
    </row>
    <row r="537" spans="3:8" ht="30" customHeight="1" x14ac:dyDescent="0.25">
      <c r="C537" s="42">
        <v>533</v>
      </c>
      <c r="D537" s="67" t="str">
        <f>IF('Prod 1'!D537="","",'Prod 1'!D537)</f>
        <v/>
      </c>
      <c r="E537" s="64"/>
      <c r="F537" s="89" t="str">
        <f>IF(D537="","",E537*'Prod 1'!E537)</f>
        <v/>
      </c>
      <c r="G537" s="71" t="str">
        <f t="shared" si="16"/>
        <v/>
      </c>
      <c r="H537" s="59" t="str">
        <f t="shared" si="17"/>
        <v/>
      </c>
    </row>
    <row r="538" spans="3:8" ht="30" customHeight="1" x14ac:dyDescent="0.25">
      <c r="C538" s="42">
        <v>534</v>
      </c>
      <c r="D538" s="67" t="str">
        <f>IF('Prod 1'!D538="","",'Prod 1'!D538)</f>
        <v/>
      </c>
      <c r="E538" s="64"/>
      <c r="F538" s="89" t="str">
        <f>IF(D538="","",E538*'Prod 1'!E538)</f>
        <v/>
      </c>
      <c r="G538" s="71" t="str">
        <f t="shared" si="16"/>
        <v/>
      </c>
      <c r="H538" s="59" t="str">
        <f t="shared" si="17"/>
        <v/>
      </c>
    </row>
    <row r="539" spans="3:8" ht="30" customHeight="1" x14ac:dyDescent="0.25">
      <c r="C539" s="42">
        <v>535</v>
      </c>
      <c r="D539" s="67" t="str">
        <f>IF('Prod 1'!D539="","",'Prod 1'!D539)</f>
        <v/>
      </c>
      <c r="E539" s="64"/>
      <c r="F539" s="89" t="str">
        <f>IF(D539="","",E539*'Prod 1'!E539)</f>
        <v/>
      </c>
      <c r="G539" s="71" t="str">
        <f t="shared" si="16"/>
        <v/>
      </c>
      <c r="H539" s="59" t="str">
        <f t="shared" si="17"/>
        <v/>
      </c>
    </row>
    <row r="540" spans="3:8" ht="30" customHeight="1" x14ac:dyDescent="0.25">
      <c r="C540" s="42">
        <v>536</v>
      </c>
      <c r="D540" s="67" t="str">
        <f>IF('Prod 1'!D540="","",'Prod 1'!D540)</f>
        <v/>
      </c>
      <c r="E540" s="64"/>
      <c r="F540" s="89" t="str">
        <f>IF(D540="","",E540*'Prod 1'!E540)</f>
        <v/>
      </c>
      <c r="G540" s="71" t="str">
        <f t="shared" si="16"/>
        <v/>
      </c>
      <c r="H540" s="59" t="str">
        <f t="shared" si="17"/>
        <v/>
      </c>
    </row>
    <row r="541" spans="3:8" ht="30" customHeight="1" x14ac:dyDescent="0.25">
      <c r="C541" s="42">
        <v>537</v>
      </c>
      <c r="D541" s="67" t="str">
        <f>IF('Prod 1'!D541="","",'Prod 1'!D541)</f>
        <v/>
      </c>
      <c r="E541" s="64"/>
      <c r="F541" s="89" t="str">
        <f>IF(D541="","",E541*'Prod 1'!E541)</f>
        <v/>
      </c>
      <c r="G541" s="71" t="str">
        <f t="shared" si="16"/>
        <v/>
      </c>
      <c r="H541" s="59" t="str">
        <f t="shared" si="17"/>
        <v/>
      </c>
    </row>
    <row r="542" spans="3:8" ht="30" customHeight="1" x14ac:dyDescent="0.25">
      <c r="C542" s="42">
        <v>538</v>
      </c>
      <c r="D542" s="67" t="str">
        <f>IF('Prod 1'!D542="","",'Prod 1'!D542)</f>
        <v/>
      </c>
      <c r="E542" s="64"/>
      <c r="F542" s="89" t="str">
        <f>IF(D542="","",E542*'Prod 1'!E542)</f>
        <v/>
      </c>
      <c r="G542" s="71" t="str">
        <f t="shared" si="16"/>
        <v/>
      </c>
      <c r="H542" s="59" t="str">
        <f t="shared" si="17"/>
        <v/>
      </c>
    </row>
    <row r="543" spans="3:8" ht="30" customHeight="1" x14ac:dyDescent="0.25">
      <c r="C543" s="42">
        <v>539</v>
      </c>
      <c r="D543" s="67" t="str">
        <f>IF('Prod 1'!D543="","",'Prod 1'!D543)</f>
        <v/>
      </c>
      <c r="E543" s="64"/>
      <c r="F543" s="89" t="str">
        <f>IF(D543="","",E543*'Prod 1'!E543)</f>
        <v/>
      </c>
      <c r="G543" s="71" t="str">
        <f t="shared" si="16"/>
        <v/>
      </c>
      <c r="H543" s="59" t="str">
        <f t="shared" si="17"/>
        <v/>
      </c>
    </row>
    <row r="544" spans="3:8" ht="30" customHeight="1" x14ac:dyDescent="0.25">
      <c r="C544" s="42">
        <v>540</v>
      </c>
      <c r="D544" s="67" t="str">
        <f>IF('Prod 1'!D544="","",'Prod 1'!D544)</f>
        <v/>
      </c>
      <c r="E544" s="64"/>
      <c r="F544" s="89" t="str">
        <f>IF(D544="","",E544*'Prod 1'!E544)</f>
        <v/>
      </c>
      <c r="G544" s="71" t="str">
        <f t="shared" si="16"/>
        <v/>
      </c>
      <c r="H544" s="59" t="str">
        <f t="shared" si="17"/>
        <v/>
      </c>
    </row>
    <row r="545" spans="3:8" ht="30" customHeight="1" x14ac:dyDescent="0.25">
      <c r="C545" s="42">
        <v>541</v>
      </c>
      <c r="D545" s="67" t="str">
        <f>IF('Prod 1'!D545="","",'Prod 1'!D545)</f>
        <v/>
      </c>
      <c r="E545" s="64"/>
      <c r="F545" s="89" t="str">
        <f>IF(D545="","",E545*'Prod 1'!E545)</f>
        <v/>
      </c>
      <c r="G545" s="71" t="str">
        <f t="shared" si="16"/>
        <v/>
      </c>
      <c r="H545" s="59" t="str">
        <f t="shared" si="17"/>
        <v/>
      </c>
    </row>
    <row r="546" spans="3:8" ht="30" customHeight="1" x14ac:dyDescent="0.25">
      <c r="C546" s="42">
        <v>542</v>
      </c>
      <c r="D546" s="67" t="str">
        <f>IF('Prod 1'!D546="","",'Prod 1'!D546)</f>
        <v/>
      </c>
      <c r="E546" s="64"/>
      <c r="F546" s="89" t="str">
        <f>IF(D546="","",E546*'Prod 1'!E546)</f>
        <v/>
      </c>
      <c r="G546" s="71" t="str">
        <f t="shared" si="16"/>
        <v/>
      </c>
      <c r="H546" s="59" t="str">
        <f t="shared" si="17"/>
        <v/>
      </c>
    </row>
    <row r="547" spans="3:8" ht="30" customHeight="1" x14ac:dyDescent="0.25">
      <c r="C547" s="42">
        <v>543</v>
      </c>
      <c r="D547" s="67" t="str">
        <f>IF('Prod 1'!D547="","",'Prod 1'!D547)</f>
        <v/>
      </c>
      <c r="E547" s="64"/>
      <c r="F547" s="89" t="str">
        <f>IF(D547="","",E547*'Prod 1'!E547)</f>
        <v/>
      </c>
      <c r="G547" s="71" t="str">
        <f t="shared" si="16"/>
        <v/>
      </c>
      <c r="H547" s="59" t="str">
        <f t="shared" si="17"/>
        <v/>
      </c>
    </row>
    <row r="548" spans="3:8" ht="30" customHeight="1" x14ac:dyDescent="0.25">
      <c r="C548" s="42">
        <v>544</v>
      </c>
      <c r="D548" s="67" t="str">
        <f>IF('Prod 1'!D548="","",'Prod 1'!D548)</f>
        <v/>
      </c>
      <c r="E548" s="64"/>
      <c r="F548" s="89" t="str">
        <f>IF(D548="","",E548*'Prod 1'!E548)</f>
        <v/>
      </c>
      <c r="G548" s="71" t="str">
        <f t="shared" si="16"/>
        <v/>
      </c>
      <c r="H548" s="59" t="str">
        <f t="shared" si="17"/>
        <v/>
      </c>
    </row>
    <row r="549" spans="3:8" ht="30" customHeight="1" x14ac:dyDescent="0.25">
      <c r="C549" s="42">
        <v>545</v>
      </c>
      <c r="D549" s="67" t="str">
        <f>IF('Prod 1'!D549="","",'Prod 1'!D549)</f>
        <v/>
      </c>
      <c r="E549" s="64"/>
      <c r="F549" s="89" t="str">
        <f>IF(D549="","",E549*'Prod 1'!E549)</f>
        <v/>
      </c>
      <c r="G549" s="71" t="str">
        <f t="shared" si="16"/>
        <v/>
      </c>
      <c r="H549" s="59" t="str">
        <f t="shared" si="17"/>
        <v/>
      </c>
    </row>
    <row r="550" spans="3:8" ht="30" customHeight="1" x14ac:dyDescent="0.25">
      <c r="C550" s="42">
        <v>546</v>
      </c>
      <c r="D550" s="67" t="str">
        <f>IF('Prod 1'!D550="","",'Prod 1'!D550)</f>
        <v/>
      </c>
      <c r="E550" s="64"/>
      <c r="F550" s="89" t="str">
        <f>IF(D550="","",E550*'Prod 1'!E550)</f>
        <v/>
      </c>
      <c r="G550" s="71" t="str">
        <f t="shared" si="16"/>
        <v/>
      </c>
      <c r="H550" s="59" t="str">
        <f t="shared" si="17"/>
        <v/>
      </c>
    </row>
    <row r="551" spans="3:8" ht="30" customHeight="1" x14ac:dyDescent="0.25">
      <c r="C551" s="42">
        <v>547</v>
      </c>
      <c r="D551" s="67" t="str">
        <f>IF('Prod 1'!D551="","",'Prod 1'!D551)</f>
        <v/>
      </c>
      <c r="E551" s="64"/>
      <c r="F551" s="89" t="str">
        <f>IF(D551="","",E551*'Prod 1'!E551)</f>
        <v/>
      </c>
      <c r="G551" s="71" t="str">
        <f t="shared" si="16"/>
        <v/>
      </c>
      <c r="H551" s="59" t="str">
        <f t="shared" si="17"/>
        <v/>
      </c>
    </row>
    <row r="552" spans="3:8" ht="30" customHeight="1" x14ac:dyDescent="0.25">
      <c r="C552" s="42">
        <v>548</v>
      </c>
      <c r="D552" s="67" t="str">
        <f>IF('Prod 1'!D552="","",'Prod 1'!D552)</f>
        <v/>
      </c>
      <c r="E552" s="64"/>
      <c r="F552" s="89" t="str">
        <f>IF(D552="","",E552*'Prod 1'!E552)</f>
        <v/>
      </c>
      <c r="G552" s="71" t="str">
        <f t="shared" si="16"/>
        <v/>
      </c>
      <c r="H552" s="59" t="str">
        <f t="shared" si="17"/>
        <v/>
      </c>
    </row>
    <row r="553" spans="3:8" ht="30" customHeight="1" x14ac:dyDescent="0.25">
      <c r="C553" s="42">
        <v>549</v>
      </c>
      <c r="D553" s="67" t="str">
        <f>IF('Prod 1'!D553="","",'Prod 1'!D553)</f>
        <v/>
      </c>
      <c r="E553" s="64"/>
      <c r="F553" s="89" t="str">
        <f>IF(D553="","",E553*'Prod 1'!E553)</f>
        <v/>
      </c>
      <c r="G553" s="71" t="str">
        <f t="shared" si="16"/>
        <v/>
      </c>
      <c r="H553" s="59" t="str">
        <f t="shared" si="17"/>
        <v/>
      </c>
    </row>
    <row r="554" spans="3:8" ht="30" customHeight="1" x14ac:dyDescent="0.25">
      <c r="C554" s="42">
        <v>550</v>
      </c>
      <c r="D554" s="67" t="str">
        <f>IF('Prod 1'!D554="","",'Prod 1'!D554)</f>
        <v/>
      </c>
      <c r="E554" s="64"/>
      <c r="F554" s="89" t="str">
        <f>IF(D554="","",E554*'Prod 1'!E554)</f>
        <v/>
      </c>
      <c r="G554" s="71" t="str">
        <f t="shared" si="16"/>
        <v/>
      </c>
      <c r="H554" s="59" t="str">
        <f t="shared" si="17"/>
        <v/>
      </c>
    </row>
    <row r="555" spans="3:8" ht="30" customHeight="1" x14ac:dyDescent="0.25">
      <c r="C555" s="42">
        <v>551</v>
      </c>
      <c r="D555" s="67" t="str">
        <f>IF('Prod 1'!D555="","",'Prod 1'!D555)</f>
        <v/>
      </c>
      <c r="E555" s="64"/>
      <c r="F555" s="89" t="str">
        <f>IF(D555="","",E555*'Prod 1'!E555)</f>
        <v/>
      </c>
      <c r="G555" s="71" t="str">
        <f t="shared" si="16"/>
        <v/>
      </c>
      <c r="H555" s="59" t="str">
        <f t="shared" si="17"/>
        <v/>
      </c>
    </row>
    <row r="556" spans="3:8" ht="30" customHeight="1" x14ac:dyDescent="0.25">
      <c r="C556" s="42">
        <v>552</v>
      </c>
      <c r="D556" s="67" t="str">
        <f>IF('Prod 1'!D556="","",'Prod 1'!D556)</f>
        <v/>
      </c>
      <c r="E556" s="64"/>
      <c r="F556" s="89" t="str">
        <f>IF(D556="","",E556*'Prod 1'!E556)</f>
        <v/>
      </c>
      <c r="G556" s="71" t="str">
        <f t="shared" si="16"/>
        <v/>
      </c>
      <c r="H556" s="59" t="str">
        <f t="shared" si="17"/>
        <v/>
      </c>
    </row>
    <row r="557" spans="3:8" ht="30" customHeight="1" x14ac:dyDescent="0.25">
      <c r="C557" s="42">
        <v>553</v>
      </c>
      <c r="D557" s="67" t="str">
        <f>IF('Prod 1'!D557="","",'Prod 1'!D557)</f>
        <v/>
      </c>
      <c r="E557" s="64"/>
      <c r="F557" s="89" t="str">
        <f>IF(D557="","",E557*'Prod 1'!E557)</f>
        <v/>
      </c>
      <c r="G557" s="71" t="str">
        <f t="shared" si="16"/>
        <v/>
      </c>
      <c r="H557" s="59" t="str">
        <f t="shared" si="17"/>
        <v/>
      </c>
    </row>
    <row r="558" spans="3:8" ht="30" customHeight="1" x14ac:dyDescent="0.25">
      <c r="C558" s="42">
        <v>554</v>
      </c>
      <c r="D558" s="67" t="str">
        <f>IF('Prod 1'!D558="","",'Prod 1'!D558)</f>
        <v/>
      </c>
      <c r="E558" s="64"/>
      <c r="F558" s="89" t="str">
        <f>IF(D558="","",E558*'Prod 1'!E558)</f>
        <v/>
      </c>
      <c r="G558" s="71" t="str">
        <f t="shared" si="16"/>
        <v/>
      </c>
      <c r="H558" s="59" t="str">
        <f t="shared" si="17"/>
        <v/>
      </c>
    </row>
    <row r="559" spans="3:8" ht="30" customHeight="1" x14ac:dyDescent="0.25">
      <c r="C559" s="42">
        <v>555</v>
      </c>
      <c r="D559" s="67" t="str">
        <f>IF('Prod 1'!D559="","",'Prod 1'!D559)</f>
        <v/>
      </c>
      <c r="E559" s="64"/>
      <c r="F559" s="89" t="str">
        <f>IF(D559="","",E559*'Prod 1'!E559)</f>
        <v/>
      </c>
      <c r="G559" s="71" t="str">
        <f t="shared" si="16"/>
        <v/>
      </c>
      <c r="H559" s="59" t="str">
        <f t="shared" si="17"/>
        <v/>
      </c>
    </row>
    <row r="560" spans="3:8" ht="30" customHeight="1" x14ac:dyDescent="0.25">
      <c r="C560" s="42">
        <v>556</v>
      </c>
      <c r="D560" s="67" t="str">
        <f>IF('Prod 1'!D560="","",'Prod 1'!D560)</f>
        <v/>
      </c>
      <c r="E560" s="64"/>
      <c r="F560" s="89" t="str">
        <f>IF(D560="","",E560*'Prod 1'!E560)</f>
        <v/>
      </c>
      <c r="G560" s="71" t="str">
        <f t="shared" si="16"/>
        <v/>
      </c>
      <c r="H560" s="59" t="str">
        <f t="shared" si="17"/>
        <v/>
      </c>
    </row>
    <row r="561" spans="3:8" ht="30" customHeight="1" x14ac:dyDescent="0.25">
      <c r="C561" s="42">
        <v>557</v>
      </c>
      <c r="D561" s="67" t="str">
        <f>IF('Prod 1'!D561="","",'Prod 1'!D561)</f>
        <v/>
      </c>
      <c r="E561" s="64"/>
      <c r="F561" s="89" t="str">
        <f>IF(D561="","",E561*'Prod 1'!E561)</f>
        <v/>
      </c>
      <c r="G561" s="71" t="str">
        <f t="shared" si="16"/>
        <v/>
      </c>
      <c r="H561" s="59" t="str">
        <f t="shared" si="17"/>
        <v/>
      </c>
    </row>
    <row r="562" spans="3:8" ht="30" customHeight="1" x14ac:dyDescent="0.25">
      <c r="C562" s="42">
        <v>558</v>
      </c>
      <c r="D562" s="67" t="str">
        <f>IF('Prod 1'!D562="","",'Prod 1'!D562)</f>
        <v/>
      </c>
      <c r="E562" s="64"/>
      <c r="F562" s="89" t="str">
        <f>IF(D562="","",E562*'Prod 1'!E562)</f>
        <v/>
      </c>
      <c r="G562" s="71" t="str">
        <f t="shared" si="16"/>
        <v/>
      </c>
      <c r="H562" s="59" t="str">
        <f t="shared" si="17"/>
        <v/>
      </c>
    </row>
    <row r="563" spans="3:8" ht="30" customHeight="1" x14ac:dyDescent="0.25">
      <c r="C563" s="42">
        <v>559</v>
      </c>
      <c r="D563" s="67" t="str">
        <f>IF('Prod 1'!D563="","",'Prod 1'!D563)</f>
        <v/>
      </c>
      <c r="E563" s="64"/>
      <c r="F563" s="89" t="str">
        <f>IF(D563="","",E563*'Prod 1'!E563)</f>
        <v/>
      </c>
      <c r="G563" s="71" t="str">
        <f t="shared" si="16"/>
        <v/>
      </c>
      <c r="H563" s="59" t="str">
        <f t="shared" si="17"/>
        <v/>
      </c>
    </row>
    <row r="564" spans="3:8" ht="30" customHeight="1" x14ac:dyDescent="0.25">
      <c r="C564" s="42">
        <v>560</v>
      </c>
      <c r="D564" s="67" t="str">
        <f>IF('Prod 1'!D564="","",'Prod 1'!D564)</f>
        <v/>
      </c>
      <c r="E564" s="64"/>
      <c r="F564" s="89" t="str">
        <f>IF(D564="","",E564*'Prod 1'!E564)</f>
        <v/>
      </c>
      <c r="G564" s="71" t="str">
        <f t="shared" si="16"/>
        <v/>
      </c>
      <c r="H564" s="59" t="str">
        <f t="shared" si="17"/>
        <v/>
      </c>
    </row>
    <row r="565" spans="3:8" ht="30" customHeight="1" x14ac:dyDescent="0.25">
      <c r="C565" s="42">
        <v>561</v>
      </c>
      <c r="D565" s="67" t="str">
        <f>IF('Prod 1'!D565="","",'Prod 1'!D565)</f>
        <v/>
      </c>
      <c r="E565" s="64"/>
      <c r="F565" s="89" t="str">
        <f>IF(D565="","",E565*'Prod 1'!E565)</f>
        <v/>
      </c>
      <c r="G565" s="71" t="str">
        <f t="shared" si="16"/>
        <v/>
      </c>
      <c r="H565" s="59" t="str">
        <f t="shared" si="17"/>
        <v/>
      </c>
    </row>
    <row r="566" spans="3:8" ht="30" customHeight="1" x14ac:dyDescent="0.25">
      <c r="C566" s="42">
        <v>562</v>
      </c>
      <c r="D566" s="67" t="str">
        <f>IF('Prod 1'!D566="","",'Prod 1'!D566)</f>
        <v/>
      </c>
      <c r="E566" s="64"/>
      <c r="F566" s="89" t="str">
        <f>IF(D566="","",E566*'Prod 1'!E566)</f>
        <v/>
      </c>
      <c r="G566" s="71" t="str">
        <f t="shared" si="16"/>
        <v/>
      </c>
      <c r="H566" s="59" t="str">
        <f t="shared" si="17"/>
        <v/>
      </c>
    </row>
    <row r="567" spans="3:8" ht="30" customHeight="1" x14ac:dyDescent="0.25">
      <c r="C567" s="42">
        <v>563</v>
      </c>
      <c r="D567" s="67" t="str">
        <f>IF('Prod 1'!D567="","",'Prod 1'!D567)</f>
        <v/>
      </c>
      <c r="E567" s="64"/>
      <c r="F567" s="89" t="str">
        <f>IF(D567="","",E567*'Prod 1'!E567)</f>
        <v/>
      </c>
      <c r="G567" s="71" t="str">
        <f t="shared" si="16"/>
        <v/>
      </c>
      <c r="H567" s="59" t="str">
        <f t="shared" si="17"/>
        <v/>
      </c>
    </row>
    <row r="568" spans="3:8" ht="30" customHeight="1" x14ac:dyDescent="0.25">
      <c r="C568" s="42">
        <v>564</v>
      </c>
      <c r="D568" s="67" t="str">
        <f>IF('Prod 1'!D568="","",'Prod 1'!D568)</f>
        <v/>
      </c>
      <c r="E568" s="64"/>
      <c r="F568" s="89" t="str">
        <f>IF(D568="","",E568*'Prod 1'!E568)</f>
        <v/>
      </c>
      <c r="G568" s="71" t="str">
        <f t="shared" si="16"/>
        <v/>
      </c>
      <c r="H568" s="59" t="str">
        <f t="shared" si="17"/>
        <v/>
      </c>
    </row>
    <row r="569" spans="3:8" ht="30" customHeight="1" x14ac:dyDescent="0.25">
      <c r="C569" s="42">
        <v>565</v>
      </c>
      <c r="D569" s="67" t="str">
        <f>IF('Prod 1'!D569="","",'Prod 1'!D569)</f>
        <v/>
      </c>
      <c r="E569" s="64"/>
      <c r="F569" s="89" t="str">
        <f>IF(D569="","",E569*'Prod 1'!E569)</f>
        <v/>
      </c>
      <c r="G569" s="71" t="str">
        <f t="shared" si="16"/>
        <v/>
      </c>
      <c r="H569" s="59" t="str">
        <f t="shared" si="17"/>
        <v/>
      </c>
    </row>
    <row r="570" spans="3:8" ht="30" customHeight="1" x14ac:dyDescent="0.25">
      <c r="C570" s="42">
        <v>566</v>
      </c>
      <c r="D570" s="67" t="str">
        <f>IF('Prod 1'!D570="","",'Prod 1'!D570)</f>
        <v/>
      </c>
      <c r="E570" s="64"/>
      <c r="F570" s="89" t="str">
        <f>IF(D570="","",E570*'Prod 1'!E570)</f>
        <v/>
      </c>
      <c r="G570" s="71" t="str">
        <f t="shared" si="16"/>
        <v/>
      </c>
      <c r="H570" s="59" t="str">
        <f t="shared" si="17"/>
        <v/>
      </c>
    </row>
    <row r="571" spans="3:8" ht="30" customHeight="1" x14ac:dyDescent="0.25">
      <c r="C571" s="42">
        <v>567</v>
      </c>
      <c r="D571" s="67" t="str">
        <f>IF('Prod 1'!D571="","",'Prod 1'!D571)</f>
        <v/>
      </c>
      <c r="E571" s="64"/>
      <c r="F571" s="89" t="str">
        <f>IF(D571="","",E571*'Prod 1'!E571)</f>
        <v/>
      </c>
      <c r="G571" s="71" t="str">
        <f t="shared" si="16"/>
        <v/>
      </c>
      <c r="H571" s="59" t="str">
        <f t="shared" si="17"/>
        <v/>
      </c>
    </row>
    <row r="572" spans="3:8" ht="30" customHeight="1" x14ac:dyDescent="0.25">
      <c r="C572" s="42">
        <v>568</v>
      </c>
      <c r="D572" s="67" t="str">
        <f>IF('Prod 1'!D572="","",'Prod 1'!D572)</f>
        <v/>
      </c>
      <c r="E572" s="64"/>
      <c r="F572" s="89" t="str">
        <f>IF(D572="","",E572*'Prod 1'!E572)</f>
        <v/>
      </c>
      <c r="G572" s="71" t="str">
        <f t="shared" si="16"/>
        <v/>
      </c>
      <c r="H572" s="59" t="str">
        <f t="shared" si="17"/>
        <v/>
      </c>
    </row>
    <row r="573" spans="3:8" ht="30" customHeight="1" x14ac:dyDescent="0.25">
      <c r="C573" s="42">
        <v>569</v>
      </c>
      <c r="D573" s="67" t="str">
        <f>IF('Prod 1'!D573="","",'Prod 1'!D573)</f>
        <v/>
      </c>
      <c r="E573" s="64"/>
      <c r="F573" s="89" t="str">
        <f>IF(D573="","",E573*'Prod 1'!E573)</f>
        <v/>
      </c>
      <c r="G573" s="71" t="str">
        <f t="shared" si="16"/>
        <v/>
      </c>
      <c r="H573" s="59" t="str">
        <f t="shared" si="17"/>
        <v/>
      </c>
    </row>
    <row r="574" spans="3:8" ht="30" customHeight="1" x14ac:dyDescent="0.25">
      <c r="C574" s="42">
        <v>570</v>
      </c>
      <c r="D574" s="67" t="str">
        <f>IF('Prod 1'!D574="","",'Prod 1'!D574)</f>
        <v/>
      </c>
      <c r="E574" s="64"/>
      <c r="F574" s="89" t="str">
        <f>IF(D574="","",E574*'Prod 1'!E574)</f>
        <v/>
      </c>
      <c r="G574" s="71" t="str">
        <f t="shared" si="16"/>
        <v/>
      </c>
      <c r="H574" s="59" t="str">
        <f t="shared" si="17"/>
        <v/>
      </c>
    </row>
    <row r="575" spans="3:8" ht="30" customHeight="1" x14ac:dyDescent="0.25">
      <c r="C575" s="42">
        <v>571</v>
      </c>
      <c r="D575" s="67" t="str">
        <f>IF('Prod 1'!D575="","",'Prod 1'!D575)</f>
        <v/>
      </c>
      <c r="E575" s="64"/>
      <c r="F575" s="89" t="str">
        <f>IF(D575="","",E575*'Prod 1'!E575)</f>
        <v/>
      </c>
      <c r="G575" s="71" t="str">
        <f t="shared" si="16"/>
        <v/>
      </c>
      <c r="H575" s="59" t="str">
        <f t="shared" si="17"/>
        <v/>
      </c>
    </row>
    <row r="576" spans="3:8" ht="30" customHeight="1" x14ac:dyDescent="0.25">
      <c r="C576" s="42">
        <v>572</v>
      </c>
      <c r="D576" s="67" t="str">
        <f>IF('Prod 1'!D576="","",'Prod 1'!D576)</f>
        <v/>
      </c>
      <c r="E576" s="64"/>
      <c r="F576" s="89" t="str">
        <f>IF(D576="","",E576*'Prod 1'!E576)</f>
        <v/>
      </c>
      <c r="G576" s="71" t="str">
        <f t="shared" si="16"/>
        <v/>
      </c>
      <c r="H576" s="59" t="str">
        <f t="shared" si="17"/>
        <v/>
      </c>
    </row>
    <row r="577" spans="3:8" ht="30" customHeight="1" x14ac:dyDescent="0.25">
      <c r="C577" s="42">
        <v>573</v>
      </c>
      <c r="D577" s="67" t="str">
        <f>IF('Prod 1'!D577="","",'Prod 1'!D577)</f>
        <v/>
      </c>
      <c r="E577" s="64"/>
      <c r="F577" s="89" t="str">
        <f>IF(D577="","",E577*'Prod 1'!E577)</f>
        <v/>
      </c>
      <c r="G577" s="71" t="str">
        <f t="shared" si="16"/>
        <v/>
      </c>
      <c r="H577" s="59" t="str">
        <f t="shared" si="17"/>
        <v/>
      </c>
    </row>
    <row r="578" spans="3:8" ht="30" customHeight="1" x14ac:dyDescent="0.25">
      <c r="C578" s="42">
        <v>574</v>
      </c>
      <c r="D578" s="67" t="str">
        <f>IF('Prod 1'!D578="","",'Prod 1'!D578)</f>
        <v/>
      </c>
      <c r="E578" s="64"/>
      <c r="F578" s="89" t="str">
        <f>IF(D578="","",E578*'Prod 1'!E578)</f>
        <v/>
      </c>
      <c r="G578" s="71" t="str">
        <f t="shared" si="16"/>
        <v/>
      </c>
      <c r="H578" s="59" t="str">
        <f t="shared" si="17"/>
        <v/>
      </c>
    </row>
    <row r="579" spans="3:8" ht="30" customHeight="1" x14ac:dyDescent="0.25">
      <c r="C579" s="42">
        <v>575</v>
      </c>
      <c r="D579" s="67" t="str">
        <f>IF('Prod 1'!D579="","",'Prod 1'!D579)</f>
        <v/>
      </c>
      <c r="E579" s="64"/>
      <c r="F579" s="89" t="str">
        <f>IF(D579="","",E579*'Prod 1'!E579)</f>
        <v/>
      </c>
      <c r="G579" s="71" t="str">
        <f t="shared" si="16"/>
        <v/>
      </c>
      <c r="H579" s="59" t="str">
        <f t="shared" si="17"/>
        <v/>
      </c>
    </row>
    <row r="580" spans="3:8" ht="30" customHeight="1" x14ac:dyDescent="0.25">
      <c r="C580" s="42">
        <v>576</v>
      </c>
      <c r="D580" s="67" t="str">
        <f>IF('Prod 1'!D580="","",'Prod 1'!D580)</f>
        <v/>
      </c>
      <c r="E580" s="64"/>
      <c r="F580" s="89" t="str">
        <f>IF(D580="","",E580*'Prod 1'!E580)</f>
        <v/>
      </c>
      <c r="G580" s="71" t="str">
        <f t="shared" si="16"/>
        <v/>
      </c>
      <c r="H580" s="59" t="str">
        <f t="shared" si="17"/>
        <v/>
      </c>
    </row>
    <row r="581" spans="3:8" ht="30" customHeight="1" x14ac:dyDescent="0.25">
      <c r="C581" s="42">
        <v>577</v>
      </c>
      <c r="D581" s="67" t="str">
        <f>IF('Prod 1'!D581="","",'Prod 1'!D581)</f>
        <v/>
      </c>
      <c r="E581" s="64"/>
      <c r="F581" s="89" t="str">
        <f>IF(D581="","",E581*'Prod 1'!E581)</f>
        <v/>
      </c>
      <c r="G581" s="71" t="str">
        <f t="shared" ref="G581:G644" si="18">IF(D581="","",IFERROR(F581/$H$3,0))</f>
        <v/>
      </c>
      <c r="H581" s="59" t="str">
        <f t="shared" ref="H581:H644" si="19">F581</f>
        <v/>
      </c>
    </row>
    <row r="582" spans="3:8" ht="30" customHeight="1" x14ac:dyDescent="0.25">
      <c r="C582" s="42">
        <v>578</v>
      </c>
      <c r="D582" s="67" t="str">
        <f>IF('Prod 1'!D582="","",'Prod 1'!D582)</f>
        <v/>
      </c>
      <c r="E582" s="64"/>
      <c r="F582" s="89" t="str">
        <f>IF(D582="","",E582*'Prod 1'!E582)</f>
        <v/>
      </c>
      <c r="G582" s="71" t="str">
        <f t="shared" si="18"/>
        <v/>
      </c>
      <c r="H582" s="59" t="str">
        <f t="shared" si="19"/>
        <v/>
      </c>
    </row>
    <row r="583" spans="3:8" ht="30" customHeight="1" x14ac:dyDescent="0.25">
      <c r="C583" s="42">
        <v>579</v>
      </c>
      <c r="D583" s="67" t="str">
        <f>IF('Prod 1'!D583="","",'Prod 1'!D583)</f>
        <v/>
      </c>
      <c r="E583" s="64"/>
      <c r="F583" s="89" t="str">
        <f>IF(D583="","",E583*'Prod 1'!E583)</f>
        <v/>
      </c>
      <c r="G583" s="71" t="str">
        <f t="shared" si="18"/>
        <v/>
      </c>
      <c r="H583" s="59" t="str">
        <f t="shared" si="19"/>
        <v/>
      </c>
    </row>
    <row r="584" spans="3:8" ht="30" customHeight="1" x14ac:dyDescent="0.25">
      <c r="C584" s="42">
        <v>580</v>
      </c>
      <c r="D584" s="67" t="str">
        <f>IF('Prod 1'!D584="","",'Prod 1'!D584)</f>
        <v/>
      </c>
      <c r="E584" s="64"/>
      <c r="F584" s="89" t="str">
        <f>IF(D584="","",E584*'Prod 1'!E584)</f>
        <v/>
      </c>
      <c r="G584" s="71" t="str">
        <f t="shared" si="18"/>
        <v/>
      </c>
      <c r="H584" s="59" t="str">
        <f t="shared" si="19"/>
        <v/>
      </c>
    </row>
    <row r="585" spans="3:8" ht="30" customHeight="1" x14ac:dyDescent="0.25">
      <c r="C585" s="42">
        <v>581</v>
      </c>
      <c r="D585" s="67" t="str">
        <f>IF('Prod 1'!D585="","",'Prod 1'!D585)</f>
        <v/>
      </c>
      <c r="E585" s="64"/>
      <c r="F585" s="89" t="str">
        <f>IF(D585="","",E585*'Prod 1'!E585)</f>
        <v/>
      </c>
      <c r="G585" s="71" t="str">
        <f t="shared" si="18"/>
        <v/>
      </c>
      <c r="H585" s="59" t="str">
        <f t="shared" si="19"/>
        <v/>
      </c>
    </row>
    <row r="586" spans="3:8" ht="30" customHeight="1" x14ac:dyDescent="0.25">
      <c r="C586" s="42">
        <v>582</v>
      </c>
      <c r="D586" s="67" t="str">
        <f>IF('Prod 1'!D586="","",'Prod 1'!D586)</f>
        <v/>
      </c>
      <c r="E586" s="64"/>
      <c r="F586" s="89" t="str">
        <f>IF(D586="","",E586*'Prod 1'!E586)</f>
        <v/>
      </c>
      <c r="G586" s="71" t="str">
        <f t="shared" si="18"/>
        <v/>
      </c>
      <c r="H586" s="59" t="str">
        <f t="shared" si="19"/>
        <v/>
      </c>
    </row>
    <row r="587" spans="3:8" ht="30" customHeight="1" x14ac:dyDescent="0.25">
      <c r="C587" s="42">
        <v>583</v>
      </c>
      <c r="D587" s="67" t="str">
        <f>IF('Prod 1'!D587="","",'Prod 1'!D587)</f>
        <v/>
      </c>
      <c r="E587" s="64"/>
      <c r="F587" s="89" t="str">
        <f>IF(D587="","",E587*'Prod 1'!E587)</f>
        <v/>
      </c>
      <c r="G587" s="71" t="str">
        <f t="shared" si="18"/>
        <v/>
      </c>
      <c r="H587" s="59" t="str">
        <f t="shared" si="19"/>
        <v/>
      </c>
    </row>
    <row r="588" spans="3:8" ht="30" customHeight="1" x14ac:dyDescent="0.25">
      <c r="C588" s="42">
        <v>584</v>
      </c>
      <c r="D588" s="67" t="str">
        <f>IF('Prod 1'!D588="","",'Prod 1'!D588)</f>
        <v/>
      </c>
      <c r="E588" s="64"/>
      <c r="F588" s="89" t="str">
        <f>IF(D588="","",E588*'Prod 1'!E588)</f>
        <v/>
      </c>
      <c r="G588" s="71" t="str">
        <f t="shared" si="18"/>
        <v/>
      </c>
      <c r="H588" s="59" t="str">
        <f t="shared" si="19"/>
        <v/>
      </c>
    </row>
    <row r="589" spans="3:8" ht="30" customHeight="1" x14ac:dyDescent="0.25">
      <c r="C589" s="42">
        <v>585</v>
      </c>
      <c r="D589" s="67" t="str">
        <f>IF('Prod 1'!D589="","",'Prod 1'!D589)</f>
        <v/>
      </c>
      <c r="E589" s="64"/>
      <c r="F589" s="89" t="str">
        <f>IF(D589="","",E589*'Prod 1'!E589)</f>
        <v/>
      </c>
      <c r="G589" s="71" t="str">
        <f t="shared" si="18"/>
        <v/>
      </c>
      <c r="H589" s="59" t="str">
        <f t="shared" si="19"/>
        <v/>
      </c>
    </row>
    <row r="590" spans="3:8" ht="30" customHeight="1" x14ac:dyDescent="0.25">
      <c r="C590" s="42">
        <v>586</v>
      </c>
      <c r="D590" s="67" t="str">
        <f>IF('Prod 1'!D590="","",'Prod 1'!D590)</f>
        <v/>
      </c>
      <c r="E590" s="64"/>
      <c r="F590" s="89" t="str">
        <f>IF(D590="","",E590*'Prod 1'!E590)</f>
        <v/>
      </c>
      <c r="G590" s="71" t="str">
        <f t="shared" si="18"/>
        <v/>
      </c>
      <c r="H590" s="59" t="str">
        <f t="shared" si="19"/>
        <v/>
      </c>
    </row>
    <row r="591" spans="3:8" ht="30" customHeight="1" x14ac:dyDescent="0.25">
      <c r="C591" s="42">
        <v>587</v>
      </c>
      <c r="D591" s="67" t="str">
        <f>IF('Prod 1'!D591="","",'Prod 1'!D591)</f>
        <v/>
      </c>
      <c r="E591" s="64"/>
      <c r="F591" s="89" t="str">
        <f>IF(D591="","",E591*'Prod 1'!E591)</f>
        <v/>
      </c>
      <c r="G591" s="71" t="str">
        <f t="shared" si="18"/>
        <v/>
      </c>
      <c r="H591" s="59" t="str">
        <f t="shared" si="19"/>
        <v/>
      </c>
    </row>
    <row r="592" spans="3:8" ht="30" customHeight="1" x14ac:dyDescent="0.25">
      <c r="C592" s="42">
        <v>588</v>
      </c>
      <c r="D592" s="67" t="str">
        <f>IF('Prod 1'!D592="","",'Prod 1'!D592)</f>
        <v/>
      </c>
      <c r="E592" s="64"/>
      <c r="F592" s="89" t="str">
        <f>IF(D592="","",E592*'Prod 1'!E592)</f>
        <v/>
      </c>
      <c r="G592" s="71" t="str">
        <f t="shared" si="18"/>
        <v/>
      </c>
      <c r="H592" s="59" t="str">
        <f t="shared" si="19"/>
        <v/>
      </c>
    </row>
    <row r="593" spans="3:8" ht="30" customHeight="1" x14ac:dyDescent="0.25">
      <c r="C593" s="42">
        <v>589</v>
      </c>
      <c r="D593" s="67" t="str">
        <f>IF('Prod 1'!D593="","",'Prod 1'!D593)</f>
        <v/>
      </c>
      <c r="E593" s="64"/>
      <c r="F593" s="89" t="str">
        <f>IF(D593="","",E593*'Prod 1'!E593)</f>
        <v/>
      </c>
      <c r="G593" s="71" t="str">
        <f t="shared" si="18"/>
        <v/>
      </c>
      <c r="H593" s="59" t="str">
        <f t="shared" si="19"/>
        <v/>
      </c>
    </row>
    <row r="594" spans="3:8" ht="30" customHeight="1" x14ac:dyDescent="0.25">
      <c r="C594" s="42">
        <v>590</v>
      </c>
      <c r="D594" s="67" t="str">
        <f>IF('Prod 1'!D594="","",'Prod 1'!D594)</f>
        <v/>
      </c>
      <c r="E594" s="64"/>
      <c r="F594" s="89" t="str">
        <f>IF(D594="","",E594*'Prod 1'!E594)</f>
        <v/>
      </c>
      <c r="G594" s="71" t="str">
        <f t="shared" si="18"/>
        <v/>
      </c>
      <c r="H594" s="59" t="str">
        <f t="shared" si="19"/>
        <v/>
      </c>
    </row>
    <row r="595" spans="3:8" ht="30" customHeight="1" x14ac:dyDescent="0.25">
      <c r="C595" s="42">
        <v>591</v>
      </c>
      <c r="D595" s="67" t="str">
        <f>IF('Prod 1'!D595="","",'Prod 1'!D595)</f>
        <v/>
      </c>
      <c r="E595" s="64"/>
      <c r="F595" s="89" t="str">
        <f>IF(D595="","",E595*'Prod 1'!E595)</f>
        <v/>
      </c>
      <c r="G595" s="71" t="str">
        <f t="shared" si="18"/>
        <v/>
      </c>
      <c r="H595" s="59" t="str">
        <f t="shared" si="19"/>
        <v/>
      </c>
    </row>
    <row r="596" spans="3:8" ht="30" customHeight="1" x14ac:dyDescent="0.25">
      <c r="C596" s="42">
        <v>592</v>
      </c>
      <c r="D596" s="67" t="str">
        <f>IF('Prod 1'!D596="","",'Prod 1'!D596)</f>
        <v/>
      </c>
      <c r="E596" s="64"/>
      <c r="F596" s="89" t="str">
        <f>IF(D596="","",E596*'Prod 1'!E596)</f>
        <v/>
      </c>
      <c r="G596" s="71" t="str">
        <f t="shared" si="18"/>
        <v/>
      </c>
      <c r="H596" s="59" t="str">
        <f t="shared" si="19"/>
        <v/>
      </c>
    </row>
    <row r="597" spans="3:8" ht="30" customHeight="1" x14ac:dyDescent="0.25">
      <c r="C597" s="42">
        <v>593</v>
      </c>
      <c r="D597" s="67" t="str">
        <f>IF('Prod 1'!D597="","",'Prod 1'!D597)</f>
        <v/>
      </c>
      <c r="E597" s="64"/>
      <c r="F597" s="89" t="str">
        <f>IF(D597="","",E597*'Prod 1'!E597)</f>
        <v/>
      </c>
      <c r="G597" s="71" t="str">
        <f t="shared" si="18"/>
        <v/>
      </c>
      <c r="H597" s="59" t="str">
        <f t="shared" si="19"/>
        <v/>
      </c>
    </row>
    <row r="598" spans="3:8" ht="30" customHeight="1" x14ac:dyDescent="0.25">
      <c r="C598" s="42">
        <v>594</v>
      </c>
      <c r="D598" s="67" t="str">
        <f>IF('Prod 1'!D598="","",'Prod 1'!D598)</f>
        <v/>
      </c>
      <c r="E598" s="64"/>
      <c r="F598" s="89" t="str">
        <f>IF(D598="","",E598*'Prod 1'!E598)</f>
        <v/>
      </c>
      <c r="G598" s="71" t="str">
        <f t="shared" si="18"/>
        <v/>
      </c>
      <c r="H598" s="59" t="str">
        <f t="shared" si="19"/>
        <v/>
      </c>
    </row>
    <row r="599" spans="3:8" ht="30" customHeight="1" x14ac:dyDescent="0.25">
      <c r="C599" s="42">
        <v>595</v>
      </c>
      <c r="D599" s="67" t="str">
        <f>IF('Prod 1'!D599="","",'Prod 1'!D599)</f>
        <v/>
      </c>
      <c r="E599" s="64"/>
      <c r="F599" s="89" t="str">
        <f>IF(D599="","",E599*'Prod 1'!E599)</f>
        <v/>
      </c>
      <c r="G599" s="71" t="str">
        <f t="shared" si="18"/>
        <v/>
      </c>
      <c r="H599" s="59" t="str">
        <f t="shared" si="19"/>
        <v/>
      </c>
    </row>
    <row r="600" spans="3:8" ht="30" customHeight="1" x14ac:dyDescent="0.25">
      <c r="C600" s="42">
        <v>596</v>
      </c>
      <c r="D600" s="67" t="str">
        <f>IF('Prod 1'!D600="","",'Prod 1'!D600)</f>
        <v/>
      </c>
      <c r="E600" s="64"/>
      <c r="F600" s="89" t="str">
        <f>IF(D600="","",E600*'Prod 1'!E600)</f>
        <v/>
      </c>
      <c r="G600" s="71" t="str">
        <f t="shared" si="18"/>
        <v/>
      </c>
      <c r="H600" s="59" t="str">
        <f t="shared" si="19"/>
        <v/>
      </c>
    </row>
    <row r="601" spans="3:8" ht="30" customHeight="1" x14ac:dyDescent="0.25">
      <c r="C601" s="42">
        <v>597</v>
      </c>
      <c r="D601" s="67" t="str">
        <f>IF('Prod 1'!D601="","",'Prod 1'!D601)</f>
        <v/>
      </c>
      <c r="E601" s="64"/>
      <c r="F601" s="89" t="str">
        <f>IF(D601="","",E601*'Prod 1'!E601)</f>
        <v/>
      </c>
      <c r="G601" s="71" t="str">
        <f t="shared" si="18"/>
        <v/>
      </c>
      <c r="H601" s="59" t="str">
        <f t="shared" si="19"/>
        <v/>
      </c>
    </row>
    <row r="602" spans="3:8" ht="30" customHeight="1" x14ac:dyDescent="0.25">
      <c r="C602" s="42">
        <v>598</v>
      </c>
      <c r="D602" s="67" t="str">
        <f>IF('Prod 1'!D602="","",'Prod 1'!D602)</f>
        <v/>
      </c>
      <c r="E602" s="64"/>
      <c r="F602" s="89" t="str">
        <f>IF(D602="","",E602*'Prod 1'!E602)</f>
        <v/>
      </c>
      <c r="G602" s="71" t="str">
        <f t="shared" si="18"/>
        <v/>
      </c>
      <c r="H602" s="59" t="str">
        <f t="shared" si="19"/>
        <v/>
      </c>
    </row>
    <row r="603" spans="3:8" ht="30" customHeight="1" x14ac:dyDescent="0.25">
      <c r="C603" s="42">
        <v>599</v>
      </c>
      <c r="D603" s="67" t="str">
        <f>IF('Prod 1'!D603="","",'Prod 1'!D603)</f>
        <v/>
      </c>
      <c r="E603" s="64"/>
      <c r="F603" s="89" t="str">
        <f>IF(D603="","",E603*'Prod 1'!E603)</f>
        <v/>
      </c>
      <c r="G603" s="71" t="str">
        <f t="shared" si="18"/>
        <v/>
      </c>
      <c r="H603" s="59" t="str">
        <f t="shared" si="19"/>
        <v/>
      </c>
    </row>
    <row r="604" spans="3:8" ht="30" customHeight="1" x14ac:dyDescent="0.25">
      <c r="C604" s="42">
        <v>600</v>
      </c>
      <c r="D604" s="67" t="str">
        <f>IF('Prod 1'!D604="","",'Prod 1'!D604)</f>
        <v/>
      </c>
      <c r="E604" s="64"/>
      <c r="F604" s="89" t="str">
        <f>IF(D604="","",E604*'Prod 1'!E604)</f>
        <v/>
      </c>
      <c r="G604" s="71" t="str">
        <f t="shared" si="18"/>
        <v/>
      </c>
      <c r="H604" s="59" t="str">
        <f t="shared" si="19"/>
        <v/>
      </c>
    </row>
    <row r="605" spans="3:8" ht="30" customHeight="1" x14ac:dyDescent="0.25">
      <c r="C605" s="42">
        <v>601</v>
      </c>
      <c r="D605" s="67" t="str">
        <f>IF('Prod 1'!D605="","",'Prod 1'!D605)</f>
        <v/>
      </c>
      <c r="E605" s="64"/>
      <c r="F605" s="89" t="str">
        <f>IF(D605="","",E605*'Prod 1'!E605)</f>
        <v/>
      </c>
      <c r="G605" s="71" t="str">
        <f t="shared" si="18"/>
        <v/>
      </c>
      <c r="H605" s="59" t="str">
        <f t="shared" si="19"/>
        <v/>
      </c>
    </row>
    <row r="606" spans="3:8" ht="30" customHeight="1" x14ac:dyDescent="0.25">
      <c r="C606" s="42">
        <v>602</v>
      </c>
      <c r="D606" s="67" t="str">
        <f>IF('Prod 1'!D606="","",'Prod 1'!D606)</f>
        <v/>
      </c>
      <c r="E606" s="64"/>
      <c r="F606" s="89" t="str">
        <f>IF(D606="","",E606*'Prod 1'!E606)</f>
        <v/>
      </c>
      <c r="G606" s="71" t="str">
        <f t="shared" si="18"/>
        <v/>
      </c>
      <c r="H606" s="59" t="str">
        <f t="shared" si="19"/>
        <v/>
      </c>
    </row>
    <row r="607" spans="3:8" ht="30" customHeight="1" x14ac:dyDescent="0.25">
      <c r="C607" s="42">
        <v>603</v>
      </c>
      <c r="D607" s="67" t="str">
        <f>IF('Prod 1'!D607="","",'Prod 1'!D607)</f>
        <v/>
      </c>
      <c r="E607" s="64"/>
      <c r="F607" s="89" t="str">
        <f>IF(D607="","",E607*'Prod 1'!E607)</f>
        <v/>
      </c>
      <c r="G607" s="71" t="str">
        <f t="shared" si="18"/>
        <v/>
      </c>
      <c r="H607" s="59" t="str">
        <f t="shared" si="19"/>
        <v/>
      </c>
    </row>
    <row r="608" spans="3:8" ht="30" customHeight="1" x14ac:dyDescent="0.25">
      <c r="C608" s="42">
        <v>604</v>
      </c>
      <c r="D608" s="67" t="str">
        <f>IF('Prod 1'!D608="","",'Prod 1'!D608)</f>
        <v/>
      </c>
      <c r="E608" s="64"/>
      <c r="F608" s="89" t="str">
        <f>IF(D608="","",E608*'Prod 1'!E608)</f>
        <v/>
      </c>
      <c r="G608" s="71" t="str">
        <f t="shared" si="18"/>
        <v/>
      </c>
      <c r="H608" s="59" t="str">
        <f t="shared" si="19"/>
        <v/>
      </c>
    </row>
    <row r="609" spans="3:8" ht="30" customHeight="1" x14ac:dyDescent="0.25">
      <c r="C609" s="42">
        <v>605</v>
      </c>
      <c r="D609" s="67" t="str">
        <f>IF('Prod 1'!D609="","",'Prod 1'!D609)</f>
        <v/>
      </c>
      <c r="E609" s="64"/>
      <c r="F609" s="89" t="str">
        <f>IF(D609="","",E609*'Prod 1'!E609)</f>
        <v/>
      </c>
      <c r="G609" s="71" t="str">
        <f t="shared" si="18"/>
        <v/>
      </c>
      <c r="H609" s="59" t="str">
        <f t="shared" si="19"/>
        <v/>
      </c>
    </row>
    <row r="610" spans="3:8" ht="30" customHeight="1" x14ac:dyDescent="0.25">
      <c r="C610" s="42">
        <v>606</v>
      </c>
      <c r="D610" s="67" t="str">
        <f>IF('Prod 1'!D610="","",'Prod 1'!D610)</f>
        <v/>
      </c>
      <c r="E610" s="64"/>
      <c r="F610" s="89" t="str">
        <f>IF(D610="","",E610*'Prod 1'!E610)</f>
        <v/>
      </c>
      <c r="G610" s="71" t="str">
        <f t="shared" si="18"/>
        <v/>
      </c>
      <c r="H610" s="59" t="str">
        <f t="shared" si="19"/>
        <v/>
      </c>
    </row>
    <row r="611" spans="3:8" ht="30" customHeight="1" x14ac:dyDescent="0.25">
      <c r="C611" s="42">
        <v>607</v>
      </c>
      <c r="D611" s="67" t="str">
        <f>IF('Prod 1'!D611="","",'Prod 1'!D611)</f>
        <v/>
      </c>
      <c r="E611" s="64"/>
      <c r="F611" s="89" t="str">
        <f>IF(D611="","",E611*'Prod 1'!E611)</f>
        <v/>
      </c>
      <c r="G611" s="71" t="str">
        <f t="shared" si="18"/>
        <v/>
      </c>
      <c r="H611" s="59" t="str">
        <f t="shared" si="19"/>
        <v/>
      </c>
    </row>
    <row r="612" spans="3:8" ht="30" customHeight="1" x14ac:dyDescent="0.25">
      <c r="C612" s="42">
        <v>608</v>
      </c>
      <c r="D612" s="67" t="str">
        <f>IF('Prod 1'!D612="","",'Prod 1'!D612)</f>
        <v/>
      </c>
      <c r="E612" s="64"/>
      <c r="F612" s="89" t="str">
        <f>IF(D612="","",E612*'Prod 1'!E612)</f>
        <v/>
      </c>
      <c r="G612" s="71" t="str">
        <f t="shared" si="18"/>
        <v/>
      </c>
      <c r="H612" s="59" t="str">
        <f t="shared" si="19"/>
        <v/>
      </c>
    </row>
    <row r="613" spans="3:8" ht="30" customHeight="1" x14ac:dyDescent="0.25">
      <c r="C613" s="42">
        <v>609</v>
      </c>
      <c r="D613" s="67" t="str">
        <f>IF('Prod 1'!D613="","",'Prod 1'!D613)</f>
        <v/>
      </c>
      <c r="E613" s="64"/>
      <c r="F613" s="89" t="str">
        <f>IF(D613="","",E613*'Prod 1'!E613)</f>
        <v/>
      </c>
      <c r="G613" s="71" t="str">
        <f t="shared" si="18"/>
        <v/>
      </c>
      <c r="H613" s="59" t="str">
        <f t="shared" si="19"/>
        <v/>
      </c>
    </row>
    <row r="614" spans="3:8" ht="30" customHeight="1" x14ac:dyDescent="0.25">
      <c r="C614" s="42">
        <v>610</v>
      </c>
      <c r="D614" s="67" t="str">
        <f>IF('Prod 1'!D614="","",'Prod 1'!D614)</f>
        <v/>
      </c>
      <c r="E614" s="64"/>
      <c r="F614" s="89" t="str">
        <f>IF(D614="","",E614*'Prod 1'!E614)</f>
        <v/>
      </c>
      <c r="G614" s="71" t="str">
        <f t="shared" si="18"/>
        <v/>
      </c>
      <c r="H614" s="59" t="str">
        <f t="shared" si="19"/>
        <v/>
      </c>
    </row>
    <row r="615" spans="3:8" ht="30" customHeight="1" x14ac:dyDescent="0.25">
      <c r="C615" s="42">
        <v>611</v>
      </c>
      <c r="D615" s="67" t="str">
        <f>IF('Prod 1'!D615="","",'Prod 1'!D615)</f>
        <v/>
      </c>
      <c r="E615" s="64"/>
      <c r="F615" s="89" t="str">
        <f>IF(D615="","",E615*'Prod 1'!E615)</f>
        <v/>
      </c>
      <c r="G615" s="71" t="str">
        <f t="shared" si="18"/>
        <v/>
      </c>
      <c r="H615" s="59" t="str">
        <f t="shared" si="19"/>
        <v/>
      </c>
    </row>
    <row r="616" spans="3:8" ht="30" customHeight="1" x14ac:dyDescent="0.25">
      <c r="C616" s="42">
        <v>612</v>
      </c>
      <c r="D616" s="67" t="str">
        <f>IF('Prod 1'!D616="","",'Prod 1'!D616)</f>
        <v/>
      </c>
      <c r="E616" s="64"/>
      <c r="F616" s="89" t="str">
        <f>IF(D616="","",E616*'Prod 1'!E616)</f>
        <v/>
      </c>
      <c r="G616" s="71" t="str">
        <f t="shared" si="18"/>
        <v/>
      </c>
      <c r="H616" s="59" t="str">
        <f t="shared" si="19"/>
        <v/>
      </c>
    </row>
    <row r="617" spans="3:8" ht="30" customHeight="1" x14ac:dyDescent="0.25">
      <c r="C617" s="42">
        <v>613</v>
      </c>
      <c r="D617" s="67" t="str">
        <f>IF('Prod 1'!D617="","",'Prod 1'!D617)</f>
        <v/>
      </c>
      <c r="E617" s="64"/>
      <c r="F617" s="89" t="str">
        <f>IF(D617="","",E617*'Prod 1'!E617)</f>
        <v/>
      </c>
      <c r="G617" s="71" t="str">
        <f t="shared" si="18"/>
        <v/>
      </c>
      <c r="H617" s="59" t="str">
        <f t="shared" si="19"/>
        <v/>
      </c>
    </row>
    <row r="618" spans="3:8" ht="30" customHeight="1" x14ac:dyDescent="0.25">
      <c r="C618" s="42">
        <v>614</v>
      </c>
      <c r="D618" s="67" t="str">
        <f>IF('Prod 1'!D618="","",'Prod 1'!D618)</f>
        <v/>
      </c>
      <c r="E618" s="64"/>
      <c r="F618" s="89" t="str">
        <f>IF(D618="","",E618*'Prod 1'!E618)</f>
        <v/>
      </c>
      <c r="G618" s="71" t="str">
        <f t="shared" si="18"/>
        <v/>
      </c>
      <c r="H618" s="59" t="str">
        <f t="shared" si="19"/>
        <v/>
      </c>
    </row>
    <row r="619" spans="3:8" ht="30" customHeight="1" x14ac:dyDescent="0.25">
      <c r="C619" s="42">
        <v>615</v>
      </c>
      <c r="D619" s="67" t="str">
        <f>IF('Prod 1'!D619="","",'Prod 1'!D619)</f>
        <v/>
      </c>
      <c r="E619" s="64"/>
      <c r="F619" s="89" t="str">
        <f>IF(D619="","",E619*'Prod 1'!E619)</f>
        <v/>
      </c>
      <c r="G619" s="71" t="str">
        <f t="shared" si="18"/>
        <v/>
      </c>
      <c r="H619" s="59" t="str">
        <f t="shared" si="19"/>
        <v/>
      </c>
    </row>
    <row r="620" spans="3:8" ht="30" customHeight="1" x14ac:dyDescent="0.25">
      <c r="C620" s="42">
        <v>616</v>
      </c>
      <c r="D620" s="67" t="str">
        <f>IF('Prod 1'!D620="","",'Prod 1'!D620)</f>
        <v/>
      </c>
      <c r="E620" s="64"/>
      <c r="F620" s="89" t="str">
        <f>IF(D620="","",E620*'Prod 1'!E620)</f>
        <v/>
      </c>
      <c r="G620" s="71" t="str">
        <f t="shared" si="18"/>
        <v/>
      </c>
      <c r="H620" s="59" t="str">
        <f t="shared" si="19"/>
        <v/>
      </c>
    </row>
    <row r="621" spans="3:8" ht="30" customHeight="1" x14ac:dyDescent="0.25">
      <c r="C621" s="42">
        <v>617</v>
      </c>
      <c r="D621" s="67" t="str">
        <f>IF('Prod 1'!D621="","",'Prod 1'!D621)</f>
        <v/>
      </c>
      <c r="E621" s="64"/>
      <c r="F621" s="89" t="str">
        <f>IF(D621="","",E621*'Prod 1'!E621)</f>
        <v/>
      </c>
      <c r="G621" s="71" t="str">
        <f t="shared" si="18"/>
        <v/>
      </c>
      <c r="H621" s="59" t="str">
        <f t="shared" si="19"/>
        <v/>
      </c>
    </row>
    <row r="622" spans="3:8" ht="30" customHeight="1" x14ac:dyDescent="0.25">
      <c r="C622" s="42">
        <v>618</v>
      </c>
      <c r="D622" s="67" t="str">
        <f>IF('Prod 1'!D622="","",'Prod 1'!D622)</f>
        <v/>
      </c>
      <c r="E622" s="64"/>
      <c r="F622" s="89" t="str">
        <f>IF(D622="","",E622*'Prod 1'!E622)</f>
        <v/>
      </c>
      <c r="G622" s="71" t="str">
        <f t="shared" si="18"/>
        <v/>
      </c>
      <c r="H622" s="59" t="str">
        <f t="shared" si="19"/>
        <v/>
      </c>
    </row>
    <row r="623" spans="3:8" ht="30" customHeight="1" x14ac:dyDescent="0.25">
      <c r="C623" s="42">
        <v>619</v>
      </c>
      <c r="D623" s="67" t="str">
        <f>IF('Prod 1'!D623="","",'Prod 1'!D623)</f>
        <v/>
      </c>
      <c r="E623" s="64"/>
      <c r="F623" s="89" t="str">
        <f>IF(D623="","",E623*'Prod 1'!E623)</f>
        <v/>
      </c>
      <c r="G623" s="71" t="str">
        <f t="shared" si="18"/>
        <v/>
      </c>
      <c r="H623" s="59" t="str">
        <f t="shared" si="19"/>
        <v/>
      </c>
    </row>
    <row r="624" spans="3:8" ht="30" customHeight="1" x14ac:dyDescent="0.25">
      <c r="C624" s="42">
        <v>620</v>
      </c>
      <c r="D624" s="67" t="str">
        <f>IF('Prod 1'!D624="","",'Prod 1'!D624)</f>
        <v/>
      </c>
      <c r="E624" s="64"/>
      <c r="F624" s="89" t="str">
        <f>IF(D624="","",E624*'Prod 1'!E624)</f>
        <v/>
      </c>
      <c r="G624" s="71" t="str">
        <f t="shared" si="18"/>
        <v/>
      </c>
      <c r="H624" s="59" t="str">
        <f t="shared" si="19"/>
        <v/>
      </c>
    </row>
    <row r="625" spans="3:8" ht="30" customHeight="1" x14ac:dyDescent="0.25">
      <c r="C625" s="42">
        <v>621</v>
      </c>
      <c r="D625" s="67" t="str">
        <f>IF('Prod 1'!D625="","",'Prod 1'!D625)</f>
        <v/>
      </c>
      <c r="E625" s="64"/>
      <c r="F625" s="89" t="str">
        <f>IF(D625="","",E625*'Prod 1'!E625)</f>
        <v/>
      </c>
      <c r="G625" s="71" t="str">
        <f t="shared" si="18"/>
        <v/>
      </c>
      <c r="H625" s="59" t="str">
        <f t="shared" si="19"/>
        <v/>
      </c>
    </row>
    <row r="626" spans="3:8" ht="30" customHeight="1" x14ac:dyDescent="0.25">
      <c r="C626" s="42">
        <v>622</v>
      </c>
      <c r="D626" s="67" t="str">
        <f>IF('Prod 1'!D626="","",'Prod 1'!D626)</f>
        <v/>
      </c>
      <c r="E626" s="64"/>
      <c r="F626" s="89" t="str">
        <f>IF(D626="","",E626*'Prod 1'!E626)</f>
        <v/>
      </c>
      <c r="G626" s="71" t="str">
        <f t="shared" si="18"/>
        <v/>
      </c>
      <c r="H626" s="59" t="str">
        <f t="shared" si="19"/>
        <v/>
      </c>
    </row>
    <row r="627" spans="3:8" ht="30" customHeight="1" x14ac:dyDescent="0.25">
      <c r="C627" s="42">
        <v>623</v>
      </c>
      <c r="D627" s="67" t="str">
        <f>IF('Prod 1'!D627="","",'Prod 1'!D627)</f>
        <v/>
      </c>
      <c r="E627" s="64"/>
      <c r="F627" s="89" t="str">
        <f>IF(D627="","",E627*'Prod 1'!E627)</f>
        <v/>
      </c>
      <c r="G627" s="71" t="str">
        <f t="shared" si="18"/>
        <v/>
      </c>
      <c r="H627" s="59" t="str">
        <f t="shared" si="19"/>
        <v/>
      </c>
    </row>
    <row r="628" spans="3:8" ht="30" customHeight="1" x14ac:dyDescent="0.25">
      <c r="C628" s="42">
        <v>624</v>
      </c>
      <c r="D628" s="67" t="str">
        <f>IF('Prod 1'!D628="","",'Prod 1'!D628)</f>
        <v/>
      </c>
      <c r="E628" s="64"/>
      <c r="F628" s="89" t="str">
        <f>IF(D628="","",E628*'Prod 1'!E628)</f>
        <v/>
      </c>
      <c r="G628" s="71" t="str">
        <f t="shared" si="18"/>
        <v/>
      </c>
      <c r="H628" s="59" t="str">
        <f t="shared" si="19"/>
        <v/>
      </c>
    </row>
    <row r="629" spans="3:8" ht="30" customHeight="1" x14ac:dyDescent="0.25">
      <c r="C629" s="42">
        <v>625</v>
      </c>
      <c r="D629" s="67" t="str">
        <f>IF('Prod 1'!D629="","",'Prod 1'!D629)</f>
        <v/>
      </c>
      <c r="E629" s="64"/>
      <c r="F629" s="89" t="str">
        <f>IF(D629="","",E629*'Prod 1'!E629)</f>
        <v/>
      </c>
      <c r="G629" s="71" t="str">
        <f t="shared" si="18"/>
        <v/>
      </c>
      <c r="H629" s="59" t="str">
        <f t="shared" si="19"/>
        <v/>
      </c>
    </row>
    <row r="630" spans="3:8" ht="30" customHeight="1" x14ac:dyDescent="0.25">
      <c r="C630" s="42">
        <v>626</v>
      </c>
      <c r="D630" s="67" t="str">
        <f>IF('Prod 1'!D630="","",'Prod 1'!D630)</f>
        <v/>
      </c>
      <c r="E630" s="64"/>
      <c r="F630" s="89" t="str">
        <f>IF(D630="","",E630*'Prod 1'!E630)</f>
        <v/>
      </c>
      <c r="G630" s="71" t="str">
        <f t="shared" si="18"/>
        <v/>
      </c>
      <c r="H630" s="59" t="str">
        <f t="shared" si="19"/>
        <v/>
      </c>
    </row>
    <row r="631" spans="3:8" ht="30" customHeight="1" x14ac:dyDescent="0.25">
      <c r="C631" s="42">
        <v>627</v>
      </c>
      <c r="D631" s="67" t="str">
        <f>IF('Prod 1'!D631="","",'Prod 1'!D631)</f>
        <v/>
      </c>
      <c r="E631" s="64"/>
      <c r="F631" s="89" t="str">
        <f>IF(D631="","",E631*'Prod 1'!E631)</f>
        <v/>
      </c>
      <c r="G631" s="71" t="str">
        <f t="shared" si="18"/>
        <v/>
      </c>
      <c r="H631" s="59" t="str">
        <f t="shared" si="19"/>
        <v/>
      </c>
    </row>
    <row r="632" spans="3:8" ht="30" customHeight="1" x14ac:dyDescent="0.25">
      <c r="C632" s="42">
        <v>628</v>
      </c>
      <c r="D632" s="67" t="str">
        <f>IF('Prod 1'!D632="","",'Prod 1'!D632)</f>
        <v/>
      </c>
      <c r="E632" s="64"/>
      <c r="F632" s="89" t="str">
        <f>IF(D632="","",E632*'Prod 1'!E632)</f>
        <v/>
      </c>
      <c r="G632" s="71" t="str">
        <f t="shared" si="18"/>
        <v/>
      </c>
      <c r="H632" s="59" t="str">
        <f t="shared" si="19"/>
        <v/>
      </c>
    </row>
    <row r="633" spans="3:8" ht="30" customHeight="1" x14ac:dyDescent="0.25">
      <c r="C633" s="42">
        <v>629</v>
      </c>
      <c r="D633" s="67" t="str">
        <f>IF('Prod 1'!D633="","",'Prod 1'!D633)</f>
        <v/>
      </c>
      <c r="E633" s="64"/>
      <c r="F633" s="89" t="str">
        <f>IF(D633="","",E633*'Prod 1'!E633)</f>
        <v/>
      </c>
      <c r="G633" s="71" t="str">
        <f t="shared" si="18"/>
        <v/>
      </c>
      <c r="H633" s="59" t="str">
        <f t="shared" si="19"/>
        <v/>
      </c>
    </row>
    <row r="634" spans="3:8" ht="30" customHeight="1" x14ac:dyDescent="0.25">
      <c r="C634" s="42">
        <v>630</v>
      </c>
      <c r="D634" s="67" t="str">
        <f>IF('Prod 1'!D634="","",'Prod 1'!D634)</f>
        <v/>
      </c>
      <c r="E634" s="64"/>
      <c r="F634" s="89" t="str">
        <f>IF(D634="","",E634*'Prod 1'!E634)</f>
        <v/>
      </c>
      <c r="G634" s="71" t="str">
        <f t="shared" si="18"/>
        <v/>
      </c>
      <c r="H634" s="59" t="str">
        <f t="shared" si="19"/>
        <v/>
      </c>
    </row>
    <row r="635" spans="3:8" ht="30" customHeight="1" x14ac:dyDescent="0.25">
      <c r="C635" s="42">
        <v>631</v>
      </c>
      <c r="D635" s="67" t="str">
        <f>IF('Prod 1'!D635="","",'Prod 1'!D635)</f>
        <v/>
      </c>
      <c r="E635" s="64"/>
      <c r="F635" s="89" t="str">
        <f>IF(D635="","",E635*'Prod 1'!E635)</f>
        <v/>
      </c>
      <c r="G635" s="71" t="str">
        <f t="shared" si="18"/>
        <v/>
      </c>
      <c r="H635" s="59" t="str">
        <f t="shared" si="19"/>
        <v/>
      </c>
    </row>
    <row r="636" spans="3:8" ht="30" customHeight="1" x14ac:dyDescent="0.25">
      <c r="C636" s="42">
        <v>632</v>
      </c>
      <c r="D636" s="67" t="str">
        <f>IF('Prod 1'!D636="","",'Prod 1'!D636)</f>
        <v/>
      </c>
      <c r="E636" s="64"/>
      <c r="F636" s="89" t="str">
        <f>IF(D636="","",E636*'Prod 1'!E636)</f>
        <v/>
      </c>
      <c r="G636" s="71" t="str">
        <f t="shared" si="18"/>
        <v/>
      </c>
      <c r="H636" s="59" t="str">
        <f t="shared" si="19"/>
        <v/>
      </c>
    </row>
    <row r="637" spans="3:8" ht="30" customHeight="1" x14ac:dyDescent="0.25">
      <c r="C637" s="42">
        <v>633</v>
      </c>
      <c r="D637" s="67" t="str">
        <f>IF('Prod 1'!D637="","",'Prod 1'!D637)</f>
        <v/>
      </c>
      <c r="E637" s="64"/>
      <c r="F637" s="89" t="str">
        <f>IF(D637="","",E637*'Prod 1'!E637)</f>
        <v/>
      </c>
      <c r="G637" s="71" t="str">
        <f t="shared" si="18"/>
        <v/>
      </c>
      <c r="H637" s="59" t="str">
        <f t="shared" si="19"/>
        <v/>
      </c>
    </row>
    <row r="638" spans="3:8" ht="30" customHeight="1" x14ac:dyDescent="0.25">
      <c r="C638" s="42">
        <v>634</v>
      </c>
      <c r="D638" s="67" t="str">
        <f>IF('Prod 1'!D638="","",'Prod 1'!D638)</f>
        <v/>
      </c>
      <c r="E638" s="64"/>
      <c r="F638" s="89" t="str">
        <f>IF(D638="","",E638*'Prod 1'!E638)</f>
        <v/>
      </c>
      <c r="G638" s="71" t="str">
        <f t="shared" si="18"/>
        <v/>
      </c>
      <c r="H638" s="59" t="str">
        <f t="shared" si="19"/>
        <v/>
      </c>
    </row>
    <row r="639" spans="3:8" ht="30" customHeight="1" x14ac:dyDescent="0.25">
      <c r="C639" s="42">
        <v>635</v>
      </c>
      <c r="D639" s="67" t="str">
        <f>IF('Prod 1'!D639="","",'Prod 1'!D639)</f>
        <v/>
      </c>
      <c r="E639" s="64"/>
      <c r="F639" s="89" t="str">
        <f>IF(D639="","",E639*'Prod 1'!E639)</f>
        <v/>
      </c>
      <c r="G639" s="71" t="str">
        <f t="shared" si="18"/>
        <v/>
      </c>
      <c r="H639" s="59" t="str">
        <f t="shared" si="19"/>
        <v/>
      </c>
    </row>
    <row r="640" spans="3:8" ht="30" customHeight="1" x14ac:dyDescent="0.25">
      <c r="C640" s="42">
        <v>636</v>
      </c>
      <c r="D640" s="67" t="str">
        <f>IF('Prod 1'!D640="","",'Prod 1'!D640)</f>
        <v/>
      </c>
      <c r="E640" s="64"/>
      <c r="F640" s="89" t="str">
        <f>IF(D640="","",E640*'Prod 1'!E640)</f>
        <v/>
      </c>
      <c r="G640" s="71" t="str">
        <f t="shared" si="18"/>
        <v/>
      </c>
      <c r="H640" s="59" t="str">
        <f t="shared" si="19"/>
        <v/>
      </c>
    </row>
    <row r="641" spans="3:8" ht="30" customHeight="1" x14ac:dyDescent="0.25">
      <c r="C641" s="42">
        <v>637</v>
      </c>
      <c r="D641" s="67" t="str">
        <f>IF('Prod 1'!D641="","",'Prod 1'!D641)</f>
        <v/>
      </c>
      <c r="E641" s="64"/>
      <c r="F641" s="89" t="str">
        <f>IF(D641="","",E641*'Prod 1'!E641)</f>
        <v/>
      </c>
      <c r="G641" s="71" t="str">
        <f t="shared" si="18"/>
        <v/>
      </c>
      <c r="H641" s="59" t="str">
        <f t="shared" si="19"/>
        <v/>
      </c>
    </row>
    <row r="642" spans="3:8" ht="30" customHeight="1" x14ac:dyDescent="0.25">
      <c r="C642" s="42">
        <v>638</v>
      </c>
      <c r="D642" s="67" t="str">
        <f>IF('Prod 1'!D642="","",'Prod 1'!D642)</f>
        <v/>
      </c>
      <c r="E642" s="64"/>
      <c r="F642" s="89" t="str">
        <f>IF(D642="","",E642*'Prod 1'!E642)</f>
        <v/>
      </c>
      <c r="G642" s="71" t="str">
        <f t="shared" si="18"/>
        <v/>
      </c>
      <c r="H642" s="59" t="str">
        <f t="shared" si="19"/>
        <v/>
      </c>
    </row>
    <row r="643" spans="3:8" ht="30" customHeight="1" x14ac:dyDescent="0.25">
      <c r="C643" s="42">
        <v>639</v>
      </c>
      <c r="D643" s="67" t="str">
        <f>IF('Prod 1'!D643="","",'Prod 1'!D643)</f>
        <v/>
      </c>
      <c r="E643" s="64"/>
      <c r="F643" s="89" t="str">
        <f>IF(D643="","",E643*'Prod 1'!E643)</f>
        <v/>
      </c>
      <c r="G643" s="71" t="str">
        <f t="shared" si="18"/>
        <v/>
      </c>
      <c r="H643" s="59" t="str">
        <f t="shared" si="19"/>
        <v/>
      </c>
    </row>
    <row r="644" spans="3:8" ht="30" customHeight="1" x14ac:dyDescent="0.25">
      <c r="C644" s="42">
        <v>640</v>
      </c>
      <c r="D644" s="67" t="str">
        <f>IF('Prod 1'!D644="","",'Prod 1'!D644)</f>
        <v/>
      </c>
      <c r="E644" s="64"/>
      <c r="F644" s="89" t="str">
        <f>IF(D644="","",E644*'Prod 1'!E644)</f>
        <v/>
      </c>
      <c r="G644" s="71" t="str">
        <f t="shared" si="18"/>
        <v/>
      </c>
      <c r="H644" s="59" t="str">
        <f t="shared" si="19"/>
        <v/>
      </c>
    </row>
    <row r="645" spans="3:8" ht="30" customHeight="1" x14ac:dyDescent="0.25">
      <c r="C645" s="42">
        <v>641</v>
      </c>
      <c r="D645" s="67" t="str">
        <f>IF('Prod 1'!D645="","",'Prod 1'!D645)</f>
        <v/>
      </c>
      <c r="E645" s="64"/>
      <c r="F645" s="89" t="str">
        <f>IF(D645="","",E645*'Prod 1'!E645)</f>
        <v/>
      </c>
      <c r="G645" s="71" t="str">
        <f t="shared" ref="G645:G708" si="20">IF(D645="","",IFERROR(F645/$H$3,0))</f>
        <v/>
      </c>
      <c r="H645" s="59" t="str">
        <f t="shared" ref="H645:H708" si="21">F645</f>
        <v/>
      </c>
    </row>
    <row r="646" spans="3:8" ht="30" customHeight="1" x14ac:dyDescent="0.25">
      <c r="C646" s="42">
        <v>642</v>
      </c>
      <c r="D646" s="67" t="str">
        <f>IF('Prod 1'!D646="","",'Prod 1'!D646)</f>
        <v/>
      </c>
      <c r="E646" s="64"/>
      <c r="F646" s="89" t="str">
        <f>IF(D646="","",E646*'Prod 1'!E646)</f>
        <v/>
      </c>
      <c r="G646" s="71" t="str">
        <f t="shared" si="20"/>
        <v/>
      </c>
      <c r="H646" s="59" t="str">
        <f t="shared" si="21"/>
        <v/>
      </c>
    </row>
    <row r="647" spans="3:8" ht="30" customHeight="1" x14ac:dyDescent="0.25">
      <c r="C647" s="42">
        <v>643</v>
      </c>
      <c r="D647" s="67" t="str">
        <f>IF('Prod 1'!D647="","",'Prod 1'!D647)</f>
        <v/>
      </c>
      <c r="E647" s="64"/>
      <c r="F647" s="89" t="str">
        <f>IF(D647="","",E647*'Prod 1'!E647)</f>
        <v/>
      </c>
      <c r="G647" s="71" t="str">
        <f t="shared" si="20"/>
        <v/>
      </c>
      <c r="H647" s="59" t="str">
        <f t="shared" si="21"/>
        <v/>
      </c>
    </row>
    <row r="648" spans="3:8" ht="30" customHeight="1" x14ac:dyDescent="0.25">
      <c r="C648" s="42">
        <v>644</v>
      </c>
      <c r="D648" s="67" t="str">
        <f>IF('Prod 1'!D648="","",'Prod 1'!D648)</f>
        <v/>
      </c>
      <c r="E648" s="64"/>
      <c r="F648" s="89" t="str">
        <f>IF(D648="","",E648*'Prod 1'!E648)</f>
        <v/>
      </c>
      <c r="G648" s="71" t="str">
        <f t="shared" si="20"/>
        <v/>
      </c>
      <c r="H648" s="59" t="str">
        <f t="shared" si="21"/>
        <v/>
      </c>
    </row>
    <row r="649" spans="3:8" ht="30" customHeight="1" x14ac:dyDescent="0.25">
      <c r="C649" s="42">
        <v>645</v>
      </c>
      <c r="D649" s="67" t="str">
        <f>IF('Prod 1'!D649="","",'Prod 1'!D649)</f>
        <v/>
      </c>
      <c r="E649" s="64"/>
      <c r="F649" s="89" t="str">
        <f>IF(D649="","",E649*'Prod 1'!E649)</f>
        <v/>
      </c>
      <c r="G649" s="71" t="str">
        <f t="shared" si="20"/>
        <v/>
      </c>
      <c r="H649" s="59" t="str">
        <f t="shared" si="21"/>
        <v/>
      </c>
    </row>
    <row r="650" spans="3:8" ht="30" customHeight="1" x14ac:dyDescent="0.25">
      <c r="C650" s="42">
        <v>646</v>
      </c>
      <c r="D650" s="67" t="str">
        <f>IF('Prod 1'!D650="","",'Prod 1'!D650)</f>
        <v/>
      </c>
      <c r="E650" s="64"/>
      <c r="F650" s="89" t="str">
        <f>IF(D650="","",E650*'Prod 1'!E650)</f>
        <v/>
      </c>
      <c r="G650" s="71" t="str">
        <f t="shared" si="20"/>
        <v/>
      </c>
      <c r="H650" s="59" t="str">
        <f t="shared" si="21"/>
        <v/>
      </c>
    </row>
    <row r="651" spans="3:8" ht="30" customHeight="1" x14ac:dyDescent="0.25">
      <c r="C651" s="42">
        <v>647</v>
      </c>
      <c r="D651" s="67" t="str">
        <f>IF('Prod 1'!D651="","",'Prod 1'!D651)</f>
        <v/>
      </c>
      <c r="E651" s="64"/>
      <c r="F651" s="89" t="str">
        <f>IF(D651="","",E651*'Prod 1'!E651)</f>
        <v/>
      </c>
      <c r="G651" s="71" t="str">
        <f t="shared" si="20"/>
        <v/>
      </c>
      <c r="H651" s="59" t="str">
        <f t="shared" si="21"/>
        <v/>
      </c>
    </row>
    <row r="652" spans="3:8" ht="30" customHeight="1" x14ac:dyDescent="0.25">
      <c r="C652" s="42">
        <v>648</v>
      </c>
      <c r="D652" s="67" t="str">
        <f>IF('Prod 1'!D652="","",'Prod 1'!D652)</f>
        <v/>
      </c>
      <c r="E652" s="64"/>
      <c r="F652" s="89" t="str">
        <f>IF(D652="","",E652*'Prod 1'!E652)</f>
        <v/>
      </c>
      <c r="G652" s="71" t="str">
        <f t="shared" si="20"/>
        <v/>
      </c>
      <c r="H652" s="59" t="str">
        <f t="shared" si="21"/>
        <v/>
      </c>
    </row>
    <row r="653" spans="3:8" ht="30" customHeight="1" x14ac:dyDescent="0.25">
      <c r="C653" s="42">
        <v>649</v>
      </c>
      <c r="D653" s="67" t="str">
        <f>IF('Prod 1'!D653="","",'Prod 1'!D653)</f>
        <v/>
      </c>
      <c r="E653" s="64"/>
      <c r="F653" s="89" t="str">
        <f>IF(D653="","",E653*'Prod 1'!E653)</f>
        <v/>
      </c>
      <c r="G653" s="71" t="str">
        <f t="shared" si="20"/>
        <v/>
      </c>
      <c r="H653" s="59" t="str">
        <f t="shared" si="21"/>
        <v/>
      </c>
    </row>
    <row r="654" spans="3:8" ht="30" customHeight="1" x14ac:dyDescent="0.25">
      <c r="C654" s="42">
        <v>650</v>
      </c>
      <c r="D654" s="67" t="str">
        <f>IF('Prod 1'!D654="","",'Prod 1'!D654)</f>
        <v/>
      </c>
      <c r="E654" s="64"/>
      <c r="F654" s="89" t="str">
        <f>IF(D654="","",E654*'Prod 1'!E654)</f>
        <v/>
      </c>
      <c r="G654" s="71" t="str">
        <f t="shared" si="20"/>
        <v/>
      </c>
      <c r="H654" s="59" t="str">
        <f t="shared" si="21"/>
        <v/>
      </c>
    </row>
    <row r="655" spans="3:8" ht="30" customHeight="1" x14ac:dyDescent="0.25">
      <c r="C655" s="42">
        <v>651</v>
      </c>
      <c r="D655" s="67" t="str">
        <f>IF('Prod 1'!D655="","",'Prod 1'!D655)</f>
        <v/>
      </c>
      <c r="E655" s="64"/>
      <c r="F655" s="89" t="str">
        <f>IF(D655="","",E655*'Prod 1'!E655)</f>
        <v/>
      </c>
      <c r="G655" s="71" t="str">
        <f t="shared" si="20"/>
        <v/>
      </c>
      <c r="H655" s="59" t="str">
        <f t="shared" si="21"/>
        <v/>
      </c>
    </row>
    <row r="656" spans="3:8" ht="30" customHeight="1" x14ac:dyDescent="0.25">
      <c r="C656" s="42">
        <v>652</v>
      </c>
      <c r="D656" s="67" t="str">
        <f>IF('Prod 1'!D656="","",'Prod 1'!D656)</f>
        <v/>
      </c>
      <c r="E656" s="64"/>
      <c r="F656" s="89" t="str">
        <f>IF(D656="","",E656*'Prod 1'!E656)</f>
        <v/>
      </c>
      <c r="G656" s="71" t="str">
        <f t="shared" si="20"/>
        <v/>
      </c>
      <c r="H656" s="59" t="str">
        <f t="shared" si="21"/>
        <v/>
      </c>
    </row>
    <row r="657" spans="3:8" ht="30" customHeight="1" x14ac:dyDescent="0.25">
      <c r="C657" s="42">
        <v>653</v>
      </c>
      <c r="D657" s="67" t="str">
        <f>IF('Prod 1'!D657="","",'Prod 1'!D657)</f>
        <v/>
      </c>
      <c r="E657" s="64"/>
      <c r="F657" s="89" t="str">
        <f>IF(D657="","",E657*'Prod 1'!E657)</f>
        <v/>
      </c>
      <c r="G657" s="71" t="str">
        <f t="shared" si="20"/>
        <v/>
      </c>
      <c r="H657" s="59" t="str">
        <f t="shared" si="21"/>
        <v/>
      </c>
    </row>
    <row r="658" spans="3:8" ht="30" customHeight="1" x14ac:dyDescent="0.25">
      <c r="C658" s="42">
        <v>654</v>
      </c>
      <c r="D658" s="67" t="str">
        <f>IF('Prod 1'!D658="","",'Prod 1'!D658)</f>
        <v/>
      </c>
      <c r="E658" s="64"/>
      <c r="F658" s="89" t="str">
        <f>IF(D658="","",E658*'Prod 1'!E658)</f>
        <v/>
      </c>
      <c r="G658" s="71" t="str">
        <f t="shared" si="20"/>
        <v/>
      </c>
      <c r="H658" s="59" t="str">
        <f t="shared" si="21"/>
        <v/>
      </c>
    </row>
    <row r="659" spans="3:8" ht="30" customHeight="1" x14ac:dyDescent="0.25">
      <c r="C659" s="42">
        <v>655</v>
      </c>
      <c r="D659" s="67" t="str">
        <f>IF('Prod 1'!D659="","",'Prod 1'!D659)</f>
        <v/>
      </c>
      <c r="E659" s="64"/>
      <c r="F659" s="89" t="str">
        <f>IF(D659="","",E659*'Prod 1'!E659)</f>
        <v/>
      </c>
      <c r="G659" s="71" t="str">
        <f t="shared" si="20"/>
        <v/>
      </c>
      <c r="H659" s="59" t="str">
        <f t="shared" si="21"/>
        <v/>
      </c>
    </row>
    <row r="660" spans="3:8" ht="30" customHeight="1" x14ac:dyDescent="0.25">
      <c r="C660" s="42">
        <v>656</v>
      </c>
      <c r="D660" s="67" t="str">
        <f>IF('Prod 1'!D660="","",'Prod 1'!D660)</f>
        <v/>
      </c>
      <c r="E660" s="64"/>
      <c r="F660" s="89" t="str">
        <f>IF(D660="","",E660*'Prod 1'!E660)</f>
        <v/>
      </c>
      <c r="G660" s="71" t="str">
        <f t="shared" si="20"/>
        <v/>
      </c>
      <c r="H660" s="59" t="str">
        <f t="shared" si="21"/>
        <v/>
      </c>
    </row>
    <row r="661" spans="3:8" ht="30" customHeight="1" x14ac:dyDescent="0.25">
      <c r="C661" s="42">
        <v>657</v>
      </c>
      <c r="D661" s="67" t="str">
        <f>IF('Prod 1'!D661="","",'Prod 1'!D661)</f>
        <v/>
      </c>
      <c r="E661" s="64"/>
      <c r="F661" s="89" t="str">
        <f>IF(D661="","",E661*'Prod 1'!E661)</f>
        <v/>
      </c>
      <c r="G661" s="71" t="str">
        <f t="shared" si="20"/>
        <v/>
      </c>
      <c r="H661" s="59" t="str">
        <f t="shared" si="21"/>
        <v/>
      </c>
    </row>
    <row r="662" spans="3:8" ht="30" customHeight="1" x14ac:dyDescent="0.25">
      <c r="C662" s="42">
        <v>658</v>
      </c>
      <c r="D662" s="67" t="str">
        <f>IF('Prod 1'!D662="","",'Prod 1'!D662)</f>
        <v/>
      </c>
      <c r="E662" s="64"/>
      <c r="F662" s="89" t="str">
        <f>IF(D662="","",E662*'Prod 1'!E662)</f>
        <v/>
      </c>
      <c r="G662" s="71" t="str">
        <f t="shared" si="20"/>
        <v/>
      </c>
      <c r="H662" s="59" t="str">
        <f t="shared" si="21"/>
        <v/>
      </c>
    </row>
    <row r="663" spans="3:8" ht="30" customHeight="1" x14ac:dyDescent="0.25">
      <c r="C663" s="42">
        <v>659</v>
      </c>
      <c r="D663" s="67" t="str">
        <f>IF('Prod 1'!D663="","",'Prod 1'!D663)</f>
        <v/>
      </c>
      <c r="E663" s="64"/>
      <c r="F663" s="89" t="str">
        <f>IF(D663="","",E663*'Prod 1'!E663)</f>
        <v/>
      </c>
      <c r="G663" s="71" t="str">
        <f t="shared" si="20"/>
        <v/>
      </c>
      <c r="H663" s="59" t="str">
        <f t="shared" si="21"/>
        <v/>
      </c>
    </row>
    <row r="664" spans="3:8" ht="30" customHeight="1" x14ac:dyDescent="0.25">
      <c r="C664" s="42">
        <v>660</v>
      </c>
      <c r="D664" s="67" t="str">
        <f>IF('Prod 1'!D664="","",'Prod 1'!D664)</f>
        <v/>
      </c>
      <c r="E664" s="64"/>
      <c r="F664" s="89" t="str">
        <f>IF(D664="","",E664*'Prod 1'!E664)</f>
        <v/>
      </c>
      <c r="G664" s="71" t="str">
        <f t="shared" si="20"/>
        <v/>
      </c>
      <c r="H664" s="59" t="str">
        <f t="shared" si="21"/>
        <v/>
      </c>
    </row>
    <row r="665" spans="3:8" ht="30" customHeight="1" x14ac:dyDescent="0.25">
      <c r="C665" s="42">
        <v>661</v>
      </c>
      <c r="D665" s="67" t="str">
        <f>IF('Prod 1'!D665="","",'Prod 1'!D665)</f>
        <v/>
      </c>
      <c r="E665" s="64"/>
      <c r="F665" s="89" t="str">
        <f>IF(D665="","",E665*'Prod 1'!E665)</f>
        <v/>
      </c>
      <c r="G665" s="71" t="str">
        <f t="shared" si="20"/>
        <v/>
      </c>
      <c r="H665" s="59" t="str">
        <f t="shared" si="21"/>
        <v/>
      </c>
    </row>
    <row r="666" spans="3:8" ht="30" customHeight="1" x14ac:dyDescent="0.25">
      <c r="C666" s="42">
        <v>662</v>
      </c>
      <c r="D666" s="67" t="str">
        <f>IF('Prod 1'!D666="","",'Prod 1'!D666)</f>
        <v/>
      </c>
      <c r="E666" s="64"/>
      <c r="F666" s="89" t="str">
        <f>IF(D666="","",E666*'Prod 1'!E666)</f>
        <v/>
      </c>
      <c r="G666" s="71" t="str">
        <f t="shared" si="20"/>
        <v/>
      </c>
      <c r="H666" s="59" t="str">
        <f t="shared" si="21"/>
        <v/>
      </c>
    </row>
    <row r="667" spans="3:8" ht="30" customHeight="1" x14ac:dyDescent="0.25">
      <c r="C667" s="42">
        <v>663</v>
      </c>
      <c r="D667" s="67" t="str">
        <f>IF('Prod 1'!D667="","",'Prod 1'!D667)</f>
        <v/>
      </c>
      <c r="E667" s="64"/>
      <c r="F667" s="89" t="str">
        <f>IF(D667="","",E667*'Prod 1'!E667)</f>
        <v/>
      </c>
      <c r="G667" s="71" t="str">
        <f t="shared" si="20"/>
        <v/>
      </c>
      <c r="H667" s="59" t="str">
        <f t="shared" si="21"/>
        <v/>
      </c>
    </row>
    <row r="668" spans="3:8" ht="30" customHeight="1" x14ac:dyDescent="0.25">
      <c r="C668" s="42">
        <v>664</v>
      </c>
      <c r="D668" s="67" t="str">
        <f>IF('Prod 1'!D668="","",'Prod 1'!D668)</f>
        <v/>
      </c>
      <c r="E668" s="64"/>
      <c r="F668" s="89" t="str">
        <f>IF(D668="","",E668*'Prod 1'!E668)</f>
        <v/>
      </c>
      <c r="G668" s="71" t="str">
        <f t="shared" si="20"/>
        <v/>
      </c>
      <c r="H668" s="59" t="str">
        <f t="shared" si="21"/>
        <v/>
      </c>
    </row>
    <row r="669" spans="3:8" ht="30" customHeight="1" x14ac:dyDescent="0.25">
      <c r="C669" s="42">
        <v>665</v>
      </c>
      <c r="D669" s="67" t="str">
        <f>IF('Prod 1'!D669="","",'Prod 1'!D669)</f>
        <v/>
      </c>
      <c r="E669" s="64"/>
      <c r="F669" s="89" t="str">
        <f>IF(D669="","",E669*'Prod 1'!E669)</f>
        <v/>
      </c>
      <c r="G669" s="71" t="str">
        <f t="shared" si="20"/>
        <v/>
      </c>
      <c r="H669" s="59" t="str">
        <f t="shared" si="21"/>
        <v/>
      </c>
    </row>
    <row r="670" spans="3:8" ht="30" customHeight="1" x14ac:dyDescent="0.25">
      <c r="C670" s="42">
        <v>666</v>
      </c>
      <c r="D670" s="67" t="str">
        <f>IF('Prod 1'!D670="","",'Prod 1'!D670)</f>
        <v/>
      </c>
      <c r="E670" s="64"/>
      <c r="F670" s="89" t="str">
        <f>IF(D670="","",E670*'Prod 1'!E670)</f>
        <v/>
      </c>
      <c r="G670" s="71" t="str">
        <f t="shared" si="20"/>
        <v/>
      </c>
      <c r="H670" s="59" t="str">
        <f t="shared" si="21"/>
        <v/>
      </c>
    </row>
    <row r="671" spans="3:8" ht="30" customHeight="1" x14ac:dyDescent="0.25">
      <c r="C671" s="42">
        <v>667</v>
      </c>
      <c r="D671" s="67" t="str">
        <f>IF('Prod 1'!D671="","",'Prod 1'!D671)</f>
        <v/>
      </c>
      <c r="E671" s="64"/>
      <c r="F671" s="89" t="str">
        <f>IF(D671="","",E671*'Prod 1'!E671)</f>
        <v/>
      </c>
      <c r="G671" s="71" t="str">
        <f t="shared" si="20"/>
        <v/>
      </c>
      <c r="H671" s="59" t="str">
        <f t="shared" si="21"/>
        <v/>
      </c>
    </row>
    <row r="672" spans="3:8" ht="30" customHeight="1" x14ac:dyDescent="0.25">
      <c r="C672" s="42">
        <v>668</v>
      </c>
      <c r="D672" s="67" t="str">
        <f>IF('Prod 1'!D672="","",'Prod 1'!D672)</f>
        <v/>
      </c>
      <c r="E672" s="64"/>
      <c r="F672" s="89" t="str">
        <f>IF(D672="","",E672*'Prod 1'!E672)</f>
        <v/>
      </c>
      <c r="G672" s="71" t="str">
        <f t="shared" si="20"/>
        <v/>
      </c>
      <c r="H672" s="59" t="str">
        <f t="shared" si="21"/>
        <v/>
      </c>
    </row>
    <row r="673" spans="3:8" ht="30" customHeight="1" x14ac:dyDescent="0.25">
      <c r="C673" s="42">
        <v>669</v>
      </c>
      <c r="D673" s="67" t="str">
        <f>IF('Prod 1'!D673="","",'Prod 1'!D673)</f>
        <v/>
      </c>
      <c r="E673" s="64"/>
      <c r="F673" s="89" t="str">
        <f>IF(D673="","",E673*'Prod 1'!E673)</f>
        <v/>
      </c>
      <c r="G673" s="71" t="str">
        <f t="shared" si="20"/>
        <v/>
      </c>
      <c r="H673" s="59" t="str">
        <f t="shared" si="21"/>
        <v/>
      </c>
    </row>
    <row r="674" spans="3:8" ht="30" customHeight="1" x14ac:dyDescent="0.25">
      <c r="C674" s="42">
        <v>670</v>
      </c>
      <c r="D674" s="67" t="str">
        <f>IF('Prod 1'!D674="","",'Prod 1'!D674)</f>
        <v/>
      </c>
      <c r="E674" s="64"/>
      <c r="F674" s="89" t="str">
        <f>IF(D674="","",E674*'Prod 1'!E674)</f>
        <v/>
      </c>
      <c r="G674" s="71" t="str">
        <f t="shared" si="20"/>
        <v/>
      </c>
      <c r="H674" s="59" t="str">
        <f t="shared" si="21"/>
        <v/>
      </c>
    </row>
    <row r="675" spans="3:8" ht="30" customHeight="1" x14ac:dyDescent="0.25">
      <c r="C675" s="42">
        <v>671</v>
      </c>
      <c r="D675" s="67" t="str">
        <f>IF('Prod 1'!D675="","",'Prod 1'!D675)</f>
        <v/>
      </c>
      <c r="E675" s="64"/>
      <c r="F675" s="89" t="str">
        <f>IF(D675="","",E675*'Prod 1'!E675)</f>
        <v/>
      </c>
      <c r="G675" s="71" t="str">
        <f t="shared" si="20"/>
        <v/>
      </c>
      <c r="H675" s="59" t="str">
        <f t="shared" si="21"/>
        <v/>
      </c>
    </row>
    <row r="676" spans="3:8" ht="30" customHeight="1" x14ac:dyDescent="0.25">
      <c r="C676" s="42">
        <v>672</v>
      </c>
      <c r="D676" s="67" t="str">
        <f>IF('Prod 1'!D676="","",'Prod 1'!D676)</f>
        <v/>
      </c>
      <c r="E676" s="64"/>
      <c r="F676" s="89" t="str">
        <f>IF(D676="","",E676*'Prod 1'!E676)</f>
        <v/>
      </c>
      <c r="G676" s="71" t="str">
        <f t="shared" si="20"/>
        <v/>
      </c>
      <c r="H676" s="59" t="str">
        <f t="shared" si="21"/>
        <v/>
      </c>
    </row>
    <row r="677" spans="3:8" ht="30" customHeight="1" x14ac:dyDescent="0.25">
      <c r="C677" s="42">
        <v>673</v>
      </c>
      <c r="D677" s="67" t="str">
        <f>IF('Prod 1'!D677="","",'Prod 1'!D677)</f>
        <v/>
      </c>
      <c r="E677" s="64"/>
      <c r="F677" s="89" t="str">
        <f>IF(D677="","",E677*'Prod 1'!E677)</f>
        <v/>
      </c>
      <c r="G677" s="71" t="str">
        <f t="shared" si="20"/>
        <v/>
      </c>
      <c r="H677" s="59" t="str">
        <f t="shared" si="21"/>
        <v/>
      </c>
    </row>
    <row r="678" spans="3:8" ht="30" customHeight="1" x14ac:dyDescent="0.25">
      <c r="C678" s="42">
        <v>674</v>
      </c>
      <c r="D678" s="67" t="str">
        <f>IF('Prod 1'!D678="","",'Prod 1'!D678)</f>
        <v/>
      </c>
      <c r="E678" s="64"/>
      <c r="F678" s="89" t="str">
        <f>IF(D678="","",E678*'Prod 1'!E678)</f>
        <v/>
      </c>
      <c r="G678" s="71" t="str">
        <f t="shared" si="20"/>
        <v/>
      </c>
      <c r="H678" s="59" t="str">
        <f t="shared" si="21"/>
        <v/>
      </c>
    </row>
    <row r="679" spans="3:8" ht="30" customHeight="1" x14ac:dyDescent="0.25">
      <c r="C679" s="42">
        <v>675</v>
      </c>
      <c r="D679" s="67" t="str">
        <f>IF('Prod 1'!D679="","",'Prod 1'!D679)</f>
        <v/>
      </c>
      <c r="E679" s="64"/>
      <c r="F679" s="89" t="str">
        <f>IF(D679="","",E679*'Prod 1'!E679)</f>
        <v/>
      </c>
      <c r="G679" s="71" t="str">
        <f t="shared" si="20"/>
        <v/>
      </c>
      <c r="H679" s="59" t="str">
        <f t="shared" si="21"/>
        <v/>
      </c>
    </row>
    <row r="680" spans="3:8" ht="30" customHeight="1" x14ac:dyDescent="0.25">
      <c r="C680" s="42">
        <v>676</v>
      </c>
      <c r="D680" s="67" t="str">
        <f>IF('Prod 1'!D680="","",'Prod 1'!D680)</f>
        <v/>
      </c>
      <c r="E680" s="64"/>
      <c r="F680" s="89" t="str">
        <f>IF(D680="","",E680*'Prod 1'!E680)</f>
        <v/>
      </c>
      <c r="G680" s="71" t="str">
        <f t="shared" si="20"/>
        <v/>
      </c>
      <c r="H680" s="59" t="str">
        <f t="shared" si="21"/>
        <v/>
      </c>
    </row>
    <row r="681" spans="3:8" ht="30" customHeight="1" x14ac:dyDescent="0.25">
      <c r="C681" s="42">
        <v>677</v>
      </c>
      <c r="D681" s="67" t="str">
        <f>IF('Prod 1'!D681="","",'Prod 1'!D681)</f>
        <v/>
      </c>
      <c r="E681" s="64"/>
      <c r="F681" s="89" t="str">
        <f>IF(D681="","",E681*'Prod 1'!E681)</f>
        <v/>
      </c>
      <c r="G681" s="71" t="str">
        <f t="shared" si="20"/>
        <v/>
      </c>
      <c r="H681" s="59" t="str">
        <f t="shared" si="21"/>
        <v/>
      </c>
    </row>
    <row r="682" spans="3:8" ht="30" customHeight="1" x14ac:dyDescent="0.25">
      <c r="C682" s="42">
        <v>678</v>
      </c>
      <c r="D682" s="67" t="str">
        <f>IF('Prod 1'!D682="","",'Prod 1'!D682)</f>
        <v/>
      </c>
      <c r="E682" s="64"/>
      <c r="F682" s="89" t="str">
        <f>IF(D682="","",E682*'Prod 1'!E682)</f>
        <v/>
      </c>
      <c r="G682" s="71" t="str">
        <f t="shared" si="20"/>
        <v/>
      </c>
      <c r="H682" s="59" t="str">
        <f t="shared" si="21"/>
        <v/>
      </c>
    </row>
    <row r="683" spans="3:8" ht="30" customHeight="1" x14ac:dyDescent="0.25">
      <c r="C683" s="42">
        <v>679</v>
      </c>
      <c r="D683" s="67" t="str">
        <f>IF('Prod 1'!D683="","",'Prod 1'!D683)</f>
        <v/>
      </c>
      <c r="E683" s="64"/>
      <c r="F683" s="89" t="str">
        <f>IF(D683="","",E683*'Prod 1'!E683)</f>
        <v/>
      </c>
      <c r="G683" s="71" t="str">
        <f t="shared" si="20"/>
        <v/>
      </c>
      <c r="H683" s="59" t="str">
        <f t="shared" si="21"/>
        <v/>
      </c>
    </row>
    <row r="684" spans="3:8" ht="30" customHeight="1" x14ac:dyDescent="0.25">
      <c r="C684" s="42">
        <v>680</v>
      </c>
      <c r="D684" s="67" t="str">
        <f>IF('Prod 1'!D684="","",'Prod 1'!D684)</f>
        <v/>
      </c>
      <c r="E684" s="64"/>
      <c r="F684" s="89" t="str">
        <f>IF(D684="","",E684*'Prod 1'!E684)</f>
        <v/>
      </c>
      <c r="G684" s="71" t="str">
        <f t="shared" si="20"/>
        <v/>
      </c>
      <c r="H684" s="59" t="str">
        <f t="shared" si="21"/>
        <v/>
      </c>
    </row>
    <row r="685" spans="3:8" ht="30" customHeight="1" x14ac:dyDescent="0.25">
      <c r="C685" s="42">
        <v>681</v>
      </c>
      <c r="D685" s="67" t="str">
        <f>IF('Prod 1'!D685="","",'Prod 1'!D685)</f>
        <v/>
      </c>
      <c r="E685" s="64"/>
      <c r="F685" s="89" t="str">
        <f>IF(D685="","",E685*'Prod 1'!E685)</f>
        <v/>
      </c>
      <c r="G685" s="71" t="str">
        <f t="shared" si="20"/>
        <v/>
      </c>
      <c r="H685" s="59" t="str">
        <f t="shared" si="21"/>
        <v/>
      </c>
    </row>
    <row r="686" spans="3:8" ht="30" customHeight="1" x14ac:dyDescent="0.25">
      <c r="C686" s="42">
        <v>682</v>
      </c>
      <c r="D686" s="67" t="str">
        <f>IF('Prod 1'!D686="","",'Prod 1'!D686)</f>
        <v/>
      </c>
      <c r="E686" s="64"/>
      <c r="F686" s="89" t="str">
        <f>IF(D686="","",E686*'Prod 1'!E686)</f>
        <v/>
      </c>
      <c r="G686" s="71" t="str">
        <f t="shared" si="20"/>
        <v/>
      </c>
      <c r="H686" s="59" t="str">
        <f t="shared" si="21"/>
        <v/>
      </c>
    </row>
    <row r="687" spans="3:8" ht="30" customHeight="1" x14ac:dyDescent="0.25">
      <c r="C687" s="42">
        <v>683</v>
      </c>
      <c r="D687" s="67" t="str">
        <f>IF('Prod 1'!D687="","",'Prod 1'!D687)</f>
        <v/>
      </c>
      <c r="E687" s="64"/>
      <c r="F687" s="89" t="str">
        <f>IF(D687="","",E687*'Prod 1'!E687)</f>
        <v/>
      </c>
      <c r="G687" s="71" t="str">
        <f t="shared" si="20"/>
        <v/>
      </c>
      <c r="H687" s="59" t="str">
        <f t="shared" si="21"/>
        <v/>
      </c>
    </row>
    <row r="688" spans="3:8" ht="30" customHeight="1" x14ac:dyDescent="0.25">
      <c r="C688" s="42">
        <v>684</v>
      </c>
      <c r="D688" s="67" t="str">
        <f>IF('Prod 1'!D688="","",'Prod 1'!D688)</f>
        <v/>
      </c>
      <c r="E688" s="64"/>
      <c r="F688" s="89" t="str">
        <f>IF(D688="","",E688*'Prod 1'!E688)</f>
        <v/>
      </c>
      <c r="G688" s="71" t="str">
        <f t="shared" si="20"/>
        <v/>
      </c>
      <c r="H688" s="59" t="str">
        <f t="shared" si="21"/>
        <v/>
      </c>
    </row>
    <row r="689" spans="3:8" ht="30" customHeight="1" x14ac:dyDescent="0.25">
      <c r="C689" s="42">
        <v>685</v>
      </c>
      <c r="D689" s="67" t="str">
        <f>IF('Prod 1'!D689="","",'Prod 1'!D689)</f>
        <v/>
      </c>
      <c r="E689" s="64"/>
      <c r="F689" s="89" t="str">
        <f>IF(D689="","",E689*'Prod 1'!E689)</f>
        <v/>
      </c>
      <c r="G689" s="71" t="str">
        <f t="shared" si="20"/>
        <v/>
      </c>
      <c r="H689" s="59" t="str">
        <f t="shared" si="21"/>
        <v/>
      </c>
    </row>
    <row r="690" spans="3:8" ht="30" customHeight="1" x14ac:dyDescent="0.25">
      <c r="C690" s="42">
        <v>686</v>
      </c>
      <c r="D690" s="67" t="str">
        <f>IF('Prod 1'!D690="","",'Prod 1'!D690)</f>
        <v/>
      </c>
      <c r="E690" s="64"/>
      <c r="F690" s="89" t="str">
        <f>IF(D690="","",E690*'Prod 1'!E690)</f>
        <v/>
      </c>
      <c r="G690" s="71" t="str">
        <f t="shared" si="20"/>
        <v/>
      </c>
      <c r="H690" s="59" t="str">
        <f t="shared" si="21"/>
        <v/>
      </c>
    </row>
    <row r="691" spans="3:8" ht="30" customHeight="1" x14ac:dyDescent="0.25">
      <c r="C691" s="42">
        <v>687</v>
      </c>
      <c r="D691" s="67" t="str">
        <f>IF('Prod 1'!D691="","",'Prod 1'!D691)</f>
        <v/>
      </c>
      <c r="E691" s="64"/>
      <c r="F691" s="89" t="str">
        <f>IF(D691="","",E691*'Prod 1'!E691)</f>
        <v/>
      </c>
      <c r="G691" s="71" t="str">
        <f t="shared" si="20"/>
        <v/>
      </c>
      <c r="H691" s="59" t="str">
        <f t="shared" si="21"/>
        <v/>
      </c>
    </row>
    <row r="692" spans="3:8" ht="30" customHeight="1" x14ac:dyDescent="0.25">
      <c r="C692" s="42">
        <v>688</v>
      </c>
      <c r="D692" s="67" t="str">
        <f>IF('Prod 1'!D692="","",'Prod 1'!D692)</f>
        <v/>
      </c>
      <c r="E692" s="64"/>
      <c r="F692" s="89" t="str">
        <f>IF(D692="","",E692*'Prod 1'!E692)</f>
        <v/>
      </c>
      <c r="G692" s="71" t="str">
        <f t="shared" si="20"/>
        <v/>
      </c>
      <c r="H692" s="59" t="str">
        <f t="shared" si="21"/>
        <v/>
      </c>
    </row>
    <row r="693" spans="3:8" ht="30" customHeight="1" x14ac:dyDescent="0.25">
      <c r="C693" s="42">
        <v>689</v>
      </c>
      <c r="D693" s="67" t="str">
        <f>IF('Prod 1'!D693="","",'Prod 1'!D693)</f>
        <v/>
      </c>
      <c r="E693" s="64"/>
      <c r="F693" s="89" t="str">
        <f>IF(D693="","",E693*'Prod 1'!E693)</f>
        <v/>
      </c>
      <c r="G693" s="71" t="str">
        <f t="shared" si="20"/>
        <v/>
      </c>
      <c r="H693" s="59" t="str">
        <f t="shared" si="21"/>
        <v/>
      </c>
    </row>
    <row r="694" spans="3:8" ht="30" customHeight="1" x14ac:dyDescent="0.25">
      <c r="C694" s="42">
        <v>690</v>
      </c>
      <c r="D694" s="67" t="str">
        <f>IF('Prod 1'!D694="","",'Prod 1'!D694)</f>
        <v/>
      </c>
      <c r="E694" s="64"/>
      <c r="F694" s="89" t="str">
        <f>IF(D694="","",E694*'Prod 1'!E694)</f>
        <v/>
      </c>
      <c r="G694" s="71" t="str">
        <f t="shared" si="20"/>
        <v/>
      </c>
      <c r="H694" s="59" t="str">
        <f t="shared" si="21"/>
        <v/>
      </c>
    </row>
    <row r="695" spans="3:8" ht="30" customHeight="1" x14ac:dyDescent="0.25">
      <c r="C695" s="42">
        <v>691</v>
      </c>
      <c r="D695" s="67" t="str">
        <f>IF('Prod 1'!D695="","",'Prod 1'!D695)</f>
        <v/>
      </c>
      <c r="E695" s="64"/>
      <c r="F695" s="89" t="str">
        <f>IF(D695="","",E695*'Prod 1'!E695)</f>
        <v/>
      </c>
      <c r="G695" s="71" t="str">
        <f t="shared" si="20"/>
        <v/>
      </c>
      <c r="H695" s="59" t="str">
        <f t="shared" si="21"/>
        <v/>
      </c>
    </row>
    <row r="696" spans="3:8" ht="30" customHeight="1" x14ac:dyDescent="0.25">
      <c r="C696" s="42">
        <v>692</v>
      </c>
      <c r="D696" s="67" t="str">
        <f>IF('Prod 1'!D696="","",'Prod 1'!D696)</f>
        <v/>
      </c>
      <c r="E696" s="64"/>
      <c r="F696" s="89" t="str">
        <f>IF(D696="","",E696*'Prod 1'!E696)</f>
        <v/>
      </c>
      <c r="G696" s="71" t="str">
        <f t="shared" si="20"/>
        <v/>
      </c>
      <c r="H696" s="59" t="str">
        <f t="shared" si="21"/>
        <v/>
      </c>
    </row>
    <row r="697" spans="3:8" ht="30" customHeight="1" x14ac:dyDescent="0.25">
      <c r="C697" s="42">
        <v>693</v>
      </c>
      <c r="D697" s="67" t="str">
        <f>IF('Prod 1'!D697="","",'Prod 1'!D697)</f>
        <v/>
      </c>
      <c r="E697" s="64"/>
      <c r="F697" s="89" t="str">
        <f>IF(D697="","",E697*'Prod 1'!E697)</f>
        <v/>
      </c>
      <c r="G697" s="71" t="str">
        <f t="shared" si="20"/>
        <v/>
      </c>
      <c r="H697" s="59" t="str">
        <f t="shared" si="21"/>
        <v/>
      </c>
    </row>
    <row r="698" spans="3:8" ht="30" customHeight="1" x14ac:dyDescent="0.25">
      <c r="C698" s="42">
        <v>694</v>
      </c>
      <c r="D698" s="67" t="str">
        <f>IF('Prod 1'!D698="","",'Prod 1'!D698)</f>
        <v/>
      </c>
      <c r="E698" s="64"/>
      <c r="F698" s="89" t="str">
        <f>IF(D698="","",E698*'Prod 1'!E698)</f>
        <v/>
      </c>
      <c r="G698" s="71" t="str">
        <f t="shared" si="20"/>
        <v/>
      </c>
      <c r="H698" s="59" t="str">
        <f t="shared" si="21"/>
        <v/>
      </c>
    </row>
    <row r="699" spans="3:8" ht="30" customHeight="1" x14ac:dyDescent="0.25">
      <c r="C699" s="42">
        <v>695</v>
      </c>
      <c r="D699" s="67" t="str">
        <f>IF('Prod 1'!D699="","",'Prod 1'!D699)</f>
        <v/>
      </c>
      <c r="E699" s="64"/>
      <c r="F699" s="89" t="str">
        <f>IF(D699="","",E699*'Prod 1'!E699)</f>
        <v/>
      </c>
      <c r="G699" s="71" t="str">
        <f t="shared" si="20"/>
        <v/>
      </c>
      <c r="H699" s="59" t="str">
        <f t="shared" si="21"/>
        <v/>
      </c>
    </row>
    <row r="700" spans="3:8" ht="30" customHeight="1" x14ac:dyDescent="0.25">
      <c r="C700" s="42">
        <v>696</v>
      </c>
      <c r="D700" s="67" t="str">
        <f>IF('Prod 1'!D700="","",'Prod 1'!D700)</f>
        <v/>
      </c>
      <c r="E700" s="64"/>
      <c r="F700" s="89" t="str">
        <f>IF(D700="","",E700*'Prod 1'!E700)</f>
        <v/>
      </c>
      <c r="G700" s="71" t="str">
        <f t="shared" si="20"/>
        <v/>
      </c>
      <c r="H700" s="59" t="str">
        <f t="shared" si="21"/>
        <v/>
      </c>
    </row>
    <row r="701" spans="3:8" ht="30" customHeight="1" x14ac:dyDescent="0.25">
      <c r="C701" s="42">
        <v>697</v>
      </c>
      <c r="D701" s="67" t="str">
        <f>IF('Prod 1'!D701="","",'Prod 1'!D701)</f>
        <v/>
      </c>
      <c r="E701" s="64"/>
      <c r="F701" s="89" t="str">
        <f>IF(D701="","",E701*'Prod 1'!E701)</f>
        <v/>
      </c>
      <c r="G701" s="71" t="str">
        <f t="shared" si="20"/>
        <v/>
      </c>
      <c r="H701" s="59" t="str">
        <f t="shared" si="21"/>
        <v/>
      </c>
    </row>
    <row r="702" spans="3:8" ht="30" customHeight="1" x14ac:dyDescent="0.25">
      <c r="C702" s="42">
        <v>698</v>
      </c>
      <c r="D702" s="67" t="str">
        <f>IF('Prod 1'!D702="","",'Prod 1'!D702)</f>
        <v/>
      </c>
      <c r="E702" s="64"/>
      <c r="F702" s="89" t="str">
        <f>IF(D702="","",E702*'Prod 1'!E702)</f>
        <v/>
      </c>
      <c r="G702" s="71" t="str">
        <f t="shared" si="20"/>
        <v/>
      </c>
      <c r="H702" s="59" t="str">
        <f t="shared" si="21"/>
        <v/>
      </c>
    </row>
    <row r="703" spans="3:8" ht="30" customHeight="1" x14ac:dyDescent="0.25">
      <c r="C703" s="42">
        <v>699</v>
      </c>
      <c r="D703" s="67" t="str">
        <f>IF('Prod 1'!D703="","",'Prod 1'!D703)</f>
        <v/>
      </c>
      <c r="E703" s="64"/>
      <c r="F703" s="89" t="str">
        <f>IF(D703="","",E703*'Prod 1'!E703)</f>
        <v/>
      </c>
      <c r="G703" s="71" t="str">
        <f t="shared" si="20"/>
        <v/>
      </c>
      <c r="H703" s="59" t="str">
        <f t="shared" si="21"/>
        <v/>
      </c>
    </row>
    <row r="704" spans="3:8" ht="30" customHeight="1" x14ac:dyDescent="0.25">
      <c r="C704" s="42">
        <v>700</v>
      </c>
      <c r="D704" s="67" t="str">
        <f>IF('Prod 1'!D704="","",'Prod 1'!D704)</f>
        <v/>
      </c>
      <c r="E704" s="64"/>
      <c r="F704" s="89" t="str">
        <f>IF(D704="","",E704*'Prod 1'!E704)</f>
        <v/>
      </c>
      <c r="G704" s="71" t="str">
        <f t="shared" si="20"/>
        <v/>
      </c>
      <c r="H704" s="59" t="str">
        <f t="shared" si="21"/>
        <v/>
      </c>
    </row>
    <row r="705" spans="3:8" ht="30" customHeight="1" x14ac:dyDescent="0.25">
      <c r="C705" s="42">
        <v>701</v>
      </c>
      <c r="D705" s="67" t="str">
        <f>IF('Prod 1'!D705="","",'Prod 1'!D705)</f>
        <v/>
      </c>
      <c r="E705" s="64"/>
      <c r="F705" s="89" t="str">
        <f>IF(D705="","",E705*'Prod 1'!E705)</f>
        <v/>
      </c>
      <c r="G705" s="71" t="str">
        <f t="shared" si="20"/>
        <v/>
      </c>
      <c r="H705" s="59" t="str">
        <f t="shared" si="21"/>
        <v/>
      </c>
    </row>
    <row r="706" spans="3:8" ht="30" customHeight="1" x14ac:dyDescent="0.25">
      <c r="C706" s="42">
        <v>702</v>
      </c>
      <c r="D706" s="67" t="str">
        <f>IF('Prod 1'!D706="","",'Prod 1'!D706)</f>
        <v/>
      </c>
      <c r="E706" s="64"/>
      <c r="F706" s="89" t="str">
        <f>IF(D706="","",E706*'Prod 1'!E706)</f>
        <v/>
      </c>
      <c r="G706" s="71" t="str">
        <f t="shared" si="20"/>
        <v/>
      </c>
      <c r="H706" s="59" t="str">
        <f t="shared" si="21"/>
        <v/>
      </c>
    </row>
    <row r="707" spans="3:8" ht="30" customHeight="1" x14ac:dyDescent="0.25">
      <c r="C707" s="42">
        <v>703</v>
      </c>
      <c r="D707" s="67" t="str">
        <f>IF('Prod 1'!D707="","",'Prod 1'!D707)</f>
        <v/>
      </c>
      <c r="E707" s="64"/>
      <c r="F707" s="89" t="str">
        <f>IF(D707="","",E707*'Prod 1'!E707)</f>
        <v/>
      </c>
      <c r="G707" s="71" t="str">
        <f t="shared" si="20"/>
        <v/>
      </c>
      <c r="H707" s="59" t="str">
        <f t="shared" si="21"/>
        <v/>
      </c>
    </row>
    <row r="708" spans="3:8" ht="30" customHeight="1" x14ac:dyDescent="0.25">
      <c r="C708" s="42">
        <v>704</v>
      </c>
      <c r="D708" s="67" t="str">
        <f>IF('Prod 1'!D708="","",'Prod 1'!D708)</f>
        <v/>
      </c>
      <c r="E708" s="64"/>
      <c r="F708" s="89" t="str">
        <f>IF(D708="","",E708*'Prod 1'!E708)</f>
        <v/>
      </c>
      <c r="G708" s="71" t="str">
        <f t="shared" si="20"/>
        <v/>
      </c>
      <c r="H708" s="59" t="str">
        <f t="shared" si="21"/>
        <v/>
      </c>
    </row>
    <row r="709" spans="3:8" ht="30" customHeight="1" x14ac:dyDescent="0.25">
      <c r="C709" s="42">
        <v>705</v>
      </c>
      <c r="D709" s="67" t="str">
        <f>IF('Prod 1'!D709="","",'Prod 1'!D709)</f>
        <v/>
      </c>
      <c r="E709" s="64"/>
      <c r="F709" s="89" t="str">
        <f>IF(D709="","",E709*'Prod 1'!E709)</f>
        <v/>
      </c>
      <c r="G709" s="71" t="str">
        <f t="shared" ref="G709:G772" si="22">IF(D709="","",IFERROR(F709/$H$3,0))</f>
        <v/>
      </c>
      <c r="H709" s="59" t="str">
        <f t="shared" ref="H709:H772" si="23">F709</f>
        <v/>
      </c>
    </row>
    <row r="710" spans="3:8" ht="30" customHeight="1" x14ac:dyDescent="0.25">
      <c r="C710" s="42">
        <v>706</v>
      </c>
      <c r="D710" s="67" t="str">
        <f>IF('Prod 1'!D710="","",'Prod 1'!D710)</f>
        <v/>
      </c>
      <c r="E710" s="64"/>
      <c r="F710" s="89" t="str">
        <f>IF(D710="","",E710*'Prod 1'!E710)</f>
        <v/>
      </c>
      <c r="G710" s="71" t="str">
        <f t="shared" si="22"/>
        <v/>
      </c>
      <c r="H710" s="59" t="str">
        <f t="shared" si="23"/>
        <v/>
      </c>
    </row>
    <row r="711" spans="3:8" ht="30" customHeight="1" x14ac:dyDescent="0.25">
      <c r="C711" s="42">
        <v>707</v>
      </c>
      <c r="D711" s="67" t="str">
        <f>IF('Prod 1'!D711="","",'Prod 1'!D711)</f>
        <v/>
      </c>
      <c r="E711" s="64"/>
      <c r="F711" s="89" t="str">
        <f>IF(D711="","",E711*'Prod 1'!E711)</f>
        <v/>
      </c>
      <c r="G711" s="71" t="str">
        <f t="shared" si="22"/>
        <v/>
      </c>
      <c r="H711" s="59" t="str">
        <f t="shared" si="23"/>
        <v/>
      </c>
    </row>
    <row r="712" spans="3:8" ht="30" customHeight="1" x14ac:dyDescent="0.25">
      <c r="C712" s="42">
        <v>708</v>
      </c>
      <c r="D712" s="67" t="str">
        <f>IF('Prod 1'!D712="","",'Prod 1'!D712)</f>
        <v/>
      </c>
      <c r="E712" s="64"/>
      <c r="F712" s="89" t="str">
        <f>IF(D712="","",E712*'Prod 1'!E712)</f>
        <v/>
      </c>
      <c r="G712" s="71" t="str">
        <f t="shared" si="22"/>
        <v/>
      </c>
      <c r="H712" s="59" t="str">
        <f t="shared" si="23"/>
        <v/>
      </c>
    </row>
    <row r="713" spans="3:8" ht="30" customHeight="1" x14ac:dyDescent="0.25">
      <c r="C713" s="42">
        <v>709</v>
      </c>
      <c r="D713" s="67" t="str">
        <f>IF('Prod 1'!D713="","",'Prod 1'!D713)</f>
        <v/>
      </c>
      <c r="E713" s="64"/>
      <c r="F713" s="89" t="str">
        <f>IF(D713="","",E713*'Prod 1'!E713)</f>
        <v/>
      </c>
      <c r="G713" s="71" t="str">
        <f t="shared" si="22"/>
        <v/>
      </c>
      <c r="H713" s="59" t="str">
        <f t="shared" si="23"/>
        <v/>
      </c>
    </row>
    <row r="714" spans="3:8" ht="30" customHeight="1" x14ac:dyDescent="0.25">
      <c r="C714" s="42">
        <v>710</v>
      </c>
      <c r="D714" s="67" t="str">
        <f>IF('Prod 1'!D714="","",'Prod 1'!D714)</f>
        <v/>
      </c>
      <c r="E714" s="64"/>
      <c r="F714" s="89" t="str">
        <f>IF(D714="","",E714*'Prod 1'!E714)</f>
        <v/>
      </c>
      <c r="G714" s="71" t="str">
        <f t="shared" si="22"/>
        <v/>
      </c>
      <c r="H714" s="59" t="str">
        <f t="shared" si="23"/>
        <v/>
      </c>
    </row>
    <row r="715" spans="3:8" ht="30" customHeight="1" x14ac:dyDescent="0.25">
      <c r="C715" s="42">
        <v>711</v>
      </c>
      <c r="D715" s="67" t="str">
        <f>IF('Prod 1'!D715="","",'Prod 1'!D715)</f>
        <v/>
      </c>
      <c r="E715" s="64"/>
      <c r="F715" s="89" t="str">
        <f>IF(D715="","",E715*'Prod 1'!E715)</f>
        <v/>
      </c>
      <c r="G715" s="71" t="str">
        <f t="shared" si="22"/>
        <v/>
      </c>
      <c r="H715" s="59" t="str">
        <f t="shared" si="23"/>
        <v/>
      </c>
    </row>
    <row r="716" spans="3:8" ht="30" customHeight="1" x14ac:dyDescent="0.25">
      <c r="C716" s="42">
        <v>712</v>
      </c>
      <c r="D716" s="67" t="str">
        <f>IF('Prod 1'!D716="","",'Prod 1'!D716)</f>
        <v/>
      </c>
      <c r="E716" s="64"/>
      <c r="F716" s="89" t="str">
        <f>IF(D716="","",E716*'Prod 1'!E716)</f>
        <v/>
      </c>
      <c r="G716" s="71" t="str">
        <f t="shared" si="22"/>
        <v/>
      </c>
      <c r="H716" s="59" t="str">
        <f t="shared" si="23"/>
        <v/>
      </c>
    </row>
    <row r="717" spans="3:8" ht="30" customHeight="1" x14ac:dyDescent="0.25">
      <c r="C717" s="42">
        <v>713</v>
      </c>
      <c r="D717" s="67" t="str">
        <f>IF('Prod 1'!D717="","",'Prod 1'!D717)</f>
        <v/>
      </c>
      <c r="E717" s="64"/>
      <c r="F717" s="89" t="str">
        <f>IF(D717="","",E717*'Prod 1'!E717)</f>
        <v/>
      </c>
      <c r="G717" s="71" t="str">
        <f t="shared" si="22"/>
        <v/>
      </c>
      <c r="H717" s="59" t="str">
        <f t="shared" si="23"/>
        <v/>
      </c>
    </row>
    <row r="718" spans="3:8" ht="30" customHeight="1" x14ac:dyDescent="0.25">
      <c r="C718" s="42">
        <v>714</v>
      </c>
      <c r="D718" s="67" t="str">
        <f>IF('Prod 1'!D718="","",'Prod 1'!D718)</f>
        <v/>
      </c>
      <c r="E718" s="64"/>
      <c r="F718" s="89" t="str">
        <f>IF(D718="","",E718*'Prod 1'!E718)</f>
        <v/>
      </c>
      <c r="G718" s="71" t="str">
        <f t="shared" si="22"/>
        <v/>
      </c>
      <c r="H718" s="59" t="str">
        <f t="shared" si="23"/>
        <v/>
      </c>
    </row>
    <row r="719" spans="3:8" ht="30" customHeight="1" x14ac:dyDescent="0.25">
      <c r="C719" s="42">
        <v>715</v>
      </c>
      <c r="D719" s="67" t="str">
        <f>IF('Prod 1'!D719="","",'Prod 1'!D719)</f>
        <v/>
      </c>
      <c r="E719" s="64"/>
      <c r="F719" s="89" t="str">
        <f>IF(D719="","",E719*'Prod 1'!E719)</f>
        <v/>
      </c>
      <c r="G719" s="71" t="str">
        <f t="shared" si="22"/>
        <v/>
      </c>
      <c r="H719" s="59" t="str">
        <f t="shared" si="23"/>
        <v/>
      </c>
    </row>
    <row r="720" spans="3:8" ht="30" customHeight="1" x14ac:dyDescent="0.25">
      <c r="C720" s="42">
        <v>716</v>
      </c>
      <c r="D720" s="67" t="str">
        <f>IF('Prod 1'!D720="","",'Prod 1'!D720)</f>
        <v/>
      </c>
      <c r="E720" s="64"/>
      <c r="F720" s="89" t="str">
        <f>IF(D720="","",E720*'Prod 1'!E720)</f>
        <v/>
      </c>
      <c r="G720" s="71" t="str">
        <f t="shared" si="22"/>
        <v/>
      </c>
      <c r="H720" s="59" t="str">
        <f t="shared" si="23"/>
        <v/>
      </c>
    </row>
    <row r="721" spans="3:8" ht="30" customHeight="1" x14ac:dyDescent="0.25">
      <c r="C721" s="42">
        <v>717</v>
      </c>
      <c r="D721" s="67" t="str">
        <f>IF('Prod 1'!D721="","",'Prod 1'!D721)</f>
        <v/>
      </c>
      <c r="E721" s="64"/>
      <c r="F721" s="89" t="str">
        <f>IF(D721="","",E721*'Prod 1'!E721)</f>
        <v/>
      </c>
      <c r="G721" s="71" t="str">
        <f t="shared" si="22"/>
        <v/>
      </c>
      <c r="H721" s="59" t="str">
        <f t="shared" si="23"/>
        <v/>
      </c>
    </row>
    <row r="722" spans="3:8" ht="30" customHeight="1" x14ac:dyDescent="0.25">
      <c r="C722" s="42">
        <v>718</v>
      </c>
      <c r="D722" s="67" t="str">
        <f>IF('Prod 1'!D722="","",'Prod 1'!D722)</f>
        <v/>
      </c>
      <c r="E722" s="64"/>
      <c r="F722" s="89" t="str">
        <f>IF(D722="","",E722*'Prod 1'!E722)</f>
        <v/>
      </c>
      <c r="G722" s="71" t="str">
        <f t="shared" si="22"/>
        <v/>
      </c>
      <c r="H722" s="59" t="str">
        <f t="shared" si="23"/>
        <v/>
      </c>
    </row>
    <row r="723" spans="3:8" ht="30" customHeight="1" x14ac:dyDescent="0.25">
      <c r="C723" s="42">
        <v>719</v>
      </c>
      <c r="D723" s="67" t="str">
        <f>IF('Prod 1'!D723="","",'Prod 1'!D723)</f>
        <v/>
      </c>
      <c r="E723" s="64"/>
      <c r="F723" s="89" t="str">
        <f>IF(D723="","",E723*'Prod 1'!E723)</f>
        <v/>
      </c>
      <c r="G723" s="71" t="str">
        <f t="shared" si="22"/>
        <v/>
      </c>
      <c r="H723" s="59" t="str">
        <f t="shared" si="23"/>
        <v/>
      </c>
    </row>
    <row r="724" spans="3:8" ht="30" customHeight="1" x14ac:dyDescent="0.25">
      <c r="C724" s="42">
        <v>720</v>
      </c>
      <c r="D724" s="67" t="str">
        <f>IF('Prod 1'!D724="","",'Prod 1'!D724)</f>
        <v/>
      </c>
      <c r="E724" s="64"/>
      <c r="F724" s="89" t="str">
        <f>IF(D724="","",E724*'Prod 1'!E724)</f>
        <v/>
      </c>
      <c r="G724" s="71" t="str">
        <f t="shared" si="22"/>
        <v/>
      </c>
      <c r="H724" s="59" t="str">
        <f t="shared" si="23"/>
        <v/>
      </c>
    </row>
    <row r="725" spans="3:8" ht="30" customHeight="1" x14ac:dyDescent="0.25">
      <c r="C725" s="42">
        <v>721</v>
      </c>
      <c r="D725" s="67" t="str">
        <f>IF('Prod 1'!D725="","",'Prod 1'!D725)</f>
        <v/>
      </c>
      <c r="E725" s="64"/>
      <c r="F725" s="89" t="str">
        <f>IF(D725="","",E725*'Prod 1'!E725)</f>
        <v/>
      </c>
      <c r="G725" s="71" t="str">
        <f t="shared" si="22"/>
        <v/>
      </c>
      <c r="H725" s="59" t="str">
        <f t="shared" si="23"/>
        <v/>
      </c>
    </row>
    <row r="726" spans="3:8" ht="30" customHeight="1" x14ac:dyDescent="0.25">
      <c r="C726" s="42">
        <v>722</v>
      </c>
      <c r="D726" s="67" t="str">
        <f>IF('Prod 1'!D726="","",'Prod 1'!D726)</f>
        <v/>
      </c>
      <c r="E726" s="64"/>
      <c r="F726" s="89" t="str">
        <f>IF(D726="","",E726*'Prod 1'!E726)</f>
        <v/>
      </c>
      <c r="G726" s="71" t="str">
        <f t="shared" si="22"/>
        <v/>
      </c>
      <c r="H726" s="59" t="str">
        <f t="shared" si="23"/>
        <v/>
      </c>
    </row>
    <row r="727" spans="3:8" ht="30" customHeight="1" x14ac:dyDescent="0.25">
      <c r="C727" s="42">
        <v>723</v>
      </c>
      <c r="D727" s="67" t="str">
        <f>IF('Prod 1'!D727="","",'Prod 1'!D727)</f>
        <v/>
      </c>
      <c r="E727" s="64"/>
      <c r="F727" s="89" t="str">
        <f>IF(D727="","",E727*'Prod 1'!E727)</f>
        <v/>
      </c>
      <c r="G727" s="71" t="str">
        <f t="shared" si="22"/>
        <v/>
      </c>
      <c r="H727" s="59" t="str">
        <f t="shared" si="23"/>
        <v/>
      </c>
    </row>
    <row r="728" spans="3:8" ht="30" customHeight="1" x14ac:dyDescent="0.25">
      <c r="C728" s="42">
        <v>724</v>
      </c>
      <c r="D728" s="67" t="str">
        <f>IF('Prod 1'!D728="","",'Prod 1'!D728)</f>
        <v/>
      </c>
      <c r="E728" s="64"/>
      <c r="F728" s="89" t="str">
        <f>IF(D728="","",E728*'Prod 1'!E728)</f>
        <v/>
      </c>
      <c r="G728" s="71" t="str">
        <f t="shared" si="22"/>
        <v/>
      </c>
      <c r="H728" s="59" t="str">
        <f t="shared" si="23"/>
        <v/>
      </c>
    </row>
    <row r="729" spans="3:8" ht="30" customHeight="1" x14ac:dyDescent="0.25">
      <c r="C729" s="42">
        <v>725</v>
      </c>
      <c r="D729" s="67" t="str">
        <f>IF('Prod 1'!D729="","",'Prod 1'!D729)</f>
        <v/>
      </c>
      <c r="E729" s="64"/>
      <c r="F729" s="89" t="str">
        <f>IF(D729="","",E729*'Prod 1'!E729)</f>
        <v/>
      </c>
      <c r="G729" s="71" t="str">
        <f t="shared" si="22"/>
        <v/>
      </c>
      <c r="H729" s="59" t="str">
        <f t="shared" si="23"/>
        <v/>
      </c>
    </row>
    <row r="730" spans="3:8" ht="30" customHeight="1" x14ac:dyDescent="0.25">
      <c r="C730" s="42">
        <v>726</v>
      </c>
      <c r="D730" s="67" t="str">
        <f>IF('Prod 1'!D730="","",'Prod 1'!D730)</f>
        <v/>
      </c>
      <c r="E730" s="64"/>
      <c r="F730" s="89" t="str">
        <f>IF(D730="","",E730*'Prod 1'!E730)</f>
        <v/>
      </c>
      <c r="G730" s="71" t="str">
        <f t="shared" si="22"/>
        <v/>
      </c>
      <c r="H730" s="59" t="str">
        <f t="shared" si="23"/>
        <v/>
      </c>
    </row>
    <row r="731" spans="3:8" ht="30" customHeight="1" x14ac:dyDescent="0.25">
      <c r="C731" s="42">
        <v>727</v>
      </c>
      <c r="D731" s="67" t="str">
        <f>IF('Prod 1'!D731="","",'Prod 1'!D731)</f>
        <v/>
      </c>
      <c r="E731" s="64"/>
      <c r="F731" s="89" t="str">
        <f>IF(D731="","",E731*'Prod 1'!E731)</f>
        <v/>
      </c>
      <c r="G731" s="71" t="str">
        <f t="shared" si="22"/>
        <v/>
      </c>
      <c r="H731" s="59" t="str">
        <f t="shared" si="23"/>
        <v/>
      </c>
    </row>
    <row r="732" spans="3:8" ht="30" customHeight="1" x14ac:dyDescent="0.25">
      <c r="C732" s="42">
        <v>728</v>
      </c>
      <c r="D732" s="67" t="str">
        <f>IF('Prod 1'!D732="","",'Prod 1'!D732)</f>
        <v/>
      </c>
      <c r="E732" s="64"/>
      <c r="F732" s="89" t="str">
        <f>IF(D732="","",E732*'Prod 1'!E732)</f>
        <v/>
      </c>
      <c r="G732" s="71" t="str">
        <f t="shared" si="22"/>
        <v/>
      </c>
      <c r="H732" s="59" t="str">
        <f t="shared" si="23"/>
        <v/>
      </c>
    </row>
    <row r="733" spans="3:8" ht="30" customHeight="1" x14ac:dyDescent="0.25">
      <c r="C733" s="42">
        <v>729</v>
      </c>
      <c r="D733" s="67" t="str">
        <f>IF('Prod 1'!D733="","",'Prod 1'!D733)</f>
        <v/>
      </c>
      <c r="E733" s="64"/>
      <c r="F733" s="89" t="str">
        <f>IF(D733="","",E733*'Prod 1'!E733)</f>
        <v/>
      </c>
      <c r="G733" s="71" t="str">
        <f t="shared" si="22"/>
        <v/>
      </c>
      <c r="H733" s="59" t="str">
        <f t="shared" si="23"/>
        <v/>
      </c>
    </row>
    <row r="734" spans="3:8" ht="30" customHeight="1" x14ac:dyDescent="0.25">
      <c r="C734" s="42">
        <v>730</v>
      </c>
      <c r="D734" s="67" t="str">
        <f>IF('Prod 1'!D734="","",'Prod 1'!D734)</f>
        <v/>
      </c>
      <c r="E734" s="64"/>
      <c r="F734" s="89" t="str">
        <f>IF(D734="","",E734*'Prod 1'!E734)</f>
        <v/>
      </c>
      <c r="G734" s="71" t="str">
        <f t="shared" si="22"/>
        <v/>
      </c>
      <c r="H734" s="59" t="str">
        <f t="shared" si="23"/>
        <v/>
      </c>
    </row>
    <row r="735" spans="3:8" ht="30" customHeight="1" x14ac:dyDescent="0.25">
      <c r="C735" s="42">
        <v>731</v>
      </c>
      <c r="D735" s="67" t="str">
        <f>IF('Prod 1'!D735="","",'Prod 1'!D735)</f>
        <v/>
      </c>
      <c r="E735" s="64"/>
      <c r="F735" s="89" t="str">
        <f>IF(D735="","",E735*'Prod 1'!E735)</f>
        <v/>
      </c>
      <c r="G735" s="71" t="str">
        <f t="shared" si="22"/>
        <v/>
      </c>
      <c r="H735" s="59" t="str">
        <f t="shared" si="23"/>
        <v/>
      </c>
    </row>
    <row r="736" spans="3:8" ht="30" customHeight="1" x14ac:dyDescent="0.25">
      <c r="C736" s="42">
        <v>732</v>
      </c>
      <c r="D736" s="67" t="str">
        <f>IF('Prod 1'!D736="","",'Prod 1'!D736)</f>
        <v/>
      </c>
      <c r="E736" s="64"/>
      <c r="F736" s="89" t="str">
        <f>IF(D736="","",E736*'Prod 1'!E736)</f>
        <v/>
      </c>
      <c r="G736" s="71" t="str">
        <f t="shared" si="22"/>
        <v/>
      </c>
      <c r="H736" s="59" t="str">
        <f t="shared" si="23"/>
        <v/>
      </c>
    </row>
    <row r="737" spans="3:8" ht="30" customHeight="1" x14ac:dyDescent="0.25">
      <c r="C737" s="42">
        <v>733</v>
      </c>
      <c r="D737" s="67" t="str">
        <f>IF('Prod 1'!D737="","",'Prod 1'!D737)</f>
        <v/>
      </c>
      <c r="E737" s="64"/>
      <c r="F737" s="89" t="str">
        <f>IF(D737="","",E737*'Prod 1'!E737)</f>
        <v/>
      </c>
      <c r="G737" s="71" t="str">
        <f t="shared" si="22"/>
        <v/>
      </c>
      <c r="H737" s="59" t="str">
        <f t="shared" si="23"/>
        <v/>
      </c>
    </row>
    <row r="738" spans="3:8" ht="30" customHeight="1" x14ac:dyDescent="0.25">
      <c r="C738" s="42">
        <v>734</v>
      </c>
      <c r="D738" s="67" t="str">
        <f>IF('Prod 1'!D738="","",'Prod 1'!D738)</f>
        <v/>
      </c>
      <c r="E738" s="64"/>
      <c r="F738" s="89" t="str">
        <f>IF(D738="","",E738*'Prod 1'!E738)</f>
        <v/>
      </c>
      <c r="G738" s="71" t="str">
        <f t="shared" si="22"/>
        <v/>
      </c>
      <c r="H738" s="59" t="str">
        <f t="shared" si="23"/>
        <v/>
      </c>
    </row>
    <row r="739" spans="3:8" ht="30" customHeight="1" x14ac:dyDescent="0.25">
      <c r="C739" s="42">
        <v>735</v>
      </c>
      <c r="D739" s="67" t="str">
        <f>IF('Prod 1'!D739="","",'Prod 1'!D739)</f>
        <v/>
      </c>
      <c r="E739" s="64"/>
      <c r="F739" s="89" t="str">
        <f>IF(D739="","",E739*'Prod 1'!E739)</f>
        <v/>
      </c>
      <c r="G739" s="71" t="str">
        <f t="shared" si="22"/>
        <v/>
      </c>
      <c r="H739" s="59" t="str">
        <f t="shared" si="23"/>
        <v/>
      </c>
    </row>
    <row r="740" spans="3:8" ht="30" customHeight="1" x14ac:dyDescent="0.25">
      <c r="C740" s="42">
        <v>736</v>
      </c>
      <c r="D740" s="67" t="str">
        <f>IF('Prod 1'!D740="","",'Prod 1'!D740)</f>
        <v/>
      </c>
      <c r="E740" s="64"/>
      <c r="F740" s="89" t="str">
        <f>IF(D740="","",E740*'Prod 1'!E740)</f>
        <v/>
      </c>
      <c r="G740" s="71" t="str">
        <f t="shared" si="22"/>
        <v/>
      </c>
      <c r="H740" s="59" t="str">
        <f t="shared" si="23"/>
        <v/>
      </c>
    </row>
    <row r="741" spans="3:8" ht="30" customHeight="1" x14ac:dyDescent="0.25">
      <c r="C741" s="42">
        <v>737</v>
      </c>
      <c r="D741" s="67" t="str">
        <f>IF('Prod 1'!D741="","",'Prod 1'!D741)</f>
        <v/>
      </c>
      <c r="E741" s="64"/>
      <c r="F741" s="89" t="str">
        <f>IF(D741="","",E741*'Prod 1'!E741)</f>
        <v/>
      </c>
      <c r="G741" s="71" t="str">
        <f t="shared" si="22"/>
        <v/>
      </c>
      <c r="H741" s="59" t="str">
        <f t="shared" si="23"/>
        <v/>
      </c>
    </row>
    <row r="742" spans="3:8" ht="30" customHeight="1" x14ac:dyDescent="0.25">
      <c r="C742" s="42">
        <v>738</v>
      </c>
      <c r="D742" s="67" t="str">
        <f>IF('Prod 1'!D742="","",'Prod 1'!D742)</f>
        <v/>
      </c>
      <c r="E742" s="64"/>
      <c r="F742" s="89" t="str">
        <f>IF(D742="","",E742*'Prod 1'!E742)</f>
        <v/>
      </c>
      <c r="G742" s="71" t="str">
        <f t="shared" si="22"/>
        <v/>
      </c>
      <c r="H742" s="59" t="str">
        <f t="shared" si="23"/>
        <v/>
      </c>
    </row>
    <row r="743" spans="3:8" ht="30" customHeight="1" x14ac:dyDescent="0.25">
      <c r="C743" s="42">
        <v>739</v>
      </c>
      <c r="D743" s="67" t="str">
        <f>IF('Prod 1'!D743="","",'Prod 1'!D743)</f>
        <v/>
      </c>
      <c r="E743" s="64"/>
      <c r="F743" s="89" t="str">
        <f>IF(D743="","",E743*'Prod 1'!E743)</f>
        <v/>
      </c>
      <c r="G743" s="71" t="str">
        <f t="shared" si="22"/>
        <v/>
      </c>
      <c r="H743" s="59" t="str">
        <f t="shared" si="23"/>
        <v/>
      </c>
    </row>
    <row r="744" spans="3:8" ht="30" customHeight="1" x14ac:dyDescent="0.25">
      <c r="C744" s="42">
        <v>740</v>
      </c>
      <c r="D744" s="67" t="str">
        <f>IF('Prod 1'!D744="","",'Prod 1'!D744)</f>
        <v/>
      </c>
      <c r="E744" s="64"/>
      <c r="F744" s="89" t="str">
        <f>IF(D744="","",E744*'Prod 1'!E744)</f>
        <v/>
      </c>
      <c r="G744" s="71" t="str">
        <f t="shared" si="22"/>
        <v/>
      </c>
      <c r="H744" s="59" t="str">
        <f t="shared" si="23"/>
        <v/>
      </c>
    </row>
    <row r="745" spans="3:8" ht="30" customHeight="1" x14ac:dyDescent="0.25">
      <c r="C745" s="42">
        <v>741</v>
      </c>
      <c r="D745" s="67" t="str">
        <f>IF('Prod 1'!D745="","",'Prod 1'!D745)</f>
        <v/>
      </c>
      <c r="E745" s="64"/>
      <c r="F745" s="89" t="str">
        <f>IF(D745="","",E745*'Prod 1'!E745)</f>
        <v/>
      </c>
      <c r="G745" s="71" t="str">
        <f t="shared" si="22"/>
        <v/>
      </c>
      <c r="H745" s="59" t="str">
        <f t="shared" si="23"/>
        <v/>
      </c>
    </row>
    <row r="746" spans="3:8" ht="30" customHeight="1" x14ac:dyDescent="0.25">
      <c r="C746" s="42">
        <v>742</v>
      </c>
      <c r="D746" s="67" t="str">
        <f>IF('Prod 1'!D746="","",'Prod 1'!D746)</f>
        <v/>
      </c>
      <c r="E746" s="64"/>
      <c r="F746" s="89" t="str">
        <f>IF(D746="","",E746*'Prod 1'!E746)</f>
        <v/>
      </c>
      <c r="G746" s="71" t="str">
        <f t="shared" si="22"/>
        <v/>
      </c>
      <c r="H746" s="59" t="str">
        <f t="shared" si="23"/>
        <v/>
      </c>
    </row>
    <row r="747" spans="3:8" ht="30" customHeight="1" x14ac:dyDescent="0.25">
      <c r="C747" s="42">
        <v>743</v>
      </c>
      <c r="D747" s="67" t="str">
        <f>IF('Prod 1'!D747="","",'Prod 1'!D747)</f>
        <v/>
      </c>
      <c r="E747" s="64"/>
      <c r="F747" s="89" t="str">
        <f>IF(D747="","",E747*'Prod 1'!E747)</f>
        <v/>
      </c>
      <c r="G747" s="71" t="str">
        <f t="shared" si="22"/>
        <v/>
      </c>
      <c r="H747" s="59" t="str">
        <f t="shared" si="23"/>
        <v/>
      </c>
    </row>
    <row r="748" spans="3:8" ht="30" customHeight="1" x14ac:dyDescent="0.25">
      <c r="C748" s="42">
        <v>744</v>
      </c>
      <c r="D748" s="67" t="str">
        <f>IF('Prod 1'!D748="","",'Prod 1'!D748)</f>
        <v/>
      </c>
      <c r="E748" s="64"/>
      <c r="F748" s="89" t="str">
        <f>IF(D748="","",E748*'Prod 1'!E748)</f>
        <v/>
      </c>
      <c r="G748" s="71" t="str">
        <f t="shared" si="22"/>
        <v/>
      </c>
      <c r="H748" s="59" t="str">
        <f t="shared" si="23"/>
        <v/>
      </c>
    </row>
    <row r="749" spans="3:8" ht="30" customHeight="1" x14ac:dyDescent="0.25">
      <c r="C749" s="42">
        <v>745</v>
      </c>
      <c r="D749" s="67" t="str">
        <f>IF('Prod 1'!D749="","",'Prod 1'!D749)</f>
        <v/>
      </c>
      <c r="E749" s="64"/>
      <c r="F749" s="89" t="str">
        <f>IF(D749="","",E749*'Prod 1'!E749)</f>
        <v/>
      </c>
      <c r="G749" s="71" t="str">
        <f t="shared" si="22"/>
        <v/>
      </c>
      <c r="H749" s="59" t="str">
        <f t="shared" si="23"/>
        <v/>
      </c>
    </row>
    <row r="750" spans="3:8" ht="30" customHeight="1" x14ac:dyDescent="0.25">
      <c r="C750" s="42">
        <v>746</v>
      </c>
      <c r="D750" s="67" t="str">
        <f>IF('Prod 1'!D750="","",'Prod 1'!D750)</f>
        <v/>
      </c>
      <c r="E750" s="64"/>
      <c r="F750" s="89" t="str">
        <f>IF(D750="","",E750*'Prod 1'!E750)</f>
        <v/>
      </c>
      <c r="G750" s="71" t="str">
        <f t="shared" si="22"/>
        <v/>
      </c>
      <c r="H750" s="59" t="str">
        <f t="shared" si="23"/>
        <v/>
      </c>
    </row>
    <row r="751" spans="3:8" ht="30" customHeight="1" x14ac:dyDescent="0.25">
      <c r="C751" s="42">
        <v>747</v>
      </c>
      <c r="D751" s="67" t="str">
        <f>IF('Prod 1'!D751="","",'Prod 1'!D751)</f>
        <v/>
      </c>
      <c r="E751" s="64"/>
      <c r="F751" s="89" t="str">
        <f>IF(D751="","",E751*'Prod 1'!E751)</f>
        <v/>
      </c>
      <c r="G751" s="71" t="str">
        <f t="shared" si="22"/>
        <v/>
      </c>
      <c r="H751" s="59" t="str">
        <f t="shared" si="23"/>
        <v/>
      </c>
    </row>
    <row r="752" spans="3:8" ht="30" customHeight="1" x14ac:dyDescent="0.25">
      <c r="C752" s="42">
        <v>748</v>
      </c>
      <c r="D752" s="67" t="str">
        <f>IF('Prod 1'!D752="","",'Prod 1'!D752)</f>
        <v/>
      </c>
      <c r="E752" s="64"/>
      <c r="F752" s="89" t="str">
        <f>IF(D752="","",E752*'Prod 1'!E752)</f>
        <v/>
      </c>
      <c r="G752" s="71" t="str">
        <f t="shared" si="22"/>
        <v/>
      </c>
      <c r="H752" s="59" t="str">
        <f t="shared" si="23"/>
        <v/>
      </c>
    </row>
    <row r="753" spans="3:8" ht="30" customHeight="1" x14ac:dyDescent="0.25">
      <c r="C753" s="42">
        <v>749</v>
      </c>
      <c r="D753" s="67" t="str">
        <f>IF('Prod 1'!D753="","",'Prod 1'!D753)</f>
        <v/>
      </c>
      <c r="E753" s="64"/>
      <c r="F753" s="89" t="str">
        <f>IF(D753="","",E753*'Prod 1'!E753)</f>
        <v/>
      </c>
      <c r="G753" s="71" t="str">
        <f t="shared" si="22"/>
        <v/>
      </c>
      <c r="H753" s="59" t="str">
        <f t="shared" si="23"/>
        <v/>
      </c>
    </row>
    <row r="754" spans="3:8" ht="30" customHeight="1" x14ac:dyDescent="0.25">
      <c r="C754" s="42">
        <v>750</v>
      </c>
      <c r="D754" s="67" t="str">
        <f>IF('Prod 1'!D754="","",'Prod 1'!D754)</f>
        <v/>
      </c>
      <c r="E754" s="64"/>
      <c r="F754" s="89" t="str">
        <f>IF(D754="","",E754*'Prod 1'!E754)</f>
        <v/>
      </c>
      <c r="G754" s="71" t="str">
        <f t="shared" si="22"/>
        <v/>
      </c>
      <c r="H754" s="59" t="str">
        <f t="shared" si="23"/>
        <v/>
      </c>
    </row>
    <row r="755" spans="3:8" ht="30" customHeight="1" x14ac:dyDescent="0.25">
      <c r="C755" s="42">
        <v>751</v>
      </c>
      <c r="D755" s="67" t="str">
        <f>IF('Prod 1'!D755="","",'Prod 1'!D755)</f>
        <v/>
      </c>
      <c r="E755" s="64"/>
      <c r="F755" s="89" t="str">
        <f>IF(D755="","",E755*'Prod 1'!E755)</f>
        <v/>
      </c>
      <c r="G755" s="71" t="str">
        <f t="shared" si="22"/>
        <v/>
      </c>
      <c r="H755" s="59" t="str">
        <f t="shared" si="23"/>
        <v/>
      </c>
    </row>
    <row r="756" spans="3:8" ht="30" customHeight="1" x14ac:dyDescent="0.25">
      <c r="C756" s="42">
        <v>752</v>
      </c>
      <c r="D756" s="67" t="str">
        <f>IF('Prod 1'!D756="","",'Prod 1'!D756)</f>
        <v/>
      </c>
      <c r="E756" s="64"/>
      <c r="F756" s="89" t="str">
        <f>IF(D756="","",E756*'Prod 1'!E756)</f>
        <v/>
      </c>
      <c r="G756" s="71" t="str">
        <f t="shared" si="22"/>
        <v/>
      </c>
      <c r="H756" s="59" t="str">
        <f t="shared" si="23"/>
        <v/>
      </c>
    </row>
    <row r="757" spans="3:8" ht="30" customHeight="1" x14ac:dyDescent="0.25">
      <c r="C757" s="42">
        <v>753</v>
      </c>
      <c r="D757" s="67" t="str">
        <f>IF('Prod 1'!D757="","",'Prod 1'!D757)</f>
        <v/>
      </c>
      <c r="E757" s="64"/>
      <c r="F757" s="89" t="str">
        <f>IF(D757="","",E757*'Prod 1'!E757)</f>
        <v/>
      </c>
      <c r="G757" s="71" t="str">
        <f t="shared" si="22"/>
        <v/>
      </c>
      <c r="H757" s="59" t="str">
        <f t="shared" si="23"/>
        <v/>
      </c>
    </row>
    <row r="758" spans="3:8" ht="30" customHeight="1" x14ac:dyDescent="0.25">
      <c r="C758" s="42">
        <v>754</v>
      </c>
      <c r="D758" s="67" t="str">
        <f>IF('Prod 1'!D758="","",'Prod 1'!D758)</f>
        <v/>
      </c>
      <c r="E758" s="64"/>
      <c r="F758" s="89" t="str">
        <f>IF(D758="","",E758*'Prod 1'!E758)</f>
        <v/>
      </c>
      <c r="G758" s="71" t="str">
        <f t="shared" si="22"/>
        <v/>
      </c>
      <c r="H758" s="59" t="str">
        <f t="shared" si="23"/>
        <v/>
      </c>
    </row>
    <row r="759" spans="3:8" ht="30" customHeight="1" x14ac:dyDescent="0.25">
      <c r="C759" s="42">
        <v>755</v>
      </c>
      <c r="D759" s="67" t="str">
        <f>IF('Prod 1'!D759="","",'Prod 1'!D759)</f>
        <v/>
      </c>
      <c r="E759" s="64"/>
      <c r="F759" s="89" t="str">
        <f>IF(D759="","",E759*'Prod 1'!E759)</f>
        <v/>
      </c>
      <c r="G759" s="71" t="str">
        <f t="shared" si="22"/>
        <v/>
      </c>
      <c r="H759" s="59" t="str">
        <f t="shared" si="23"/>
        <v/>
      </c>
    </row>
    <row r="760" spans="3:8" ht="30" customHeight="1" x14ac:dyDescent="0.25">
      <c r="C760" s="42">
        <v>756</v>
      </c>
      <c r="D760" s="67" t="str">
        <f>IF('Prod 1'!D760="","",'Prod 1'!D760)</f>
        <v/>
      </c>
      <c r="E760" s="64"/>
      <c r="F760" s="89" t="str">
        <f>IF(D760="","",E760*'Prod 1'!E760)</f>
        <v/>
      </c>
      <c r="G760" s="71" t="str">
        <f t="shared" si="22"/>
        <v/>
      </c>
      <c r="H760" s="59" t="str">
        <f t="shared" si="23"/>
        <v/>
      </c>
    </row>
    <row r="761" spans="3:8" ht="30" customHeight="1" x14ac:dyDescent="0.25">
      <c r="C761" s="42">
        <v>757</v>
      </c>
      <c r="D761" s="67" t="str">
        <f>IF('Prod 1'!D761="","",'Prod 1'!D761)</f>
        <v/>
      </c>
      <c r="E761" s="64"/>
      <c r="F761" s="89" t="str">
        <f>IF(D761="","",E761*'Prod 1'!E761)</f>
        <v/>
      </c>
      <c r="G761" s="71" t="str">
        <f t="shared" si="22"/>
        <v/>
      </c>
      <c r="H761" s="59" t="str">
        <f t="shared" si="23"/>
        <v/>
      </c>
    </row>
    <row r="762" spans="3:8" ht="30" customHeight="1" x14ac:dyDescent="0.25">
      <c r="C762" s="42">
        <v>758</v>
      </c>
      <c r="D762" s="67" t="str">
        <f>IF('Prod 1'!D762="","",'Prod 1'!D762)</f>
        <v/>
      </c>
      <c r="E762" s="64"/>
      <c r="F762" s="89" t="str">
        <f>IF(D762="","",E762*'Prod 1'!E762)</f>
        <v/>
      </c>
      <c r="G762" s="71" t="str">
        <f t="shared" si="22"/>
        <v/>
      </c>
      <c r="H762" s="59" t="str">
        <f t="shared" si="23"/>
        <v/>
      </c>
    </row>
    <row r="763" spans="3:8" ht="30" customHeight="1" x14ac:dyDescent="0.25">
      <c r="C763" s="42">
        <v>759</v>
      </c>
      <c r="D763" s="67" t="str">
        <f>IF('Prod 1'!D763="","",'Prod 1'!D763)</f>
        <v/>
      </c>
      <c r="E763" s="64"/>
      <c r="F763" s="89" t="str">
        <f>IF(D763="","",E763*'Prod 1'!E763)</f>
        <v/>
      </c>
      <c r="G763" s="71" t="str">
        <f t="shared" si="22"/>
        <v/>
      </c>
      <c r="H763" s="59" t="str">
        <f t="shared" si="23"/>
        <v/>
      </c>
    </row>
    <row r="764" spans="3:8" ht="30" customHeight="1" x14ac:dyDescent="0.25">
      <c r="C764" s="42">
        <v>760</v>
      </c>
      <c r="D764" s="67" t="str">
        <f>IF('Prod 1'!D764="","",'Prod 1'!D764)</f>
        <v/>
      </c>
      <c r="E764" s="64"/>
      <c r="F764" s="89" t="str">
        <f>IF(D764="","",E764*'Prod 1'!E764)</f>
        <v/>
      </c>
      <c r="G764" s="71" t="str">
        <f t="shared" si="22"/>
        <v/>
      </c>
      <c r="H764" s="59" t="str">
        <f t="shared" si="23"/>
        <v/>
      </c>
    </row>
    <row r="765" spans="3:8" ht="30" customHeight="1" x14ac:dyDescent="0.25">
      <c r="C765" s="42">
        <v>761</v>
      </c>
      <c r="D765" s="67" t="str">
        <f>IF('Prod 1'!D765="","",'Prod 1'!D765)</f>
        <v/>
      </c>
      <c r="E765" s="64"/>
      <c r="F765" s="89" t="str">
        <f>IF(D765="","",E765*'Prod 1'!E765)</f>
        <v/>
      </c>
      <c r="G765" s="71" t="str">
        <f t="shared" si="22"/>
        <v/>
      </c>
      <c r="H765" s="59" t="str">
        <f t="shared" si="23"/>
        <v/>
      </c>
    </row>
    <row r="766" spans="3:8" ht="30" customHeight="1" x14ac:dyDescent="0.25">
      <c r="C766" s="42">
        <v>762</v>
      </c>
      <c r="D766" s="67" t="str">
        <f>IF('Prod 1'!D766="","",'Prod 1'!D766)</f>
        <v/>
      </c>
      <c r="E766" s="64"/>
      <c r="F766" s="89" t="str">
        <f>IF(D766="","",E766*'Prod 1'!E766)</f>
        <v/>
      </c>
      <c r="G766" s="71" t="str">
        <f t="shared" si="22"/>
        <v/>
      </c>
      <c r="H766" s="59" t="str">
        <f t="shared" si="23"/>
        <v/>
      </c>
    </row>
    <row r="767" spans="3:8" ht="30" customHeight="1" x14ac:dyDescent="0.25">
      <c r="C767" s="42">
        <v>763</v>
      </c>
      <c r="D767" s="67" t="str">
        <f>IF('Prod 1'!D767="","",'Prod 1'!D767)</f>
        <v/>
      </c>
      <c r="E767" s="64"/>
      <c r="F767" s="89" t="str">
        <f>IF(D767="","",E767*'Prod 1'!E767)</f>
        <v/>
      </c>
      <c r="G767" s="71" t="str">
        <f t="shared" si="22"/>
        <v/>
      </c>
      <c r="H767" s="59" t="str">
        <f t="shared" si="23"/>
        <v/>
      </c>
    </row>
    <row r="768" spans="3:8" ht="30" customHeight="1" x14ac:dyDescent="0.25">
      <c r="C768" s="42">
        <v>764</v>
      </c>
      <c r="D768" s="67" t="str">
        <f>IF('Prod 1'!D768="","",'Prod 1'!D768)</f>
        <v/>
      </c>
      <c r="E768" s="64"/>
      <c r="F768" s="89" t="str">
        <f>IF(D768="","",E768*'Prod 1'!E768)</f>
        <v/>
      </c>
      <c r="G768" s="71" t="str">
        <f t="shared" si="22"/>
        <v/>
      </c>
      <c r="H768" s="59" t="str">
        <f t="shared" si="23"/>
        <v/>
      </c>
    </row>
    <row r="769" spans="3:8" ht="30" customHeight="1" x14ac:dyDescent="0.25">
      <c r="C769" s="42">
        <v>765</v>
      </c>
      <c r="D769" s="67" t="str">
        <f>IF('Prod 1'!D769="","",'Prod 1'!D769)</f>
        <v/>
      </c>
      <c r="E769" s="64"/>
      <c r="F769" s="89" t="str">
        <f>IF(D769="","",E769*'Prod 1'!E769)</f>
        <v/>
      </c>
      <c r="G769" s="71" t="str">
        <f t="shared" si="22"/>
        <v/>
      </c>
      <c r="H769" s="59" t="str">
        <f t="shared" si="23"/>
        <v/>
      </c>
    </row>
    <row r="770" spans="3:8" ht="30" customHeight="1" x14ac:dyDescent="0.25">
      <c r="C770" s="42">
        <v>766</v>
      </c>
      <c r="D770" s="67" t="str">
        <f>IF('Prod 1'!D770="","",'Prod 1'!D770)</f>
        <v/>
      </c>
      <c r="E770" s="64"/>
      <c r="F770" s="89" t="str">
        <f>IF(D770="","",E770*'Prod 1'!E770)</f>
        <v/>
      </c>
      <c r="G770" s="71" t="str">
        <f t="shared" si="22"/>
        <v/>
      </c>
      <c r="H770" s="59" t="str">
        <f t="shared" si="23"/>
        <v/>
      </c>
    </row>
    <row r="771" spans="3:8" ht="30" customHeight="1" x14ac:dyDescent="0.25">
      <c r="C771" s="42">
        <v>767</v>
      </c>
      <c r="D771" s="67" t="str">
        <f>IF('Prod 1'!D771="","",'Prod 1'!D771)</f>
        <v/>
      </c>
      <c r="E771" s="64"/>
      <c r="F771" s="89" t="str">
        <f>IF(D771="","",E771*'Prod 1'!E771)</f>
        <v/>
      </c>
      <c r="G771" s="71" t="str">
        <f t="shared" si="22"/>
        <v/>
      </c>
      <c r="H771" s="59" t="str">
        <f t="shared" si="23"/>
        <v/>
      </c>
    </row>
    <row r="772" spans="3:8" ht="30" customHeight="1" x14ac:dyDescent="0.25">
      <c r="C772" s="42">
        <v>768</v>
      </c>
      <c r="D772" s="67" t="str">
        <f>IF('Prod 1'!D772="","",'Prod 1'!D772)</f>
        <v/>
      </c>
      <c r="E772" s="64"/>
      <c r="F772" s="89" t="str">
        <f>IF(D772="","",E772*'Prod 1'!E772)</f>
        <v/>
      </c>
      <c r="G772" s="71" t="str">
        <f t="shared" si="22"/>
        <v/>
      </c>
      <c r="H772" s="59" t="str">
        <f t="shared" si="23"/>
        <v/>
      </c>
    </row>
    <row r="773" spans="3:8" ht="30" customHeight="1" x14ac:dyDescent="0.25">
      <c r="C773" s="42">
        <v>769</v>
      </c>
      <c r="D773" s="67" t="str">
        <f>IF('Prod 1'!D773="","",'Prod 1'!D773)</f>
        <v/>
      </c>
      <c r="E773" s="64"/>
      <c r="F773" s="89" t="str">
        <f>IF(D773="","",E773*'Prod 1'!E773)</f>
        <v/>
      </c>
      <c r="G773" s="71" t="str">
        <f t="shared" ref="G773:G836" si="24">IF(D773="","",IFERROR(F773/$H$3,0))</f>
        <v/>
      </c>
      <c r="H773" s="59" t="str">
        <f t="shared" ref="H773:H836" si="25">F773</f>
        <v/>
      </c>
    </row>
    <row r="774" spans="3:8" ht="30" customHeight="1" x14ac:dyDescent="0.25">
      <c r="C774" s="42">
        <v>770</v>
      </c>
      <c r="D774" s="67" t="str">
        <f>IF('Prod 1'!D774="","",'Prod 1'!D774)</f>
        <v/>
      </c>
      <c r="E774" s="64"/>
      <c r="F774" s="89" t="str">
        <f>IF(D774="","",E774*'Prod 1'!E774)</f>
        <v/>
      </c>
      <c r="G774" s="71" t="str">
        <f t="shared" si="24"/>
        <v/>
      </c>
      <c r="H774" s="59" t="str">
        <f t="shared" si="25"/>
        <v/>
      </c>
    </row>
    <row r="775" spans="3:8" ht="30" customHeight="1" x14ac:dyDescent="0.25">
      <c r="C775" s="42">
        <v>771</v>
      </c>
      <c r="D775" s="67" t="str">
        <f>IF('Prod 1'!D775="","",'Prod 1'!D775)</f>
        <v/>
      </c>
      <c r="E775" s="64"/>
      <c r="F775" s="89" t="str">
        <f>IF(D775="","",E775*'Prod 1'!E775)</f>
        <v/>
      </c>
      <c r="G775" s="71" t="str">
        <f t="shared" si="24"/>
        <v/>
      </c>
      <c r="H775" s="59" t="str">
        <f t="shared" si="25"/>
        <v/>
      </c>
    </row>
    <row r="776" spans="3:8" ht="30" customHeight="1" x14ac:dyDescent="0.25">
      <c r="C776" s="42">
        <v>772</v>
      </c>
      <c r="D776" s="67" t="str">
        <f>IF('Prod 1'!D776="","",'Prod 1'!D776)</f>
        <v/>
      </c>
      <c r="E776" s="64"/>
      <c r="F776" s="89" t="str">
        <f>IF(D776="","",E776*'Prod 1'!E776)</f>
        <v/>
      </c>
      <c r="G776" s="71" t="str">
        <f t="shared" si="24"/>
        <v/>
      </c>
      <c r="H776" s="59" t="str">
        <f t="shared" si="25"/>
        <v/>
      </c>
    </row>
    <row r="777" spans="3:8" ht="30" customHeight="1" x14ac:dyDescent="0.25">
      <c r="C777" s="42">
        <v>773</v>
      </c>
      <c r="D777" s="67" t="str">
        <f>IF('Prod 1'!D777="","",'Prod 1'!D777)</f>
        <v/>
      </c>
      <c r="E777" s="64"/>
      <c r="F777" s="89" t="str">
        <f>IF(D777="","",E777*'Prod 1'!E777)</f>
        <v/>
      </c>
      <c r="G777" s="71" t="str">
        <f t="shared" si="24"/>
        <v/>
      </c>
      <c r="H777" s="59" t="str">
        <f t="shared" si="25"/>
        <v/>
      </c>
    </row>
    <row r="778" spans="3:8" ht="30" customHeight="1" x14ac:dyDescent="0.25">
      <c r="C778" s="42">
        <v>774</v>
      </c>
      <c r="D778" s="67" t="str">
        <f>IF('Prod 1'!D778="","",'Prod 1'!D778)</f>
        <v/>
      </c>
      <c r="E778" s="64"/>
      <c r="F778" s="89" t="str">
        <f>IF(D778="","",E778*'Prod 1'!E778)</f>
        <v/>
      </c>
      <c r="G778" s="71" t="str">
        <f t="shared" si="24"/>
        <v/>
      </c>
      <c r="H778" s="59" t="str">
        <f t="shared" si="25"/>
        <v/>
      </c>
    </row>
    <row r="779" spans="3:8" ht="30" customHeight="1" x14ac:dyDescent="0.25">
      <c r="C779" s="42">
        <v>775</v>
      </c>
      <c r="D779" s="67" t="str">
        <f>IF('Prod 1'!D779="","",'Prod 1'!D779)</f>
        <v/>
      </c>
      <c r="E779" s="64"/>
      <c r="F779" s="89" t="str">
        <f>IF(D779="","",E779*'Prod 1'!E779)</f>
        <v/>
      </c>
      <c r="G779" s="71" t="str">
        <f t="shared" si="24"/>
        <v/>
      </c>
      <c r="H779" s="59" t="str">
        <f t="shared" si="25"/>
        <v/>
      </c>
    </row>
    <row r="780" spans="3:8" ht="30" customHeight="1" x14ac:dyDescent="0.25">
      <c r="C780" s="42">
        <v>776</v>
      </c>
      <c r="D780" s="67" t="str">
        <f>IF('Prod 1'!D780="","",'Prod 1'!D780)</f>
        <v/>
      </c>
      <c r="E780" s="64"/>
      <c r="F780" s="89" t="str">
        <f>IF(D780="","",E780*'Prod 1'!E780)</f>
        <v/>
      </c>
      <c r="G780" s="71" t="str">
        <f t="shared" si="24"/>
        <v/>
      </c>
      <c r="H780" s="59" t="str">
        <f t="shared" si="25"/>
        <v/>
      </c>
    </row>
    <row r="781" spans="3:8" ht="30" customHeight="1" x14ac:dyDescent="0.25">
      <c r="C781" s="42">
        <v>777</v>
      </c>
      <c r="D781" s="67" t="str">
        <f>IF('Prod 1'!D781="","",'Prod 1'!D781)</f>
        <v/>
      </c>
      <c r="E781" s="64"/>
      <c r="F781" s="89" t="str">
        <f>IF(D781="","",E781*'Prod 1'!E781)</f>
        <v/>
      </c>
      <c r="G781" s="71" t="str">
        <f t="shared" si="24"/>
        <v/>
      </c>
      <c r="H781" s="59" t="str">
        <f t="shared" si="25"/>
        <v/>
      </c>
    </row>
    <row r="782" spans="3:8" ht="30" customHeight="1" x14ac:dyDescent="0.25">
      <c r="C782" s="42">
        <v>778</v>
      </c>
      <c r="D782" s="67" t="str">
        <f>IF('Prod 1'!D782="","",'Prod 1'!D782)</f>
        <v/>
      </c>
      <c r="E782" s="64"/>
      <c r="F782" s="89" t="str">
        <f>IF(D782="","",E782*'Prod 1'!E782)</f>
        <v/>
      </c>
      <c r="G782" s="71" t="str">
        <f t="shared" si="24"/>
        <v/>
      </c>
      <c r="H782" s="59" t="str">
        <f t="shared" si="25"/>
        <v/>
      </c>
    </row>
    <row r="783" spans="3:8" ht="30" customHeight="1" x14ac:dyDescent="0.25">
      <c r="C783" s="42">
        <v>779</v>
      </c>
      <c r="D783" s="67" t="str">
        <f>IF('Prod 1'!D783="","",'Prod 1'!D783)</f>
        <v/>
      </c>
      <c r="E783" s="64"/>
      <c r="F783" s="89" t="str">
        <f>IF(D783="","",E783*'Prod 1'!E783)</f>
        <v/>
      </c>
      <c r="G783" s="71" t="str">
        <f t="shared" si="24"/>
        <v/>
      </c>
      <c r="H783" s="59" t="str">
        <f t="shared" si="25"/>
        <v/>
      </c>
    </row>
    <row r="784" spans="3:8" ht="30" customHeight="1" x14ac:dyDescent="0.25">
      <c r="C784" s="42">
        <v>780</v>
      </c>
      <c r="D784" s="67" t="str">
        <f>IF('Prod 1'!D784="","",'Prod 1'!D784)</f>
        <v/>
      </c>
      <c r="E784" s="64"/>
      <c r="F784" s="89" t="str">
        <f>IF(D784="","",E784*'Prod 1'!E784)</f>
        <v/>
      </c>
      <c r="G784" s="71" t="str">
        <f t="shared" si="24"/>
        <v/>
      </c>
      <c r="H784" s="59" t="str">
        <f t="shared" si="25"/>
        <v/>
      </c>
    </row>
    <row r="785" spans="3:8" ht="30" customHeight="1" x14ac:dyDescent="0.25">
      <c r="C785" s="42">
        <v>781</v>
      </c>
      <c r="D785" s="67" t="str">
        <f>IF('Prod 1'!D785="","",'Prod 1'!D785)</f>
        <v/>
      </c>
      <c r="E785" s="64"/>
      <c r="F785" s="89" t="str">
        <f>IF(D785="","",E785*'Prod 1'!E785)</f>
        <v/>
      </c>
      <c r="G785" s="71" t="str">
        <f t="shared" si="24"/>
        <v/>
      </c>
      <c r="H785" s="59" t="str">
        <f t="shared" si="25"/>
        <v/>
      </c>
    </row>
    <row r="786" spans="3:8" ht="30" customHeight="1" x14ac:dyDescent="0.25">
      <c r="C786" s="42">
        <v>782</v>
      </c>
      <c r="D786" s="67" t="str">
        <f>IF('Prod 1'!D786="","",'Prod 1'!D786)</f>
        <v/>
      </c>
      <c r="E786" s="64"/>
      <c r="F786" s="89" t="str">
        <f>IF(D786="","",E786*'Prod 1'!E786)</f>
        <v/>
      </c>
      <c r="G786" s="71" t="str">
        <f t="shared" si="24"/>
        <v/>
      </c>
      <c r="H786" s="59" t="str">
        <f t="shared" si="25"/>
        <v/>
      </c>
    </row>
    <row r="787" spans="3:8" ht="30" customHeight="1" x14ac:dyDescent="0.25">
      <c r="C787" s="42">
        <v>783</v>
      </c>
      <c r="D787" s="67" t="str">
        <f>IF('Prod 1'!D787="","",'Prod 1'!D787)</f>
        <v/>
      </c>
      <c r="E787" s="64"/>
      <c r="F787" s="89" t="str">
        <f>IF(D787="","",E787*'Prod 1'!E787)</f>
        <v/>
      </c>
      <c r="G787" s="71" t="str">
        <f t="shared" si="24"/>
        <v/>
      </c>
      <c r="H787" s="59" t="str">
        <f t="shared" si="25"/>
        <v/>
      </c>
    </row>
    <row r="788" spans="3:8" ht="30" customHeight="1" x14ac:dyDescent="0.25">
      <c r="C788" s="42">
        <v>784</v>
      </c>
      <c r="D788" s="67" t="str">
        <f>IF('Prod 1'!D788="","",'Prod 1'!D788)</f>
        <v/>
      </c>
      <c r="E788" s="64"/>
      <c r="F788" s="89" t="str">
        <f>IF(D788="","",E788*'Prod 1'!E788)</f>
        <v/>
      </c>
      <c r="G788" s="71" t="str">
        <f t="shared" si="24"/>
        <v/>
      </c>
      <c r="H788" s="59" t="str">
        <f t="shared" si="25"/>
        <v/>
      </c>
    </row>
    <row r="789" spans="3:8" ht="30" customHeight="1" x14ac:dyDescent="0.25">
      <c r="C789" s="42">
        <v>785</v>
      </c>
      <c r="D789" s="67" t="str">
        <f>IF('Prod 1'!D789="","",'Prod 1'!D789)</f>
        <v/>
      </c>
      <c r="E789" s="64"/>
      <c r="F789" s="89" t="str">
        <f>IF(D789="","",E789*'Prod 1'!E789)</f>
        <v/>
      </c>
      <c r="G789" s="71" t="str">
        <f t="shared" si="24"/>
        <v/>
      </c>
      <c r="H789" s="59" t="str">
        <f t="shared" si="25"/>
        <v/>
      </c>
    </row>
    <row r="790" spans="3:8" ht="30" customHeight="1" x14ac:dyDescent="0.25">
      <c r="C790" s="42">
        <v>786</v>
      </c>
      <c r="D790" s="67" t="str">
        <f>IF('Prod 1'!D790="","",'Prod 1'!D790)</f>
        <v/>
      </c>
      <c r="E790" s="64"/>
      <c r="F790" s="89" t="str">
        <f>IF(D790="","",E790*'Prod 1'!E790)</f>
        <v/>
      </c>
      <c r="G790" s="71" t="str">
        <f t="shared" si="24"/>
        <v/>
      </c>
      <c r="H790" s="59" t="str">
        <f t="shared" si="25"/>
        <v/>
      </c>
    </row>
    <row r="791" spans="3:8" ht="30" customHeight="1" x14ac:dyDescent="0.25">
      <c r="C791" s="42">
        <v>787</v>
      </c>
      <c r="D791" s="67" t="str">
        <f>IF('Prod 1'!D791="","",'Prod 1'!D791)</f>
        <v/>
      </c>
      <c r="E791" s="64"/>
      <c r="F791" s="89" t="str">
        <f>IF(D791="","",E791*'Prod 1'!E791)</f>
        <v/>
      </c>
      <c r="G791" s="71" t="str">
        <f t="shared" si="24"/>
        <v/>
      </c>
      <c r="H791" s="59" t="str">
        <f t="shared" si="25"/>
        <v/>
      </c>
    </row>
    <row r="792" spans="3:8" ht="30" customHeight="1" x14ac:dyDescent="0.25">
      <c r="C792" s="42">
        <v>788</v>
      </c>
      <c r="D792" s="67" t="str">
        <f>IF('Prod 1'!D792="","",'Prod 1'!D792)</f>
        <v/>
      </c>
      <c r="E792" s="64"/>
      <c r="F792" s="89" t="str">
        <f>IF(D792="","",E792*'Prod 1'!E792)</f>
        <v/>
      </c>
      <c r="G792" s="71" t="str">
        <f t="shared" si="24"/>
        <v/>
      </c>
      <c r="H792" s="59" t="str">
        <f t="shared" si="25"/>
        <v/>
      </c>
    </row>
    <row r="793" spans="3:8" ht="30" customHeight="1" x14ac:dyDescent="0.25">
      <c r="C793" s="42">
        <v>789</v>
      </c>
      <c r="D793" s="67" t="str">
        <f>IF('Prod 1'!D793="","",'Prod 1'!D793)</f>
        <v/>
      </c>
      <c r="E793" s="64"/>
      <c r="F793" s="89" t="str">
        <f>IF(D793="","",E793*'Prod 1'!E793)</f>
        <v/>
      </c>
      <c r="G793" s="71" t="str">
        <f t="shared" si="24"/>
        <v/>
      </c>
      <c r="H793" s="59" t="str">
        <f t="shared" si="25"/>
        <v/>
      </c>
    </row>
    <row r="794" spans="3:8" ht="30" customHeight="1" x14ac:dyDescent="0.25">
      <c r="C794" s="42">
        <v>790</v>
      </c>
      <c r="D794" s="67" t="str">
        <f>IF('Prod 1'!D794="","",'Prod 1'!D794)</f>
        <v/>
      </c>
      <c r="E794" s="64"/>
      <c r="F794" s="89" t="str">
        <f>IF(D794="","",E794*'Prod 1'!E794)</f>
        <v/>
      </c>
      <c r="G794" s="71" t="str">
        <f t="shared" si="24"/>
        <v/>
      </c>
      <c r="H794" s="59" t="str">
        <f t="shared" si="25"/>
        <v/>
      </c>
    </row>
    <row r="795" spans="3:8" ht="30" customHeight="1" x14ac:dyDescent="0.25">
      <c r="C795" s="42">
        <v>791</v>
      </c>
      <c r="D795" s="67" t="str">
        <f>IF('Prod 1'!D795="","",'Prod 1'!D795)</f>
        <v/>
      </c>
      <c r="E795" s="64"/>
      <c r="F795" s="89" t="str">
        <f>IF(D795="","",E795*'Prod 1'!E795)</f>
        <v/>
      </c>
      <c r="G795" s="71" t="str">
        <f t="shared" si="24"/>
        <v/>
      </c>
      <c r="H795" s="59" t="str">
        <f t="shared" si="25"/>
        <v/>
      </c>
    </row>
    <row r="796" spans="3:8" ht="30" customHeight="1" x14ac:dyDescent="0.25">
      <c r="C796" s="42">
        <v>792</v>
      </c>
      <c r="D796" s="67" t="str">
        <f>IF('Prod 1'!D796="","",'Prod 1'!D796)</f>
        <v/>
      </c>
      <c r="E796" s="64"/>
      <c r="F796" s="89" t="str">
        <f>IF(D796="","",E796*'Prod 1'!E796)</f>
        <v/>
      </c>
      <c r="G796" s="71" t="str">
        <f t="shared" si="24"/>
        <v/>
      </c>
      <c r="H796" s="59" t="str">
        <f t="shared" si="25"/>
        <v/>
      </c>
    </row>
    <row r="797" spans="3:8" ht="30" customHeight="1" x14ac:dyDescent="0.25">
      <c r="C797" s="42">
        <v>793</v>
      </c>
      <c r="D797" s="67" t="str">
        <f>IF('Prod 1'!D797="","",'Prod 1'!D797)</f>
        <v/>
      </c>
      <c r="E797" s="64"/>
      <c r="F797" s="89" t="str">
        <f>IF(D797="","",E797*'Prod 1'!E797)</f>
        <v/>
      </c>
      <c r="G797" s="71" t="str">
        <f t="shared" si="24"/>
        <v/>
      </c>
      <c r="H797" s="59" t="str">
        <f t="shared" si="25"/>
        <v/>
      </c>
    </row>
    <row r="798" spans="3:8" ht="30" customHeight="1" x14ac:dyDescent="0.25">
      <c r="C798" s="42">
        <v>794</v>
      </c>
      <c r="D798" s="67" t="str">
        <f>IF('Prod 1'!D798="","",'Prod 1'!D798)</f>
        <v/>
      </c>
      <c r="E798" s="64"/>
      <c r="F798" s="89" t="str">
        <f>IF(D798="","",E798*'Prod 1'!E798)</f>
        <v/>
      </c>
      <c r="G798" s="71" t="str">
        <f t="shared" si="24"/>
        <v/>
      </c>
      <c r="H798" s="59" t="str">
        <f t="shared" si="25"/>
        <v/>
      </c>
    </row>
    <row r="799" spans="3:8" ht="30" customHeight="1" x14ac:dyDescent="0.25">
      <c r="C799" s="42">
        <v>795</v>
      </c>
      <c r="D799" s="67" t="str">
        <f>IF('Prod 1'!D799="","",'Prod 1'!D799)</f>
        <v/>
      </c>
      <c r="E799" s="64"/>
      <c r="F799" s="89" t="str">
        <f>IF(D799="","",E799*'Prod 1'!E799)</f>
        <v/>
      </c>
      <c r="G799" s="71" t="str">
        <f t="shared" si="24"/>
        <v/>
      </c>
      <c r="H799" s="59" t="str">
        <f t="shared" si="25"/>
        <v/>
      </c>
    </row>
    <row r="800" spans="3:8" ht="30" customHeight="1" x14ac:dyDescent="0.25">
      <c r="C800" s="42">
        <v>796</v>
      </c>
      <c r="D800" s="67" t="str">
        <f>IF('Prod 1'!D800="","",'Prod 1'!D800)</f>
        <v/>
      </c>
      <c r="E800" s="64"/>
      <c r="F800" s="89" t="str">
        <f>IF(D800="","",E800*'Prod 1'!E800)</f>
        <v/>
      </c>
      <c r="G800" s="71" t="str">
        <f t="shared" si="24"/>
        <v/>
      </c>
      <c r="H800" s="59" t="str">
        <f t="shared" si="25"/>
        <v/>
      </c>
    </row>
    <row r="801" spans="3:8" ht="30" customHeight="1" x14ac:dyDescent="0.25">
      <c r="C801" s="42">
        <v>797</v>
      </c>
      <c r="D801" s="67" t="str">
        <f>IF('Prod 1'!D801="","",'Prod 1'!D801)</f>
        <v/>
      </c>
      <c r="E801" s="64"/>
      <c r="F801" s="89" t="str">
        <f>IF(D801="","",E801*'Prod 1'!E801)</f>
        <v/>
      </c>
      <c r="G801" s="71" t="str">
        <f t="shared" si="24"/>
        <v/>
      </c>
      <c r="H801" s="59" t="str">
        <f t="shared" si="25"/>
        <v/>
      </c>
    </row>
    <row r="802" spans="3:8" ht="30" customHeight="1" x14ac:dyDescent="0.25">
      <c r="C802" s="42">
        <v>798</v>
      </c>
      <c r="D802" s="67" t="str">
        <f>IF('Prod 1'!D802="","",'Prod 1'!D802)</f>
        <v/>
      </c>
      <c r="E802" s="64"/>
      <c r="F802" s="89" t="str">
        <f>IF(D802="","",E802*'Prod 1'!E802)</f>
        <v/>
      </c>
      <c r="G802" s="71" t="str">
        <f t="shared" si="24"/>
        <v/>
      </c>
      <c r="H802" s="59" t="str">
        <f t="shared" si="25"/>
        <v/>
      </c>
    </row>
    <row r="803" spans="3:8" ht="30" customHeight="1" x14ac:dyDescent="0.25">
      <c r="C803" s="42">
        <v>799</v>
      </c>
      <c r="D803" s="67" t="str">
        <f>IF('Prod 1'!D803="","",'Prod 1'!D803)</f>
        <v/>
      </c>
      <c r="E803" s="64"/>
      <c r="F803" s="89" t="str">
        <f>IF(D803="","",E803*'Prod 1'!E803)</f>
        <v/>
      </c>
      <c r="G803" s="71" t="str">
        <f t="shared" si="24"/>
        <v/>
      </c>
      <c r="H803" s="59" t="str">
        <f t="shared" si="25"/>
        <v/>
      </c>
    </row>
    <row r="804" spans="3:8" ht="30" customHeight="1" x14ac:dyDescent="0.25">
      <c r="C804" s="42">
        <v>800</v>
      </c>
      <c r="D804" s="67" t="str">
        <f>IF('Prod 1'!D804="","",'Prod 1'!D804)</f>
        <v/>
      </c>
      <c r="E804" s="64"/>
      <c r="F804" s="89" t="str">
        <f>IF(D804="","",E804*'Prod 1'!E804)</f>
        <v/>
      </c>
      <c r="G804" s="71" t="str">
        <f t="shared" si="24"/>
        <v/>
      </c>
      <c r="H804" s="59" t="str">
        <f t="shared" si="25"/>
        <v/>
      </c>
    </row>
    <row r="805" spans="3:8" ht="30" customHeight="1" x14ac:dyDescent="0.25">
      <c r="C805" s="42">
        <v>801</v>
      </c>
      <c r="D805" s="67" t="str">
        <f>IF('Prod 1'!D805="","",'Prod 1'!D805)</f>
        <v/>
      </c>
      <c r="E805" s="64"/>
      <c r="F805" s="89" t="str">
        <f>IF(D805="","",E805*'Prod 1'!E805)</f>
        <v/>
      </c>
      <c r="G805" s="71" t="str">
        <f t="shared" si="24"/>
        <v/>
      </c>
      <c r="H805" s="59" t="str">
        <f t="shared" si="25"/>
        <v/>
      </c>
    </row>
    <row r="806" spans="3:8" ht="30" customHeight="1" x14ac:dyDescent="0.25">
      <c r="C806" s="42">
        <v>802</v>
      </c>
      <c r="D806" s="67" t="str">
        <f>IF('Prod 1'!D806="","",'Prod 1'!D806)</f>
        <v/>
      </c>
      <c r="E806" s="64"/>
      <c r="F806" s="89" t="str">
        <f>IF(D806="","",E806*'Prod 1'!E806)</f>
        <v/>
      </c>
      <c r="G806" s="71" t="str">
        <f t="shared" si="24"/>
        <v/>
      </c>
      <c r="H806" s="59" t="str">
        <f t="shared" si="25"/>
        <v/>
      </c>
    </row>
    <row r="807" spans="3:8" ht="30" customHeight="1" x14ac:dyDescent="0.25">
      <c r="C807" s="42">
        <v>803</v>
      </c>
      <c r="D807" s="67" t="str">
        <f>IF('Prod 1'!D807="","",'Prod 1'!D807)</f>
        <v/>
      </c>
      <c r="E807" s="64"/>
      <c r="F807" s="89" t="str">
        <f>IF(D807="","",E807*'Prod 1'!E807)</f>
        <v/>
      </c>
      <c r="G807" s="71" t="str">
        <f t="shared" si="24"/>
        <v/>
      </c>
      <c r="H807" s="59" t="str">
        <f t="shared" si="25"/>
        <v/>
      </c>
    </row>
    <row r="808" spans="3:8" ht="30" customHeight="1" x14ac:dyDescent="0.25">
      <c r="C808" s="42">
        <v>804</v>
      </c>
      <c r="D808" s="67" t="str">
        <f>IF('Prod 1'!D808="","",'Prod 1'!D808)</f>
        <v/>
      </c>
      <c r="E808" s="64"/>
      <c r="F808" s="89" t="str">
        <f>IF(D808="","",E808*'Prod 1'!E808)</f>
        <v/>
      </c>
      <c r="G808" s="71" t="str">
        <f t="shared" si="24"/>
        <v/>
      </c>
      <c r="H808" s="59" t="str">
        <f t="shared" si="25"/>
        <v/>
      </c>
    </row>
    <row r="809" spans="3:8" ht="30" customHeight="1" x14ac:dyDescent="0.25">
      <c r="C809" s="42">
        <v>805</v>
      </c>
      <c r="D809" s="67" t="str">
        <f>IF('Prod 1'!D809="","",'Prod 1'!D809)</f>
        <v/>
      </c>
      <c r="E809" s="64"/>
      <c r="F809" s="89" t="str">
        <f>IF(D809="","",E809*'Prod 1'!E809)</f>
        <v/>
      </c>
      <c r="G809" s="71" t="str">
        <f t="shared" si="24"/>
        <v/>
      </c>
      <c r="H809" s="59" t="str">
        <f t="shared" si="25"/>
        <v/>
      </c>
    </row>
    <row r="810" spans="3:8" ht="30" customHeight="1" x14ac:dyDescent="0.25">
      <c r="C810" s="42">
        <v>806</v>
      </c>
      <c r="D810" s="67" t="str">
        <f>IF('Prod 1'!D810="","",'Prod 1'!D810)</f>
        <v/>
      </c>
      <c r="E810" s="64"/>
      <c r="F810" s="89" t="str">
        <f>IF(D810="","",E810*'Prod 1'!E810)</f>
        <v/>
      </c>
      <c r="G810" s="71" t="str">
        <f t="shared" si="24"/>
        <v/>
      </c>
      <c r="H810" s="59" t="str">
        <f t="shared" si="25"/>
        <v/>
      </c>
    </row>
    <row r="811" spans="3:8" ht="30" customHeight="1" x14ac:dyDescent="0.25">
      <c r="C811" s="42">
        <v>807</v>
      </c>
      <c r="D811" s="67" t="str">
        <f>IF('Prod 1'!D811="","",'Prod 1'!D811)</f>
        <v/>
      </c>
      <c r="E811" s="64"/>
      <c r="F811" s="89" t="str">
        <f>IF(D811="","",E811*'Prod 1'!E811)</f>
        <v/>
      </c>
      <c r="G811" s="71" t="str">
        <f t="shared" si="24"/>
        <v/>
      </c>
      <c r="H811" s="59" t="str">
        <f t="shared" si="25"/>
        <v/>
      </c>
    </row>
    <row r="812" spans="3:8" ht="30" customHeight="1" x14ac:dyDescent="0.25">
      <c r="C812" s="42">
        <v>808</v>
      </c>
      <c r="D812" s="67" t="str">
        <f>IF('Prod 1'!D812="","",'Prod 1'!D812)</f>
        <v/>
      </c>
      <c r="E812" s="64"/>
      <c r="F812" s="89" t="str">
        <f>IF(D812="","",E812*'Prod 1'!E812)</f>
        <v/>
      </c>
      <c r="G812" s="71" t="str">
        <f t="shared" si="24"/>
        <v/>
      </c>
      <c r="H812" s="59" t="str">
        <f t="shared" si="25"/>
        <v/>
      </c>
    </row>
    <row r="813" spans="3:8" ht="30" customHeight="1" x14ac:dyDescent="0.25">
      <c r="C813" s="42">
        <v>809</v>
      </c>
      <c r="D813" s="67" t="str">
        <f>IF('Prod 1'!D813="","",'Prod 1'!D813)</f>
        <v/>
      </c>
      <c r="E813" s="64"/>
      <c r="F813" s="89" t="str">
        <f>IF(D813="","",E813*'Prod 1'!E813)</f>
        <v/>
      </c>
      <c r="G813" s="71" t="str">
        <f t="shared" si="24"/>
        <v/>
      </c>
      <c r="H813" s="59" t="str">
        <f t="shared" si="25"/>
        <v/>
      </c>
    </row>
    <row r="814" spans="3:8" ht="30" customHeight="1" x14ac:dyDescent="0.25">
      <c r="C814" s="42">
        <v>810</v>
      </c>
      <c r="D814" s="67" t="str">
        <f>IF('Prod 1'!D814="","",'Prod 1'!D814)</f>
        <v/>
      </c>
      <c r="E814" s="64"/>
      <c r="F814" s="89" t="str">
        <f>IF(D814="","",E814*'Prod 1'!E814)</f>
        <v/>
      </c>
      <c r="G814" s="71" t="str">
        <f t="shared" si="24"/>
        <v/>
      </c>
      <c r="H814" s="59" t="str">
        <f t="shared" si="25"/>
        <v/>
      </c>
    </row>
    <row r="815" spans="3:8" ht="30" customHeight="1" x14ac:dyDescent="0.25">
      <c r="C815" s="42">
        <v>811</v>
      </c>
      <c r="D815" s="67" t="str">
        <f>IF('Prod 1'!D815="","",'Prod 1'!D815)</f>
        <v/>
      </c>
      <c r="E815" s="64"/>
      <c r="F815" s="89" t="str">
        <f>IF(D815="","",E815*'Prod 1'!E815)</f>
        <v/>
      </c>
      <c r="G815" s="71" t="str">
        <f t="shared" si="24"/>
        <v/>
      </c>
      <c r="H815" s="59" t="str">
        <f t="shared" si="25"/>
        <v/>
      </c>
    </row>
    <row r="816" spans="3:8" ht="30" customHeight="1" x14ac:dyDescent="0.25">
      <c r="C816" s="42">
        <v>812</v>
      </c>
      <c r="D816" s="67" t="str">
        <f>IF('Prod 1'!D816="","",'Prod 1'!D816)</f>
        <v/>
      </c>
      <c r="E816" s="64"/>
      <c r="F816" s="89" t="str">
        <f>IF(D816="","",E816*'Prod 1'!E816)</f>
        <v/>
      </c>
      <c r="G816" s="71" t="str">
        <f t="shared" si="24"/>
        <v/>
      </c>
      <c r="H816" s="59" t="str">
        <f t="shared" si="25"/>
        <v/>
      </c>
    </row>
    <row r="817" spans="3:8" ht="30" customHeight="1" x14ac:dyDescent="0.25">
      <c r="C817" s="42">
        <v>813</v>
      </c>
      <c r="D817" s="67" t="str">
        <f>IF('Prod 1'!D817="","",'Prod 1'!D817)</f>
        <v/>
      </c>
      <c r="E817" s="64"/>
      <c r="F817" s="89" t="str">
        <f>IF(D817="","",E817*'Prod 1'!E817)</f>
        <v/>
      </c>
      <c r="G817" s="71" t="str">
        <f t="shared" si="24"/>
        <v/>
      </c>
      <c r="H817" s="59" t="str">
        <f t="shared" si="25"/>
        <v/>
      </c>
    </row>
    <row r="818" spans="3:8" ht="30" customHeight="1" x14ac:dyDescent="0.25">
      <c r="C818" s="42">
        <v>814</v>
      </c>
      <c r="D818" s="67" t="str">
        <f>IF('Prod 1'!D818="","",'Prod 1'!D818)</f>
        <v/>
      </c>
      <c r="E818" s="64"/>
      <c r="F818" s="89" t="str">
        <f>IF(D818="","",E818*'Prod 1'!E818)</f>
        <v/>
      </c>
      <c r="G818" s="71" t="str">
        <f t="shared" si="24"/>
        <v/>
      </c>
      <c r="H818" s="59" t="str">
        <f t="shared" si="25"/>
        <v/>
      </c>
    </row>
    <row r="819" spans="3:8" ht="30" customHeight="1" x14ac:dyDescent="0.25">
      <c r="C819" s="42">
        <v>815</v>
      </c>
      <c r="D819" s="67" t="str">
        <f>IF('Prod 1'!D819="","",'Prod 1'!D819)</f>
        <v/>
      </c>
      <c r="E819" s="64"/>
      <c r="F819" s="89" t="str">
        <f>IF(D819="","",E819*'Prod 1'!E819)</f>
        <v/>
      </c>
      <c r="G819" s="71" t="str">
        <f t="shared" si="24"/>
        <v/>
      </c>
      <c r="H819" s="59" t="str">
        <f t="shared" si="25"/>
        <v/>
      </c>
    </row>
    <row r="820" spans="3:8" ht="30" customHeight="1" x14ac:dyDescent="0.25">
      <c r="C820" s="42">
        <v>816</v>
      </c>
      <c r="D820" s="67" t="str">
        <f>IF('Prod 1'!D820="","",'Prod 1'!D820)</f>
        <v/>
      </c>
      <c r="E820" s="64"/>
      <c r="F820" s="89" t="str">
        <f>IF(D820="","",E820*'Prod 1'!E820)</f>
        <v/>
      </c>
      <c r="G820" s="71" t="str">
        <f t="shared" si="24"/>
        <v/>
      </c>
      <c r="H820" s="59" t="str">
        <f t="shared" si="25"/>
        <v/>
      </c>
    </row>
    <row r="821" spans="3:8" ht="30" customHeight="1" x14ac:dyDescent="0.25">
      <c r="C821" s="42">
        <v>817</v>
      </c>
      <c r="D821" s="67" t="str">
        <f>IF('Prod 1'!D821="","",'Prod 1'!D821)</f>
        <v/>
      </c>
      <c r="E821" s="64"/>
      <c r="F821" s="89" t="str">
        <f>IF(D821="","",E821*'Prod 1'!E821)</f>
        <v/>
      </c>
      <c r="G821" s="71" t="str">
        <f t="shared" si="24"/>
        <v/>
      </c>
      <c r="H821" s="59" t="str">
        <f t="shared" si="25"/>
        <v/>
      </c>
    </row>
    <row r="822" spans="3:8" ht="30" customHeight="1" x14ac:dyDescent="0.25">
      <c r="C822" s="42">
        <v>818</v>
      </c>
      <c r="D822" s="67" t="str">
        <f>IF('Prod 1'!D822="","",'Prod 1'!D822)</f>
        <v/>
      </c>
      <c r="E822" s="64"/>
      <c r="F822" s="89" t="str">
        <f>IF(D822="","",E822*'Prod 1'!E822)</f>
        <v/>
      </c>
      <c r="G822" s="71" t="str">
        <f t="shared" si="24"/>
        <v/>
      </c>
      <c r="H822" s="59" t="str">
        <f t="shared" si="25"/>
        <v/>
      </c>
    </row>
    <row r="823" spans="3:8" ht="30" customHeight="1" x14ac:dyDescent="0.25">
      <c r="C823" s="42">
        <v>819</v>
      </c>
      <c r="D823" s="67" t="str">
        <f>IF('Prod 1'!D823="","",'Prod 1'!D823)</f>
        <v/>
      </c>
      <c r="E823" s="64"/>
      <c r="F823" s="89" t="str">
        <f>IF(D823="","",E823*'Prod 1'!E823)</f>
        <v/>
      </c>
      <c r="G823" s="71" t="str">
        <f t="shared" si="24"/>
        <v/>
      </c>
      <c r="H823" s="59" t="str">
        <f t="shared" si="25"/>
        <v/>
      </c>
    </row>
    <row r="824" spans="3:8" ht="30" customHeight="1" x14ac:dyDescent="0.25">
      <c r="C824" s="42">
        <v>820</v>
      </c>
      <c r="D824" s="67" t="str">
        <f>IF('Prod 1'!D824="","",'Prod 1'!D824)</f>
        <v/>
      </c>
      <c r="E824" s="64"/>
      <c r="F824" s="89" t="str">
        <f>IF(D824="","",E824*'Prod 1'!E824)</f>
        <v/>
      </c>
      <c r="G824" s="71" t="str">
        <f t="shared" si="24"/>
        <v/>
      </c>
      <c r="H824" s="59" t="str">
        <f t="shared" si="25"/>
        <v/>
      </c>
    </row>
    <row r="825" spans="3:8" ht="30" customHeight="1" x14ac:dyDescent="0.25">
      <c r="C825" s="42">
        <v>821</v>
      </c>
      <c r="D825" s="67" t="str">
        <f>IF('Prod 1'!D825="","",'Prod 1'!D825)</f>
        <v/>
      </c>
      <c r="E825" s="64"/>
      <c r="F825" s="89" t="str">
        <f>IF(D825="","",E825*'Prod 1'!E825)</f>
        <v/>
      </c>
      <c r="G825" s="71" t="str">
        <f t="shared" si="24"/>
        <v/>
      </c>
      <c r="H825" s="59" t="str">
        <f t="shared" si="25"/>
        <v/>
      </c>
    </row>
    <row r="826" spans="3:8" ht="30" customHeight="1" x14ac:dyDescent="0.25">
      <c r="C826" s="42">
        <v>822</v>
      </c>
      <c r="D826" s="67" t="str">
        <f>IF('Prod 1'!D826="","",'Prod 1'!D826)</f>
        <v/>
      </c>
      <c r="E826" s="64"/>
      <c r="F826" s="89" t="str">
        <f>IF(D826="","",E826*'Prod 1'!E826)</f>
        <v/>
      </c>
      <c r="G826" s="71" t="str">
        <f t="shared" si="24"/>
        <v/>
      </c>
      <c r="H826" s="59" t="str">
        <f t="shared" si="25"/>
        <v/>
      </c>
    </row>
    <row r="827" spans="3:8" ht="30" customHeight="1" x14ac:dyDescent="0.25">
      <c r="C827" s="42">
        <v>823</v>
      </c>
      <c r="D827" s="67" t="str">
        <f>IF('Prod 1'!D827="","",'Prod 1'!D827)</f>
        <v/>
      </c>
      <c r="E827" s="64"/>
      <c r="F827" s="89" t="str">
        <f>IF(D827="","",E827*'Prod 1'!E827)</f>
        <v/>
      </c>
      <c r="G827" s="71" t="str">
        <f t="shared" si="24"/>
        <v/>
      </c>
      <c r="H827" s="59" t="str">
        <f t="shared" si="25"/>
        <v/>
      </c>
    </row>
    <row r="828" spans="3:8" ht="30" customHeight="1" x14ac:dyDescent="0.25">
      <c r="C828" s="42">
        <v>824</v>
      </c>
      <c r="D828" s="67" t="str">
        <f>IF('Prod 1'!D828="","",'Prod 1'!D828)</f>
        <v/>
      </c>
      <c r="E828" s="64"/>
      <c r="F828" s="89" t="str">
        <f>IF(D828="","",E828*'Prod 1'!E828)</f>
        <v/>
      </c>
      <c r="G828" s="71" t="str">
        <f t="shared" si="24"/>
        <v/>
      </c>
      <c r="H828" s="59" t="str">
        <f t="shared" si="25"/>
        <v/>
      </c>
    </row>
    <row r="829" spans="3:8" ht="30" customHeight="1" x14ac:dyDescent="0.25">
      <c r="C829" s="42">
        <v>825</v>
      </c>
      <c r="D829" s="67" t="str">
        <f>IF('Prod 1'!D829="","",'Prod 1'!D829)</f>
        <v/>
      </c>
      <c r="E829" s="64"/>
      <c r="F829" s="89" t="str">
        <f>IF(D829="","",E829*'Prod 1'!E829)</f>
        <v/>
      </c>
      <c r="G829" s="71" t="str">
        <f t="shared" si="24"/>
        <v/>
      </c>
      <c r="H829" s="59" t="str">
        <f t="shared" si="25"/>
        <v/>
      </c>
    </row>
    <row r="830" spans="3:8" ht="30" customHeight="1" x14ac:dyDescent="0.25">
      <c r="C830" s="42">
        <v>826</v>
      </c>
      <c r="D830" s="67" t="str">
        <f>IF('Prod 1'!D830="","",'Prod 1'!D830)</f>
        <v/>
      </c>
      <c r="E830" s="64"/>
      <c r="F830" s="89" t="str">
        <f>IF(D830="","",E830*'Prod 1'!E830)</f>
        <v/>
      </c>
      <c r="G830" s="71" t="str">
        <f t="shared" si="24"/>
        <v/>
      </c>
      <c r="H830" s="59" t="str">
        <f t="shared" si="25"/>
        <v/>
      </c>
    </row>
    <row r="831" spans="3:8" ht="30" customHeight="1" x14ac:dyDescent="0.25">
      <c r="C831" s="42">
        <v>827</v>
      </c>
      <c r="D831" s="67" t="str">
        <f>IF('Prod 1'!D831="","",'Prod 1'!D831)</f>
        <v/>
      </c>
      <c r="E831" s="64"/>
      <c r="F831" s="89" t="str">
        <f>IF(D831="","",E831*'Prod 1'!E831)</f>
        <v/>
      </c>
      <c r="G831" s="71" t="str">
        <f t="shared" si="24"/>
        <v/>
      </c>
      <c r="H831" s="59" t="str">
        <f t="shared" si="25"/>
        <v/>
      </c>
    </row>
    <row r="832" spans="3:8" ht="30" customHeight="1" x14ac:dyDescent="0.25">
      <c r="C832" s="42">
        <v>828</v>
      </c>
      <c r="D832" s="67" t="str">
        <f>IF('Prod 1'!D832="","",'Prod 1'!D832)</f>
        <v/>
      </c>
      <c r="E832" s="64"/>
      <c r="F832" s="89" t="str">
        <f>IF(D832="","",E832*'Prod 1'!E832)</f>
        <v/>
      </c>
      <c r="G832" s="71" t="str">
        <f t="shared" si="24"/>
        <v/>
      </c>
      <c r="H832" s="59" t="str">
        <f t="shared" si="25"/>
        <v/>
      </c>
    </row>
    <row r="833" spans="3:8" ht="30" customHeight="1" x14ac:dyDescent="0.25">
      <c r="C833" s="42">
        <v>829</v>
      </c>
      <c r="D833" s="67" t="str">
        <f>IF('Prod 1'!D833="","",'Prod 1'!D833)</f>
        <v/>
      </c>
      <c r="E833" s="64"/>
      <c r="F833" s="89" t="str">
        <f>IF(D833="","",E833*'Prod 1'!E833)</f>
        <v/>
      </c>
      <c r="G833" s="71" t="str">
        <f t="shared" si="24"/>
        <v/>
      </c>
      <c r="H833" s="59" t="str">
        <f t="shared" si="25"/>
        <v/>
      </c>
    </row>
    <row r="834" spans="3:8" ht="30" customHeight="1" x14ac:dyDescent="0.25">
      <c r="C834" s="42">
        <v>830</v>
      </c>
      <c r="D834" s="67" t="str">
        <f>IF('Prod 1'!D834="","",'Prod 1'!D834)</f>
        <v/>
      </c>
      <c r="E834" s="64"/>
      <c r="F834" s="89" t="str">
        <f>IF(D834="","",E834*'Prod 1'!E834)</f>
        <v/>
      </c>
      <c r="G834" s="71" t="str">
        <f t="shared" si="24"/>
        <v/>
      </c>
      <c r="H834" s="59" t="str">
        <f t="shared" si="25"/>
        <v/>
      </c>
    </row>
    <row r="835" spans="3:8" ht="30" customHeight="1" x14ac:dyDescent="0.25">
      <c r="C835" s="42">
        <v>831</v>
      </c>
      <c r="D835" s="67" t="str">
        <f>IF('Prod 1'!D835="","",'Prod 1'!D835)</f>
        <v/>
      </c>
      <c r="E835" s="64"/>
      <c r="F835" s="89" t="str">
        <f>IF(D835="","",E835*'Prod 1'!E835)</f>
        <v/>
      </c>
      <c r="G835" s="71" t="str">
        <f t="shared" si="24"/>
        <v/>
      </c>
      <c r="H835" s="59" t="str">
        <f t="shared" si="25"/>
        <v/>
      </c>
    </row>
    <row r="836" spans="3:8" ht="30" customHeight="1" x14ac:dyDescent="0.25">
      <c r="C836" s="42">
        <v>832</v>
      </c>
      <c r="D836" s="67" t="str">
        <f>IF('Prod 1'!D836="","",'Prod 1'!D836)</f>
        <v/>
      </c>
      <c r="E836" s="64"/>
      <c r="F836" s="89" t="str">
        <f>IF(D836="","",E836*'Prod 1'!E836)</f>
        <v/>
      </c>
      <c r="G836" s="71" t="str">
        <f t="shared" si="24"/>
        <v/>
      </c>
      <c r="H836" s="59" t="str">
        <f t="shared" si="25"/>
        <v/>
      </c>
    </row>
    <row r="837" spans="3:8" ht="30" customHeight="1" x14ac:dyDescent="0.25">
      <c r="C837" s="42">
        <v>833</v>
      </c>
      <c r="D837" s="67" t="str">
        <f>IF('Prod 1'!D837="","",'Prod 1'!D837)</f>
        <v/>
      </c>
      <c r="E837" s="64"/>
      <c r="F837" s="89" t="str">
        <f>IF(D837="","",E837*'Prod 1'!E837)</f>
        <v/>
      </c>
      <c r="G837" s="71" t="str">
        <f t="shared" ref="G837:G900" si="26">IF(D837="","",IFERROR(F837/$H$3,0))</f>
        <v/>
      </c>
      <c r="H837" s="59" t="str">
        <f t="shared" ref="H837:H900" si="27">F837</f>
        <v/>
      </c>
    </row>
    <row r="838" spans="3:8" ht="30" customHeight="1" x14ac:dyDescent="0.25">
      <c r="C838" s="42">
        <v>834</v>
      </c>
      <c r="D838" s="67" t="str">
        <f>IF('Prod 1'!D838="","",'Prod 1'!D838)</f>
        <v/>
      </c>
      <c r="E838" s="64"/>
      <c r="F838" s="89" t="str">
        <f>IF(D838="","",E838*'Prod 1'!E838)</f>
        <v/>
      </c>
      <c r="G838" s="71" t="str">
        <f t="shared" si="26"/>
        <v/>
      </c>
      <c r="H838" s="59" t="str">
        <f t="shared" si="27"/>
        <v/>
      </c>
    </row>
    <row r="839" spans="3:8" ht="30" customHeight="1" x14ac:dyDescent="0.25">
      <c r="C839" s="42">
        <v>835</v>
      </c>
      <c r="D839" s="67" t="str">
        <f>IF('Prod 1'!D839="","",'Prod 1'!D839)</f>
        <v/>
      </c>
      <c r="E839" s="64"/>
      <c r="F839" s="89" t="str">
        <f>IF(D839="","",E839*'Prod 1'!E839)</f>
        <v/>
      </c>
      <c r="G839" s="71" t="str">
        <f t="shared" si="26"/>
        <v/>
      </c>
      <c r="H839" s="59" t="str">
        <f t="shared" si="27"/>
        <v/>
      </c>
    </row>
    <row r="840" spans="3:8" ht="30" customHeight="1" x14ac:dyDescent="0.25">
      <c r="C840" s="42">
        <v>836</v>
      </c>
      <c r="D840" s="67" t="str">
        <f>IF('Prod 1'!D840="","",'Prod 1'!D840)</f>
        <v/>
      </c>
      <c r="E840" s="64"/>
      <c r="F840" s="89" t="str">
        <f>IF(D840="","",E840*'Prod 1'!E840)</f>
        <v/>
      </c>
      <c r="G840" s="71" t="str">
        <f t="shared" si="26"/>
        <v/>
      </c>
      <c r="H840" s="59" t="str">
        <f t="shared" si="27"/>
        <v/>
      </c>
    </row>
    <row r="841" spans="3:8" ht="30" customHeight="1" x14ac:dyDescent="0.25">
      <c r="C841" s="42">
        <v>837</v>
      </c>
      <c r="D841" s="67" t="str">
        <f>IF('Prod 1'!D841="","",'Prod 1'!D841)</f>
        <v/>
      </c>
      <c r="E841" s="64"/>
      <c r="F841" s="89" t="str">
        <f>IF(D841="","",E841*'Prod 1'!E841)</f>
        <v/>
      </c>
      <c r="G841" s="71" t="str">
        <f t="shared" si="26"/>
        <v/>
      </c>
      <c r="H841" s="59" t="str">
        <f t="shared" si="27"/>
        <v/>
      </c>
    </row>
    <row r="842" spans="3:8" ht="30" customHeight="1" x14ac:dyDescent="0.25">
      <c r="C842" s="42">
        <v>838</v>
      </c>
      <c r="D842" s="67" t="str">
        <f>IF('Prod 1'!D842="","",'Prod 1'!D842)</f>
        <v/>
      </c>
      <c r="E842" s="64"/>
      <c r="F842" s="89" t="str">
        <f>IF(D842="","",E842*'Prod 1'!E842)</f>
        <v/>
      </c>
      <c r="G842" s="71" t="str">
        <f t="shared" si="26"/>
        <v/>
      </c>
      <c r="H842" s="59" t="str">
        <f t="shared" si="27"/>
        <v/>
      </c>
    </row>
    <row r="843" spans="3:8" ht="30" customHeight="1" x14ac:dyDescent="0.25">
      <c r="C843" s="42">
        <v>839</v>
      </c>
      <c r="D843" s="67" t="str">
        <f>IF('Prod 1'!D843="","",'Prod 1'!D843)</f>
        <v/>
      </c>
      <c r="E843" s="64"/>
      <c r="F843" s="89" t="str">
        <f>IF(D843="","",E843*'Prod 1'!E843)</f>
        <v/>
      </c>
      <c r="G843" s="71" t="str">
        <f t="shared" si="26"/>
        <v/>
      </c>
      <c r="H843" s="59" t="str">
        <f t="shared" si="27"/>
        <v/>
      </c>
    </row>
    <row r="844" spans="3:8" ht="30" customHeight="1" x14ac:dyDescent="0.25">
      <c r="C844" s="42">
        <v>840</v>
      </c>
      <c r="D844" s="67" t="str">
        <f>IF('Prod 1'!D844="","",'Prod 1'!D844)</f>
        <v/>
      </c>
      <c r="E844" s="64"/>
      <c r="F844" s="89" t="str">
        <f>IF(D844="","",E844*'Prod 1'!E844)</f>
        <v/>
      </c>
      <c r="G844" s="71" t="str">
        <f t="shared" si="26"/>
        <v/>
      </c>
      <c r="H844" s="59" t="str">
        <f t="shared" si="27"/>
        <v/>
      </c>
    </row>
    <row r="845" spans="3:8" ht="30" customHeight="1" x14ac:dyDescent="0.25">
      <c r="C845" s="42">
        <v>841</v>
      </c>
      <c r="D845" s="67" t="str">
        <f>IF('Prod 1'!D845="","",'Prod 1'!D845)</f>
        <v/>
      </c>
      <c r="E845" s="64"/>
      <c r="F845" s="89" t="str">
        <f>IF(D845="","",E845*'Prod 1'!E845)</f>
        <v/>
      </c>
      <c r="G845" s="71" t="str">
        <f t="shared" si="26"/>
        <v/>
      </c>
      <c r="H845" s="59" t="str">
        <f t="shared" si="27"/>
        <v/>
      </c>
    </row>
    <row r="846" spans="3:8" ht="30" customHeight="1" x14ac:dyDescent="0.25">
      <c r="C846" s="42">
        <v>842</v>
      </c>
      <c r="D846" s="67" t="str">
        <f>IF('Prod 1'!D846="","",'Prod 1'!D846)</f>
        <v/>
      </c>
      <c r="E846" s="64"/>
      <c r="F846" s="89" t="str">
        <f>IF(D846="","",E846*'Prod 1'!E846)</f>
        <v/>
      </c>
      <c r="G846" s="71" t="str">
        <f t="shared" si="26"/>
        <v/>
      </c>
      <c r="H846" s="59" t="str">
        <f t="shared" si="27"/>
        <v/>
      </c>
    </row>
    <row r="847" spans="3:8" ht="30" customHeight="1" x14ac:dyDescent="0.25">
      <c r="C847" s="42">
        <v>843</v>
      </c>
      <c r="D847" s="67" t="str">
        <f>IF('Prod 1'!D847="","",'Prod 1'!D847)</f>
        <v/>
      </c>
      <c r="E847" s="64"/>
      <c r="F847" s="89" t="str">
        <f>IF(D847="","",E847*'Prod 1'!E847)</f>
        <v/>
      </c>
      <c r="G847" s="71" t="str">
        <f t="shared" si="26"/>
        <v/>
      </c>
      <c r="H847" s="59" t="str">
        <f t="shared" si="27"/>
        <v/>
      </c>
    </row>
    <row r="848" spans="3:8" ht="30" customHeight="1" x14ac:dyDescent="0.25">
      <c r="C848" s="42">
        <v>844</v>
      </c>
      <c r="D848" s="67" t="str">
        <f>IF('Prod 1'!D848="","",'Prod 1'!D848)</f>
        <v/>
      </c>
      <c r="E848" s="64"/>
      <c r="F848" s="89" t="str">
        <f>IF(D848="","",E848*'Prod 1'!E848)</f>
        <v/>
      </c>
      <c r="G848" s="71" t="str">
        <f t="shared" si="26"/>
        <v/>
      </c>
      <c r="H848" s="59" t="str">
        <f t="shared" si="27"/>
        <v/>
      </c>
    </row>
    <row r="849" spans="3:8" ht="30" customHeight="1" x14ac:dyDescent="0.25">
      <c r="C849" s="42">
        <v>845</v>
      </c>
      <c r="D849" s="67" t="str">
        <f>IF('Prod 1'!D849="","",'Prod 1'!D849)</f>
        <v/>
      </c>
      <c r="E849" s="64"/>
      <c r="F849" s="89" t="str">
        <f>IF(D849="","",E849*'Prod 1'!E849)</f>
        <v/>
      </c>
      <c r="G849" s="71" t="str">
        <f t="shared" si="26"/>
        <v/>
      </c>
      <c r="H849" s="59" t="str">
        <f t="shared" si="27"/>
        <v/>
      </c>
    </row>
    <row r="850" spans="3:8" ht="30" customHeight="1" x14ac:dyDescent="0.25">
      <c r="C850" s="42">
        <v>846</v>
      </c>
      <c r="D850" s="67" t="str">
        <f>IF('Prod 1'!D850="","",'Prod 1'!D850)</f>
        <v/>
      </c>
      <c r="E850" s="64"/>
      <c r="F850" s="89" t="str">
        <f>IF(D850="","",E850*'Prod 1'!E850)</f>
        <v/>
      </c>
      <c r="G850" s="71" t="str">
        <f t="shared" si="26"/>
        <v/>
      </c>
      <c r="H850" s="59" t="str">
        <f t="shared" si="27"/>
        <v/>
      </c>
    </row>
    <row r="851" spans="3:8" ht="30" customHeight="1" x14ac:dyDescent="0.25">
      <c r="C851" s="42">
        <v>847</v>
      </c>
      <c r="D851" s="67" t="str">
        <f>IF('Prod 1'!D851="","",'Prod 1'!D851)</f>
        <v/>
      </c>
      <c r="E851" s="64"/>
      <c r="F851" s="89" t="str">
        <f>IF(D851="","",E851*'Prod 1'!E851)</f>
        <v/>
      </c>
      <c r="G851" s="71" t="str">
        <f t="shared" si="26"/>
        <v/>
      </c>
      <c r="H851" s="59" t="str">
        <f t="shared" si="27"/>
        <v/>
      </c>
    </row>
    <row r="852" spans="3:8" ht="30" customHeight="1" x14ac:dyDescent="0.25">
      <c r="C852" s="42">
        <v>848</v>
      </c>
      <c r="D852" s="67" t="str">
        <f>IF('Prod 1'!D852="","",'Prod 1'!D852)</f>
        <v/>
      </c>
      <c r="E852" s="64"/>
      <c r="F852" s="89" t="str">
        <f>IF(D852="","",E852*'Prod 1'!E852)</f>
        <v/>
      </c>
      <c r="G852" s="71" t="str">
        <f t="shared" si="26"/>
        <v/>
      </c>
      <c r="H852" s="59" t="str">
        <f t="shared" si="27"/>
        <v/>
      </c>
    </row>
    <row r="853" spans="3:8" ht="30" customHeight="1" x14ac:dyDescent="0.25">
      <c r="C853" s="42">
        <v>849</v>
      </c>
      <c r="D853" s="67" t="str">
        <f>IF('Prod 1'!D853="","",'Prod 1'!D853)</f>
        <v/>
      </c>
      <c r="E853" s="64"/>
      <c r="F853" s="89" t="str">
        <f>IF(D853="","",E853*'Prod 1'!E853)</f>
        <v/>
      </c>
      <c r="G853" s="71" t="str">
        <f t="shared" si="26"/>
        <v/>
      </c>
      <c r="H853" s="59" t="str">
        <f t="shared" si="27"/>
        <v/>
      </c>
    </row>
    <row r="854" spans="3:8" ht="30" customHeight="1" x14ac:dyDescent="0.25">
      <c r="C854" s="42">
        <v>850</v>
      </c>
      <c r="D854" s="67" t="str">
        <f>IF('Prod 1'!D854="","",'Prod 1'!D854)</f>
        <v/>
      </c>
      <c r="E854" s="64"/>
      <c r="F854" s="89" t="str">
        <f>IF(D854="","",E854*'Prod 1'!E854)</f>
        <v/>
      </c>
      <c r="G854" s="71" t="str">
        <f t="shared" si="26"/>
        <v/>
      </c>
      <c r="H854" s="59" t="str">
        <f t="shared" si="27"/>
        <v/>
      </c>
    </row>
    <row r="855" spans="3:8" ht="30" customHeight="1" x14ac:dyDescent="0.25">
      <c r="C855" s="42">
        <v>851</v>
      </c>
      <c r="D855" s="67" t="str">
        <f>IF('Prod 1'!D855="","",'Prod 1'!D855)</f>
        <v/>
      </c>
      <c r="E855" s="64"/>
      <c r="F855" s="89" t="str">
        <f>IF(D855="","",E855*'Prod 1'!E855)</f>
        <v/>
      </c>
      <c r="G855" s="71" t="str">
        <f t="shared" si="26"/>
        <v/>
      </c>
      <c r="H855" s="59" t="str">
        <f t="shared" si="27"/>
        <v/>
      </c>
    </row>
    <row r="856" spans="3:8" ht="30" customHeight="1" x14ac:dyDescent="0.25">
      <c r="C856" s="42">
        <v>852</v>
      </c>
      <c r="D856" s="67" t="str">
        <f>IF('Prod 1'!D856="","",'Prod 1'!D856)</f>
        <v/>
      </c>
      <c r="E856" s="64"/>
      <c r="F856" s="89" t="str">
        <f>IF(D856="","",E856*'Prod 1'!E856)</f>
        <v/>
      </c>
      <c r="G856" s="71" t="str">
        <f t="shared" si="26"/>
        <v/>
      </c>
      <c r="H856" s="59" t="str">
        <f t="shared" si="27"/>
        <v/>
      </c>
    </row>
    <row r="857" spans="3:8" ht="30" customHeight="1" x14ac:dyDescent="0.25">
      <c r="C857" s="42">
        <v>853</v>
      </c>
      <c r="D857" s="67" t="str">
        <f>IF('Prod 1'!D857="","",'Prod 1'!D857)</f>
        <v/>
      </c>
      <c r="E857" s="64"/>
      <c r="F857" s="89" t="str">
        <f>IF(D857="","",E857*'Prod 1'!E857)</f>
        <v/>
      </c>
      <c r="G857" s="71" t="str">
        <f t="shared" si="26"/>
        <v/>
      </c>
      <c r="H857" s="59" t="str">
        <f t="shared" si="27"/>
        <v/>
      </c>
    </row>
    <row r="858" spans="3:8" ht="30" customHeight="1" x14ac:dyDescent="0.25">
      <c r="C858" s="42">
        <v>854</v>
      </c>
      <c r="D858" s="67" t="str">
        <f>IF('Prod 1'!D858="","",'Prod 1'!D858)</f>
        <v/>
      </c>
      <c r="E858" s="64"/>
      <c r="F858" s="89" t="str">
        <f>IF(D858="","",E858*'Prod 1'!E858)</f>
        <v/>
      </c>
      <c r="G858" s="71" t="str">
        <f t="shared" si="26"/>
        <v/>
      </c>
      <c r="H858" s="59" t="str">
        <f t="shared" si="27"/>
        <v/>
      </c>
    </row>
    <row r="859" spans="3:8" ht="30" customHeight="1" x14ac:dyDescent="0.25">
      <c r="C859" s="42">
        <v>855</v>
      </c>
      <c r="D859" s="67" t="str">
        <f>IF('Prod 1'!D859="","",'Prod 1'!D859)</f>
        <v/>
      </c>
      <c r="E859" s="64"/>
      <c r="F859" s="89" t="str">
        <f>IF(D859="","",E859*'Prod 1'!E859)</f>
        <v/>
      </c>
      <c r="G859" s="71" t="str">
        <f t="shared" si="26"/>
        <v/>
      </c>
      <c r="H859" s="59" t="str">
        <f t="shared" si="27"/>
        <v/>
      </c>
    </row>
    <row r="860" spans="3:8" ht="30" customHeight="1" x14ac:dyDescent="0.25">
      <c r="C860" s="42">
        <v>856</v>
      </c>
      <c r="D860" s="67" t="str">
        <f>IF('Prod 1'!D860="","",'Prod 1'!D860)</f>
        <v/>
      </c>
      <c r="E860" s="64"/>
      <c r="F860" s="89" t="str">
        <f>IF(D860="","",E860*'Prod 1'!E860)</f>
        <v/>
      </c>
      <c r="G860" s="71" t="str">
        <f t="shared" si="26"/>
        <v/>
      </c>
      <c r="H860" s="59" t="str">
        <f t="shared" si="27"/>
        <v/>
      </c>
    </row>
    <row r="861" spans="3:8" ht="30" customHeight="1" x14ac:dyDescent="0.25">
      <c r="C861" s="42">
        <v>857</v>
      </c>
      <c r="D861" s="67" t="str">
        <f>IF('Prod 1'!D861="","",'Prod 1'!D861)</f>
        <v/>
      </c>
      <c r="E861" s="64"/>
      <c r="F861" s="89" t="str">
        <f>IF(D861="","",E861*'Prod 1'!E861)</f>
        <v/>
      </c>
      <c r="G861" s="71" t="str">
        <f t="shared" si="26"/>
        <v/>
      </c>
      <c r="H861" s="59" t="str">
        <f t="shared" si="27"/>
        <v/>
      </c>
    </row>
    <row r="862" spans="3:8" ht="30" customHeight="1" x14ac:dyDescent="0.25">
      <c r="C862" s="42">
        <v>858</v>
      </c>
      <c r="D862" s="67" t="str">
        <f>IF('Prod 1'!D862="","",'Prod 1'!D862)</f>
        <v/>
      </c>
      <c r="E862" s="64"/>
      <c r="F862" s="89" t="str">
        <f>IF(D862="","",E862*'Prod 1'!E862)</f>
        <v/>
      </c>
      <c r="G862" s="71" t="str">
        <f t="shared" si="26"/>
        <v/>
      </c>
      <c r="H862" s="59" t="str">
        <f t="shared" si="27"/>
        <v/>
      </c>
    </row>
    <row r="863" spans="3:8" ht="30" customHeight="1" x14ac:dyDescent="0.25">
      <c r="C863" s="42">
        <v>859</v>
      </c>
      <c r="D863" s="67" t="str">
        <f>IF('Prod 1'!D863="","",'Prod 1'!D863)</f>
        <v/>
      </c>
      <c r="E863" s="64"/>
      <c r="F863" s="89" t="str">
        <f>IF(D863="","",E863*'Prod 1'!E863)</f>
        <v/>
      </c>
      <c r="G863" s="71" t="str">
        <f t="shared" si="26"/>
        <v/>
      </c>
      <c r="H863" s="59" t="str">
        <f t="shared" si="27"/>
        <v/>
      </c>
    </row>
    <row r="864" spans="3:8" ht="30" customHeight="1" x14ac:dyDescent="0.25">
      <c r="C864" s="42">
        <v>860</v>
      </c>
      <c r="D864" s="67" t="str">
        <f>IF('Prod 1'!D864="","",'Prod 1'!D864)</f>
        <v/>
      </c>
      <c r="E864" s="64"/>
      <c r="F864" s="89" t="str">
        <f>IF(D864="","",E864*'Prod 1'!E864)</f>
        <v/>
      </c>
      <c r="G864" s="71" t="str">
        <f t="shared" si="26"/>
        <v/>
      </c>
      <c r="H864" s="59" t="str">
        <f t="shared" si="27"/>
        <v/>
      </c>
    </row>
    <row r="865" spans="3:8" ht="30" customHeight="1" x14ac:dyDescent="0.25">
      <c r="C865" s="42">
        <v>861</v>
      </c>
      <c r="D865" s="67" t="str">
        <f>IF('Prod 1'!D865="","",'Prod 1'!D865)</f>
        <v/>
      </c>
      <c r="E865" s="64"/>
      <c r="F865" s="89" t="str">
        <f>IF(D865="","",E865*'Prod 1'!E865)</f>
        <v/>
      </c>
      <c r="G865" s="71" t="str">
        <f t="shared" si="26"/>
        <v/>
      </c>
      <c r="H865" s="59" t="str">
        <f t="shared" si="27"/>
        <v/>
      </c>
    </row>
    <row r="866" spans="3:8" ht="30" customHeight="1" x14ac:dyDescent="0.25">
      <c r="C866" s="42">
        <v>862</v>
      </c>
      <c r="D866" s="67" t="str">
        <f>IF('Prod 1'!D866="","",'Prod 1'!D866)</f>
        <v/>
      </c>
      <c r="E866" s="64"/>
      <c r="F866" s="89" t="str">
        <f>IF(D866="","",E866*'Prod 1'!E866)</f>
        <v/>
      </c>
      <c r="G866" s="71" t="str">
        <f t="shared" si="26"/>
        <v/>
      </c>
      <c r="H866" s="59" t="str">
        <f t="shared" si="27"/>
        <v/>
      </c>
    </row>
    <row r="867" spans="3:8" ht="30" customHeight="1" x14ac:dyDescent="0.25">
      <c r="C867" s="42">
        <v>863</v>
      </c>
      <c r="D867" s="67" t="str">
        <f>IF('Prod 1'!D867="","",'Prod 1'!D867)</f>
        <v/>
      </c>
      <c r="E867" s="64"/>
      <c r="F867" s="89" t="str">
        <f>IF(D867="","",E867*'Prod 1'!E867)</f>
        <v/>
      </c>
      <c r="G867" s="71" t="str">
        <f t="shared" si="26"/>
        <v/>
      </c>
      <c r="H867" s="59" t="str">
        <f t="shared" si="27"/>
        <v/>
      </c>
    </row>
    <row r="868" spans="3:8" ht="30" customHeight="1" x14ac:dyDescent="0.25">
      <c r="C868" s="42">
        <v>864</v>
      </c>
      <c r="D868" s="67" t="str">
        <f>IF('Prod 1'!D868="","",'Prod 1'!D868)</f>
        <v/>
      </c>
      <c r="E868" s="64"/>
      <c r="F868" s="89" t="str">
        <f>IF(D868="","",E868*'Prod 1'!E868)</f>
        <v/>
      </c>
      <c r="G868" s="71" t="str">
        <f t="shared" si="26"/>
        <v/>
      </c>
      <c r="H868" s="59" t="str">
        <f t="shared" si="27"/>
        <v/>
      </c>
    </row>
    <row r="869" spans="3:8" ht="30" customHeight="1" x14ac:dyDescent="0.25">
      <c r="C869" s="42">
        <v>865</v>
      </c>
      <c r="D869" s="67" t="str">
        <f>IF('Prod 1'!D869="","",'Prod 1'!D869)</f>
        <v/>
      </c>
      <c r="E869" s="64"/>
      <c r="F869" s="89" t="str">
        <f>IF(D869="","",E869*'Prod 1'!E869)</f>
        <v/>
      </c>
      <c r="G869" s="71" t="str">
        <f t="shared" si="26"/>
        <v/>
      </c>
      <c r="H869" s="59" t="str">
        <f t="shared" si="27"/>
        <v/>
      </c>
    </row>
    <row r="870" spans="3:8" ht="30" customHeight="1" x14ac:dyDescent="0.25">
      <c r="C870" s="42">
        <v>866</v>
      </c>
      <c r="D870" s="67" t="str">
        <f>IF('Prod 1'!D870="","",'Prod 1'!D870)</f>
        <v/>
      </c>
      <c r="E870" s="64"/>
      <c r="F870" s="89" t="str">
        <f>IF(D870="","",E870*'Prod 1'!E870)</f>
        <v/>
      </c>
      <c r="G870" s="71" t="str">
        <f t="shared" si="26"/>
        <v/>
      </c>
      <c r="H870" s="59" t="str">
        <f t="shared" si="27"/>
        <v/>
      </c>
    </row>
    <row r="871" spans="3:8" ht="30" customHeight="1" x14ac:dyDescent="0.25">
      <c r="C871" s="42">
        <v>867</v>
      </c>
      <c r="D871" s="67" t="str">
        <f>IF('Prod 1'!D871="","",'Prod 1'!D871)</f>
        <v/>
      </c>
      <c r="E871" s="64"/>
      <c r="F871" s="89" t="str">
        <f>IF(D871="","",E871*'Prod 1'!E871)</f>
        <v/>
      </c>
      <c r="G871" s="71" t="str">
        <f t="shared" si="26"/>
        <v/>
      </c>
      <c r="H871" s="59" t="str">
        <f t="shared" si="27"/>
        <v/>
      </c>
    </row>
    <row r="872" spans="3:8" ht="30" customHeight="1" x14ac:dyDescent="0.25">
      <c r="C872" s="42">
        <v>868</v>
      </c>
      <c r="D872" s="67" t="str">
        <f>IF('Prod 1'!D872="","",'Prod 1'!D872)</f>
        <v/>
      </c>
      <c r="E872" s="64"/>
      <c r="F872" s="89" t="str">
        <f>IF(D872="","",E872*'Prod 1'!E872)</f>
        <v/>
      </c>
      <c r="G872" s="71" t="str">
        <f t="shared" si="26"/>
        <v/>
      </c>
      <c r="H872" s="59" t="str">
        <f t="shared" si="27"/>
        <v/>
      </c>
    </row>
    <row r="873" spans="3:8" ht="30" customHeight="1" x14ac:dyDescent="0.25">
      <c r="C873" s="42">
        <v>869</v>
      </c>
      <c r="D873" s="67" t="str">
        <f>IF('Prod 1'!D873="","",'Prod 1'!D873)</f>
        <v/>
      </c>
      <c r="E873" s="64"/>
      <c r="F873" s="89" t="str">
        <f>IF(D873="","",E873*'Prod 1'!E873)</f>
        <v/>
      </c>
      <c r="G873" s="71" t="str">
        <f t="shared" si="26"/>
        <v/>
      </c>
      <c r="H873" s="59" t="str">
        <f t="shared" si="27"/>
        <v/>
      </c>
    </row>
    <row r="874" spans="3:8" ht="30" customHeight="1" x14ac:dyDescent="0.25">
      <c r="C874" s="42">
        <v>870</v>
      </c>
      <c r="D874" s="67" t="str">
        <f>IF('Prod 1'!D874="","",'Prod 1'!D874)</f>
        <v/>
      </c>
      <c r="E874" s="64"/>
      <c r="F874" s="89" t="str">
        <f>IF(D874="","",E874*'Prod 1'!E874)</f>
        <v/>
      </c>
      <c r="G874" s="71" t="str">
        <f t="shared" si="26"/>
        <v/>
      </c>
      <c r="H874" s="59" t="str">
        <f t="shared" si="27"/>
        <v/>
      </c>
    </row>
    <row r="875" spans="3:8" ht="30" customHeight="1" x14ac:dyDescent="0.25">
      <c r="C875" s="42">
        <v>871</v>
      </c>
      <c r="D875" s="67" t="str">
        <f>IF('Prod 1'!D875="","",'Prod 1'!D875)</f>
        <v/>
      </c>
      <c r="E875" s="64"/>
      <c r="F875" s="89" t="str">
        <f>IF(D875="","",E875*'Prod 1'!E875)</f>
        <v/>
      </c>
      <c r="G875" s="71" t="str">
        <f t="shared" si="26"/>
        <v/>
      </c>
      <c r="H875" s="59" t="str">
        <f t="shared" si="27"/>
        <v/>
      </c>
    </row>
    <row r="876" spans="3:8" ht="30" customHeight="1" x14ac:dyDescent="0.25">
      <c r="C876" s="42">
        <v>872</v>
      </c>
      <c r="D876" s="67" t="str">
        <f>IF('Prod 1'!D876="","",'Prod 1'!D876)</f>
        <v/>
      </c>
      <c r="E876" s="64"/>
      <c r="F876" s="89" t="str">
        <f>IF(D876="","",E876*'Prod 1'!E876)</f>
        <v/>
      </c>
      <c r="G876" s="71" t="str">
        <f t="shared" si="26"/>
        <v/>
      </c>
      <c r="H876" s="59" t="str">
        <f t="shared" si="27"/>
        <v/>
      </c>
    </row>
    <row r="877" spans="3:8" ht="30" customHeight="1" x14ac:dyDescent="0.25">
      <c r="C877" s="42">
        <v>873</v>
      </c>
      <c r="D877" s="67" t="str">
        <f>IF('Prod 1'!D877="","",'Prod 1'!D877)</f>
        <v/>
      </c>
      <c r="E877" s="64"/>
      <c r="F877" s="89" t="str">
        <f>IF(D877="","",E877*'Prod 1'!E877)</f>
        <v/>
      </c>
      <c r="G877" s="71" t="str">
        <f t="shared" si="26"/>
        <v/>
      </c>
      <c r="H877" s="59" t="str">
        <f t="shared" si="27"/>
        <v/>
      </c>
    </row>
    <row r="878" spans="3:8" ht="30" customHeight="1" x14ac:dyDescent="0.25">
      <c r="C878" s="42">
        <v>874</v>
      </c>
      <c r="D878" s="67" t="str">
        <f>IF('Prod 1'!D878="","",'Prod 1'!D878)</f>
        <v/>
      </c>
      <c r="E878" s="64"/>
      <c r="F878" s="89" t="str">
        <f>IF(D878="","",E878*'Prod 1'!E878)</f>
        <v/>
      </c>
      <c r="G878" s="71" t="str">
        <f t="shared" si="26"/>
        <v/>
      </c>
      <c r="H878" s="59" t="str">
        <f t="shared" si="27"/>
        <v/>
      </c>
    </row>
    <row r="879" spans="3:8" ht="30" customHeight="1" x14ac:dyDescent="0.25">
      <c r="C879" s="42">
        <v>875</v>
      </c>
      <c r="D879" s="67" t="str">
        <f>IF('Prod 1'!D879="","",'Prod 1'!D879)</f>
        <v/>
      </c>
      <c r="E879" s="64"/>
      <c r="F879" s="89" t="str">
        <f>IF(D879="","",E879*'Prod 1'!E879)</f>
        <v/>
      </c>
      <c r="G879" s="71" t="str">
        <f t="shared" si="26"/>
        <v/>
      </c>
      <c r="H879" s="59" t="str">
        <f t="shared" si="27"/>
        <v/>
      </c>
    </row>
    <row r="880" spans="3:8" ht="30" customHeight="1" x14ac:dyDescent="0.25">
      <c r="C880" s="42">
        <v>876</v>
      </c>
      <c r="D880" s="67" t="str">
        <f>IF('Prod 1'!D880="","",'Prod 1'!D880)</f>
        <v/>
      </c>
      <c r="E880" s="64"/>
      <c r="F880" s="89" t="str">
        <f>IF(D880="","",E880*'Prod 1'!E880)</f>
        <v/>
      </c>
      <c r="G880" s="71" t="str">
        <f t="shared" si="26"/>
        <v/>
      </c>
      <c r="H880" s="59" t="str">
        <f t="shared" si="27"/>
        <v/>
      </c>
    </row>
    <row r="881" spans="3:8" ht="30" customHeight="1" x14ac:dyDescent="0.25">
      <c r="C881" s="42">
        <v>877</v>
      </c>
      <c r="D881" s="67" t="str">
        <f>IF('Prod 1'!D881="","",'Prod 1'!D881)</f>
        <v/>
      </c>
      <c r="E881" s="64"/>
      <c r="F881" s="89" t="str">
        <f>IF(D881="","",E881*'Prod 1'!E881)</f>
        <v/>
      </c>
      <c r="G881" s="71" t="str">
        <f t="shared" si="26"/>
        <v/>
      </c>
      <c r="H881" s="59" t="str">
        <f t="shared" si="27"/>
        <v/>
      </c>
    </row>
    <row r="882" spans="3:8" ht="30" customHeight="1" x14ac:dyDescent="0.25">
      <c r="C882" s="42">
        <v>878</v>
      </c>
      <c r="D882" s="67" t="str">
        <f>IF('Prod 1'!D882="","",'Prod 1'!D882)</f>
        <v/>
      </c>
      <c r="E882" s="64"/>
      <c r="F882" s="89" t="str">
        <f>IF(D882="","",E882*'Prod 1'!E882)</f>
        <v/>
      </c>
      <c r="G882" s="71" t="str">
        <f t="shared" si="26"/>
        <v/>
      </c>
      <c r="H882" s="59" t="str">
        <f t="shared" si="27"/>
        <v/>
      </c>
    </row>
    <row r="883" spans="3:8" ht="30" customHeight="1" x14ac:dyDescent="0.25">
      <c r="C883" s="42">
        <v>879</v>
      </c>
      <c r="D883" s="67" t="str">
        <f>IF('Prod 1'!D883="","",'Prod 1'!D883)</f>
        <v/>
      </c>
      <c r="E883" s="64"/>
      <c r="F883" s="89" t="str">
        <f>IF(D883="","",E883*'Prod 1'!E883)</f>
        <v/>
      </c>
      <c r="G883" s="71" t="str">
        <f t="shared" si="26"/>
        <v/>
      </c>
      <c r="H883" s="59" t="str">
        <f t="shared" si="27"/>
        <v/>
      </c>
    </row>
    <row r="884" spans="3:8" ht="30" customHeight="1" x14ac:dyDescent="0.25">
      <c r="C884" s="42">
        <v>880</v>
      </c>
      <c r="D884" s="67" t="str">
        <f>IF('Prod 1'!D884="","",'Prod 1'!D884)</f>
        <v/>
      </c>
      <c r="E884" s="64"/>
      <c r="F884" s="89" t="str">
        <f>IF(D884="","",E884*'Prod 1'!E884)</f>
        <v/>
      </c>
      <c r="G884" s="71" t="str">
        <f t="shared" si="26"/>
        <v/>
      </c>
      <c r="H884" s="59" t="str">
        <f t="shared" si="27"/>
        <v/>
      </c>
    </row>
    <row r="885" spans="3:8" ht="30" customHeight="1" x14ac:dyDescent="0.25">
      <c r="C885" s="42">
        <v>881</v>
      </c>
      <c r="D885" s="67" t="str">
        <f>IF('Prod 1'!D885="","",'Prod 1'!D885)</f>
        <v/>
      </c>
      <c r="E885" s="64"/>
      <c r="F885" s="89" t="str">
        <f>IF(D885="","",E885*'Prod 1'!E885)</f>
        <v/>
      </c>
      <c r="G885" s="71" t="str">
        <f t="shared" si="26"/>
        <v/>
      </c>
      <c r="H885" s="59" t="str">
        <f t="shared" si="27"/>
        <v/>
      </c>
    </row>
    <row r="886" spans="3:8" ht="30" customHeight="1" x14ac:dyDescent="0.25">
      <c r="C886" s="42">
        <v>882</v>
      </c>
      <c r="D886" s="67" t="str">
        <f>IF('Prod 1'!D886="","",'Prod 1'!D886)</f>
        <v/>
      </c>
      <c r="E886" s="64"/>
      <c r="F886" s="89" t="str">
        <f>IF(D886="","",E886*'Prod 1'!E886)</f>
        <v/>
      </c>
      <c r="G886" s="71" t="str">
        <f t="shared" si="26"/>
        <v/>
      </c>
      <c r="H886" s="59" t="str">
        <f t="shared" si="27"/>
        <v/>
      </c>
    </row>
    <row r="887" spans="3:8" ht="30" customHeight="1" x14ac:dyDescent="0.25">
      <c r="C887" s="42">
        <v>883</v>
      </c>
      <c r="D887" s="67" t="str">
        <f>IF('Prod 1'!D887="","",'Prod 1'!D887)</f>
        <v/>
      </c>
      <c r="E887" s="64"/>
      <c r="F887" s="89" t="str">
        <f>IF(D887="","",E887*'Prod 1'!E887)</f>
        <v/>
      </c>
      <c r="G887" s="71" t="str">
        <f t="shared" si="26"/>
        <v/>
      </c>
      <c r="H887" s="59" t="str">
        <f t="shared" si="27"/>
        <v/>
      </c>
    </row>
    <row r="888" spans="3:8" ht="30" customHeight="1" x14ac:dyDescent="0.25">
      <c r="C888" s="42">
        <v>884</v>
      </c>
      <c r="D888" s="67" t="str">
        <f>IF('Prod 1'!D888="","",'Prod 1'!D888)</f>
        <v/>
      </c>
      <c r="E888" s="64"/>
      <c r="F888" s="89" t="str">
        <f>IF(D888="","",E888*'Prod 1'!E888)</f>
        <v/>
      </c>
      <c r="G888" s="71" t="str">
        <f t="shared" si="26"/>
        <v/>
      </c>
      <c r="H888" s="59" t="str">
        <f t="shared" si="27"/>
        <v/>
      </c>
    </row>
    <row r="889" spans="3:8" ht="30" customHeight="1" x14ac:dyDescent="0.25">
      <c r="C889" s="42">
        <v>885</v>
      </c>
      <c r="D889" s="67" t="str">
        <f>IF('Prod 1'!D889="","",'Prod 1'!D889)</f>
        <v/>
      </c>
      <c r="E889" s="64"/>
      <c r="F889" s="89" t="str">
        <f>IF(D889="","",E889*'Prod 1'!E889)</f>
        <v/>
      </c>
      <c r="G889" s="71" t="str">
        <f t="shared" si="26"/>
        <v/>
      </c>
      <c r="H889" s="59" t="str">
        <f t="shared" si="27"/>
        <v/>
      </c>
    </row>
    <row r="890" spans="3:8" ht="30" customHeight="1" x14ac:dyDescent="0.25">
      <c r="C890" s="42">
        <v>886</v>
      </c>
      <c r="D890" s="67" t="str">
        <f>IF('Prod 1'!D890="","",'Prod 1'!D890)</f>
        <v/>
      </c>
      <c r="E890" s="64"/>
      <c r="F890" s="89" t="str">
        <f>IF(D890="","",E890*'Prod 1'!E890)</f>
        <v/>
      </c>
      <c r="G890" s="71" t="str">
        <f t="shared" si="26"/>
        <v/>
      </c>
      <c r="H890" s="59" t="str">
        <f t="shared" si="27"/>
        <v/>
      </c>
    </row>
    <row r="891" spans="3:8" ht="30" customHeight="1" x14ac:dyDescent="0.25">
      <c r="C891" s="42">
        <v>887</v>
      </c>
      <c r="D891" s="67" t="str">
        <f>IF('Prod 1'!D891="","",'Prod 1'!D891)</f>
        <v/>
      </c>
      <c r="E891" s="64"/>
      <c r="F891" s="89" t="str">
        <f>IF(D891="","",E891*'Prod 1'!E891)</f>
        <v/>
      </c>
      <c r="G891" s="71" t="str">
        <f t="shared" si="26"/>
        <v/>
      </c>
      <c r="H891" s="59" t="str">
        <f t="shared" si="27"/>
        <v/>
      </c>
    </row>
    <row r="892" spans="3:8" ht="30" customHeight="1" x14ac:dyDescent="0.25">
      <c r="C892" s="42">
        <v>888</v>
      </c>
      <c r="D892" s="67" t="str">
        <f>IF('Prod 1'!D892="","",'Prod 1'!D892)</f>
        <v/>
      </c>
      <c r="E892" s="64"/>
      <c r="F892" s="89" t="str">
        <f>IF(D892="","",E892*'Prod 1'!E892)</f>
        <v/>
      </c>
      <c r="G892" s="71" t="str">
        <f t="shared" si="26"/>
        <v/>
      </c>
      <c r="H892" s="59" t="str">
        <f t="shared" si="27"/>
        <v/>
      </c>
    </row>
    <row r="893" spans="3:8" ht="30" customHeight="1" x14ac:dyDescent="0.25">
      <c r="C893" s="42">
        <v>889</v>
      </c>
      <c r="D893" s="67" t="str">
        <f>IF('Prod 1'!D893="","",'Prod 1'!D893)</f>
        <v/>
      </c>
      <c r="E893" s="64"/>
      <c r="F893" s="89" t="str">
        <f>IF(D893="","",E893*'Prod 1'!E893)</f>
        <v/>
      </c>
      <c r="G893" s="71" t="str">
        <f t="shared" si="26"/>
        <v/>
      </c>
      <c r="H893" s="59" t="str">
        <f t="shared" si="27"/>
        <v/>
      </c>
    </row>
    <row r="894" spans="3:8" ht="30" customHeight="1" x14ac:dyDescent="0.25">
      <c r="C894" s="42">
        <v>890</v>
      </c>
      <c r="D894" s="67" t="str">
        <f>IF('Prod 1'!D894="","",'Prod 1'!D894)</f>
        <v/>
      </c>
      <c r="E894" s="64"/>
      <c r="F894" s="89" t="str">
        <f>IF(D894="","",E894*'Prod 1'!E894)</f>
        <v/>
      </c>
      <c r="G894" s="71" t="str">
        <f t="shared" si="26"/>
        <v/>
      </c>
      <c r="H894" s="59" t="str">
        <f t="shared" si="27"/>
        <v/>
      </c>
    </row>
    <row r="895" spans="3:8" ht="30" customHeight="1" x14ac:dyDescent="0.25">
      <c r="C895" s="42">
        <v>891</v>
      </c>
      <c r="D895" s="67" t="str">
        <f>IF('Prod 1'!D895="","",'Prod 1'!D895)</f>
        <v/>
      </c>
      <c r="E895" s="64"/>
      <c r="F895" s="89" t="str">
        <f>IF(D895="","",E895*'Prod 1'!E895)</f>
        <v/>
      </c>
      <c r="G895" s="71" t="str">
        <f t="shared" si="26"/>
        <v/>
      </c>
      <c r="H895" s="59" t="str">
        <f t="shared" si="27"/>
        <v/>
      </c>
    </row>
    <row r="896" spans="3:8" ht="30" customHeight="1" x14ac:dyDescent="0.25">
      <c r="C896" s="42">
        <v>892</v>
      </c>
      <c r="D896" s="67" t="str">
        <f>IF('Prod 1'!D896="","",'Prod 1'!D896)</f>
        <v/>
      </c>
      <c r="E896" s="64"/>
      <c r="F896" s="89" t="str">
        <f>IF(D896="","",E896*'Prod 1'!E896)</f>
        <v/>
      </c>
      <c r="G896" s="71" t="str">
        <f t="shared" si="26"/>
        <v/>
      </c>
      <c r="H896" s="59" t="str">
        <f t="shared" si="27"/>
        <v/>
      </c>
    </row>
    <row r="897" spans="3:8" ht="30" customHeight="1" x14ac:dyDescent="0.25">
      <c r="C897" s="42">
        <v>893</v>
      </c>
      <c r="D897" s="67" t="str">
        <f>IF('Prod 1'!D897="","",'Prod 1'!D897)</f>
        <v/>
      </c>
      <c r="E897" s="64"/>
      <c r="F897" s="89" t="str">
        <f>IF(D897="","",E897*'Prod 1'!E897)</f>
        <v/>
      </c>
      <c r="G897" s="71" t="str">
        <f t="shared" si="26"/>
        <v/>
      </c>
      <c r="H897" s="59" t="str">
        <f t="shared" si="27"/>
        <v/>
      </c>
    </row>
    <row r="898" spans="3:8" ht="30" customHeight="1" x14ac:dyDescent="0.25">
      <c r="C898" s="42">
        <v>894</v>
      </c>
      <c r="D898" s="67" t="str">
        <f>IF('Prod 1'!D898="","",'Prod 1'!D898)</f>
        <v/>
      </c>
      <c r="E898" s="64"/>
      <c r="F898" s="89" t="str">
        <f>IF(D898="","",E898*'Prod 1'!E898)</f>
        <v/>
      </c>
      <c r="G898" s="71" t="str">
        <f t="shared" si="26"/>
        <v/>
      </c>
      <c r="H898" s="59" t="str">
        <f t="shared" si="27"/>
        <v/>
      </c>
    </row>
    <row r="899" spans="3:8" ht="30" customHeight="1" x14ac:dyDescent="0.25">
      <c r="C899" s="42">
        <v>895</v>
      </c>
      <c r="D899" s="67" t="str">
        <f>IF('Prod 1'!D899="","",'Prod 1'!D899)</f>
        <v/>
      </c>
      <c r="E899" s="64"/>
      <c r="F899" s="89" t="str">
        <f>IF(D899="","",E899*'Prod 1'!E899)</f>
        <v/>
      </c>
      <c r="G899" s="71" t="str">
        <f t="shared" si="26"/>
        <v/>
      </c>
      <c r="H899" s="59" t="str">
        <f t="shared" si="27"/>
        <v/>
      </c>
    </row>
    <row r="900" spans="3:8" ht="30" customHeight="1" x14ac:dyDescent="0.25">
      <c r="C900" s="42">
        <v>896</v>
      </c>
      <c r="D900" s="67" t="str">
        <f>IF('Prod 1'!D900="","",'Prod 1'!D900)</f>
        <v/>
      </c>
      <c r="E900" s="64"/>
      <c r="F900" s="89" t="str">
        <f>IF(D900="","",E900*'Prod 1'!E900)</f>
        <v/>
      </c>
      <c r="G900" s="71" t="str">
        <f t="shared" si="26"/>
        <v/>
      </c>
      <c r="H900" s="59" t="str">
        <f t="shared" si="27"/>
        <v/>
      </c>
    </row>
    <row r="901" spans="3:8" ht="30" customHeight="1" x14ac:dyDescent="0.25">
      <c r="C901" s="42">
        <v>897</v>
      </c>
      <c r="D901" s="67" t="str">
        <f>IF('Prod 1'!D901="","",'Prod 1'!D901)</f>
        <v/>
      </c>
      <c r="E901" s="64"/>
      <c r="F901" s="89" t="str">
        <f>IF(D901="","",E901*'Prod 1'!E901)</f>
        <v/>
      </c>
      <c r="G901" s="71" t="str">
        <f t="shared" ref="G901:G964" si="28">IF(D901="","",IFERROR(F901/$H$3,0))</f>
        <v/>
      </c>
      <c r="H901" s="59" t="str">
        <f t="shared" ref="H901:H965" si="29">F901</f>
        <v/>
      </c>
    </row>
    <row r="902" spans="3:8" ht="30" customHeight="1" x14ac:dyDescent="0.25">
      <c r="C902" s="42">
        <v>898</v>
      </c>
      <c r="D902" s="67" t="str">
        <f>IF('Prod 1'!D902="","",'Prod 1'!D902)</f>
        <v/>
      </c>
      <c r="E902" s="64"/>
      <c r="F902" s="89" t="str">
        <f>IF(D902="","",E902*'Prod 1'!E902)</f>
        <v/>
      </c>
      <c r="G902" s="71" t="str">
        <f t="shared" si="28"/>
        <v/>
      </c>
      <c r="H902" s="59" t="str">
        <f t="shared" si="29"/>
        <v/>
      </c>
    </row>
    <row r="903" spans="3:8" ht="30" customHeight="1" x14ac:dyDescent="0.25">
      <c r="C903" s="42">
        <v>899</v>
      </c>
      <c r="D903" s="67" t="str">
        <f>IF('Prod 1'!D903="","",'Prod 1'!D903)</f>
        <v/>
      </c>
      <c r="E903" s="64"/>
      <c r="F903" s="89" t="str">
        <f>IF(D903="","",E903*'Prod 1'!E903)</f>
        <v/>
      </c>
      <c r="G903" s="71" t="str">
        <f t="shared" si="28"/>
        <v/>
      </c>
      <c r="H903" s="59" t="str">
        <f t="shared" si="29"/>
        <v/>
      </c>
    </row>
    <row r="904" spans="3:8" ht="30" customHeight="1" x14ac:dyDescent="0.25">
      <c r="C904" s="42">
        <v>900</v>
      </c>
      <c r="D904" s="67" t="str">
        <f>IF('Prod 1'!D904="","",'Prod 1'!D904)</f>
        <v/>
      </c>
      <c r="E904" s="64"/>
      <c r="F904" s="89" t="str">
        <f>IF(D904="","",E904*'Prod 1'!E904)</f>
        <v/>
      </c>
      <c r="G904" s="71" t="str">
        <f t="shared" si="28"/>
        <v/>
      </c>
      <c r="H904" s="59" t="str">
        <f t="shared" si="29"/>
        <v/>
      </c>
    </row>
    <row r="905" spans="3:8" ht="30" customHeight="1" x14ac:dyDescent="0.25">
      <c r="C905" s="42">
        <v>901</v>
      </c>
      <c r="D905" s="67" t="str">
        <f>IF('Prod 1'!D905="","",'Prod 1'!D905)</f>
        <v/>
      </c>
      <c r="E905" s="64"/>
      <c r="F905" s="89" t="str">
        <f>IF(D905="","",E905*'Prod 1'!E905)</f>
        <v/>
      </c>
      <c r="G905" s="71" t="str">
        <f t="shared" si="28"/>
        <v/>
      </c>
      <c r="H905" s="59" t="str">
        <f t="shared" si="29"/>
        <v/>
      </c>
    </row>
    <row r="906" spans="3:8" ht="30" customHeight="1" x14ac:dyDescent="0.25">
      <c r="C906" s="42">
        <v>902</v>
      </c>
      <c r="D906" s="67" t="str">
        <f>IF('Prod 1'!D906="","",'Prod 1'!D906)</f>
        <v/>
      </c>
      <c r="E906" s="64"/>
      <c r="F906" s="89" t="str">
        <f>IF(D906="","",E906*'Prod 1'!E906)</f>
        <v/>
      </c>
      <c r="G906" s="71" t="str">
        <f t="shared" si="28"/>
        <v/>
      </c>
      <c r="H906" s="59" t="str">
        <f t="shared" si="29"/>
        <v/>
      </c>
    </row>
    <row r="907" spans="3:8" ht="30" customHeight="1" x14ac:dyDescent="0.25">
      <c r="C907" s="42">
        <v>903</v>
      </c>
      <c r="D907" s="67" t="str">
        <f>IF('Prod 1'!D907="","",'Prod 1'!D907)</f>
        <v/>
      </c>
      <c r="E907" s="64"/>
      <c r="F907" s="89" t="str">
        <f>IF(D907="","",E907*'Prod 1'!E907)</f>
        <v/>
      </c>
      <c r="G907" s="71" t="str">
        <f t="shared" si="28"/>
        <v/>
      </c>
      <c r="H907" s="59" t="str">
        <f t="shared" si="29"/>
        <v/>
      </c>
    </row>
    <row r="908" spans="3:8" ht="30" customHeight="1" x14ac:dyDescent="0.25">
      <c r="C908" s="42">
        <v>904</v>
      </c>
      <c r="D908" s="67" t="str">
        <f>IF('Prod 1'!D908="","",'Prod 1'!D908)</f>
        <v/>
      </c>
      <c r="E908" s="64"/>
      <c r="F908" s="89" t="str">
        <f>IF(D908="","",E908*'Prod 1'!E908)</f>
        <v/>
      </c>
      <c r="G908" s="71" t="str">
        <f t="shared" si="28"/>
        <v/>
      </c>
      <c r="H908" s="59" t="str">
        <f t="shared" si="29"/>
        <v/>
      </c>
    </row>
    <row r="909" spans="3:8" ht="30" customHeight="1" x14ac:dyDescent="0.25">
      <c r="C909" s="42">
        <v>905</v>
      </c>
      <c r="D909" s="67" t="str">
        <f>IF('Prod 1'!D909="","",'Prod 1'!D909)</f>
        <v/>
      </c>
      <c r="E909" s="64"/>
      <c r="F909" s="89" t="str">
        <f>IF(D909="","",E909*'Prod 1'!E909)</f>
        <v/>
      </c>
      <c r="G909" s="71" t="str">
        <f t="shared" si="28"/>
        <v/>
      </c>
      <c r="H909" s="59" t="str">
        <f t="shared" si="29"/>
        <v/>
      </c>
    </row>
    <row r="910" spans="3:8" ht="30" customHeight="1" x14ac:dyDescent="0.25">
      <c r="C910" s="42">
        <v>906</v>
      </c>
      <c r="D910" s="67" t="str">
        <f>IF('Prod 1'!D910="","",'Prod 1'!D910)</f>
        <v/>
      </c>
      <c r="E910" s="64"/>
      <c r="F910" s="89" t="str">
        <f>IF(D910="","",E910*'Prod 1'!E910)</f>
        <v/>
      </c>
      <c r="G910" s="71" t="str">
        <f t="shared" si="28"/>
        <v/>
      </c>
      <c r="H910" s="59" t="str">
        <f t="shared" si="29"/>
        <v/>
      </c>
    </row>
    <row r="911" spans="3:8" ht="30" customHeight="1" x14ac:dyDescent="0.25">
      <c r="C911" s="42">
        <v>907</v>
      </c>
      <c r="D911" s="67" t="str">
        <f>IF('Prod 1'!D911="","",'Prod 1'!D911)</f>
        <v/>
      </c>
      <c r="E911" s="64"/>
      <c r="F911" s="89" t="str">
        <f>IF(D911="","",E911*'Prod 1'!E911)</f>
        <v/>
      </c>
      <c r="G911" s="71" t="str">
        <f t="shared" si="28"/>
        <v/>
      </c>
      <c r="H911" s="59" t="str">
        <f t="shared" si="29"/>
        <v/>
      </c>
    </row>
    <row r="912" spans="3:8" ht="30" customHeight="1" x14ac:dyDescent="0.25">
      <c r="C912" s="42">
        <v>908</v>
      </c>
      <c r="D912" s="67" t="str">
        <f>IF('Prod 1'!D912="","",'Prod 1'!D912)</f>
        <v/>
      </c>
      <c r="E912" s="64"/>
      <c r="F912" s="89" t="str">
        <f>IF(D912="","",E912*'Prod 1'!E912)</f>
        <v/>
      </c>
      <c r="G912" s="71" t="str">
        <f t="shared" si="28"/>
        <v/>
      </c>
      <c r="H912" s="59" t="str">
        <f t="shared" si="29"/>
        <v/>
      </c>
    </row>
    <row r="913" spans="3:8" ht="30" customHeight="1" x14ac:dyDescent="0.25">
      <c r="C913" s="42">
        <v>909</v>
      </c>
      <c r="D913" s="67" t="str">
        <f>IF('Prod 1'!D913="","",'Prod 1'!D913)</f>
        <v/>
      </c>
      <c r="E913" s="64"/>
      <c r="F913" s="89" t="str">
        <f>IF(D913="","",E913*'Prod 1'!E913)</f>
        <v/>
      </c>
      <c r="G913" s="71" t="str">
        <f t="shared" si="28"/>
        <v/>
      </c>
      <c r="H913" s="59" t="str">
        <f t="shared" si="29"/>
        <v/>
      </c>
    </row>
    <row r="914" spans="3:8" ht="30" customHeight="1" x14ac:dyDescent="0.25">
      <c r="C914" s="42">
        <v>910</v>
      </c>
      <c r="D914" s="67" t="str">
        <f>IF('Prod 1'!D914="","",'Prod 1'!D914)</f>
        <v/>
      </c>
      <c r="E914" s="64"/>
      <c r="F914" s="89" t="str">
        <f>IF(D914="","",E914*'Prod 1'!E914)</f>
        <v/>
      </c>
      <c r="G914" s="71" t="str">
        <f t="shared" si="28"/>
        <v/>
      </c>
      <c r="H914" s="59" t="str">
        <f t="shared" si="29"/>
        <v/>
      </c>
    </row>
    <row r="915" spans="3:8" ht="30" customHeight="1" x14ac:dyDescent="0.25">
      <c r="C915" s="42">
        <v>911</v>
      </c>
      <c r="D915" s="67" t="str">
        <f>IF('Prod 1'!D915="","",'Prod 1'!D915)</f>
        <v/>
      </c>
      <c r="E915" s="64"/>
      <c r="F915" s="89" t="str">
        <f>IF(D915="","",E915*'Prod 1'!E915)</f>
        <v/>
      </c>
      <c r="G915" s="71" t="str">
        <f t="shared" si="28"/>
        <v/>
      </c>
      <c r="H915" s="59" t="str">
        <f t="shared" si="29"/>
        <v/>
      </c>
    </row>
    <row r="916" spans="3:8" ht="30" customHeight="1" x14ac:dyDescent="0.25">
      <c r="C916" s="42">
        <v>912</v>
      </c>
      <c r="D916" s="67" t="str">
        <f>IF('Prod 1'!D916="","",'Prod 1'!D916)</f>
        <v/>
      </c>
      <c r="E916" s="64"/>
      <c r="F916" s="89" t="str">
        <f>IF(D916="","",E916*'Prod 1'!E916)</f>
        <v/>
      </c>
      <c r="G916" s="71" t="str">
        <f t="shared" si="28"/>
        <v/>
      </c>
      <c r="H916" s="59" t="str">
        <f t="shared" si="29"/>
        <v/>
      </c>
    </row>
    <row r="917" spans="3:8" ht="30" customHeight="1" x14ac:dyDescent="0.25">
      <c r="C917" s="42">
        <v>913</v>
      </c>
      <c r="D917" s="67" t="str">
        <f>IF('Prod 1'!D917="","",'Prod 1'!D917)</f>
        <v/>
      </c>
      <c r="E917" s="64"/>
      <c r="F917" s="89" t="str">
        <f>IF(D917="","",E917*'Prod 1'!E917)</f>
        <v/>
      </c>
      <c r="G917" s="71" t="str">
        <f t="shared" si="28"/>
        <v/>
      </c>
      <c r="H917" s="59" t="str">
        <f t="shared" si="29"/>
        <v/>
      </c>
    </row>
    <row r="918" spans="3:8" ht="30" customHeight="1" x14ac:dyDescent="0.25">
      <c r="C918" s="42">
        <v>914</v>
      </c>
      <c r="D918" s="67" t="str">
        <f>IF('Prod 1'!D918="","",'Prod 1'!D918)</f>
        <v/>
      </c>
      <c r="E918" s="64"/>
      <c r="F918" s="89" t="str">
        <f>IF(D918="","",E918*'Prod 1'!E918)</f>
        <v/>
      </c>
      <c r="G918" s="71" t="str">
        <f t="shared" si="28"/>
        <v/>
      </c>
      <c r="H918" s="59" t="str">
        <f t="shared" si="29"/>
        <v/>
      </c>
    </row>
    <row r="919" spans="3:8" ht="30" customHeight="1" x14ac:dyDescent="0.25">
      <c r="C919" s="42">
        <v>915</v>
      </c>
      <c r="D919" s="67" t="str">
        <f>IF('Prod 1'!D919="","",'Prod 1'!D919)</f>
        <v/>
      </c>
      <c r="E919" s="64"/>
      <c r="F919" s="89" t="str">
        <f>IF(D919="","",E919*'Prod 1'!E919)</f>
        <v/>
      </c>
      <c r="G919" s="71" t="str">
        <f t="shared" si="28"/>
        <v/>
      </c>
      <c r="H919" s="59" t="str">
        <f t="shared" si="29"/>
        <v/>
      </c>
    </row>
    <row r="920" spans="3:8" ht="30" customHeight="1" x14ac:dyDescent="0.25">
      <c r="C920" s="42">
        <v>916</v>
      </c>
      <c r="D920" s="67" t="str">
        <f>IF('Prod 1'!D920="","",'Prod 1'!D920)</f>
        <v/>
      </c>
      <c r="E920" s="64"/>
      <c r="F920" s="89" t="str">
        <f>IF(D920="","",E920*'Prod 1'!E920)</f>
        <v/>
      </c>
      <c r="G920" s="71" t="str">
        <f t="shared" si="28"/>
        <v/>
      </c>
      <c r="H920" s="59" t="str">
        <f t="shared" si="29"/>
        <v/>
      </c>
    </row>
    <row r="921" spans="3:8" ht="30" customHeight="1" x14ac:dyDescent="0.25">
      <c r="C921" s="42">
        <v>917</v>
      </c>
      <c r="D921" s="67" t="str">
        <f>IF('Prod 1'!D921="","",'Prod 1'!D921)</f>
        <v/>
      </c>
      <c r="E921" s="64"/>
      <c r="F921" s="89" t="str">
        <f>IF(D921="","",E921*'Prod 1'!E921)</f>
        <v/>
      </c>
      <c r="G921" s="71" t="str">
        <f t="shared" si="28"/>
        <v/>
      </c>
      <c r="H921" s="59" t="str">
        <f t="shared" si="29"/>
        <v/>
      </c>
    </row>
    <row r="922" spans="3:8" ht="30" customHeight="1" x14ac:dyDescent="0.25">
      <c r="C922" s="42">
        <v>918</v>
      </c>
      <c r="D922" s="67" t="str">
        <f>IF('Prod 1'!D922="","",'Prod 1'!D922)</f>
        <v/>
      </c>
      <c r="E922" s="64"/>
      <c r="F922" s="89" t="str">
        <f>IF(D922="","",E922*'Prod 1'!E922)</f>
        <v/>
      </c>
      <c r="G922" s="71" t="str">
        <f t="shared" si="28"/>
        <v/>
      </c>
      <c r="H922" s="59" t="str">
        <f t="shared" si="29"/>
        <v/>
      </c>
    </row>
    <row r="923" spans="3:8" ht="30" customHeight="1" x14ac:dyDescent="0.25">
      <c r="C923" s="42">
        <v>919</v>
      </c>
      <c r="D923" s="67" t="str">
        <f>IF('Prod 1'!D923="","",'Prod 1'!D923)</f>
        <v/>
      </c>
      <c r="E923" s="64"/>
      <c r="F923" s="89" t="str">
        <f>IF(D923="","",E923*'Prod 1'!E923)</f>
        <v/>
      </c>
      <c r="G923" s="71" t="str">
        <f t="shared" si="28"/>
        <v/>
      </c>
      <c r="H923" s="59" t="str">
        <f t="shared" si="29"/>
        <v/>
      </c>
    </row>
    <row r="924" spans="3:8" ht="30" customHeight="1" x14ac:dyDescent="0.25">
      <c r="C924" s="42">
        <v>920</v>
      </c>
      <c r="D924" s="67" t="str">
        <f>IF('Prod 1'!D924="","",'Prod 1'!D924)</f>
        <v/>
      </c>
      <c r="E924" s="64"/>
      <c r="F924" s="89" t="str">
        <f>IF(D924="","",E924*'Prod 1'!E924)</f>
        <v/>
      </c>
      <c r="G924" s="71" t="str">
        <f t="shared" si="28"/>
        <v/>
      </c>
      <c r="H924" s="59" t="str">
        <f t="shared" si="29"/>
        <v/>
      </c>
    </row>
    <row r="925" spans="3:8" ht="30" customHeight="1" x14ac:dyDescent="0.25">
      <c r="C925" s="42">
        <v>921</v>
      </c>
      <c r="D925" s="67" t="str">
        <f>IF('Prod 1'!D925="","",'Prod 1'!D925)</f>
        <v/>
      </c>
      <c r="E925" s="64"/>
      <c r="F925" s="89" t="str">
        <f>IF(D925="","",E925*'Prod 1'!E925)</f>
        <v/>
      </c>
      <c r="G925" s="71" t="str">
        <f t="shared" si="28"/>
        <v/>
      </c>
      <c r="H925" s="59" t="str">
        <f t="shared" si="29"/>
        <v/>
      </c>
    </row>
    <row r="926" spans="3:8" ht="30" customHeight="1" x14ac:dyDescent="0.25">
      <c r="C926" s="42">
        <v>922</v>
      </c>
      <c r="D926" s="67" t="str">
        <f>IF('Prod 1'!D926="","",'Prod 1'!D926)</f>
        <v/>
      </c>
      <c r="E926" s="64"/>
      <c r="F926" s="89" t="str">
        <f>IF(D926="","",E926*'Prod 1'!E926)</f>
        <v/>
      </c>
      <c r="G926" s="71" t="str">
        <f t="shared" si="28"/>
        <v/>
      </c>
      <c r="H926" s="59" t="str">
        <f t="shared" si="29"/>
        <v/>
      </c>
    </row>
    <row r="927" spans="3:8" ht="30" customHeight="1" x14ac:dyDescent="0.25">
      <c r="C927" s="42">
        <v>923</v>
      </c>
      <c r="D927" s="67" t="str">
        <f>IF('Prod 1'!D927="","",'Prod 1'!D927)</f>
        <v/>
      </c>
      <c r="E927" s="64"/>
      <c r="F927" s="89" t="str">
        <f>IF(D927="","",E927*'Prod 1'!E927)</f>
        <v/>
      </c>
      <c r="G927" s="71" t="str">
        <f t="shared" si="28"/>
        <v/>
      </c>
      <c r="H927" s="59" t="str">
        <f t="shared" si="29"/>
        <v/>
      </c>
    </row>
    <row r="928" spans="3:8" ht="30" customHeight="1" x14ac:dyDescent="0.25">
      <c r="C928" s="42">
        <v>924</v>
      </c>
      <c r="D928" s="67" t="str">
        <f>IF('Prod 1'!D928="","",'Prod 1'!D928)</f>
        <v/>
      </c>
      <c r="E928" s="64"/>
      <c r="F928" s="89" t="str">
        <f>IF(D928="","",E928*'Prod 1'!E928)</f>
        <v/>
      </c>
      <c r="G928" s="71" t="str">
        <f t="shared" si="28"/>
        <v/>
      </c>
      <c r="H928" s="59" t="str">
        <f t="shared" si="29"/>
        <v/>
      </c>
    </row>
    <row r="929" spans="3:8" ht="30" customHeight="1" x14ac:dyDescent="0.25">
      <c r="C929" s="42">
        <v>925</v>
      </c>
      <c r="D929" s="67" t="str">
        <f>IF('Prod 1'!D929="","",'Prod 1'!D929)</f>
        <v/>
      </c>
      <c r="E929" s="64"/>
      <c r="F929" s="89" t="str">
        <f>IF(D929="","",E929*'Prod 1'!E929)</f>
        <v/>
      </c>
      <c r="G929" s="71" t="str">
        <f t="shared" si="28"/>
        <v/>
      </c>
      <c r="H929" s="59" t="str">
        <f t="shared" si="29"/>
        <v/>
      </c>
    </row>
    <row r="930" spans="3:8" ht="30" customHeight="1" x14ac:dyDescent="0.25">
      <c r="C930" s="42">
        <v>926</v>
      </c>
      <c r="D930" s="67" t="str">
        <f>IF('Prod 1'!D930="","",'Prod 1'!D930)</f>
        <v/>
      </c>
      <c r="E930" s="64"/>
      <c r="F930" s="89" t="str">
        <f>IF(D930="","",E930*'Prod 1'!E930)</f>
        <v/>
      </c>
      <c r="G930" s="71" t="str">
        <f t="shared" si="28"/>
        <v/>
      </c>
      <c r="H930" s="59" t="str">
        <f t="shared" si="29"/>
        <v/>
      </c>
    </row>
    <row r="931" spans="3:8" ht="30" customHeight="1" x14ac:dyDescent="0.25">
      <c r="C931" s="42">
        <v>927</v>
      </c>
      <c r="D931" s="67" t="str">
        <f>IF('Prod 1'!D931="","",'Prod 1'!D931)</f>
        <v/>
      </c>
      <c r="E931" s="64"/>
      <c r="F931" s="89" t="str">
        <f>IF(D931="","",E931*'Prod 1'!E931)</f>
        <v/>
      </c>
      <c r="G931" s="71" t="str">
        <f t="shared" si="28"/>
        <v/>
      </c>
      <c r="H931" s="59" t="str">
        <f t="shared" si="29"/>
        <v/>
      </c>
    </row>
    <row r="932" spans="3:8" ht="30" customHeight="1" x14ac:dyDescent="0.25">
      <c r="C932" s="42">
        <v>928</v>
      </c>
      <c r="D932" s="67" t="str">
        <f>IF('Prod 1'!D932="","",'Prod 1'!D932)</f>
        <v/>
      </c>
      <c r="E932" s="64"/>
      <c r="F932" s="89" t="str">
        <f>IF(D932="","",E932*'Prod 1'!E932)</f>
        <v/>
      </c>
      <c r="G932" s="71" t="str">
        <f t="shared" si="28"/>
        <v/>
      </c>
      <c r="H932" s="59" t="str">
        <f t="shared" si="29"/>
        <v/>
      </c>
    </row>
    <row r="933" spans="3:8" ht="30" customHeight="1" x14ac:dyDescent="0.25">
      <c r="C933" s="42">
        <v>929</v>
      </c>
      <c r="D933" s="67" t="str">
        <f>IF('Prod 1'!D933="","",'Prod 1'!D933)</f>
        <v/>
      </c>
      <c r="E933" s="64"/>
      <c r="F933" s="89" t="str">
        <f>IF(D933="","",E933*'Prod 1'!E933)</f>
        <v/>
      </c>
      <c r="G933" s="71" t="str">
        <f t="shared" si="28"/>
        <v/>
      </c>
      <c r="H933" s="59" t="str">
        <f t="shared" si="29"/>
        <v/>
      </c>
    </row>
    <row r="934" spans="3:8" ht="30" customHeight="1" x14ac:dyDescent="0.25">
      <c r="C934" s="42">
        <v>930</v>
      </c>
      <c r="D934" s="67" t="str">
        <f>IF('Prod 1'!D934="","",'Prod 1'!D934)</f>
        <v/>
      </c>
      <c r="E934" s="64"/>
      <c r="F934" s="89" t="str">
        <f>IF(D934="","",E934*'Prod 1'!E934)</f>
        <v/>
      </c>
      <c r="G934" s="71" t="str">
        <f t="shared" si="28"/>
        <v/>
      </c>
      <c r="H934" s="59" t="str">
        <f t="shared" si="29"/>
        <v/>
      </c>
    </row>
    <row r="935" spans="3:8" ht="30" customHeight="1" x14ac:dyDescent="0.25">
      <c r="C935" s="42">
        <v>931</v>
      </c>
      <c r="D935" s="67" t="str">
        <f>IF('Prod 1'!D935="","",'Prod 1'!D935)</f>
        <v/>
      </c>
      <c r="E935" s="64"/>
      <c r="F935" s="89" t="str">
        <f>IF(D935="","",E935*'Prod 1'!E935)</f>
        <v/>
      </c>
      <c r="G935" s="71" t="str">
        <f t="shared" si="28"/>
        <v/>
      </c>
      <c r="H935" s="59" t="str">
        <f t="shared" si="29"/>
        <v/>
      </c>
    </row>
    <row r="936" spans="3:8" ht="30" customHeight="1" x14ac:dyDescent="0.25">
      <c r="C936" s="42">
        <v>932</v>
      </c>
      <c r="D936" s="67" t="str">
        <f>IF('Prod 1'!D936="","",'Prod 1'!D936)</f>
        <v/>
      </c>
      <c r="E936" s="64"/>
      <c r="F936" s="89" t="str">
        <f>IF(D936="","",E936*'Prod 1'!E936)</f>
        <v/>
      </c>
      <c r="G936" s="71" t="str">
        <f t="shared" si="28"/>
        <v/>
      </c>
      <c r="H936" s="59" t="str">
        <f t="shared" si="29"/>
        <v/>
      </c>
    </row>
    <row r="937" spans="3:8" ht="30" customHeight="1" x14ac:dyDescent="0.25">
      <c r="C937" s="42">
        <v>933</v>
      </c>
      <c r="D937" s="67" t="str">
        <f>IF('Prod 1'!D937="","",'Prod 1'!D937)</f>
        <v/>
      </c>
      <c r="E937" s="64"/>
      <c r="F937" s="89" t="str">
        <f>IF(D937="","",E937*'Prod 1'!E937)</f>
        <v/>
      </c>
      <c r="G937" s="71" t="str">
        <f t="shared" si="28"/>
        <v/>
      </c>
      <c r="H937" s="59" t="str">
        <f t="shared" si="29"/>
        <v/>
      </c>
    </row>
    <row r="938" spans="3:8" ht="30" customHeight="1" x14ac:dyDescent="0.25">
      <c r="C938" s="42">
        <v>934</v>
      </c>
      <c r="D938" s="67" t="str">
        <f>IF('Prod 1'!D938="","",'Prod 1'!D938)</f>
        <v/>
      </c>
      <c r="E938" s="64"/>
      <c r="F938" s="89" t="str">
        <f>IF(D938="","",E938*'Prod 1'!E938)</f>
        <v/>
      </c>
      <c r="G938" s="71" t="str">
        <f t="shared" si="28"/>
        <v/>
      </c>
      <c r="H938" s="59" t="str">
        <f t="shared" si="29"/>
        <v/>
      </c>
    </row>
    <row r="939" spans="3:8" ht="30" customHeight="1" x14ac:dyDescent="0.25">
      <c r="C939" s="42">
        <v>935</v>
      </c>
      <c r="D939" s="67" t="str">
        <f>IF('Prod 1'!D939="","",'Prod 1'!D939)</f>
        <v/>
      </c>
      <c r="E939" s="64"/>
      <c r="F939" s="89" t="str">
        <f>IF(D939="","",E939*'Prod 1'!E939)</f>
        <v/>
      </c>
      <c r="G939" s="71" t="str">
        <f t="shared" si="28"/>
        <v/>
      </c>
      <c r="H939" s="59" t="str">
        <f t="shared" si="29"/>
        <v/>
      </c>
    </row>
    <row r="940" spans="3:8" ht="30" customHeight="1" x14ac:dyDescent="0.25">
      <c r="C940" s="42">
        <v>936</v>
      </c>
      <c r="D940" s="67" t="str">
        <f>IF('Prod 1'!D940="","",'Prod 1'!D940)</f>
        <v/>
      </c>
      <c r="E940" s="64"/>
      <c r="F940" s="89" t="str">
        <f>IF(D940="","",E940*'Prod 1'!E940)</f>
        <v/>
      </c>
      <c r="G940" s="71" t="str">
        <f t="shared" si="28"/>
        <v/>
      </c>
      <c r="H940" s="59" t="str">
        <f t="shared" si="29"/>
        <v/>
      </c>
    </row>
    <row r="941" spans="3:8" ht="30" customHeight="1" x14ac:dyDescent="0.25">
      <c r="C941" s="42">
        <v>937</v>
      </c>
      <c r="D941" s="67" t="str">
        <f>IF('Prod 1'!D941="","",'Prod 1'!D941)</f>
        <v/>
      </c>
      <c r="E941" s="64"/>
      <c r="F941" s="89" t="str">
        <f>IF(D941="","",E941*'Prod 1'!E941)</f>
        <v/>
      </c>
      <c r="G941" s="71" t="str">
        <f t="shared" si="28"/>
        <v/>
      </c>
      <c r="H941" s="59" t="str">
        <f t="shared" si="29"/>
        <v/>
      </c>
    </row>
    <row r="942" spans="3:8" ht="30" customHeight="1" x14ac:dyDescent="0.25">
      <c r="C942" s="42">
        <v>938</v>
      </c>
      <c r="D942" s="67" t="str">
        <f>IF('Prod 1'!D942="","",'Prod 1'!D942)</f>
        <v/>
      </c>
      <c r="E942" s="64"/>
      <c r="F942" s="89" t="str">
        <f>IF(D942="","",E942*'Prod 1'!E942)</f>
        <v/>
      </c>
      <c r="G942" s="71" t="str">
        <f t="shared" si="28"/>
        <v/>
      </c>
      <c r="H942" s="59" t="str">
        <f t="shared" si="29"/>
        <v/>
      </c>
    </row>
    <row r="943" spans="3:8" ht="30" customHeight="1" x14ac:dyDescent="0.25">
      <c r="C943" s="42">
        <v>939</v>
      </c>
      <c r="D943" s="67" t="str">
        <f>IF('Prod 1'!D943="","",'Prod 1'!D943)</f>
        <v/>
      </c>
      <c r="E943" s="64"/>
      <c r="F943" s="89" t="str">
        <f>IF(D943="","",E943*'Prod 1'!E943)</f>
        <v/>
      </c>
      <c r="G943" s="71" t="str">
        <f t="shared" si="28"/>
        <v/>
      </c>
      <c r="H943" s="59" t="str">
        <f t="shared" si="29"/>
        <v/>
      </c>
    </row>
    <row r="944" spans="3:8" ht="30" customHeight="1" x14ac:dyDescent="0.25">
      <c r="C944" s="42">
        <v>940</v>
      </c>
      <c r="D944" s="67" t="str">
        <f>IF('Prod 1'!D944="","",'Prod 1'!D944)</f>
        <v/>
      </c>
      <c r="E944" s="64"/>
      <c r="F944" s="89" t="str">
        <f>IF(D944="","",E944*'Prod 1'!E944)</f>
        <v/>
      </c>
      <c r="G944" s="71" t="str">
        <f t="shared" si="28"/>
        <v/>
      </c>
      <c r="H944" s="59" t="str">
        <f t="shared" si="29"/>
        <v/>
      </c>
    </row>
    <row r="945" spans="3:8" ht="30" customHeight="1" x14ac:dyDescent="0.25">
      <c r="C945" s="42">
        <v>941</v>
      </c>
      <c r="D945" s="67" t="str">
        <f>IF('Prod 1'!D945="","",'Prod 1'!D945)</f>
        <v/>
      </c>
      <c r="E945" s="64"/>
      <c r="F945" s="89" t="str">
        <f>IF(D945="","",E945*'Prod 1'!E945)</f>
        <v/>
      </c>
      <c r="G945" s="71" t="str">
        <f t="shared" si="28"/>
        <v/>
      </c>
      <c r="H945" s="59" t="str">
        <f t="shared" si="29"/>
        <v/>
      </c>
    </row>
    <row r="946" spans="3:8" ht="30" customHeight="1" x14ac:dyDescent="0.25">
      <c r="C946" s="42">
        <v>942</v>
      </c>
      <c r="D946" s="67" t="str">
        <f>IF('Prod 1'!D946="","",'Prod 1'!D946)</f>
        <v/>
      </c>
      <c r="E946" s="64"/>
      <c r="F946" s="89" t="str">
        <f>IF(D946="","",E946*'Prod 1'!E946)</f>
        <v/>
      </c>
      <c r="G946" s="71" t="str">
        <f t="shared" si="28"/>
        <v/>
      </c>
      <c r="H946" s="59" t="str">
        <f t="shared" si="29"/>
        <v/>
      </c>
    </row>
    <row r="947" spans="3:8" ht="30" customHeight="1" x14ac:dyDescent="0.25">
      <c r="C947" s="42">
        <v>943</v>
      </c>
      <c r="D947" s="67" t="str">
        <f>IF('Prod 1'!D947="","",'Prod 1'!D947)</f>
        <v/>
      </c>
      <c r="E947" s="64"/>
      <c r="F947" s="89" t="str">
        <f>IF(D947="","",E947*'Prod 1'!E947)</f>
        <v/>
      </c>
      <c r="G947" s="71" t="str">
        <f t="shared" si="28"/>
        <v/>
      </c>
      <c r="H947" s="59" t="str">
        <f t="shared" si="29"/>
        <v/>
      </c>
    </row>
    <row r="948" spans="3:8" ht="30" customHeight="1" x14ac:dyDescent="0.25">
      <c r="C948" s="42">
        <v>944</v>
      </c>
      <c r="D948" s="67" t="str">
        <f>IF('Prod 1'!D948="","",'Prod 1'!D948)</f>
        <v/>
      </c>
      <c r="E948" s="64"/>
      <c r="F948" s="89" t="str">
        <f>IF(D948="","",E948*'Prod 1'!E948)</f>
        <v/>
      </c>
      <c r="G948" s="71" t="str">
        <f t="shared" si="28"/>
        <v/>
      </c>
      <c r="H948" s="59" t="str">
        <f t="shared" si="29"/>
        <v/>
      </c>
    </row>
    <row r="949" spans="3:8" ht="30" customHeight="1" x14ac:dyDescent="0.25">
      <c r="C949" s="42">
        <v>945</v>
      </c>
      <c r="D949" s="67" t="str">
        <f>IF('Prod 1'!D949="","",'Prod 1'!D949)</f>
        <v/>
      </c>
      <c r="E949" s="64"/>
      <c r="F949" s="89" t="str">
        <f>IF(D949="","",E949*'Prod 1'!E949)</f>
        <v/>
      </c>
      <c r="G949" s="71" t="str">
        <f t="shared" si="28"/>
        <v/>
      </c>
      <c r="H949" s="59" t="str">
        <f t="shared" si="29"/>
        <v/>
      </c>
    </row>
    <row r="950" spans="3:8" ht="30" customHeight="1" x14ac:dyDescent="0.25">
      <c r="C950" s="42">
        <v>946</v>
      </c>
      <c r="D950" s="67" t="str">
        <f>IF('Prod 1'!D950="","",'Prod 1'!D950)</f>
        <v/>
      </c>
      <c r="E950" s="64"/>
      <c r="F950" s="89" t="str">
        <f>IF(D950="","",E950*'Prod 1'!E950)</f>
        <v/>
      </c>
      <c r="G950" s="71" t="str">
        <f t="shared" si="28"/>
        <v/>
      </c>
      <c r="H950" s="59" t="str">
        <f t="shared" si="29"/>
        <v/>
      </c>
    </row>
    <row r="951" spans="3:8" ht="30" customHeight="1" x14ac:dyDescent="0.25">
      <c r="C951" s="42">
        <v>947</v>
      </c>
      <c r="D951" s="67" t="str">
        <f>IF('Prod 1'!D951="","",'Prod 1'!D951)</f>
        <v/>
      </c>
      <c r="E951" s="64"/>
      <c r="F951" s="89" t="str">
        <f>IF(D951="","",E951*'Prod 1'!E951)</f>
        <v/>
      </c>
      <c r="G951" s="71" t="str">
        <f t="shared" si="28"/>
        <v/>
      </c>
      <c r="H951" s="59" t="str">
        <f t="shared" si="29"/>
        <v/>
      </c>
    </row>
    <row r="952" spans="3:8" ht="30" customHeight="1" x14ac:dyDescent="0.25">
      <c r="C952" s="42">
        <v>948</v>
      </c>
      <c r="D952" s="67" t="str">
        <f>IF('Prod 1'!D952="","",'Prod 1'!D952)</f>
        <v/>
      </c>
      <c r="E952" s="64"/>
      <c r="F952" s="89" t="str">
        <f>IF(D952="","",E952*'Prod 1'!E952)</f>
        <v/>
      </c>
      <c r="G952" s="71" t="str">
        <f t="shared" si="28"/>
        <v/>
      </c>
      <c r="H952" s="59" t="str">
        <f t="shared" si="29"/>
        <v/>
      </c>
    </row>
    <row r="953" spans="3:8" ht="30" customHeight="1" x14ac:dyDescent="0.25">
      <c r="C953" s="42">
        <v>949</v>
      </c>
      <c r="D953" s="67" t="str">
        <f>IF('Prod 1'!D953="","",'Prod 1'!D953)</f>
        <v/>
      </c>
      <c r="E953" s="64"/>
      <c r="F953" s="89" t="str">
        <f>IF(D953="","",E953*'Prod 1'!E953)</f>
        <v/>
      </c>
      <c r="G953" s="71" t="str">
        <f t="shared" si="28"/>
        <v/>
      </c>
      <c r="H953" s="59" t="str">
        <f t="shared" si="29"/>
        <v/>
      </c>
    </row>
    <row r="954" spans="3:8" ht="30" customHeight="1" x14ac:dyDescent="0.25">
      <c r="C954" s="42">
        <v>950</v>
      </c>
      <c r="D954" s="67" t="str">
        <f>IF('Prod 1'!D954="","",'Prod 1'!D954)</f>
        <v/>
      </c>
      <c r="E954" s="64"/>
      <c r="F954" s="89" t="str">
        <f>IF(D954="","",E954*'Prod 1'!E954)</f>
        <v/>
      </c>
      <c r="G954" s="71" t="str">
        <f t="shared" si="28"/>
        <v/>
      </c>
      <c r="H954" s="59" t="str">
        <f t="shared" si="29"/>
        <v/>
      </c>
    </row>
    <row r="955" spans="3:8" ht="30" customHeight="1" x14ac:dyDescent="0.25">
      <c r="C955" s="42">
        <v>951</v>
      </c>
      <c r="D955" s="67" t="str">
        <f>IF('Prod 1'!D955="","",'Prod 1'!D955)</f>
        <v/>
      </c>
      <c r="E955" s="64"/>
      <c r="F955" s="89" t="str">
        <f>IF(D955="","",E955*'Prod 1'!E955)</f>
        <v/>
      </c>
      <c r="G955" s="71" t="str">
        <f t="shared" si="28"/>
        <v/>
      </c>
      <c r="H955" s="59" t="str">
        <f t="shared" si="29"/>
        <v/>
      </c>
    </row>
    <row r="956" spans="3:8" ht="30" customHeight="1" x14ac:dyDescent="0.25">
      <c r="C956" s="42">
        <v>952</v>
      </c>
      <c r="D956" s="67" t="str">
        <f>IF('Prod 1'!D956="","",'Prod 1'!D956)</f>
        <v/>
      </c>
      <c r="E956" s="64"/>
      <c r="F956" s="89" t="str">
        <f>IF(D956="","",E956*'Prod 1'!E956)</f>
        <v/>
      </c>
      <c r="G956" s="71" t="str">
        <f t="shared" si="28"/>
        <v/>
      </c>
      <c r="H956" s="59" t="str">
        <f t="shared" si="29"/>
        <v/>
      </c>
    </row>
    <row r="957" spans="3:8" ht="30" customHeight="1" x14ac:dyDescent="0.25">
      <c r="C957" s="42">
        <v>953</v>
      </c>
      <c r="D957" s="67" t="str">
        <f>IF('Prod 1'!D957="","",'Prod 1'!D957)</f>
        <v/>
      </c>
      <c r="E957" s="64"/>
      <c r="F957" s="89" t="str">
        <f>IF(D957="","",E957*'Prod 1'!E957)</f>
        <v/>
      </c>
      <c r="G957" s="71" t="str">
        <f t="shared" si="28"/>
        <v/>
      </c>
      <c r="H957" s="59" t="str">
        <f t="shared" si="29"/>
        <v/>
      </c>
    </row>
    <row r="958" spans="3:8" ht="30" customHeight="1" x14ac:dyDescent="0.25">
      <c r="C958" s="42">
        <v>954</v>
      </c>
      <c r="D958" s="67" t="str">
        <f>IF('Prod 1'!D958="","",'Prod 1'!D958)</f>
        <v/>
      </c>
      <c r="E958" s="64"/>
      <c r="F958" s="89" t="str">
        <f>IF(D958="","",E958*'Prod 1'!E958)</f>
        <v/>
      </c>
      <c r="G958" s="71" t="str">
        <f t="shared" si="28"/>
        <v/>
      </c>
      <c r="H958" s="59" t="str">
        <f t="shared" si="29"/>
        <v/>
      </c>
    </row>
    <row r="959" spans="3:8" ht="30" customHeight="1" x14ac:dyDescent="0.25">
      <c r="C959" s="42">
        <v>955</v>
      </c>
      <c r="D959" s="67" t="str">
        <f>IF('Prod 1'!D959="","",'Prod 1'!D959)</f>
        <v/>
      </c>
      <c r="E959" s="64"/>
      <c r="F959" s="89" t="str">
        <f>IF(D959="","",E959*'Prod 1'!E959)</f>
        <v/>
      </c>
      <c r="G959" s="71" t="str">
        <f t="shared" si="28"/>
        <v/>
      </c>
      <c r="H959" s="59" t="str">
        <f t="shared" si="29"/>
        <v/>
      </c>
    </row>
    <row r="960" spans="3:8" ht="30" customHeight="1" x14ac:dyDescent="0.25">
      <c r="C960" s="42">
        <v>956</v>
      </c>
      <c r="D960" s="67" t="str">
        <f>IF('Prod 1'!D960="","",'Prod 1'!D960)</f>
        <v/>
      </c>
      <c r="E960" s="64"/>
      <c r="F960" s="89" t="str">
        <f>IF(D960="","",E960*'Prod 1'!E960)</f>
        <v/>
      </c>
      <c r="G960" s="71" t="str">
        <f t="shared" si="28"/>
        <v/>
      </c>
      <c r="H960" s="59" t="str">
        <f t="shared" si="29"/>
        <v/>
      </c>
    </row>
    <row r="961" spans="3:8" ht="30" customHeight="1" x14ac:dyDescent="0.25">
      <c r="C961" s="42">
        <v>957</v>
      </c>
      <c r="D961" s="67" t="str">
        <f>IF('Prod 1'!D961="","",'Prod 1'!D961)</f>
        <v/>
      </c>
      <c r="E961" s="64"/>
      <c r="F961" s="89" t="str">
        <f>IF(D961="","",E961*'Prod 1'!E961)</f>
        <v/>
      </c>
      <c r="G961" s="71" t="str">
        <f t="shared" si="28"/>
        <v/>
      </c>
      <c r="H961" s="59" t="str">
        <f t="shared" si="29"/>
        <v/>
      </c>
    </row>
    <row r="962" spans="3:8" ht="30" customHeight="1" x14ac:dyDescent="0.25">
      <c r="C962" s="42">
        <v>958</v>
      </c>
      <c r="D962" s="67" t="str">
        <f>IF('Prod 1'!D962="","",'Prod 1'!D962)</f>
        <v/>
      </c>
      <c r="E962" s="64"/>
      <c r="F962" s="89" t="str">
        <f>IF(D962="","",E962*'Prod 1'!E962)</f>
        <v/>
      </c>
      <c r="G962" s="71" t="str">
        <f t="shared" si="28"/>
        <v/>
      </c>
      <c r="H962" s="59" t="str">
        <f t="shared" si="29"/>
        <v/>
      </c>
    </row>
    <row r="963" spans="3:8" ht="30" customHeight="1" x14ac:dyDescent="0.25">
      <c r="C963" s="42">
        <v>959</v>
      </c>
      <c r="D963" s="67" t="str">
        <f>IF('Prod 1'!D963="","",'Prod 1'!D963)</f>
        <v/>
      </c>
      <c r="E963" s="64"/>
      <c r="F963" s="89" t="str">
        <f>IF(D963="","",E963*'Prod 1'!E963)</f>
        <v/>
      </c>
      <c r="G963" s="71" t="str">
        <f t="shared" si="28"/>
        <v/>
      </c>
      <c r="H963" s="59" t="str">
        <f t="shared" si="29"/>
        <v/>
      </c>
    </row>
    <row r="964" spans="3:8" ht="30" customHeight="1" x14ac:dyDescent="0.25">
      <c r="C964" s="42">
        <v>960</v>
      </c>
      <c r="D964" s="67" t="str">
        <f>IF('Prod 1'!D964="","",'Prod 1'!D964)</f>
        <v/>
      </c>
      <c r="E964" s="64"/>
      <c r="F964" s="89" t="str">
        <f>IF(D964="","",E964*'Prod 1'!E964)</f>
        <v/>
      </c>
      <c r="G964" s="71" t="str">
        <f t="shared" si="28"/>
        <v/>
      </c>
      <c r="H964" s="59" t="str">
        <f t="shared" si="29"/>
        <v/>
      </c>
    </row>
    <row r="965" spans="3:8" ht="30" customHeight="1" x14ac:dyDescent="0.25">
      <c r="C965" s="42">
        <v>961</v>
      </c>
      <c r="D965" s="67" t="str">
        <f>IF('Prod 1'!D965="","",'Prod 1'!D965)</f>
        <v/>
      </c>
      <c r="E965" s="64"/>
      <c r="F965" s="89" t="str">
        <f>IF(D965="","",E965*'Prod 1'!E965)</f>
        <v/>
      </c>
      <c r="G965" s="71" t="str">
        <f t="shared" ref="G965:G1004" si="30">IF(D965="","",IFERROR(F965/$H$3,0))</f>
        <v/>
      </c>
      <c r="H965" s="59" t="str">
        <f t="shared" si="29"/>
        <v/>
      </c>
    </row>
    <row r="966" spans="3:8" ht="30" customHeight="1" x14ac:dyDescent="0.25">
      <c r="C966" s="42">
        <v>962</v>
      </c>
      <c r="D966" s="67" t="str">
        <f>IF('Prod 1'!D966="","",'Prod 1'!D966)</f>
        <v/>
      </c>
      <c r="E966" s="64"/>
      <c r="F966" s="89" t="str">
        <f>IF(D966="","",E966*'Prod 1'!E966)</f>
        <v/>
      </c>
      <c r="G966" s="71" t="str">
        <f t="shared" si="30"/>
        <v/>
      </c>
      <c r="H966" s="59" t="str">
        <f t="shared" ref="H966:H1004" si="31">F966</f>
        <v/>
      </c>
    </row>
    <row r="967" spans="3:8" ht="30" customHeight="1" x14ac:dyDescent="0.25">
      <c r="C967" s="42">
        <v>963</v>
      </c>
      <c r="D967" s="67" t="str">
        <f>IF('Prod 1'!D967="","",'Prod 1'!D967)</f>
        <v/>
      </c>
      <c r="E967" s="64"/>
      <c r="F967" s="89" t="str">
        <f>IF(D967="","",E967*'Prod 1'!E967)</f>
        <v/>
      </c>
      <c r="G967" s="71" t="str">
        <f t="shared" si="30"/>
        <v/>
      </c>
      <c r="H967" s="59" t="str">
        <f t="shared" si="31"/>
        <v/>
      </c>
    </row>
    <row r="968" spans="3:8" ht="30" customHeight="1" x14ac:dyDescent="0.25">
      <c r="C968" s="42">
        <v>964</v>
      </c>
      <c r="D968" s="67" t="str">
        <f>IF('Prod 1'!D968="","",'Prod 1'!D968)</f>
        <v/>
      </c>
      <c r="E968" s="64"/>
      <c r="F968" s="89" t="str">
        <f>IF(D968="","",E968*'Prod 1'!E968)</f>
        <v/>
      </c>
      <c r="G968" s="71" t="str">
        <f t="shared" si="30"/>
        <v/>
      </c>
      <c r="H968" s="59" t="str">
        <f t="shared" si="31"/>
        <v/>
      </c>
    </row>
    <row r="969" spans="3:8" ht="30" customHeight="1" x14ac:dyDescent="0.25">
      <c r="C969" s="42">
        <v>965</v>
      </c>
      <c r="D969" s="67" t="str">
        <f>IF('Prod 1'!D969="","",'Prod 1'!D969)</f>
        <v/>
      </c>
      <c r="E969" s="64"/>
      <c r="F969" s="89" t="str">
        <f>IF(D969="","",E969*'Prod 1'!E969)</f>
        <v/>
      </c>
      <c r="G969" s="71" t="str">
        <f t="shared" si="30"/>
        <v/>
      </c>
      <c r="H969" s="59" t="str">
        <f t="shared" si="31"/>
        <v/>
      </c>
    </row>
    <row r="970" spans="3:8" ht="30" customHeight="1" x14ac:dyDescent="0.25">
      <c r="C970" s="42">
        <v>966</v>
      </c>
      <c r="D970" s="67" t="str">
        <f>IF('Prod 1'!D970="","",'Prod 1'!D970)</f>
        <v/>
      </c>
      <c r="E970" s="64"/>
      <c r="F970" s="89" t="str">
        <f>IF(D970="","",E970*'Prod 1'!E970)</f>
        <v/>
      </c>
      <c r="G970" s="71" t="str">
        <f t="shared" si="30"/>
        <v/>
      </c>
      <c r="H970" s="59" t="str">
        <f t="shared" si="31"/>
        <v/>
      </c>
    </row>
    <row r="971" spans="3:8" ht="30" customHeight="1" x14ac:dyDescent="0.25">
      <c r="C971" s="42">
        <v>967</v>
      </c>
      <c r="D971" s="67" t="str">
        <f>IF('Prod 1'!D971="","",'Prod 1'!D971)</f>
        <v/>
      </c>
      <c r="E971" s="64"/>
      <c r="F971" s="89" t="str">
        <f>IF(D971="","",E971*'Prod 1'!E971)</f>
        <v/>
      </c>
      <c r="G971" s="71" t="str">
        <f t="shared" si="30"/>
        <v/>
      </c>
      <c r="H971" s="59" t="str">
        <f t="shared" si="31"/>
        <v/>
      </c>
    </row>
    <row r="972" spans="3:8" ht="30" customHeight="1" x14ac:dyDescent="0.25">
      <c r="C972" s="42">
        <v>968</v>
      </c>
      <c r="D972" s="67" t="str">
        <f>IF('Prod 1'!D972="","",'Prod 1'!D972)</f>
        <v/>
      </c>
      <c r="E972" s="64"/>
      <c r="F972" s="89" t="str">
        <f>IF(D972="","",E972*'Prod 1'!E972)</f>
        <v/>
      </c>
      <c r="G972" s="71" t="str">
        <f t="shared" si="30"/>
        <v/>
      </c>
      <c r="H972" s="59" t="str">
        <f t="shared" si="31"/>
        <v/>
      </c>
    </row>
    <row r="973" spans="3:8" ht="30" customHeight="1" x14ac:dyDescent="0.25">
      <c r="C973" s="42">
        <v>969</v>
      </c>
      <c r="D973" s="67" t="str">
        <f>IF('Prod 1'!D973="","",'Prod 1'!D973)</f>
        <v/>
      </c>
      <c r="E973" s="64"/>
      <c r="F973" s="89" t="str">
        <f>IF(D973="","",E973*'Prod 1'!E973)</f>
        <v/>
      </c>
      <c r="G973" s="71" t="str">
        <f t="shared" si="30"/>
        <v/>
      </c>
      <c r="H973" s="59" t="str">
        <f t="shared" si="31"/>
        <v/>
      </c>
    </row>
    <row r="974" spans="3:8" ht="30" customHeight="1" x14ac:dyDescent="0.25">
      <c r="C974" s="42">
        <v>970</v>
      </c>
      <c r="D974" s="67" t="str">
        <f>IF('Prod 1'!D974="","",'Prod 1'!D974)</f>
        <v/>
      </c>
      <c r="E974" s="64"/>
      <c r="F974" s="89" t="str">
        <f>IF(D974="","",E974*'Prod 1'!E974)</f>
        <v/>
      </c>
      <c r="G974" s="71" t="str">
        <f t="shared" si="30"/>
        <v/>
      </c>
      <c r="H974" s="59" t="str">
        <f t="shared" si="31"/>
        <v/>
      </c>
    </row>
    <row r="975" spans="3:8" ht="30" customHeight="1" x14ac:dyDescent="0.25">
      <c r="C975" s="42">
        <v>971</v>
      </c>
      <c r="D975" s="67" t="str">
        <f>IF('Prod 1'!D975="","",'Prod 1'!D975)</f>
        <v/>
      </c>
      <c r="E975" s="64"/>
      <c r="F975" s="89" t="str">
        <f>IF(D975="","",E975*'Prod 1'!E975)</f>
        <v/>
      </c>
      <c r="G975" s="71" t="str">
        <f t="shared" si="30"/>
        <v/>
      </c>
      <c r="H975" s="59" t="str">
        <f t="shared" si="31"/>
        <v/>
      </c>
    </row>
    <row r="976" spans="3:8" ht="30" customHeight="1" x14ac:dyDescent="0.25">
      <c r="C976" s="42">
        <v>972</v>
      </c>
      <c r="D976" s="67" t="str">
        <f>IF('Prod 1'!D976="","",'Prod 1'!D976)</f>
        <v/>
      </c>
      <c r="E976" s="64"/>
      <c r="F976" s="89" t="str">
        <f>IF(D976="","",E976*'Prod 1'!E976)</f>
        <v/>
      </c>
      <c r="G976" s="71" t="str">
        <f t="shared" si="30"/>
        <v/>
      </c>
      <c r="H976" s="59" t="str">
        <f t="shared" si="31"/>
        <v/>
      </c>
    </row>
    <row r="977" spans="3:8" ht="30" customHeight="1" x14ac:dyDescent="0.25">
      <c r="C977" s="42">
        <v>973</v>
      </c>
      <c r="D977" s="67" t="str">
        <f>IF('Prod 1'!D977="","",'Prod 1'!D977)</f>
        <v/>
      </c>
      <c r="E977" s="64"/>
      <c r="F977" s="89" t="str">
        <f>IF(D977="","",E977*'Prod 1'!E977)</f>
        <v/>
      </c>
      <c r="G977" s="71" t="str">
        <f t="shared" si="30"/>
        <v/>
      </c>
      <c r="H977" s="59" t="str">
        <f t="shared" si="31"/>
        <v/>
      </c>
    </row>
    <row r="978" spans="3:8" ht="30" customHeight="1" x14ac:dyDescent="0.25">
      <c r="C978" s="42">
        <v>974</v>
      </c>
      <c r="D978" s="67" t="str">
        <f>IF('Prod 1'!D978="","",'Prod 1'!D978)</f>
        <v/>
      </c>
      <c r="E978" s="64"/>
      <c r="F978" s="89" t="str">
        <f>IF(D978="","",E978*'Prod 1'!E978)</f>
        <v/>
      </c>
      <c r="G978" s="71" t="str">
        <f t="shared" si="30"/>
        <v/>
      </c>
      <c r="H978" s="59" t="str">
        <f t="shared" si="31"/>
        <v/>
      </c>
    </row>
    <row r="979" spans="3:8" ht="30" customHeight="1" x14ac:dyDescent="0.25">
      <c r="C979" s="42">
        <v>975</v>
      </c>
      <c r="D979" s="67" t="str">
        <f>IF('Prod 1'!D979="","",'Prod 1'!D979)</f>
        <v/>
      </c>
      <c r="E979" s="64"/>
      <c r="F979" s="89" t="str">
        <f>IF(D979="","",E979*'Prod 1'!E979)</f>
        <v/>
      </c>
      <c r="G979" s="71" t="str">
        <f t="shared" si="30"/>
        <v/>
      </c>
      <c r="H979" s="59" t="str">
        <f t="shared" si="31"/>
        <v/>
      </c>
    </row>
    <row r="980" spans="3:8" ht="30" customHeight="1" x14ac:dyDescent="0.25">
      <c r="C980" s="42">
        <v>976</v>
      </c>
      <c r="D980" s="67" t="str">
        <f>IF('Prod 1'!D980="","",'Prod 1'!D980)</f>
        <v/>
      </c>
      <c r="E980" s="64"/>
      <c r="F980" s="89" t="str">
        <f>IF(D980="","",E980*'Prod 1'!E980)</f>
        <v/>
      </c>
      <c r="G980" s="71" t="str">
        <f t="shared" si="30"/>
        <v/>
      </c>
      <c r="H980" s="59" t="str">
        <f t="shared" si="31"/>
        <v/>
      </c>
    </row>
    <row r="981" spans="3:8" ht="30" customHeight="1" x14ac:dyDescent="0.25">
      <c r="C981" s="42">
        <v>977</v>
      </c>
      <c r="D981" s="67" t="str">
        <f>IF('Prod 1'!D981="","",'Prod 1'!D981)</f>
        <v/>
      </c>
      <c r="E981" s="64"/>
      <c r="F981" s="89" t="str">
        <f>IF(D981="","",E981*'Prod 1'!E981)</f>
        <v/>
      </c>
      <c r="G981" s="71" t="str">
        <f t="shared" si="30"/>
        <v/>
      </c>
      <c r="H981" s="59" t="str">
        <f t="shared" si="31"/>
        <v/>
      </c>
    </row>
    <row r="982" spans="3:8" ht="30" customHeight="1" x14ac:dyDescent="0.25">
      <c r="C982" s="42">
        <v>978</v>
      </c>
      <c r="D982" s="67" t="str">
        <f>IF('Prod 1'!D982="","",'Prod 1'!D982)</f>
        <v/>
      </c>
      <c r="E982" s="64"/>
      <c r="F982" s="89" t="str">
        <f>IF(D982="","",E982*'Prod 1'!E982)</f>
        <v/>
      </c>
      <c r="G982" s="71" t="str">
        <f t="shared" si="30"/>
        <v/>
      </c>
      <c r="H982" s="59" t="str">
        <f t="shared" si="31"/>
        <v/>
      </c>
    </row>
    <row r="983" spans="3:8" ht="30" customHeight="1" x14ac:dyDescent="0.25">
      <c r="C983" s="42">
        <v>979</v>
      </c>
      <c r="D983" s="67" t="str">
        <f>IF('Prod 1'!D983="","",'Prod 1'!D983)</f>
        <v/>
      </c>
      <c r="E983" s="64"/>
      <c r="F983" s="89" t="str">
        <f>IF(D983="","",E983*'Prod 1'!E983)</f>
        <v/>
      </c>
      <c r="G983" s="71" t="str">
        <f t="shared" si="30"/>
        <v/>
      </c>
      <c r="H983" s="59" t="str">
        <f t="shared" si="31"/>
        <v/>
      </c>
    </row>
    <row r="984" spans="3:8" ht="30" customHeight="1" x14ac:dyDescent="0.25">
      <c r="C984" s="42">
        <v>980</v>
      </c>
      <c r="D984" s="67" t="str">
        <f>IF('Prod 1'!D984="","",'Prod 1'!D984)</f>
        <v/>
      </c>
      <c r="E984" s="64"/>
      <c r="F984" s="89" t="str">
        <f>IF(D984="","",E984*'Prod 1'!E984)</f>
        <v/>
      </c>
      <c r="G984" s="71" t="str">
        <f t="shared" si="30"/>
        <v/>
      </c>
      <c r="H984" s="59" t="str">
        <f t="shared" si="31"/>
        <v/>
      </c>
    </row>
    <row r="985" spans="3:8" ht="30" customHeight="1" x14ac:dyDescent="0.25">
      <c r="C985" s="42">
        <v>981</v>
      </c>
      <c r="D985" s="67" t="str">
        <f>IF('Prod 1'!D985="","",'Prod 1'!D985)</f>
        <v/>
      </c>
      <c r="E985" s="64"/>
      <c r="F985" s="89" t="str">
        <f>IF(D985="","",E985*'Prod 1'!E985)</f>
        <v/>
      </c>
      <c r="G985" s="71" t="str">
        <f t="shared" si="30"/>
        <v/>
      </c>
      <c r="H985" s="59" t="str">
        <f t="shared" si="31"/>
        <v/>
      </c>
    </row>
    <row r="986" spans="3:8" ht="30" customHeight="1" x14ac:dyDescent="0.25">
      <c r="C986" s="42">
        <v>982</v>
      </c>
      <c r="D986" s="67" t="str">
        <f>IF('Prod 1'!D986="","",'Prod 1'!D986)</f>
        <v/>
      </c>
      <c r="E986" s="64"/>
      <c r="F986" s="89" t="str">
        <f>IF(D986="","",E986*'Prod 1'!E986)</f>
        <v/>
      </c>
      <c r="G986" s="71" t="str">
        <f t="shared" si="30"/>
        <v/>
      </c>
      <c r="H986" s="59" t="str">
        <f t="shared" si="31"/>
        <v/>
      </c>
    </row>
    <row r="987" spans="3:8" ht="30" customHeight="1" x14ac:dyDescent="0.25">
      <c r="C987" s="42">
        <v>983</v>
      </c>
      <c r="D987" s="67" t="str">
        <f>IF('Prod 1'!D987="","",'Prod 1'!D987)</f>
        <v/>
      </c>
      <c r="E987" s="64"/>
      <c r="F987" s="89" t="str">
        <f>IF(D987="","",E987*'Prod 1'!E987)</f>
        <v/>
      </c>
      <c r="G987" s="71" t="str">
        <f t="shared" si="30"/>
        <v/>
      </c>
      <c r="H987" s="59" t="str">
        <f t="shared" si="31"/>
        <v/>
      </c>
    </row>
    <row r="988" spans="3:8" ht="30" customHeight="1" x14ac:dyDescent="0.25">
      <c r="C988" s="42">
        <v>984</v>
      </c>
      <c r="D988" s="67" t="str">
        <f>IF('Prod 1'!D988="","",'Prod 1'!D988)</f>
        <v/>
      </c>
      <c r="E988" s="64"/>
      <c r="F988" s="89" t="str">
        <f>IF(D988="","",E988*'Prod 1'!E988)</f>
        <v/>
      </c>
      <c r="G988" s="71" t="str">
        <f t="shared" si="30"/>
        <v/>
      </c>
      <c r="H988" s="59" t="str">
        <f t="shared" si="31"/>
        <v/>
      </c>
    </row>
    <row r="989" spans="3:8" ht="30" customHeight="1" x14ac:dyDescent="0.25">
      <c r="C989" s="42">
        <v>985</v>
      </c>
      <c r="D989" s="67" t="str">
        <f>IF('Prod 1'!D989="","",'Prod 1'!D989)</f>
        <v/>
      </c>
      <c r="E989" s="64"/>
      <c r="F989" s="89" t="str">
        <f>IF(D989="","",E989*'Prod 1'!E989)</f>
        <v/>
      </c>
      <c r="G989" s="71" t="str">
        <f t="shared" si="30"/>
        <v/>
      </c>
      <c r="H989" s="59" t="str">
        <f t="shared" si="31"/>
        <v/>
      </c>
    </row>
    <row r="990" spans="3:8" ht="30" customHeight="1" x14ac:dyDescent="0.25">
      <c r="C990" s="42">
        <v>986</v>
      </c>
      <c r="D990" s="67" t="str">
        <f>IF('Prod 1'!D990="","",'Prod 1'!D990)</f>
        <v/>
      </c>
      <c r="E990" s="64"/>
      <c r="F990" s="89" t="str">
        <f>IF(D990="","",E990*'Prod 1'!E990)</f>
        <v/>
      </c>
      <c r="G990" s="71" t="str">
        <f t="shared" si="30"/>
        <v/>
      </c>
      <c r="H990" s="59" t="str">
        <f t="shared" si="31"/>
        <v/>
      </c>
    </row>
    <row r="991" spans="3:8" ht="30" customHeight="1" x14ac:dyDescent="0.25">
      <c r="C991" s="42">
        <v>987</v>
      </c>
      <c r="D991" s="67" t="str">
        <f>IF('Prod 1'!D991="","",'Prod 1'!D991)</f>
        <v/>
      </c>
      <c r="E991" s="64"/>
      <c r="F991" s="89" t="str">
        <f>IF(D991="","",E991*'Prod 1'!E991)</f>
        <v/>
      </c>
      <c r="G991" s="71" t="str">
        <f t="shared" si="30"/>
        <v/>
      </c>
      <c r="H991" s="59" t="str">
        <f t="shared" si="31"/>
        <v/>
      </c>
    </row>
    <row r="992" spans="3:8" ht="30" customHeight="1" x14ac:dyDescent="0.25">
      <c r="C992" s="42">
        <v>988</v>
      </c>
      <c r="D992" s="67" t="str">
        <f>IF('Prod 1'!D992="","",'Prod 1'!D992)</f>
        <v/>
      </c>
      <c r="E992" s="64"/>
      <c r="F992" s="89" t="str">
        <f>IF(D992="","",E992*'Prod 1'!E992)</f>
        <v/>
      </c>
      <c r="G992" s="71" t="str">
        <f t="shared" si="30"/>
        <v/>
      </c>
      <c r="H992" s="59" t="str">
        <f t="shared" si="31"/>
        <v/>
      </c>
    </row>
    <row r="993" spans="3:8" ht="30" customHeight="1" x14ac:dyDescent="0.25">
      <c r="C993" s="42">
        <v>989</v>
      </c>
      <c r="D993" s="67" t="str">
        <f>IF('Prod 1'!D993="","",'Prod 1'!D993)</f>
        <v/>
      </c>
      <c r="E993" s="64"/>
      <c r="F993" s="89" t="str">
        <f>IF(D993="","",E993*'Prod 1'!E993)</f>
        <v/>
      </c>
      <c r="G993" s="71" t="str">
        <f t="shared" si="30"/>
        <v/>
      </c>
      <c r="H993" s="59" t="str">
        <f t="shared" si="31"/>
        <v/>
      </c>
    </row>
    <row r="994" spans="3:8" ht="30" customHeight="1" x14ac:dyDescent="0.25">
      <c r="C994" s="42">
        <v>990</v>
      </c>
      <c r="D994" s="67" t="str">
        <f>IF('Prod 1'!D994="","",'Prod 1'!D994)</f>
        <v/>
      </c>
      <c r="E994" s="64"/>
      <c r="F994" s="89" t="str">
        <f>IF(D994="","",E994*'Prod 1'!E994)</f>
        <v/>
      </c>
      <c r="G994" s="71" t="str">
        <f t="shared" si="30"/>
        <v/>
      </c>
      <c r="H994" s="59" t="str">
        <f t="shared" si="31"/>
        <v/>
      </c>
    </row>
    <row r="995" spans="3:8" ht="30" customHeight="1" x14ac:dyDescent="0.25">
      <c r="C995" s="42">
        <v>991</v>
      </c>
      <c r="D995" s="67" t="str">
        <f>IF('Prod 1'!D995="","",'Prod 1'!D995)</f>
        <v/>
      </c>
      <c r="E995" s="64"/>
      <c r="F995" s="89" t="str">
        <f>IF(D995="","",E995*'Prod 1'!E995)</f>
        <v/>
      </c>
      <c r="G995" s="71" t="str">
        <f t="shared" si="30"/>
        <v/>
      </c>
      <c r="H995" s="59" t="str">
        <f t="shared" si="31"/>
        <v/>
      </c>
    </row>
    <row r="996" spans="3:8" ht="30" customHeight="1" x14ac:dyDescent="0.25">
      <c r="C996" s="42">
        <v>992</v>
      </c>
      <c r="D996" s="67" t="str">
        <f>IF('Prod 1'!D996="","",'Prod 1'!D996)</f>
        <v/>
      </c>
      <c r="E996" s="64"/>
      <c r="F996" s="89" t="str">
        <f>IF(D996="","",E996*'Prod 1'!E996)</f>
        <v/>
      </c>
      <c r="G996" s="71" t="str">
        <f t="shared" si="30"/>
        <v/>
      </c>
      <c r="H996" s="59" t="str">
        <f t="shared" si="31"/>
        <v/>
      </c>
    </row>
    <row r="997" spans="3:8" ht="30" customHeight="1" x14ac:dyDescent="0.25">
      <c r="C997" s="42">
        <v>993</v>
      </c>
      <c r="D997" s="67" t="str">
        <f>IF('Prod 1'!D997="","",'Prod 1'!D997)</f>
        <v/>
      </c>
      <c r="E997" s="64"/>
      <c r="F997" s="89" t="str">
        <f>IF(D997="","",E997*'Prod 1'!E997)</f>
        <v/>
      </c>
      <c r="G997" s="71" t="str">
        <f t="shared" si="30"/>
        <v/>
      </c>
      <c r="H997" s="59" t="str">
        <f t="shared" si="31"/>
        <v/>
      </c>
    </row>
    <row r="998" spans="3:8" ht="30" customHeight="1" x14ac:dyDescent="0.25">
      <c r="C998" s="42">
        <v>994</v>
      </c>
      <c r="D998" s="67" t="str">
        <f>IF('Prod 1'!D998="","",'Prod 1'!D998)</f>
        <v/>
      </c>
      <c r="E998" s="64"/>
      <c r="F998" s="89" t="str">
        <f>IF(D998="","",E998*'Prod 1'!E998)</f>
        <v/>
      </c>
      <c r="G998" s="71" t="str">
        <f t="shared" si="30"/>
        <v/>
      </c>
      <c r="H998" s="59" t="str">
        <f t="shared" si="31"/>
        <v/>
      </c>
    </row>
    <row r="999" spans="3:8" ht="30" customHeight="1" x14ac:dyDescent="0.25">
      <c r="C999" s="42">
        <v>995</v>
      </c>
      <c r="D999" s="67" t="str">
        <f>IF('Prod 1'!D999="","",'Prod 1'!D999)</f>
        <v/>
      </c>
      <c r="E999" s="64"/>
      <c r="F999" s="89" t="str">
        <f>IF(D999="","",E999*'Prod 1'!E999)</f>
        <v/>
      </c>
      <c r="G999" s="71" t="str">
        <f t="shared" si="30"/>
        <v/>
      </c>
      <c r="H999" s="59" t="str">
        <f t="shared" si="31"/>
        <v/>
      </c>
    </row>
    <row r="1000" spans="3:8" ht="30" customHeight="1" x14ac:dyDescent="0.25">
      <c r="C1000" s="42">
        <v>996</v>
      </c>
      <c r="D1000" s="67" t="str">
        <f>IF('Prod 1'!D1000="","",'Prod 1'!D1000)</f>
        <v/>
      </c>
      <c r="E1000" s="64"/>
      <c r="F1000" s="89" t="str">
        <f>IF(D1000="","",E1000*'Prod 1'!E1000)</f>
        <v/>
      </c>
      <c r="G1000" s="71" t="str">
        <f t="shared" si="30"/>
        <v/>
      </c>
      <c r="H1000" s="59" t="str">
        <f t="shared" si="31"/>
        <v/>
      </c>
    </row>
    <row r="1001" spans="3:8" ht="30" customHeight="1" x14ac:dyDescent="0.25">
      <c r="C1001" s="42">
        <v>997</v>
      </c>
      <c r="D1001" s="67" t="str">
        <f>IF('Prod 1'!D1001="","",'Prod 1'!D1001)</f>
        <v/>
      </c>
      <c r="E1001" s="64"/>
      <c r="F1001" s="89" t="str">
        <f>IF(D1001="","",E1001*'Prod 1'!E1001)</f>
        <v/>
      </c>
      <c r="G1001" s="71" t="str">
        <f t="shared" si="30"/>
        <v/>
      </c>
      <c r="H1001" s="59" t="str">
        <f t="shared" si="31"/>
        <v/>
      </c>
    </row>
    <row r="1002" spans="3:8" ht="30" customHeight="1" x14ac:dyDescent="0.25">
      <c r="C1002" s="42">
        <v>998</v>
      </c>
      <c r="D1002" s="67" t="str">
        <f>IF('Prod 1'!D1002="","",'Prod 1'!D1002)</f>
        <v/>
      </c>
      <c r="E1002" s="64"/>
      <c r="F1002" s="89" t="str">
        <f>IF(D1002="","",E1002*'Prod 1'!E1002)</f>
        <v/>
      </c>
      <c r="G1002" s="71" t="str">
        <f t="shared" si="30"/>
        <v/>
      </c>
      <c r="H1002" s="59" t="str">
        <f t="shared" si="31"/>
        <v/>
      </c>
    </row>
    <row r="1003" spans="3:8" ht="30" customHeight="1" x14ac:dyDescent="0.25">
      <c r="C1003" s="42">
        <v>999</v>
      </c>
      <c r="D1003" s="67" t="str">
        <f>IF('Prod 1'!D1003="","",'Prod 1'!D1003)</f>
        <v/>
      </c>
      <c r="E1003" s="64"/>
      <c r="F1003" s="89" t="str">
        <f>IF(D1003="","",E1003*'Prod 1'!E1003)</f>
        <v/>
      </c>
      <c r="G1003" s="71" t="str">
        <f t="shared" si="30"/>
        <v/>
      </c>
      <c r="H1003" s="59" t="str">
        <f t="shared" si="31"/>
        <v/>
      </c>
    </row>
    <row r="1004" spans="3:8" ht="30" customHeight="1" x14ac:dyDescent="0.25">
      <c r="C1004" s="42">
        <v>1000</v>
      </c>
      <c r="D1004" s="67" t="str">
        <f>IF('Prod 1'!D1004="","",'Prod 1'!D1004)</f>
        <v/>
      </c>
      <c r="E1004" s="64"/>
      <c r="F1004" s="89" t="str">
        <f>IF(D1004="","",E1004*'Prod 1'!E1004)</f>
        <v/>
      </c>
      <c r="G1004" s="71" t="str">
        <f t="shared" si="30"/>
        <v/>
      </c>
      <c r="H1004" s="59" t="str">
        <f t="shared" si="31"/>
        <v/>
      </c>
    </row>
  </sheetData>
  <sheetProtection sheet="1" objects="1" scenarios="1" selectLockedCells="1" sort="0" autoFilter="0"/>
  <autoFilter ref="C4:G4" xr:uid="{00000000-0009-0000-0000-00000C000000}"/>
  <phoneticPr fontId="22" type="noConversion"/>
  <conditionalFormatting sqref="G5:G1004">
    <cfRule type="iconSet" priority="1">
      <iconSet>
        <cfvo type="percent" val="0"/>
        <cfvo type="percent" val="33"/>
        <cfvo type="percent" val="67"/>
      </iconSet>
    </cfRule>
  </conditionalFormatting>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13">
    <tabColor rgb="FFFFC000"/>
    <pageSetUpPr fitToPage="1"/>
  </sheetPr>
  <dimension ref="C1:I1004"/>
  <sheetViews>
    <sheetView showGridLines="0" showRowColHeaders="0" workbookViewId="0">
      <pane ySplit="4" topLeftCell="A5" activePane="bottomLeft" state="frozen"/>
      <selection pane="bottomLeft" activeCell="D6" sqref="D6"/>
    </sheetView>
  </sheetViews>
  <sheetFormatPr defaultRowHeight="30" customHeight="1" x14ac:dyDescent="0.25"/>
  <cols>
    <col min="1" max="2" width="1.7109375" style="19" customWidth="1"/>
    <col min="3" max="3" width="6.7109375" style="19" customWidth="1"/>
    <col min="4" max="4" width="35.7109375" style="19" customWidth="1"/>
    <col min="5" max="10" width="20.7109375" style="19" customWidth="1"/>
    <col min="11" max="16384" width="9.140625" style="19"/>
  </cols>
  <sheetData>
    <row r="1" spans="3:9" s="1" customFormat="1" ht="35.1" customHeight="1" x14ac:dyDescent="0.25"/>
    <row r="2" spans="3:9" s="3" customFormat="1" ht="30" customHeight="1" x14ac:dyDescent="0.25"/>
    <row r="3" spans="3:9" ht="30" customHeight="1" thickBot="1" x14ac:dyDescent="0.3"/>
    <row r="4" spans="3:9" ht="30" customHeight="1" x14ac:dyDescent="0.25">
      <c r="C4" s="45" t="s">
        <v>22</v>
      </c>
      <c r="D4" s="46" t="s">
        <v>39</v>
      </c>
      <c r="E4" s="46" t="s">
        <v>40</v>
      </c>
      <c r="F4" s="43" t="s">
        <v>1046</v>
      </c>
      <c r="G4" s="56" t="s">
        <v>1058</v>
      </c>
      <c r="H4" s="56" t="s">
        <v>1065</v>
      </c>
      <c r="I4" s="43" t="s">
        <v>1064</v>
      </c>
    </row>
    <row r="5" spans="3:9" ht="30" customHeight="1" x14ac:dyDescent="0.25">
      <c r="C5" s="44">
        <v>1</v>
      </c>
      <c r="D5" s="67" t="str">
        <f>IF('Prod 1'!D5="","",'Prod 1'!D5)</f>
        <v>Produto A</v>
      </c>
      <c r="E5" s="73">
        <f>IF('Prod 1'!E5="","",'Prod 1'!E5)</f>
        <v>170</v>
      </c>
      <c r="F5" s="74">
        <f>IF('Prod 2'!K5="","",'Prod 2'!K5)</f>
        <v>55.54</v>
      </c>
      <c r="G5" s="76">
        <f>IF('Prod 1'!I5="","",'Prod 1'!I5)</f>
        <v>114.46000000100001</v>
      </c>
      <c r="H5" s="63" t="str">
        <f>IF('Prod 1'!F5="","",'Prod 1'!F5)</f>
        <v>Top 4</v>
      </c>
      <c r="I5" s="75">
        <f>IF('Prod 3'!F5="","",'Prod 3'!F5)</f>
        <v>4250</v>
      </c>
    </row>
    <row r="6" spans="3:9" ht="30" customHeight="1" x14ac:dyDescent="0.25">
      <c r="C6" s="42">
        <v>2</v>
      </c>
      <c r="D6" s="67" t="str">
        <f>IF('Prod 1'!D6="","",'Prod 1'!D6)</f>
        <v>Produto B</v>
      </c>
      <c r="E6" s="73">
        <f>IF('Prod 1'!E6="","",'Prod 1'!E6)</f>
        <v>250</v>
      </c>
      <c r="F6" s="74">
        <f>IF('Prod 2'!K6="","",'Prod 2'!K6)</f>
        <v>115.5</v>
      </c>
      <c r="G6" s="77">
        <f>IF('Prod 1'!I6="","",'Prod 1'!I6)</f>
        <v>134.50000000200001</v>
      </c>
      <c r="H6" s="63" t="str">
        <f>IF('Prod 1'!F6="","",'Prod 1'!F6)</f>
        <v>Top 3</v>
      </c>
      <c r="I6" s="75">
        <f>IF('Prod 3'!F6="","",'Prod 3'!F6)</f>
        <v>8750</v>
      </c>
    </row>
    <row r="7" spans="3:9" ht="30" customHeight="1" x14ac:dyDescent="0.25">
      <c r="C7" s="42">
        <v>3</v>
      </c>
      <c r="D7" s="67" t="str">
        <f>IF('Prod 1'!D7="","",'Prod 1'!D7)</f>
        <v>Produto C</v>
      </c>
      <c r="E7" s="73">
        <f>IF('Prod 1'!E7="","",'Prod 1'!E7)</f>
        <v>350</v>
      </c>
      <c r="F7" s="74">
        <f>IF('Prod 2'!K7="","",'Prod 2'!K7)</f>
        <v>120</v>
      </c>
      <c r="G7" s="77">
        <f>IF('Prod 1'!I7="","",'Prod 1'!I7)</f>
        <v>230.000000003</v>
      </c>
      <c r="H7" s="63" t="str">
        <f>IF('Prod 1'!F7="","",'Prod 1'!F7)</f>
        <v>Top 1</v>
      </c>
      <c r="I7" s="75">
        <f>IF('Prod 3'!F7="","",'Prod 3'!F7)</f>
        <v>14000</v>
      </c>
    </row>
    <row r="8" spans="3:9" ht="30" customHeight="1" x14ac:dyDescent="0.25">
      <c r="C8" s="42">
        <v>4</v>
      </c>
      <c r="D8" s="67" t="str">
        <f>IF('Prod 1'!D8="","",'Prod 1'!D8)</f>
        <v>Produto D</v>
      </c>
      <c r="E8" s="73">
        <f>IF('Prod 1'!E8="","",'Prod 1'!E8)</f>
        <v>480</v>
      </c>
      <c r="F8" s="74">
        <f>IF('Prod 2'!K8="","",'Prod 2'!K8)</f>
        <v>292</v>
      </c>
      <c r="G8" s="77">
        <f>IF('Prod 1'!I8="","",'Prod 1'!I8)</f>
        <v>188.00000000399999</v>
      </c>
      <c r="H8" s="63" t="str">
        <f>IF('Prod 1'!F8="","",'Prod 1'!F8)</f>
        <v>Top 2</v>
      </c>
      <c r="I8" s="75">
        <f>IF('Prod 3'!F8="","",'Prod 3'!F8)</f>
        <v>21600</v>
      </c>
    </row>
    <row r="9" spans="3:9" ht="30" customHeight="1" x14ac:dyDescent="0.25">
      <c r="C9" s="42">
        <v>5</v>
      </c>
      <c r="D9" s="67" t="str">
        <f>IF('Prod 1'!D9="","",'Prod 1'!D9)</f>
        <v>Produto E</v>
      </c>
      <c r="E9" s="73">
        <f>IF('Prod 1'!E9="","",'Prod 1'!E9)</f>
        <v>450</v>
      </c>
      <c r="F9" s="74">
        <f>IF('Prod 2'!K9="","",'Prod 2'!K9)</f>
        <v>350</v>
      </c>
      <c r="G9" s="77">
        <f>IF('Prod 1'!I9="","",'Prod 1'!I9)</f>
        <v>100.000000005</v>
      </c>
      <c r="H9" s="63" t="str">
        <f>IF('Prod 1'!F9="","",'Prod 1'!F9)</f>
        <v>Top 5</v>
      </c>
      <c r="I9" s="75">
        <f>IF('Prod 3'!F9="","",'Prod 3'!F9)</f>
        <v>13500</v>
      </c>
    </row>
    <row r="10" spans="3:9" ht="30" customHeight="1" x14ac:dyDescent="0.25">
      <c r="C10" s="42">
        <v>6</v>
      </c>
      <c r="D10" s="67" t="str">
        <f>IF('Prod 1'!D10="","",'Prod 1'!D10)</f>
        <v/>
      </c>
      <c r="E10" s="73" t="str">
        <f>IF('Prod 1'!E10="","",'Prod 1'!E10)</f>
        <v/>
      </c>
      <c r="F10" s="74" t="str">
        <f>IF('Prod 2'!K10="","",'Prod 2'!K10)</f>
        <v/>
      </c>
      <c r="G10" s="77" t="str">
        <f>IF('Prod 1'!I10="","",'Prod 1'!I10)</f>
        <v/>
      </c>
      <c r="H10" s="63" t="str">
        <f>IF('Prod 1'!F10="","",'Prod 1'!F10)</f>
        <v/>
      </c>
      <c r="I10" s="75" t="str">
        <f>IF('Prod 3'!F10="","",'Prod 3'!F10)</f>
        <v/>
      </c>
    </row>
    <row r="11" spans="3:9" ht="30" customHeight="1" x14ac:dyDescent="0.25">
      <c r="C11" s="42">
        <v>7</v>
      </c>
      <c r="D11" s="67" t="str">
        <f>IF('Prod 1'!D11="","",'Prod 1'!D11)</f>
        <v/>
      </c>
      <c r="E11" s="73" t="str">
        <f>IF('Prod 1'!E11="","",'Prod 1'!E11)</f>
        <v/>
      </c>
      <c r="F11" s="74" t="str">
        <f>IF('Prod 2'!K11="","",'Prod 2'!K11)</f>
        <v/>
      </c>
      <c r="G11" s="77" t="str">
        <f>IF('Prod 1'!I11="","",'Prod 1'!I11)</f>
        <v/>
      </c>
      <c r="H11" s="63" t="str">
        <f>IF('Prod 1'!F11="","",'Prod 1'!F11)</f>
        <v/>
      </c>
      <c r="I11" s="75" t="str">
        <f>IF('Prod 3'!F11="","",'Prod 3'!F11)</f>
        <v/>
      </c>
    </row>
    <row r="12" spans="3:9" ht="30" customHeight="1" x14ac:dyDescent="0.25">
      <c r="C12" s="42">
        <v>8</v>
      </c>
      <c r="D12" s="67" t="str">
        <f>IF('Prod 1'!D12="","",'Prod 1'!D12)</f>
        <v/>
      </c>
      <c r="E12" s="73" t="str">
        <f>IF('Prod 1'!E12="","",'Prod 1'!E12)</f>
        <v/>
      </c>
      <c r="F12" s="74" t="str">
        <f>IF('Prod 2'!K12="","",'Prod 2'!K12)</f>
        <v/>
      </c>
      <c r="G12" s="77" t="str">
        <f>IF('Prod 1'!I12="","",'Prod 1'!I12)</f>
        <v/>
      </c>
      <c r="H12" s="63" t="str">
        <f>IF('Prod 1'!F12="","",'Prod 1'!F12)</f>
        <v/>
      </c>
      <c r="I12" s="75" t="str">
        <f>IF('Prod 3'!F12="","",'Prod 3'!F12)</f>
        <v/>
      </c>
    </row>
    <row r="13" spans="3:9" ht="30" customHeight="1" x14ac:dyDescent="0.25">
      <c r="C13" s="42">
        <v>9</v>
      </c>
      <c r="D13" s="67" t="str">
        <f>IF('Prod 1'!D13="","",'Prod 1'!D13)</f>
        <v/>
      </c>
      <c r="E13" s="73" t="str">
        <f>IF('Prod 1'!E13="","",'Prod 1'!E13)</f>
        <v/>
      </c>
      <c r="F13" s="74" t="str">
        <f>IF('Prod 2'!K13="","",'Prod 2'!K13)</f>
        <v/>
      </c>
      <c r="G13" s="77" t="str">
        <f>IF('Prod 1'!I13="","",'Prod 1'!I13)</f>
        <v/>
      </c>
      <c r="H13" s="63" t="str">
        <f>IF('Prod 1'!F13="","",'Prod 1'!F13)</f>
        <v/>
      </c>
      <c r="I13" s="75" t="str">
        <f>IF('Prod 3'!F13="","",'Prod 3'!F13)</f>
        <v/>
      </c>
    </row>
    <row r="14" spans="3:9" ht="30" customHeight="1" x14ac:dyDescent="0.25">
      <c r="C14" s="42">
        <v>10</v>
      </c>
      <c r="D14" s="67" t="str">
        <f>IF('Prod 1'!D14="","",'Prod 1'!D14)</f>
        <v/>
      </c>
      <c r="E14" s="73" t="str">
        <f>IF('Prod 1'!E14="","",'Prod 1'!E14)</f>
        <v/>
      </c>
      <c r="F14" s="74" t="str">
        <f>IF('Prod 2'!K14="","",'Prod 2'!K14)</f>
        <v/>
      </c>
      <c r="G14" s="77" t="str">
        <f>IF('Prod 1'!I14="","",'Prod 1'!I14)</f>
        <v/>
      </c>
      <c r="H14" s="63" t="str">
        <f>IF('Prod 1'!F14="","",'Prod 1'!F14)</f>
        <v/>
      </c>
      <c r="I14" s="75" t="str">
        <f>IF('Prod 3'!F14="","",'Prod 3'!F14)</f>
        <v/>
      </c>
    </row>
    <row r="15" spans="3:9" ht="30" customHeight="1" x14ac:dyDescent="0.25">
      <c r="C15" s="42">
        <v>11</v>
      </c>
      <c r="D15" s="67" t="str">
        <f>IF('Prod 1'!D15="","",'Prod 1'!D15)</f>
        <v/>
      </c>
      <c r="E15" s="73" t="str">
        <f>IF('Prod 1'!E15="","",'Prod 1'!E15)</f>
        <v/>
      </c>
      <c r="F15" s="74" t="str">
        <f>IF('Prod 2'!K15="","",'Prod 2'!K15)</f>
        <v/>
      </c>
      <c r="G15" s="77" t="str">
        <f>IF('Prod 1'!I15="","",'Prod 1'!I15)</f>
        <v/>
      </c>
      <c r="H15" s="63" t="str">
        <f>IF('Prod 1'!F15="","",'Prod 1'!F15)</f>
        <v/>
      </c>
      <c r="I15" s="75" t="str">
        <f>IF('Prod 3'!F15="","",'Prod 3'!F15)</f>
        <v/>
      </c>
    </row>
    <row r="16" spans="3:9" ht="30" customHeight="1" x14ac:dyDescent="0.25">
      <c r="C16" s="42">
        <v>12</v>
      </c>
      <c r="D16" s="67" t="str">
        <f>IF('Prod 1'!D16="","",'Prod 1'!D16)</f>
        <v/>
      </c>
      <c r="E16" s="73" t="str">
        <f>IF('Prod 1'!E16="","",'Prod 1'!E16)</f>
        <v/>
      </c>
      <c r="F16" s="74" t="str">
        <f>IF('Prod 2'!K16="","",'Prod 2'!K16)</f>
        <v/>
      </c>
      <c r="G16" s="77" t="str">
        <f>IF('Prod 1'!I16="","",'Prod 1'!I16)</f>
        <v/>
      </c>
      <c r="H16" s="63" t="str">
        <f>IF('Prod 1'!F16="","",'Prod 1'!F16)</f>
        <v/>
      </c>
      <c r="I16" s="75" t="str">
        <f>IF('Prod 3'!F16="","",'Prod 3'!F16)</f>
        <v/>
      </c>
    </row>
    <row r="17" spans="3:9" ht="30" customHeight="1" x14ac:dyDescent="0.25">
      <c r="C17" s="42">
        <v>13</v>
      </c>
      <c r="D17" s="67" t="str">
        <f>IF('Prod 1'!D17="","",'Prod 1'!D17)</f>
        <v/>
      </c>
      <c r="E17" s="73" t="str">
        <f>IF('Prod 1'!E17="","",'Prod 1'!E17)</f>
        <v/>
      </c>
      <c r="F17" s="74" t="str">
        <f>IF('Prod 2'!K17="","",'Prod 2'!K17)</f>
        <v/>
      </c>
      <c r="G17" s="77" t="str">
        <f>IF('Prod 1'!I17="","",'Prod 1'!I17)</f>
        <v/>
      </c>
      <c r="H17" s="63" t="str">
        <f>IF('Prod 1'!F17="","",'Prod 1'!F17)</f>
        <v/>
      </c>
      <c r="I17" s="75" t="str">
        <f>IF('Prod 3'!F17="","",'Prod 3'!F17)</f>
        <v/>
      </c>
    </row>
    <row r="18" spans="3:9" ht="30" customHeight="1" x14ac:dyDescent="0.25">
      <c r="C18" s="42">
        <v>14</v>
      </c>
      <c r="D18" s="67" t="str">
        <f>IF('Prod 1'!D18="","",'Prod 1'!D18)</f>
        <v/>
      </c>
      <c r="E18" s="73" t="str">
        <f>IF('Prod 1'!E18="","",'Prod 1'!E18)</f>
        <v/>
      </c>
      <c r="F18" s="74" t="str">
        <f>IF('Prod 2'!K18="","",'Prod 2'!K18)</f>
        <v/>
      </c>
      <c r="G18" s="77" t="str">
        <f>IF('Prod 1'!I18="","",'Prod 1'!I18)</f>
        <v/>
      </c>
      <c r="H18" s="63" t="str">
        <f>IF('Prod 1'!F18="","",'Prod 1'!F18)</f>
        <v/>
      </c>
      <c r="I18" s="75" t="str">
        <f>IF('Prod 3'!F18="","",'Prod 3'!F18)</f>
        <v/>
      </c>
    </row>
    <row r="19" spans="3:9" ht="30" customHeight="1" x14ac:dyDescent="0.25">
      <c r="C19" s="42">
        <v>15</v>
      </c>
      <c r="D19" s="67" t="str">
        <f>IF('Prod 1'!D19="","",'Prod 1'!D19)</f>
        <v/>
      </c>
      <c r="E19" s="73" t="str">
        <f>IF('Prod 1'!E19="","",'Prod 1'!E19)</f>
        <v/>
      </c>
      <c r="F19" s="74" t="str">
        <f>IF('Prod 2'!K19="","",'Prod 2'!K19)</f>
        <v/>
      </c>
      <c r="G19" s="77" t="str">
        <f>IF('Prod 1'!I19="","",'Prod 1'!I19)</f>
        <v/>
      </c>
      <c r="H19" s="63" t="str">
        <f>IF('Prod 1'!F19="","",'Prod 1'!F19)</f>
        <v/>
      </c>
      <c r="I19" s="75" t="str">
        <f>IF('Prod 3'!F19="","",'Prod 3'!F19)</f>
        <v/>
      </c>
    </row>
    <row r="20" spans="3:9" ht="30" customHeight="1" x14ac:dyDescent="0.25">
      <c r="C20" s="42">
        <v>16</v>
      </c>
      <c r="D20" s="67" t="str">
        <f>IF('Prod 1'!D20="","",'Prod 1'!D20)</f>
        <v/>
      </c>
      <c r="E20" s="73" t="str">
        <f>IF('Prod 1'!E20="","",'Prod 1'!E20)</f>
        <v/>
      </c>
      <c r="F20" s="74" t="str">
        <f>IF('Prod 2'!K20="","",'Prod 2'!K20)</f>
        <v/>
      </c>
      <c r="G20" s="77" t="str">
        <f>IF('Prod 1'!I20="","",'Prod 1'!I20)</f>
        <v/>
      </c>
      <c r="H20" s="63" t="str">
        <f>IF('Prod 1'!F20="","",'Prod 1'!F20)</f>
        <v/>
      </c>
      <c r="I20" s="75" t="str">
        <f>IF('Prod 3'!F20="","",'Prod 3'!F20)</f>
        <v/>
      </c>
    </row>
    <row r="21" spans="3:9" ht="30" customHeight="1" x14ac:dyDescent="0.25">
      <c r="C21" s="42">
        <v>17</v>
      </c>
      <c r="D21" s="67" t="str">
        <f>IF('Prod 1'!D21="","",'Prod 1'!D21)</f>
        <v/>
      </c>
      <c r="E21" s="73" t="str">
        <f>IF('Prod 1'!E21="","",'Prod 1'!E21)</f>
        <v/>
      </c>
      <c r="F21" s="74" t="str">
        <f>IF('Prod 2'!K21="","",'Prod 2'!K21)</f>
        <v/>
      </c>
      <c r="G21" s="77" t="str">
        <f>IF('Prod 1'!I21="","",'Prod 1'!I21)</f>
        <v/>
      </c>
      <c r="H21" s="63" t="str">
        <f>IF('Prod 1'!F21="","",'Prod 1'!F21)</f>
        <v/>
      </c>
      <c r="I21" s="75" t="str">
        <f>IF('Prod 3'!F21="","",'Prod 3'!F21)</f>
        <v/>
      </c>
    </row>
    <row r="22" spans="3:9" ht="30" customHeight="1" x14ac:dyDescent="0.25">
      <c r="C22" s="42">
        <v>18</v>
      </c>
      <c r="D22" s="67" t="str">
        <f>IF('Prod 1'!D22="","",'Prod 1'!D22)</f>
        <v/>
      </c>
      <c r="E22" s="73" t="str">
        <f>IF('Prod 1'!E22="","",'Prod 1'!E22)</f>
        <v/>
      </c>
      <c r="F22" s="74" t="str">
        <f>IF('Prod 2'!K22="","",'Prod 2'!K22)</f>
        <v/>
      </c>
      <c r="G22" s="77" t="str">
        <f>IF('Prod 1'!I22="","",'Prod 1'!I22)</f>
        <v/>
      </c>
      <c r="H22" s="63" t="str">
        <f>IF('Prod 1'!F22="","",'Prod 1'!F22)</f>
        <v/>
      </c>
      <c r="I22" s="75" t="str">
        <f>IF('Prod 3'!F22="","",'Prod 3'!F22)</f>
        <v/>
      </c>
    </row>
    <row r="23" spans="3:9" ht="30" customHeight="1" x14ac:dyDescent="0.25">
      <c r="C23" s="42">
        <v>19</v>
      </c>
      <c r="D23" s="67" t="str">
        <f>IF('Prod 1'!D23="","",'Prod 1'!D23)</f>
        <v/>
      </c>
      <c r="E23" s="73" t="str">
        <f>IF('Prod 1'!E23="","",'Prod 1'!E23)</f>
        <v/>
      </c>
      <c r="F23" s="74" t="str">
        <f>IF('Prod 2'!K23="","",'Prod 2'!K23)</f>
        <v/>
      </c>
      <c r="G23" s="77" t="str">
        <f>IF('Prod 1'!I23="","",'Prod 1'!I23)</f>
        <v/>
      </c>
      <c r="H23" s="63" t="str">
        <f>IF('Prod 1'!F23="","",'Prod 1'!F23)</f>
        <v/>
      </c>
      <c r="I23" s="75" t="str">
        <f>IF('Prod 3'!F23="","",'Prod 3'!F23)</f>
        <v/>
      </c>
    </row>
    <row r="24" spans="3:9" ht="30" customHeight="1" x14ac:dyDescent="0.25">
      <c r="C24" s="42">
        <v>20</v>
      </c>
      <c r="D24" s="67" t="str">
        <f>IF('Prod 1'!D24="","",'Prod 1'!D24)</f>
        <v/>
      </c>
      <c r="E24" s="73" t="str">
        <f>IF('Prod 1'!E24="","",'Prod 1'!E24)</f>
        <v/>
      </c>
      <c r="F24" s="74" t="str">
        <f>IF('Prod 2'!K24="","",'Prod 2'!K24)</f>
        <v/>
      </c>
      <c r="G24" s="77" t="str">
        <f>IF('Prod 1'!I24="","",'Prod 1'!I24)</f>
        <v/>
      </c>
      <c r="H24" s="63" t="str">
        <f>IF('Prod 1'!F24="","",'Prod 1'!F24)</f>
        <v/>
      </c>
      <c r="I24" s="75" t="str">
        <f>IF('Prod 3'!F24="","",'Prod 3'!F24)</f>
        <v/>
      </c>
    </row>
    <row r="25" spans="3:9" ht="30" customHeight="1" x14ac:dyDescent="0.25">
      <c r="C25" s="42">
        <v>21</v>
      </c>
      <c r="D25" s="67" t="str">
        <f>IF('Prod 1'!D25="","",'Prod 1'!D25)</f>
        <v/>
      </c>
      <c r="E25" s="73" t="str">
        <f>IF('Prod 1'!E25="","",'Prod 1'!E25)</f>
        <v/>
      </c>
      <c r="F25" s="74" t="str">
        <f>IF('Prod 2'!K25="","",'Prod 2'!K25)</f>
        <v/>
      </c>
      <c r="G25" s="77" t="str">
        <f>IF('Prod 1'!I25="","",'Prod 1'!I25)</f>
        <v/>
      </c>
      <c r="H25" s="63" t="str">
        <f>IF('Prod 1'!F25="","",'Prod 1'!F25)</f>
        <v/>
      </c>
      <c r="I25" s="75" t="str">
        <f>IF('Prod 3'!F25="","",'Prod 3'!F25)</f>
        <v/>
      </c>
    </row>
    <row r="26" spans="3:9" ht="30" customHeight="1" x14ac:dyDescent="0.25">
      <c r="C26" s="42">
        <v>22</v>
      </c>
      <c r="D26" s="67" t="str">
        <f>IF('Prod 1'!D26="","",'Prod 1'!D26)</f>
        <v/>
      </c>
      <c r="E26" s="73" t="str">
        <f>IF('Prod 1'!E26="","",'Prod 1'!E26)</f>
        <v/>
      </c>
      <c r="F26" s="74" t="str">
        <f>IF('Prod 2'!K26="","",'Prod 2'!K26)</f>
        <v/>
      </c>
      <c r="G26" s="77" t="str">
        <f>IF('Prod 1'!I26="","",'Prod 1'!I26)</f>
        <v/>
      </c>
      <c r="H26" s="63" t="str">
        <f>IF('Prod 1'!F26="","",'Prod 1'!F26)</f>
        <v/>
      </c>
      <c r="I26" s="75" t="str">
        <f>IF('Prod 3'!F26="","",'Prod 3'!F26)</f>
        <v/>
      </c>
    </row>
    <row r="27" spans="3:9" ht="30" customHeight="1" x14ac:dyDescent="0.25">
      <c r="C27" s="42">
        <v>23</v>
      </c>
      <c r="D27" s="67" t="str">
        <f>IF('Prod 1'!D27="","",'Prod 1'!D27)</f>
        <v/>
      </c>
      <c r="E27" s="73" t="str">
        <f>IF('Prod 1'!E27="","",'Prod 1'!E27)</f>
        <v/>
      </c>
      <c r="F27" s="74" t="str">
        <f>IF('Prod 2'!K27="","",'Prod 2'!K27)</f>
        <v/>
      </c>
      <c r="G27" s="77" t="str">
        <f>IF('Prod 1'!I27="","",'Prod 1'!I27)</f>
        <v/>
      </c>
      <c r="H27" s="63" t="str">
        <f>IF('Prod 1'!F27="","",'Prod 1'!F27)</f>
        <v/>
      </c>
      <c r="I27" s="75" t="str">
        <f>IF('Prod 3'!F27="","",'Prod 3'!F27)</f>
        <v/>
      </c>
    </row>
    <row r="28" spans="3:9" ht="30" customHeight="1" x14ac:dyDescent="0.25">
      <c r="C28" s="42">
        <v>24</v>
      </c>
      <c r="D28" s="67" t="str">
        <f>IF('Prod 1'!D28="","",'Prod 1'!D28)</f>
        <v/>
      </c>
      <c r="E28" s="73" t="str">
        <f>IF('Prod 1'!E28="","",'Prod 1'!E28)</f>
        <v/>
      </c>
      <c r="F28" s="74" t="str">
        <f>IF('Prod 2'!K28="","",'Prod 2'!K28)</f>
        <v/>
      </c>
      <c r="G28" s="77" t="str">
        <f>IF('Prod 1'!I28="","",'Prod 1'!I28)</f>
        <v/>
      </c>
      <c r="H28" s="63" t="str">
        <f>IF('Prod 1'!F28="","",'Prod 1'!F28)</f>
        <v/>
      </c>
      <c r="I28" s="75" t="str">
        <f>IF('Prod 3'!F28="","",'Prod 3'!F28)</f>
        <v/>
      </c>
    </row>
    <row r="29" spans="3:9" ht="30" customHeight="1" x14ac:dyDescent="0.25">
      <c r="C29" s="42">
        <v>25</v>
      </c>
      <c r="D29" s="67" t="str">
        <f>IF('Prod 1'!D29="","",'Prod 1'!D29)</f>
        <v/>
      </c>
      <c r="E29" s="73" t="str">
        <f>IF('Prod 1'!E29="","",'Prod 1'!E29)</f>
        <v/>
      </c>
      <c r="F29" s="74" t="str">
        <f>IF('Prod 2'!K29="","",'Prod 2'!K29)</f>
        <v/>
      </c>
      <c r="G29" s="77" t="str">
        <f>IF('Prod 1'!I29="","",'Prod 1'!I29)</f>
        <v/>
      </c>
      <c r="H29" s="63" t="str">
        <f>IF('Prod 1'!F29="","",'Prod 1'!F29)</f>
        <v/>
      </c>
      <c r="I29" s="75" t="str">
        <f>IF('Prod 3'!F29="","",'Prod 3'!F29)</f>
        <v/>
      </c>
    </row>
    <row r="30" spans="3:9" ht="30" customHeight="1" x14ac:dyDescent="0.25">
      <c r="C30" s="42">
        <v>26</v>
      </c>
      <c r="D30" s="67" t="str">
        <f>IF('Prod 1'!D30="","",'Prod 1'!D30)</f>
        <v/>
      </c>
      <c r="E30" s="73" t="str">
        <f>IF('Prod 1'!E30="","",'Prod 1'!E30)</f>
        <v/>
      </c>
      <c r="F30" s="74" t="str">
        <f>IF('Prod 2'!K30="","",'Prod 2'!K30)</f>
        <v/>
      </c>
      <c r="G30" s="77" t="str">
        <f>IF('Prod 1'!I30="","",'Prod 1'!I30)</f>
        <v/>
      </c>
      <c r="H30" s="63" t="str">
        <f>IF('Prod 1'!F30="","",'Prod 1'!F30)</f>
        <v/>
      </c>
      <c r="I30" s="75" t="str">
        <f>IF('Prod 3'!F30="","",'Prod 3'!F30)</f>
        <v/>
      </c>
    </row>
    <row r="31" spans="3:9" ht="30" customHeight="1" x14ac:dyDescent="0.25">
      <c r="C31" s="42">
        <v>27</v>
      </c>
      <c r="D31" s="67" t="str">
        <f>IF('Prod 1'!D31="","",'Prod 1'!D31)</f>
        <v/>
      </c>
      <c r="E31" s="73" t="str">
        <f>IF('Prod 1'!E31="","",'Prod 1'!E31)</f>
        <v/>
      </c>
      <c r="F31" s="74" t="str">
        <f>IF('Prod 2'!K31="","",'Prod 2'!K31)</f>
        <v/>
      </c>
      <c r="G31" s="77" t="str">
        <f>IF('Prod 1'!I31="","",'Prod 1'!I31)</f>
        <v/>
      </c>
      <c r="H31" s="63" t="str">
        <f>IF('Prod 1'!F31="","",'Prod 1'!F31)</f>
        <v/>
      </c>
      <c r="I31" s="75" t="str">
        <f>IF('Prod 3'!F31="","",'Prod 3'!F31)</f>
        <v/>
      </c>
    </row>
    <row r="32" spans="3:9" ht="30" customHeight="1" x14ac:dyDescent="0.25">
      <c r="C32" s="42">
        <v>28</v>
      </c>
      <c r="D32" s="67" t="str">
        <f>IF('Prod 1'!D32="","",'Prod 1'!D32)</f>
        <v/>
      </c>
      <c r="E32" s="73" t="str">
        <f>IF('Prod 1'!E32="","",'Prod 1'!E32)</f>
        <v/>
      </c>
      <c r="F32" s="74" t="str">
        <f>IF('Prod 2'!K32="","",'Prod 2'!K32)</f>
        <v/>
      </c>
      <c r="G32" s="77" t="str">
        <f>IF('Prod 1'!I32="","",'Prod 1'!I32)</f>
        <v/>
      </c>
      <c r="H32" s="63" t="str">
        <f>IF('Prod 1'!F32="","",'Prod 1'!F32)</f>
        <v/>
      </c>
      <c r="I32" s="75" t="str">
        <f>IF('Prod 3'!F32="","",'Prod 3'!F32)</f>
        <v/>
      </c>
    </row>
    <row r="33" spans="3:9" ht="30" customHeight="1" x14ac:dyDescent="0.25">
      <c r="C33" s="42">
        <v>29</v>
      </c>
      <c r="D33" s="67" t="str">
        <f>IF('Prod 1'!D33="","",'Prod 1'!D33)</f>
        <v/>
      </c>
      <c r="E33" s="73" t="str">
        <f>IF('Prod 1'!E33="","",'Prod 1'!E33)</f>
        <v/>
      </c>
      <c r="F33" s="74" t="str">
        <f>IF('Prod 2'!K33="","",'Prod 2'!K33)</f>
        <v/>
      </c>
      <c r="G33" s="77" t="str">
        <f>IF('Prod 1'!I33="","",'Prod 1'!I33)</f>
        <v/>
      </c>
      <c r="H33" s="63" t="str">
        <f>IF('Prod 1'!F33="","",'Prod 1'!F33)</f>
        <v/>
      </c>
      <c r="I33" s="75" t="str">
        <f>IF('Prod 3'!F33="","",'Prod 3'!F33)</f>
        <v/>
      </c>
    </row>
    <row r="34" spans="3:9" ht="30" customHeight="1" x14ac:dyDescent="0.25">
      <c r="C34" s="42">
        <v>30</v>
      </c>
      <c r="D34" s="67" t="str">
        <f>IF('Prod 1'!D34="","",'Prod 1'!D34)</f>
        <v/>
      </c>
      <c r="E34" s="73" t="str">
        <f>IF('Prod 1'!E34="","",'Prod 1'!E34)</f>
        <v/>
      </c>
      <c r="F34" s="74" t="str">
        <f>IF('Prod 2'!K34="","",'Prod 2'!K34)</f>
        <v/>
      </c>
      <c r="G34" s="77" t="str">
        <f>IF('Prod 1'!I34="","",'Prod 1'!I34)</f>
        <v/>
      </c>
      <c r="H34" s="63" t="str">
        <f>IF('Prod 1'!F34="","",'Prod 1'!F34)</f>
        <v/>
      </c>
      <c r="I34" s="75" t="str">
        <f>IF('Prod 3'!F34="","",'Prod 3'!F34)</f>
        <v/>
      </c>
    </row>
    <row r="35" spans="3:9" ht="30" customHeight="1" x14ac:dyDescent="0.25">
      <c r="C35" s="42">
        <v>31</v>
      </c>
      <c r="D35" s="67" t="str">
        <f>IF('Prod 1'!D35="","",'Prod 1'!D35)</f>
        <v/>
      </c>
      <c r="E35" s="73" t="str">
        <f>IF('Prod 1'!E35="","",'Prod 1'!E35)</f>
        <v/>
      </c>
      <c r="F35" s="74" t="str">
        <f>IF('Prod 2'!K35="","",'Prod 2'!K35)</f>
        <v/>
      </c>
      <c r="G35" s="77" t="str">
        <f>IF('Prod 1'!I35="","",'Prod 1'!I35)</f>
        <v/>
      </c>
      <c r="H35" s="63" t="str">
        <f>IF('Prod 1'!F35="","",'Prod 1'!F35)</f>
        <v/>
      </c>
      <c r="I35" s="75" t="str">
        <f>IF('Prod 3'!F35="","",'Prod 3'!F35)</f>
        <v/>
      </c>
    </row>
    <row r="36" spans="3:9" ht="30" customHeight="1" x14ac:dyDescent="0.25">
      <c r="C36" s="42">
        <v>32</v>
      </c>
      <c r="D36" s="67" t="str">
        <f>IF('Prod 1'!D36="","",'Prod 1'!D36)</f>
        <v/>
      </c>
      <c r="E36" s="73" t="str">
        <f>IF('Prod 1'!E36="","",'Prod 1'!E36)</f>
        <v/>
      </c>
      <c r="F36" s="74" t="str">
        <f>IF('Prod 2'!K36="","",'Prod 2'!K36)</f>
        <v/>
      </c>
      <c r="G36" s="77" t="str">
        <f>IF('Prod 1'!I36="","",'Prod 1'!I36)</f>
        <v/>
      </c>
      <c r="H36" s="63" t="str">
        <f>IF('Prod 1'!F36="","",'Prod 1'!F36)</f>
        <v/>
      </c>
      <c r="I36" s="75" t="str">
        <f>IF('Prod 3'!F36="","",'Prod 3'!F36)</f>
        <v/>
      </c>
    </row>
    <row r="37" spans="3:9" ht="30" customHeight="1" x14ac:dyDescent="0.25">
      <c r="C37" s="42">
        <v>33</v>
      </c>
      <c r="D37" s="67" t="str">
        <f>IF('Prod 1'!D37="","",'Prod 1'!D37)</f>
        <v/>
      </c>
      <c r="E37" s="73" t="str">
        <f>IF('Prod 1'!E37="","",'Prod 1'!E37)</f>
        <v/>
      </c>
      <c r="F37" s="74" t="str">
        <f>IF('Prod 2'!K37="","",'Prod 2'!K37)</f>
        <v/>
      </c>
      <c r="G37" s="77" t="str">
        <f>IF('Prod 1'!I37="","",'Prod 1'!I37)</f>
        <v/>
      </c>
      <c r="H37" s="63" t="str">
        <f>IF('Prod 1'!F37="","",'Prod 1'!F37)</f>
        <v/>
      </c>
      <c r="I37" s="75" t="str">
        <f>IF('Prod 3'!F37="","",'Prod 3'!F37)</f>
        <v/>
      </c>
    </row>
    <row r="38" spans="3:9" ht="30" customHeight="1" x14ac:dyDescent="0.25">
      <c r="C38" s="42">
        <v>34</v>
      </c>
      <c r="D38" s="67" t="str">
        <f>IF('Prod 1'!D38="","",'Prod 1'!D38)</f>
        <v/>
      </c>
      <c r="E38" s="73" t="str">
        <f>IF('Prod 1'!E38="","",'Prod 1'!E38)</f>
        <v/>
      </c>
      <c r="F38" s="74" t="str">
        <f>IF('Prod 2'!K38="","",'Prod 2'!K38)</f>
        <v/>
      </c>
      <c r="G38" s="77" t="str">
        <f>IF('Prod 1'!I38="","",'Prod 1'!I38)</f>
        <v/>
      </c>
      <c r="H38" s="63" t="str">
        <f>IF('Prod 1'!F38="","",'Prod 1'!F38)</f>
        <v/>
      </c>
      <c r="I38" s="75" t="str">
        <f>IF('Prod 3'!F38="","",'Prod 3'!F38)</f>
        <v/>
      </c>
    </row>
    <row r="39" spans="3:9" ht="30" customHeight="1" x14ac:dyDescent="0.25">
      <c r="C39" s="42">
        <v>35</v>
      </c>
      <c r="D39" s="67" t="str">
        <f>IF('Prod 1'!D39="","",'Prod 1'!D39)</f>
        <v/>
      </c>
      <c r="E39" s="73" t="str">
        <f>IF('Prod 1'!E39="","",'Prod 1'!E39)</f>
        <v/>
      </c>
      <c r="F39" s="74" t="str">
        <f>IF('Prod 2'!K39="","",'Prod 2'!K39)</f>
        <v/>
      </c>
      <c r="G39" s="77" t="str">
        <f>IF('Prod 1'!I39="","",'Prod 1'!I39)</f>
        <v/>
      </c>
      <c r="H39" s="63" t="str">
        <f>IF('Prod 1'!F39="","",'Prod 1'!F39)</f>
        <v/>
      </c>
      <c r="I39" s="75" t="str">
        <f>IF('Prod 3'!F39="","",'Prod 3'!F39)</f>
        <v/>
      </c>
    </row>
    <row r="40" spans="3:9" ht="30" customHeight="1" x14ac:dyDescent="0.25">
      <c r="C40" s="42">
        <v>36</v>
      </c>
      <c r="D40" s="67" t="str">
        <f>IF('Prod 1'!D40="","",'Prod 1'!D40)</f>
        <v/>
      </c>
      <c r="E40" s="73" t="str">
        <f>IF('Prod 1'!E40="","",'Prod 1'!E40)</f>
        <v/>
      </c>
      <c r="F40" s="74" t="str">
        <f>IF('Prod 2'!K40="","",'Prod 2'!K40)</f>
        <v/>
      </c>
      <c r="G40" s="77" t="str">
        <f>IF('Prod 1'!I40="","",'Prod 1'!I40)</f>
        <v/>
      </c>
      <c r="H40" s="63" t="str">
        <f>IF('Prod 1'!F40="","",'Prod 1'!F40)</f>
        <v/>
      </c>
      <c r="I40" s="75" t="str">
        <f>IF('Prod 3'!F40="","",'Prod 3'!F40)</f>
        <v/>
      </c>
    </row>
    <row r="41" spans="3:9" ht="30" customHeight="1" x14ac:dyDescent="0.25">
      <c r="C41" s="42">
        <v>37</v>
      </c>
      <c r="D41" s="67" t="str">
        <f>IF('Prod 1'!D41="","",'Prod 1'!D41)</f>
        <v/>
      </c>
      <c r="E41" s="73" t="str">
        <f>IF('Prod 1'!E41="","",'Prod 1'!E41)</f>
        <v/>
      </c>
      <c r="F41" s="74" t="str">
        <f>IF('Prod 2'!K41="","",'Prod 2'!K41)</f>
        <v/>
      </c>
      <c r="G41" s="77" t="str">
        <f>IF('Prod 1'!I41="","",'Prod 1'!I41)</f>
        <v/>
      </c>
      <c r="H41" s="63" t="str">
        <f>IF('Prod 1'!F41="","",'Prod 1'!F41)</f>
        <v/>
      </c>
      <c r="I41" s="75" t="str">
        <f>IF('Prod 3'!F41="","",'Prod 3'!F41)</f>
        <v/>
      </c>
    </row>
    <row r="42" spans="3:9" ht="30" customHeight="1" x14ac:dyDescent="0.25">
      <c r="C42" s="42">
        <v>38</v>
      </c>
      <c r="D42" s="67" t="str">
        <f>IF('Prod 1'!D42="","",'Prod 1'!D42)</f>
        <v/>
      </c>
      <c r="E42" s="73" t="str">
        <f>IF('Prod 1'!E42="","",'Prod 1'!E42)</f>
        <v/>
      </c>
      <c r="F42" s="74" t="str">
        <f>IF('Prod 2'!K42="","",'Prod 2'!K42)</f>
        <v/>
      </c>
      <c r="G42" s="77" t="str">
        <f>IF('Prod 1'!I42="","",'Prod 1'!I42)</f>
        <v/>
      </c>
      <c r="H42" s="63" t="str">
        <f>IF('Prod 1'!F42="","",'Prod 1'!F42)</f>
        <v/>
      </c>
      <c r="I42" s="75" t="str">
        <f>IF('Prod 3'!F42="","",'Prod 3'!F42)</f>
        <v/>
      </c>
    </row>
    <row r="43" spans="3:9" ht="30" customHeight="1" x14ac:dyDescent="0.25">
      <c r="C43" s="42">
        <v>39</v>
      </c>
      <c r="D43" s="67" t="str">
        <f>IF('Prod 1'!D43="","",'Prod 1'!D43)</f>
        <v/>
      </c>
      <c r="E43" s="73" t="str">
        <f>IF('Prod 1'!E43="","",'Prod 1'!E43)</f>
        <v/>
      </c>
      <c r="F43" s="74" t="str">
        <f>IF('Prod 2'!K43="","",'Prod 2'!K43)</f>
        <v/>
      </c>
      <c r="G43" s="77" t="str">
        <f>IF('Prod 1'!I43="","",'Prod 1'!I43)</f>
        <v/>
      </c>
      <c r="H43" s="63" t="str">
        <f>IF('Prod 1'!F43="","",'Prod 1'!F43)</f>
        <v/>
      </c>
      <c r="I43" s="75" t="str">
        <f>IF('Prod 3'!F43="","",'Prod 3'!F43)</f>
        <v/>
      </c>
    </row>
    <row r="44" spans="3:9" ht="30" customHeight="1" x14ac:dyDescent="0.25">
      <c r="C44" s="42">
        <v>40</v>
      </c>
      <c r="D44" s="67" t="str">
        <f>IF('Prod 1'!D44="","",'Prod 1'!D44)</f>
        <v/>
      </c>
      <c r="E44" s="73" t="str">
        <f>IF('Prod 1'!E44="","",'Prod 1'!E44)</f>
        <v/>
      </c>
      <c r="F44" s="74" t="str">
        <f>IF('Prod 2'!K44="","",'Prod 2'!K44)</f>
        <v/>
      </c>
      <c r="G44" s="77" t="str">
        <f>IF('Prod 1'!I44="","",'Prod 1'!I44)</f>
        <v/>
      </c>
      <c r="H44" s="63" t="str">
        <f>IF('Prod 1'!F44="","",'Prod 1'!F44)</f>
        <v/>
      </c>
      <c r="I44" s="75" t="str">
        <f>IF('Prod 3'!F44="","",'Prod 3'!F44)</f>
        <v/>
      </c>
    </row>
    <row r="45" spans="3:9" ht="30" customHeight="1" x14ac:dyDescent="0.25">
      <c r="C45" s="42">
        <v>41</v>
      </c>
      <c r="D45" s="67" t="str">
        <f>IF('Prod 1'!D45="","",'Prod 1'!D45)</f>
        <v/>
      </c>
      <c r="E45" s="73" t="str">
        <f>IF('Prod 1'!E45="","",'Prod 1'!E45)</f>
        <v/>
      </c>
      <c r="F45" s="74" t="str">
        <f>IF('Prod 2'!K45="","",'Prod 2'!K45)</f>
        <v/>
      </c>
      <c r="G45" s="77" t="str">
        <f>IF('Prod 1'!I45="","",'Prod 1'!I45)</f>
        <v/>
      </c>
      <c r="H45" s="63" t="str">
        <f>IF('Prod 1'!F45="","",'Prod 1'!F45)</f>
        <v/>
      </c>
      <c r="I45" s="75" t="str">
        <f>IF('Prod 3'!F45="","",'Prod 3'!F45)</f>
        <v/>
      </c>
    </row>
    <row r="46" spans="3:9" ht="30" customHeight="1" x14ac:dyDescent="0.25">
      <c r="C46" s="42">
        <v>42</v>
      </c>
      <c r="D46" s="67" t="str">
        <f>IF('Prod 1'!D46="","",'Prod 1'!D46)</f>
        <v/>
      </c>
      <c r="E46" s="73" t="str">
        <f>IF('Prod 1'!E46="","",'Prod 1'!E46)</f>
        <v/>
      </c>
      <c r="F46" s="74" t="str">
        <f>IF('Prod 2'!K46="","",'Prod 2'!K46)</f>
        <v/>
      </c>
      <c r="G46" s="77" t="str">
        <f>IF('Prod 1'!I46="","",'Prod 1'!I46)</f>
        <v/>
      </c>
      <c r="H46" s="63" t="str">
        <f>IF('Prod 1'!F46="","",'Prod 1'!F46)</f>
        <v/>
      </c>
      <c r="I46" s="75" t="str">
        <f>IF('Prod 3'!F46="","",'Prod 3'!F46)</f>
        <v/>
      </c>
    </row>
    <row r="47" spans="3:9" ht="30" customHeight="1" x14ac:dyDescent="0.25">
      <c r="C47" s="42">
        <v>43</v>
      </c>
      <c r="D47" s="67" t="str">
        <f>IF('Prod 1'!D47="","",'Prod 1'!D47)</f>
        <v/>
      </c>
      <c r="E47" s="73" t="str">
        <f>IF('Prod 1'!E47="","",'Prod 1'!E47)</f>
        <v/>
      </c>
      <c r="F47" s="74" t="str">
        <f>IF('Prod 2'!K47="","",'Prod 2'!K47)</f>
        <v/>
      </c>
      <c r="G47" s="77" t="str">
        <f>IF('Prod 1'!I47="","",'Prod 1'!I47)</f>
        <v/>
      </c>
      <c r="H47" s="63" t="str">
        <f>IF('Prod 1'!F47="","",'Prod 1'!F47)</f>
        <v/>
      </c>
      <c r="I47" s="75" t="str">
        <f>IF('Prod 3'!F47="","",'Prod 3'!F47)</f>
        <v/>
      </c>
    </row>
    <row r="48" spans="3:9" ht="30" customHeight="1" x14ac:dyDescent="0.25">
      <c r="C48" s="42">
        <v>44</v>
      </c>
      <c r="D48" s="67" t="str">
        <f>IF('Prod 1'!D48="","",'Prod 1'!D48)</f>
        <v/>
      </c>
      <c r="E48" s="73" t="str">
        <f>IF('Prod 1'!E48="","",'Prod 1'!E48)</f>
        <v/>
      </c>
      <c r="F48" s="74" t="str">
        <f>IF('Prod 2'!K48="","",'Prod 2'!K48)</f>
        <v/>
      </c>
      <c r="G48" s="77" t="str">
        <f>IF('Prod 1'!I48="","",'Prod 1'!I48)</f>
        <v/>
      </c>
      <c r="H48" s="63" t="str">
        <f>IF('Prod 1'!F48="","",'Prod 1'!F48)</f>
        <v/>
      </c>
      <c r="I48" s="75" t="str">
        <f>IF('Prod 3'!F48="","",'Prod 3'!F48)</f>
        <v/>
      </c>
    </row>
    <row r="49" spans="3:9" ht="30" customHeight="1" x14ac:dyDescent="0.25">
      <c r="C49" s="42">
        <v>45</v>
      </c>
      <c r="D49" s="67" t="str">
        <f>IF('Prod 1'!D49="","",'Prod 1'!D49)</f>
        <v/>
      </c>
      <c r="E49" s="73" t="str">
        <f>IF('Prod 1'!E49="","",'Prod 1'!E49)</f>
        <v/>
      </c>
      <c r="F49" s="74" t="str">
        <f>IF('Prod 2'!K49="","",'Prod 2'!K49)</f>
        <v/>
      </c>
      <c r="G49" s="77" t="str">
        <f>IF('Prod 1'!I49="","",'Prod 1'!I49)</f>
        <v/>
      </c>
      <c r="H49" s="63" t="str">
        <f>IF('Prod 1'!F49="","",'Prod 1'!F49)</f>
        <v/>
      </c>
      <c r="I49" s="75" t="str">
        <f>IF('Prod 3'!F49="","",'Prod 3'!F49)</f>
        <v/>
      </c>
    </row>
    <row r="50" spans="3:9" ht="30" customHeight="1" x14ac:dyDescent="0.25">
      <c r="C50" s="42">
        <v>46</v>
      </c>
      <c r="D50" s="67" t="str">
        <f>IF('Prod 1'!D50="","",'Prod 1'!D50)</f>
        <v/>
      </c>
      <c r="E50" s="73" t="str">
        <f>IF('Prod 1'!E50="","",'Prod 1'!E50)</f>
        <v/>
      </c>
      <c r="F50" s="74" t="str">
        <f>IF('Prod 2'!K50="","",'Prod 2'!K50)</f>
        <v/>
      </c>
      <c r="G50" s="77" t="str">
        <f>IF('Prod 1'!I50="","",'Prod 1'!I50)</f>
        <v/>
      </c>
      <c r="H50" s="63" t="str">
        <f>IF('Prod 1'!F50="","",'Prod 1'!F50)</f>
        <v/>
      </c>
      <c r="I50" s="75" t="str">
        <f>IF('Prod 3'!F50="","",'Prod 3'!F50)</f>
        <v/>
      </c>
    </row>
    <row r="51" spans="3:9" ht="30" customHeight="1" x14ac:dyDescent="0.25">
      <c r="C51" s="42">
        <v>47</v>
      </c>
      <c r="D51" s="67" t="str">
        <f>IF('Prod 1'!D51="","",'Prod 1'!D51)</f>
        <v/>
      </c>
      <c r="E51" s="73" t="str">
        <f>IF('Prod 1'!E51="","",'Prod 1'!E51)</f>
        <v/>
      </c>
      <c r="F51" s="74" t="str">
        <f>IF('Prod 2'!K51="","",'Prod 2'!K51)</f>
        <v/>
      </c>
      <c r="G51" s="77" t="str">
        <f>IF('Prod 1'!I51="","",'Prod 1'!I51)</f>
        <v/>
      </c>
      <c r="H51" s="63" t="str">
        <f>IF('Prod 1'!F51="","",'Prod 1'!F51)</f>
        <v/>
      </c>
      <c r="I51" s="75" t="str">
        <f>IF('Prod 3'!F51="","",'Prod 3'!F51)</f>
        <v/>
      </c>
    </row>
    <row r="52" spans="3:9" ht="30" customHeight="1" x14ac:dyDescent="0.25">
      <c r="C52" s="42">
        <v>48</v>
      </c>
      <c r="D52" s="67" t="str">
        <f>IF('Prod 1'!D52="","",'Prod 1'!D52)</f>
        <v/>
      </c>
      <c r="E52" s="73" t="str">
        <f>IF('Prod 1'!E52="","",'Prod 1'!E52)</f>
        <v/>
      </c>
      <c r="F52" s="74" t="str">
        <f>IF('Prod 2'!K52="","",'Prod 2'!K52)</f>
        <v/>
      </c>
      <c r="G52" s="77" t="str">
        <f>IF('Prod 1'!I52="","",'Prod 1'!I52)</f>
        <v/>
      </c>
      <c r="H52" s="63" t="str">
        <f>IF('Prod 1'!F52="","",'Prod 1'!F52)</f>
        <v/>
      </c>
      <c r="I52" s="75" t="str">
        <f>IF('Prod 3'!F52="","",'Prod 3'!F52)</f>
        <v/>
      </c>
    </row>
    <row r="53" spans="3:9" ht="30" customHeight="1" x14ac:dyDescent="0.25">
      <c r="C53" s="42">
        <v>49</v>
      </c>
      <c r="D53" s="67" t="str">
        <f>IF('Prod 1'!D53="","",'Prod 1'!D53)</f>
        <v/>
      </c>
      <c r="E53" s="73" t="str">
        <f>IF('Prod 1'!E53="","",'Prod 1'!E53)</f>
        <v/>
      </c>
      <c r="F53" s="74" t="str">
        <f>IF('Prod 2'!K53="","",'Prod 2'!K53)</f>
        <v/>
      </c>
      <c r="G53" s="77" t="str">
        <f>IF('Prod 1'!I53="","",'Prod 1'!I53)</f>
        <v/>
      </c>
      <c r="H53" s="63" t="str">
        <f>IF('Prod 1'!F53="","",'Prod 1'!F53)</f>
        <v/>
      </c>
      <c r="I53" s="75" t="str">
        <f>IF('Prod 3'!F53="","",'Prod 3'!F53)</f>
        <v/>
      </c>
    </row>
    <row r="54" spans="3:9" ht="30" customHeight="1" x14ac:dyDescent="0.25">
      <c r="C54" s="42">
        <v>50</v>
      </c>
      <c r="D54" s="67" t="str">
        <f>IF('Prod 1'!D54="","",'Prod 1'!D54)</f>
        <v/>
      </c>
      <c r="E54" s="73" t="str">
        <f>IF('Prod 1'!E54="","",'Prod 1'!E54)</f>
        <v/>
      </c>
      <c r="F54" s="74" t="str">
        <f>IF('Prod 2'!K54="","",'Prod 2'!K54)</f>
        <v/>
      </c>
      <c r="G54" s="77" t="str">
        <f>IF('Prod 1'!I54="","",'Prod 1'!I54)</f>
        <v/>
      </c>
      <c r="H54" s="63" t="str">
        <f>IF('Prod 1'!F54="","",'Prod 1'!F54)</f>
        <v/>
      </c>
      <c r="I54" s="75" t="str">
        <f>IF('Prod 3'!F54="","",'Prod 3'!F54)</f>
        <v/>
      </c>
    </row>
    <row r="55" spans="3:9" ht="30" customHeight="1" x14ac:dyDescent="0.25">
      <c r="C55" s="42">
        <v>51</v>
      </c>
      <c r="D55" s="67" t="str">
        <f>IF('Prod 1'!D55="","",'Prod 1'!D55)</f>
        <v/>
      </c>
      <c r="E55" s="73" t="str">
        <f>IF('Prod 1'!E55="","",'Prod 1'!E55)</f>
        <v/>
      </c>
      <c r="F55" s="74" t="str">
        <f>IF('Prod 2'!K55="","",'Prod 2'!K55)</f>
        <v/>
      </c>
      <c r="G55" s="77" t="str">
        <f>IF('Prod 1'!I55="","",'Prod 1'!I55)</f>
        <v/>
      </c>
      <c r="H55" s="63" t="str">
        <f>IF('Prod 1'!F55="","",'Prod 1'!F55)</f>
        <v/>
      </c>
      <c r="I55" s="75" t="str">
        <f>IF('Prod 3'!F55="","",'Prod 3'!F55)</f>
        <v/>
      </c>
    </row>
    <row r="56" spans="3:9" ht="30" customHeight="1" x14ac:dyDescent="0.25">
      <c r="C56" s="42">
        <v>52</v>
      </c>
      <c r="D56" s="67" t="str">
        <f>IF('Prod 1'!D56="","",'Prod 1'!D56)</f>
        <v/>
      </c>
      <c r="E56" s="73" t="str">
        <f>IF('Prod 1'!E56="","",'Prod 1'!E56)</f>
        <v/>
      </c>
      <c r="F56" s="74" t="str">
        <f>IF('Prod 2'!K56="","",'Prod 2'!K56)</f>
        <v/>
      </c>
      <c r="G56" s="77" t="str">
        <f>IF('Prod 1'!I56="","",'Prod 1'!I56)</f>
        <v/>
      </c>
      <c r="H56" s="63" t="str">
        <f>IF('Prod 1'!F56="","",'Prod 1'!F56)</f>
        <v/>
      </c>
      <c r="I56" s="75" t="str">
        <f>IF('Prod 3'!F56="","",'Prod 3'!F56)</f>
        <v/>
      </c>
    </row>
    <row r="57" spans="3:9" ht="30" customHeight="1" x14ac:dyDescent="0.25">
      <c r="C57" s="42">
        <v>53</v>
      </c>
      <c r="D57" s="67" t="str">
        <f>IF('Prod 1'!D57="","",'Prod 1'!D57)</f>
        <v/>
      </c>
      <c r="E57" s="73" t="str">
        <f>IF('Prod 1'!E57="","",'Prod 1'!E57)</f>
        <v/>
      </c>
      <c r="F57" s="74" t="str">
        <f>IF('Prod 2'!K57="","",'Prod 2'!K57)</f>
        <v/>
      </c>
      <c r="G57" s="77" t="str">
        <f>IF('Prod 1'!I57="","",'Prod 1'!I57)</f>
        <v/>
      </c>
      <c r="H57" s="63" t="str">
        <f>IF('Prod 1'!F57="","",'Prod 1'!F57)</f>
        <v/>
      </c>
      <c r="I57" s="75" t="str">
        <f>IF('Prod 3'!F57="","",'Prod 3'!F57)</f>
        <v/>
      </c>
    </row>
    <row r="58" spans="3:9" ht="30" customHeight="1" x14ac:dyDescent="0.25">
      <c r="C58" s="42">
        <v>54</v>
      </c>
      <c r="D58" s="67" t="str">
        <f>IF('Prod 1'!D58="","",'Prod 1'!D58)</f>
        <v/>
      </c>
      <c r="E58" s="73" t="str">
        <f>IF('Prod 1'!E58="","",'Prod 1'!E58)</f>
        <v/>
      </c>
      <c r="F58" s="74" t="str">
        <f>IF('Prod 2'!K58="","",'Prod 2'!K58)</f>
        <v/>
      </c>
      <c r="G58" s="77" t="str">
        <f>IF('Prod 1'!I58="","",'Prod 1'!I58)</f>
        <v/>
      </c>
      <c r="H58" s="63" t="str">
        <f>IF('Prod 1'!F58="","",'Prod 1'!F58)</f>
        <v/>
      </c>
      <c r="I58" s="75" t="str">
        <f>IF('Prod 3'!F58="","",'Prod 3'!F58)</f>
        <v/>
      </c>
    </row>
    <row r="59" spans="3:9" ht="30" customHeight="1" x14ac:dyDescent="0.25">
      <c r="C59" s="42">
        <v>55</v>
      </c>
      <c r="D59" s="67" t="str">
        <f>IF('Prod 1'!D59="","",'Prod 1'!D59)</f>
        <v/>
      </c>
      <c r="E59" s="73" t="str">
        <f>IF('Prod 1'!E59="","",'Prod 1'!E59)</f>
        <v/>
      </c>
      <c r="F59" s="74" t="str">
        <f>IF('Prod 2'!K59="","",'Prod 2'!K59)</f>
        <v/>
      </c>
      <c r="G59" s="77" t="str">
        <f>IF('Prod 1'!I59="","",'Prod 1'!I59)</f>
        <v/>
      </c>
      <c r="H59" s="63" t="str">
        <f>IF('Prod 1'!F59="","",'Prod 1'!F59)</f>
        <v/>
      </c>
      <c r="I59" s="75" t="str">
        <f>IF('Prod 3'!F59="","",'Prod 3'!F59)</f>
        <v/>
      </c>
    </row>
    <row r="60" spans="3:9" ht="30" customHeight="1" x14ac:dyDescent="0.25">
      <c r="C60" s="42">
        <v>56</v>
      </c>
      <c r="D60" s="67" t="str">
        <f>IF('Prod 1'!D60="","",'Prod 1'!D60)</f>
        <v/>
      </c>
      <c r="E60" s="73" t="str">
        <f>IF('Prod 1'!E60="","",'Prod 1'!E60)</f>
        <v/>
      </c>
      <c r="F60" s="74" t="str">
        <f>IF('Prod 2'!K60="","",'Prod 2'!K60)</f>
        <v/>
      </c>
      <c r="G60" s="77" t="str">
        <f>IF('Prod 1'!I60="","",'Prod 1'!I60)</f>
        <v/>
      </c>
      <c r="H60" s="63" t="str">
        <f>IF('Prod 1'!F60="","",'Prod 1'!F60)</f>
        <v/>
      </c>
      <c r="I60" s="75" t="str">
        <f>IF('Prod 3'!F60="","",'Prod 3'!F60)</f>
        <v/>
      </c>
    </row>
    <row r="61" spans="3:9" ht="30" customHeight="1" x14ac:dyDescent="0.25">
      <c r="C61" s="42">
        <v>57</v>
      </c>
      <c r="D61" s="67" t="str">
        <f>IF('Prod 1'!D61="","",'Prod 1'!D61)</f>
        <v/>
      </c>
      <c r="E61" s="73" t="str">
        <f>IF('Prod 1'!E61="","",'Prod 1'!E61)</f>
        <v/>
      </c>
      <c r="F61" s="74" t="str">
        <f>IF('Prod 2'!K61="","",'Prod 2'!K61)</f>
        <v/>
      </c>
      <c r="G61" s="77" t="str">
        <f>IF('Prod 1'!I61="","",'Prod 1'!I61)</f>
        <v/>
      </c>
      <c r="H61" s="63" t="str">
        <f>IF('Prod 1'!F61="","",'Prod 1'!F61)</f>
        <v/>
      </c>
      <c r="I61" s="75" t="str">
        <f>IF('Prod 3'!F61="","",'Prod 3'!F61)</f>
        <v/>
      </c>
    </row>
    <row r="62" spans="3:9" ht="30" customHeight="1" x14ac:dyDescent="0.25">
      <c r="C62" s="42">
        <v>58</v>
      </c>
      <c r="D62" s="67" t="str">
        <f>IF('Prod 1'!D62="","",'Prod 1'!D62)</f>
        <v/>
      </c>
      <c r="E62" s="73" t="str">
        <f>IF('Prod 1'!E62="","",'Prod 1'!E62)</f>
        <v/>
      </c>
      <c r="F62" s="74" t="str">
        <f>IF('Prod 2'!K62="","",'Prod 2'!K62)</f>
        <v/>
      </c>
      <c r="G62" s="77" t="str">
        <f>IF('Prod 1'!I62="","",'Prod 1'!I62)</f>
        <v/>
      </c>
      <c r="H62" s="63" t="str">
        <f>IF('Prod 1'!F62="","",'Prod 1'!F62)</f>
        <v/>
      </c>
      <c r="I62" s="75" t="str">
        <f>IF('Prod 3'!F62="","",'Prod 3'!F62)</f>
        <v/>
      </c>
    </row>
    <row r="63" spans="3:9" ht="30" customHeight="1" x14ac:dyDescent="0.25">
      <c r="C63" s="42">
        <v>59</v>
      </c>
      <c r="D63" s="67" t="str">
        <f>IF('Prod 1'!D63="","",'Prod 1'!D63)</f>
        <v/>
      </c>
      <c r="E63" s="73" t="str">
        <f>IF('Prod 1'!E63="","",'Prod 1'!E63)</f>
        <v/>
      </c>
      <c r="F63" s="74" t="str">
        <f>IF('Prod 2'!K63="","",'Prod 2'!K63)</f>
        <v/>
      </c>
      <c r="G63" s="77" t="str">
        <f>IF('Prod 1'!I63="","",'Prod 1'!I63)</f>
        <v/>
      </c>
      <c r="H63" s="63" t="str">
        <f>IF('Prod 1'!F63="","",'Prod 1'!F63)</f>
        <v/>
      </c>
      <c r="I63" s="75" t="str">
        <f>IF('Prod 3'!F63="","",'Prod 3'!F63)</f>
        <v/>
      </c>
    </row>
    <row r="64" spans="3:9" ht="30" customHeight="1" x14ac:dyDescent="0.25">
      <c r="C64" s="42">
        <v>60</v>
      </c>
      <c r="D64" s="67" t="str">
        <f>IF('Prod 1'!D64="","",'Prod 1'!D64)</f>
        <v/>
      </c>
      <c r="E64" s="73" t="str">
        <f>IF('Prod 1'!E64="","",'Prod 1'!E64)</f>
        <v/>
      </c>
      <c r="F64" s="74" t="str">
        <f>IF('Prod 2'!K64="","",'Prod 2'!K64)</f>
        <v/>
      </c>
      <c r="G64" s="77" t="str">
        <f>IF('Prod 1'!I64="","",'Prod 1'!I64)</f>
        <v/>
      </c>
      <c r="H64" s="63" t="str">
        <f>IF('Prod 1'!F64="","",'Prod 1'!F64)</f>
        <v/>
      </c>
      <c r="I64" s="75" t="str">
        <f>IF('Prod 3'!F64="","",'Prod 3'!F64)</f>
        <v/>
      </c>
    </row>
    <row r="65" spans="3:9" ht="30" customHeight="1" x14ac:dyDescent="0.25">
      <c r="C65" s="42">
        <v>61</v>
      </c>
      <c r="D65" s="67" t="str">
        <f>IF('Prod 1'!D65="","",'Prod 1'!D65)</f>
        <v/>
      </c>
      <c r="E65" s="73" t="str">
        <f>IF('Prod 1'!E65="","",'Prod 1'!E65)</f>
        <v/>
      </c>
      <c r="F65" s="74" t="str">
        <f>IF('Prod 2'!K65="","",'Prod 2'!K65)</f>
        <v/>
      </c>
      <c r="G65" s="77" t="str">
        <f>IF('Prod 1'!I65="","",'Prod 1'!I65)</f>
        <v/>
      </c>
      <c r="H65" s="63" t="str">
        <f>IF('Prod 1'!F65="","",'Prod 1'!F65)</f>
        <v/>
      </c>
      <c r="I65" s="75" t="str">
        <f>IF('Prod 3'!F65="","",'Prod 3'!F65)</f>
        <v/>
      </c>
    </row>
    <row r="66" spans="3:9" ht="30" customHeight="1" x14ac:dyDescent="0.25">
      <c r="C66" s="42">
        <v>62</v>
      </c>
      <c r="D66" s="67" t="str">
        <f>IF('Prod 1'!D66="","",'Prod 1'!D66)</f>
        <v/>
      </c>
      <c r="E66" s="73" t="str">
        <f>IF('Prod 1'!E66="","",'Prod 1'!E66)</f>
        <v/>
      </c>
      <c r="F66" s="74" t="str">
        <f>IF('Prod 2'!K66="","",'Prod 2'!K66)</f>
        <v/>
      </c>
      <c r="G66" s="77" t="str">
        <f>IF('Prod 1'!I66="","",'Prod 1'!I66)</f>
        <v/>
      </c>
      <c r="H66" s="63" t="str">
        <f>IF('Prod 1'!F66="","",'Prod 1'!F66)</f>
        <v/>
      </c>
      <c r="I66" s="75" t="str">
        <f>IF('Prod 3'!F66="","",'Prod 3'!F66)</f>
        <v/>
      </c>
    </row>
    <row r="67" spans="3:9" ht="30" customHeight="1" x14ac:dyDescent="0.25">
      <c r="C67" s="42">
        <v>63</v>
      </c>
      <c r="D67" s="67" t="str">
        <f>IF('Prod 1'!D67="","",'Prod 1'!D67)</f>
        <v/>
      </c>
      <c r="E67" s="73" t="str">
        <f>IF('Prod 1'!E67="","",'Prod 1'!E67)</f>
        <v/>
      </c>
      <c r="F67" s="74" t="str">
        <f>IF('Prod 2'!K67="","",'Prod 2'!K67)</f>
        <v/>
      </c>
      <c r="G67" s="77" t="str">
        <f>IF('Prod 1'!I67="","",'Prod 1'!I67)</f>
        <v/>
      </c>
      <c r="H67" s="63" t="str">
        <f>IF('Prod 1'!F67="","",'Prod 1'!F67)</f>
        <v/>
      </c>
      <c r="I67" s="75" t="str">
        <f>IF('Prod 3'!F67="","",'Prod 3'!F67)</f>
        <v/>
      </c>
    </row>
    <row r="68" spans="3:9" ht="30" customHeight="1" x14ac:dyDescent="0.25">
      <c r="C68" s="42">
        <v>64</v>
      </c>
      <c r="D68" s="67" t="str">
        <f>IF('Prod 1'!D68="","",'Prod 1'!D68)</f>
        <v/>
      </c>
      <c r="E68" s="73" t="str">
        <f>IF('Prod 1'!E68="","",'Prod 1'!E68)</f>
        <v/>
      </c>
      <c r="F68" s="74" t="str">
        <f>IF('Prod 2'!K68="","",'Prod 2'!K68)</f>
        <v/>
      </c>
      <c r="G68" s="77" t="str">
        <f>IF('Prod 1'!I68="","",'Prod 1'!I68)</f>
        <v/>
      </c>
      <c r="H68" s="63" t="str">
        <f>IF('Prod 1'!F68="","",'Prod 1'!F68)</f>
        <v/>
      </c>
      <c r="I68" s="75" t="str">
        <f>IF('Prod 3'!F68="","",'Prod 3'!F68)</f>
        <v/>
      </c>
    </row>
    <row r="69" spans="3:9" ht="30" customHeight="1" x14ac:dyDescent="0.25">
      <c r="C69" s="42">
        <v>65</v>
      </c>
      <c r="D69" s="67" t="str">
        <f>IF('Prod 1'!D69="","",'Prod 1'!D69)</f>
        <v/>
      </c>
      <c r="E69" s="73" t="str">
        <f>IF('Prod 1'!E69="","",'Prod 1'!E69)</f>
        <v/>
      </c>
      <c r="F69" s="74" t="str">
        <f>IF('Prod 2'!K69="","",'Prod 2'!K69)</f>
        <v/>
      </c>
      <c r="G69" s="77" t="str">
        <f>IF('Prod 1'!I69="","",'Prod 1'!I69)</f>
        <v/>
      </c>
      <c r="H69" s="63" t="str">
        <f>IF('Prod 1'!F69="","",'Prod 1'!F69)</f>
        <v/>
      </c>
      <c r="I69" s="75" t="str">
        <f>IF('Prod 3'!F69="","",'Prod 3'!F69)</f>
        <v/>
      </c>
    </row>
    <row r="70" spans="3:9" ht="30" customHeight="1" x14ac:dyDescent="0.25">
      <c r="C70" s="42">
        <v>66</v>
      </c>
      <c r="D70" s="67" t="str">
        <f>IF('Prod 1'!D70="","",'Prod 1'!D70)</f>
        <v/>
      </c>
      <c r="E70" s="73" t="str">
        <f>IF('Prod 1'!E70="","",'Prod 1'!E70)</f>
        <v/>
      </c>
      <c r="F70" s="74" t="str">
        <f>IF('Prod 2'!K70="","",'Prod 2'!K70)</f>
        <v/>
      </c>
      <c r="G70" s="77" t="str">
        <f>IF('Prod 1'!I70="","",'Prod 1'!I70)</f>
        <v/>
      </c>
      <c r="H70" s="63" t="str">
        <f>IF('Prod 1'!F70="","",'Prod 1'!F70)</f>
        <v/>
      </c>
      <c r="I70" s="75" t="str">
        <f>IF('Prod 3'!F70="","",'Prod 3'!F70)</f>
        <v/>
      </c>
    </row>
    <row r="71" spans="3:9" ht="30" customHeight="1" x14ac:dyDescent="0.25">
      <c r="C71" s="42">
        <v>67</v>
      </c>
      <c r="D71" s="67" t="str">
        <f>IF('Prod 1'!D71="","",'Prod 1'!D71)</f>
        <v/>
      </c>
      <c r="E71" s="73" t="str">
        <f>IF('Prod 1'!E71="","",'Prod 1'!E71)</f>
        <v/>
      </c>
      <c r="F71" s="74" t="str">
        <f>IF('Prod 2'!K71="","",'Prod 2'!K71)</f>
        <v/>
      </c>
      <c r="G71" s="77" t="str">
        <f>IF('Prod 1'!I71="","",'Prod 1'!I71)</f>
        <v/>
      </c>
      <c r="H71" s="63" t="str">
        <f>IF('Prod 1'!F71="","",'Prod 1'!F71)</f>
        <v/>
      </c>
      <c r="I71" s="75" t="str">
        <f>IF('Prod 3'!F71="","",'Prod 3'!F71)</f>
        <v/>
      </c>
    </row>
    <row r="72" spans="3:9" ht="30" customHeight="1" x14ac:dyDescent="0.25">
      <c r="C72" s="42">
        <v>68</v>
      </c>
      <c r="D72" s="67" t="str">
        <f>IF('Prod 1'!D72="","",'Prod 1'!D72)</f>
        <v/>
      </c>
      <c r="E72" s="73" t="str">
        <f>IF('Prod 1'!E72="","",'Prod 1'!E72)</f>
        <v/>
      </c>
      <c r="F72" s="74" t="str">
        <f>IF('Prod 2'!K72="","",'Prod 2'!K72)</f>
        <v/>
      </c>
      <c r="G72" s="77" t="str">
        <f>IF('Prod 1'!I72="","",'Prod 1'!I72)</f>
        <v/>
      </c>
      <c r="H72" s="63" t="str">
        <f>IF('Prod 1'!F72="","",'Prod 1'!F72)</f>
        <v/>
      </c>
      <c r="I72" s="75" t="str">
        <f>IF('Prod 3'!F72="","",'Prod 3'!F72)</f>
        <v/>
      </c>
    </row>
    <row r="73" spans="3:9" ht="30" customHeight="1" x14ac:dyDescent="0.25">
      <c r="C73" s="42">
        <v>69</v>
      </c>
      <c r="D73" s="67" t="str">
        <f>IF('Prod 1'!D73="","",'Prod 1'!D73)</f>
        <v/>
      </c>
      <c r="E73" s="73" t="str">
        <f>IF('Prod 1'!E73="","",'Prod 1'!E73)</f>
        <v/>
      </c>
      <c r="F73" s="74" t="str">
        <f>IF('Prod 2'!K73="","",'Prod 2'!K73)</f>
        <v/>
      </c>
      <c r="G73" s="77" t="str">
        <f>IF('Prod 1'!I73="","",'Prod 1'!I73)</f>
        <v/>
      </c>
      <c r="H73" s="63" t="str">
        <f>IF('Prod 1'!F73="","",'Prod 1'!F73)</f>
        <v/>
      </c>
      <c r="I73" s="75" t="str">
        <f>IF('Prod 3'!F73="","",'Prod 3'!F73)</f>
        <v/>
      </c>
    </row>
    <row r="74" spans="3:9" ht="30" customHeight="1" x14ac:dyDescent="0.25">
      <c r="C74" s="42">
        <v>70</v>
      </c>
      <c r="D74" s="67" t="str">
        <f>IF('Prod 1'!D74="","",'Prod 1'!D74)</f>
        <v/>
      </c>
      <c r="E74" s="73" t="str">
        <f>IF('Prod 1'!E74="","",'Prod 1'!E74)</f>
        <v/>
      </c>
      <c r="F74" s="74" t="str">
        <f>IF('Prod 2'!K74="","",'Prod 2'!K74)</f>
        <v/>
      </c>
      <c r="G74" s="77" t="str">
        <f>IF('Prod 1'!I74="","",'Prod 1'!I74)</f>
        <v/>
      </c>
      <c r="H74" s="63" t="str">
        <f>IF('Prod 1'!F74="","",'Prod 1'!F74)</f>
        <v/>
      </c>
      <c r="I74" s="75" t="str">
        <f>IF('Prod 3'!F74="","",'Prod 3'!F74)</f>
        <v/>
      </c>
    </row>
    <row r="75" spans="3:9" ht="30" customHeight="1" x14ac:dyDescent="0.25">
      <c r="C75" s="42">
        <v>71</v>
      </c>
      <c r="D75" s="67" t="str">
        <f>IF('Prod 1'!D75="","",'Prod 1'!D75)</f>
        <v/>
      </c>
      <c r="E75" s="73" t="str">
        <f>IF('Prod 1'!E75="","",'Prod 1'!E75)</f>
        <v/>
      </c>
      <c r="F75" s="74" t="str">
        <f>IF('Prod 2'!K75="","",'Prod 2'!K75)</f>
        <v/>
      </c>
      <c r="G75" s="77" t="str">
        <f>IF('Prod 1'!I75="","",'Prod 1'!I75)</f>
        <v/>
      </c>
      <c r="H75" s="63" t="str">
        <f>IF('Prod 1'!F75="","",'Prod 1'!F75)</f>
        <v/>
      </c>
      <c r="I75" s="75" t="str">
        <f>IF('Prod 3'!F75="","",'Prod 3'!F75)</f>
        <v/>
      </c>
    </row>
    <row r="76" spans="3:9" ht="30" customHeight="1" x14ac:dyDescent="0.25">
      <c r="C76" s="42">
        <v>72</v>
      </c>
      <c r="D76" s="67" t="str">
        <f>IF('Prod 1'!D76="","",'Prod 1'!D76)</f>
        <v/>
      </c>
      <c r="E76" s="73" t="str">
        <f>IF('Prod 1'!E76="","",'Prod 1'!E76)</f>
        <v/>
      </c>
      <c r="F76" s="74" t="str">
        <f>IF('Prod 2'!K76="","",'Prod 2'!K76)</f>
        <v/>
      </c>
      <c r="G76" s="77" t="str">
        <f>IF('Prod 1'!I76="","",'Prod 1'!I76)</f>
        <v/>
      </c>
      <c r="H76" s="63" t="str">
        <f>IF('Prod 1'!F76="","",'Prod 1'!F76)</f>
        <v/>
      </c>
      <c r="I76" s="75" t="str">
        <f>IF('Prod 3'!F76="","",'Prod 3'!F76)</f>
        <v/>
      </c>
    </row>
    <row r="77" spans="3:9" ht="30" customHeight="1" x14ac:dyDescent="0.25">
      <c r="C77" s="42">
        <v>73</v>
      </c>
      <c r="D77" s="67" t="str">
        <f>IF('Prod 1'!D77="","",'Prod 1'!D77)</f>
        <v/>
      </c>
      <c r="E77" s="73" t="str">
        <f>IF('Prod 1'!E77="","",'Prod 1'!E77)</f>
        <v/>
      </c>
      <c r="F77" s="74" t="str">
        <f>IF('Prod 2'!K77="","",'Prod 2'!K77)</f>
        <v/>
      </c>
      <c r="G77" s="77" t="str">
        <f>IF('Prod 1'!I77="","",'Prod 1'!I77)</f>
        <v/>
      </c>
      <c r="H77" s="63" t="str">
        <f>IF('Prod 1'!F77="","",'Prod 1'!F77)</f>
        <v/>
      </c>
      <c r="I77" s="75" t="str">
        <f>IF('Prod 3'!F77="","",'Prod 3'!F77)</f>
        <v/>
      </c>
    </row>
    <row r="78" spans="3:9" ht="30" customHeight="1" x14ac:dyDescent="0.25">
      <c r="C78" s="42">
        <v>74</v>
      </c>
      <c r="D78" s="67" t="str">
        <f>IF('Prod 1'!D78="","",'Prod 1'!D78)</f>
        <v/>
      </c>
      <c r="E78" s="73" t="str">
        <f>IF('Prod 1'!E78="","",'Prod 1'!E78)</f>
        <v/>
      </c>
      <c r="F78" s="74" t="str">
        <f>IF('Prod 2'!K78="","",'Prod 2'!K78)</f>
        <v/>
      </c>
      <c r="G78" s="77" t="str">
        <f>IF('Prod 1'!I78="","",'Prod 1'!I78)</f>
        <v/>
      </c>
      <c r="H78" s="63" t="str">
        <f>IF('Prod 1'!F78="","",'Prod 1'!F78)</f>
        <v/>
      </c>
      <c r="I78" s="75" t="str">
        <f>IF('Prod 3'!F78="","",'Prod 3'!F78)</f>
        <v/>
      </c>
    </row>
    <row r="79" spans="3:9" ht="30" customHeight="1" x14ac:dyDescent="0.25">
      <c r="C79" s="42">
        <v>75</v>
      </c>
      <c r="D79" s="67" t="str">
        <f>IF('Prod 1'!D79="","",'Prod 1'!D79)</f>
        <v/>
      </c>
      <c r="E79" s="73" t="str">
        <f>IF('Prod 1'!E79="","",'Prod 1'!E79)</f>
        <v/>
      </c>
      <c r="F79" s="74" t="str">
        <f>IF('Prod 2'!K79="","",'Prod 2'!K79)</f>
        <v/>
      </c>
      <c r="G79" s="77" t="str">
        <f>IF('Prod 1'!I79="","",'Prod 1'!I79)</f>
        <v/>
      </c>
      <c r="H79" s="63" t="str">
        <f>IF('Prod 1'!F79="","",'Prod 1'!F79)</f>
        <v/>
      </c>
      <c r="I79" s="75" t="str">
        <f>IF('Prod 3'!F79="","",'Prod 3'!F79)</f>
        <v/>
      </c>
    </row>
    <row r="80" spans="3:9" ht="30" customHeight="1" x14ac:dyDescent="0.25">
      <c r="C80" s="42">
        <v>76</v>
      </c>
      <c r="D80" s="67" t="str">
        <f>IF('Prod 1'!D80="","",'Prod 1'!D80)</f>
        <v/>
      </c>
      <c r="E80" s="73" t="str">
        <f>IF('Prod 1'!E80="","",'Prod 1'!E80)</f>
        <v/>
      </c>
      <c r="F80" s="74" t="str">
        <f>IF('Prod 2'!K80="","",'Prod 2'!K80)</f>
        <v/>
      </c>
      <c r="G80" s="77" t="str">
        <f>IF('Prod 1'!I80="","",'Prod 1'!I80)</f>
        <v/>
      </c>
      <c r="H80" s="63" t="str">
        <f>IF('Prod 1'!F80="","",'Prod 1'!F80)</f>
        <v/>
      </c>
      <c r="I80" s="75" t="str">
        <f>IF('Prod 3'!F80="","",'Prod 3'!F80)</f>
        <v/>
      </c>
    </row>
    <row r="81" spans="3:9" ht="30" customHeight="1" x14ac:dyDescent="0.25">
      <c r="C81" s="42">
        <v>77</v>
      </c>
      <c r="D81" s="67" t="str">
        <f>IF('Prod 1'!D81="","",'Prod 1'!D81)</f>
        <v/>
      </c>
      <c r="E81" s="73" t="str">
        <f>IF('Prod 1'!E81="","",'Prod 1'!E81)</f>
        <v/>
      </c>
      <c r="F81" s="74" t="str">
        <f>IF('Prod 2'!K81="","",'Prod 2'!K81)</f>
        <v/>
      </c>
      <c r="G81" s="77" t="str">
        <f>IF('Prod 1'!I81="","",'Prod 1'!I81)</f>
        <v/>
      </c>
      <c r="H81" s="63" t="str">
        <f>IF('Prod 1'!F81="","",'Prod 1'!F81)</f>
        <v/>
      </c>
      <c r="I81" s="75" t="str">
        <f>IF('Prod 3'!F81="","",'Prod 3'!F81)</f>
        <v/>
      </c>
    </row>
    <row r="82" spans="3:9" ht="30" customHeight="1" x14ac:dyDescent="0.25">
      <c r="C82" s="42">
        <v>78</v>
      </c>
      <c r="D82" s="67" t="str">
        <f>IF('Prod 1'!D82="","",'Prod 1'!D82)</f>
        <v/>
      </c>
      <c r="E82" s="73" t="str">
        <f>IF('Prod 1'!E82="","",'Prod 1'!E82)</f>
        <v/>
      </c>
      <c r="F82" s="74" t="str">
        <f>IF('Prod 2'!K82="","",'Prod 2'!K82)</f>
        <v/>
      </c>
      <c r="G82" s="77" t="str">
        <f>IF('Prod 1'!I82="","",'Prod 1'!I82)</f>
        <v/>
      </c>
      <c r="H82" s="63" t="str">
        <f>IF('Prod 1'!F82="","",'Prod 1'!F82)</f>
        <v/>
      </c>
      <c r="I82" s="75" t="str">
        <f>IF('Prod 3'!F82="","",'Prod 3'!F82)</f>
        <v/>
      </c>
    </row>
    <row r="83" spans="3:9" ht="30" customHeight="1" x14ac:dyDescent="0.25">
      <c r="C83" s="42">
        <v>79</v>
      </c>
      <c r="D83" s="67" t="str">
        <f>IF('Prod 1'!D83="","",'Prod 1'!D83)</f>
        <v/>
      </c>
      <c r="E83" s="73" t="str">
        <f>IF('Prod 1'!E83="","",'Prod 1'!E83)</f>
        <v/>
      </c>
      <c r="F83" s="74" t="str">
        <f>IF('Prod 2'!K83="","",'Prod 2'!K83)</f>
        <v/>
      </c>
      <c r="G83" s="77" t="str">
        <f>IF('Prod 1'!I83="","",'Prod 1'!I83)</f>
        <v/>
      </c>
      <c r="H83" s="63" t="str">
        <f>IF('Prod 1'!F83="","",'Prod 1'!F83)</f>
        <v/>
      </c>
      <c r="I83" s="75" t="str">
        <f>IF('Prod 3'!F83="","",'Prod 3'!F83)</f>
        <v/>
      </c>
    </row>
    <row r="84" spans="3:9" ht="30" customHeight="1" x14ac:dyDescent="0.25">
      <c r="C84" s="42">
        <v>80</v>
      </c>
      <c r="D84" s="67" t="str">
        <f>IF('Prod 1'!D84="","",'Prod 1'!D84)</f>
        <v/>
      </c>
      <c r="E84" s="73" t="str">
        <f>IF('Prod 1'!E84="","",'Prod 1'!E84)</f>
        <v/>
      </c>
      <c r="F84" s="74" t="str">
        <f>IF('Prod 2'!K84="","",'Prod 2'!K84)</f>
        <v/>
      </c>
      <c r="G84" s="77" t="str">
        <f>IF('Prod 1'!I84="","",'Prod 1'!I84)</f>
        <v/>
      </c>
      <c r="H84" s="63" t="str">
        <f>IF('Prod 1'!F84="","",'Prod 1'!F84)</f>
        <v/>
      </c>
      <c r="I84" s="75" t="str">
        <f>IF('Prod 3'!F84="","",'Prod 3'!F84)</f>
        <v/>
      </c>
    </row>
    <row r="85" spans="3:9" ht="30" customHeight="1" x14ac:dyDescent="0.25">
      <c r="C85" s="42">
        <v>81</v>
      </c>
      <c r="D85" s="67" t="str">
        <f>IF('Prod 1'!D85="","",'Prod 1'!D85)</f>
        <v/>
      </c>
      <c r="E85" s="73" t="str">
        <f>IF('Prod 1'!E85="","",'Prod 1'!E85)</f>
        <v/>
      </c>
      <c r="F85" s="74" t="str">
        <f>IF('Prod 2'!K85="","",'Prod 2'!K85)</f>
        <v/>
      </c>
      <c r="G85" s="77" t="str">
        <f>IF('Prod 1'!I85="","",'Prod 1'!I85)</f>
        <v/>
      </c>
      <c r="H85" s="63" t="str">
        <f>IF('Prod 1'!F85="","",'Prod 1'!F85)</f>
        <v/>
      </c>
      <c r="I85" s="75" t="str">
        <f>IF('Prod 3'!F85="","",'Prod 3'!F85)</f>
        <v/>
      </c>
    </row>
    <row r="86" spans="3:9" ht="30" customHeight="1" x14ac:dyDescent="0.25">
      <c r="C86" s="42">
        <v>82</v>
      </c>
      <c r="D86" s="67" t="str">
        <f>IF('Prod 1'!D86="","",'Prod 1'!D86)</f>
        <v/>
      </c>
      <c r="E86" s="73" t="str">
        <f>IF('Prod 1'!E86="","",'Prod 1'!E86)</f>
        <v/>
      </c>
      <c r="F86" s="74" t="str">
        <f>IF('Prod 2'!K86="","",'Prod 2'!K86)</f>
        <v/>
      </c>
      <c r="G86" s="77" t="str">
        <f>IF('Prod 1'!I86="","",'Prod 1'!I86)</f>
        <v/>
      </c>
      <c r="H86" s="63" t="str">
        <f>IF('Prod 1'!F86="","",'Prod 1'!F86)</f>
        <v/>
      </c>
      <c r="I86" s="75" t="str">
        <f>IF('Prod 3'!F86="","",'Prod 3'!F86)</f>
        <v/>
      </c>
    </row>
    <row r="87" spans="3:9" ht="30" customHeight="1" x14ac:dyDescent="0.25">
      <c r="C87" s="42">
        <v>83</v>
      </c>
      <c r="D87" s="67" t="str">
        <f>IF('Prod 1'!D87="","",'Prod 1'!D87)</f>
        <v/>
      </c>
      <c r="E87" s="73" t="str">
        <f>IF('Prod 1'!E87="","",'Prod 1'!E87)</f>
        <v/>
      </c>
      <c r="F87" s="74" t="str">
        <f>IF('Prod 2'!K87="","",'Prod 2'!K87)</f>
        <v/>
      </c>
      <c r="G87" s="77" t="str">
        <f>IF('Prod 1'!I87="","",'Prod 1'!I87)</f>
        <v/>
      </c>
      <c r="H87" s="63" t="str">
        <f>IF('Prod 1'!F87="","",'Prod 1'!F87)</f>
        <v/>
      </c>
      <c r="I87" s="75" t="str">
        <f>IF('Prod 3'!F87="","",'Prod 3'!F87)</f>
        <v/>
      </c>
    </row>
    <row r="88" spans="3:9" ht="30" customHeight="1" x14ac:dyDescent="0.25">
      <c r="C88" s="42">
        <v>84</v>
      </c>
      <c r="D88" s="67" t="str">
        <f>IF('Prod 1'!D88="","",'Prod 1'!D88)</f>
        <v/>
      </c>
      <c r="E88" s="73" t="str">
        <f>IF('Prod 1'!E88="","",'Prod 1'!E88)</f>
        <v/>
      </c>
      <c r="F88" s="74" t="str">
        <f>IF('Prod 2'!K88="","",'Prod 2'!K88)</f>
        <v/>
      </c>
      <c r="G88" s="77" t="str">
        <f>IF('Prod 1'!I88="","",'Prod 1'!I88)</f>
        <v/>
      </c>
      <c r="H88" s="63" t="str">
        <f>IF('Prod 1'!F88="","",'Prod 1'!F88)</f>
        <v/>
      </c>
      <c r="I88" s="75" t="str">
        <f>IF('Prod 3'!F88="","",'Prod 3'!F88)</f>
        <v/>
      </c>
    </row>
    <row r="89" spans="3:9" ht="30" customHeight="1" x14ac:dyDescent="0.25">
      <c r="C89" s="42">
        <v>85</v>
      </c>
      <c r="D89" s="67" t="str">
        <f>IF('Prod 1'!D89="","",'Prod 1'!D89)</f>
        <v/>
      </c>
      <c r="E89" s="73" t="str">
        <f>IF('Prod 1'!E89="","",'Prod 1'!E89)</f>
        <v/>
      </c>
      <c r="F89" s="74" t="str">
        <f>IF('Prod 2'!K89="","",'Prod 2'!K89)</f>
        <v/>
      </c>
      <c r="G89" s="77" t="str">
        <f>IF('Prod 1'!I89="","",'Prod 1'!I89)</f>
        <v/>
      </c>
      <c r="H89" s="63" t="str">
        <f>IF('Prod 1'!F89="","",'Prod 1'!F89)</f>
        <v/>
      </c>
      <c r="I89" s="75" t="str">
        <f>IF('Prod 3'!F89="","",'Prod 3'!F89)</f>
        <v/>
      </c>
    </row>
    <row r="90" spans="3:9" ht="30" customHeight="1" x14ac:dyDescent="0.25">
      <c r="C90" s="42">
        <v>86</v>
      </c>
      <c r="D90" s="67" t="str">
        <f>IF('Prod 1'!D90="","",'Prod 1'!D90)</f>
        <v/>
      </c>
      <c r="E90" s="73" t="str">
        <f>IF('Prod 1'!E90="","",'Prod 1'!E90)</f>
        <v/>
      </c>
      <c r="F90" s="74" t="str">
        <f>IF('Prod 2'!K90="","",'Prod 2'!K90)</f>
        <v/>
      </c>
      <c r="G90" s="77" t="str">
        <f>IF('Prod 1'!I90="","",'Prod 1'!I90)</f>
        <v/>
      </c>
      <c r="H90" s="63" t="str">
        <f>IF('Prod 1'!F90="","",'Prod 1'!F90)</f>
        <v/>
      </c>
      <c r="I90" s="75" t="str">
        <f>IF('Prod 3'!F90="","",'Prod 3'!F90)</f>
        <v/>
      </c>
    </row>
    <row r="91" spans="3:9" ht="30" customHeight="1" x14ac:dyDescent="0.25">
      <c r="C91" s="42">
        <v>87</v>
      </c>
      <c r="D91" s="67" t="str">
        <f>IF('Prod 1'!D91="","",'Prod 1'!D91)</f>
        <v/>
      </c>
      <c r="E91" s="73" t="str">
        <f>IF('Prod 1'!E91="","",'Prod 1'!E91)</f>
        <v/>
      </c>
      <c r="F91" s="74" t="str">
        <f>IF('Prod 2'!K91="","",'Prod 2'!K91)</f>
        <v/>
      </c>
      <c r="G91" s="77" t="str">
        <f>IF('Prod 1'!I91="","",'Prod 1'!I91)</f>
        <v/>
      </c>
      <c r="H91" s="63" t="str">
        <f>IF('Prod 1'!F91="","",'Prod 1'!F91)</f>
        <v/>
      </c>
      <c r="I91" s="75" t="str">
        <f>IF('Prod 3'!F91="","",'Prod 3'!F91)</f>
        <v/>
      </c>
    </row>
    <row r="92" spans="3:9" ht="30" customHeight="1" x14ac:dyDescent="0.25">
      <c r="C92" s="42">
        <v>88</v>
      </c>
      <c r="D92" s="67" t="str">
        <f>IF('Prod 1'!D92="","",'Prod 1'!D92)</f>
        <v/>
      </c>
      <c r="E92" s="73" t="str">
        <f>IF('Prod 1'!E92="","",'Prod 1'!E92)</f>
        <v/>
      </c>
      <c r="F92" s="74" t="str">
        <f>IF('Prod 2'!K92="","",'Prod 2'!K92)</f>
        <v/>
      </c>
      <c r="G92" s="77" t="str">
        <f>IF('Prod 1'!I92="","",'Prod 1'!I92)</f>
        <v/>
      </c>
      <c r="H92" s="63" t="str">
        <f>IF('Prod 1'!F92="","",'Prod 1'!F92)</f>
        <v/>
      </c>
      <c r="I92" s="75" t="str">
        <f>IF('Prod 3'!F92="","",'Prod 3'!F92)</f>
        <v/>
      </c>
    </row>
    <row r="93" spans="3:9" ht="30" customHeight="1" x14ac:dyDescent="0.25">
      <c r="C93" s="42">
        <v>89</v>
      </c>
      <c r="D93" s="67" t="str">
        <f>IF('Prod 1'!D93="","",'Prod 1'!D93)</f>
        <v/>
      </c>
      <c r="E93" s="73" t="str">
        <f>IF('Prod 1'!E93="","",'Prod 1'!E93)</f>
        <v/>
      </c>
      <c r="F93" s="74" t="str">
        <f>IF('Prod 2'!K93="","",'Prod 2'!K93)</f>
        <v/>
      </c>
      <c r="G93" s="77" t="str">
        <f>IF('Prod 1'!I93="","",'Prod 1'!I93)</f>
        <v/>
      </c>
      <c r="H93" s="63" t="str">
        <f>IF('Prod 1'!F93="","",'Prod 1'!F93)</f>
        <v/>
      </c>
      <c r="I93" s="75" t="str">
        <f>IF('Prod 3'!F93="","",'Prod 3'!F93)</f>
        <v/>
      </c>
    </row>
    <row r="94" spans="3:9" ht="30" customHeight="1" x14ac:dyDescent="0.25">
      <c r="C94" s="42">
        <v>90</v>
      </c>
      <c r="D94" s="67" t="str">
        <f>IF('Prod 1'!D94="","",'Prod 1'!D94)</f>
        <v/>
      </c>
      <c r="E94" s="73" t="str">
        <f>IF('Prod 1'!E94="","",'Prod 1'!E94)</f>
        <v/>
      </c>
      <c r="F94" s="74" t="str">
        <f>IF('Prod 2'!K94="","",'Prod 2'!K94)</f>
        <v/>
      </c>
      <c r="G94" s="77" t="str">
        <f>IF('Prod 1'!I94="","",'Prod 1'!I94)</f>
        <v/>
      </c>
      <c r="H94" s="63" t="str">
        <f>IF('Prod 1'!F94="","",'Prod 1'!F94)</f>
        <v/>
      </c>
      <c r="I94" s="75" t="str">
        <f>IF('Prod 3'!F94="","",'Prod 3'!F94)</f>
        <v/>
      </c>
    </row>
    <row r="95" spans="3:9" ht="30" customHeight="1" x14ac:dyDescent="0.25">
      <c r="C95" s="42">
        <v>91</v>
      </c>
      <c r="D95" s="67" t="str">
        <f>IF('Prod 1'!D95="","",'Prod 1'!D95)</f>
        <v/>
      </c>
      <c r="E95" s="73" t="str">
        <f>IF('Prod 1'!E95="","",'Prod 1'!E95)</f>
        <v/>
      </c>
      <c r="F95" s="74" t="str">
        <f>IF('Prod 2'!K95="","",'Prod 2'!K95)</f>
        <v/>
      </c>
      <c r="G95" s="77" t="str">
        <f>IF('Prod 1'!I95="","",'Prod 1'!I95)</f>
        <v/>
      </c>
      <c r="H95" s="63" t="str">
        <f>IF('Prod 1'!F95="","",'Prod 1'!F95)</f>
        <v/>
      </c>
      <c r="I95" s="75" t="str">
        <f>IF('Prod 3'!F95="","",'Prod 3'!F95)</f>
        <v/>
      </c>
    </row>
    <row r="96" spans="3:9" ht="30" customHeight="1" x14ac:dyDescent="0.25">
      <c r="C96" s="42">
        <v>92</v>
      </c>
      <c r="D96" s="67" t="str">
        <f>IF('Prod 1'!D96="","",'Prod 1'!D96)</f>
        <v/>
      </c>
      <c r="E96" s="73" t="str">
        <f>IF('Prod 1'!E96="","",'Prod 1'!E96)</f>
        <v/>
      </c>
      <c r="F96" s="74" t="str">
        <f>IF('Prod 2'!K96="","",'Prod 2'!K96)</f>
        <v/>
      </c>
      <c r="G96" s="77" t="str">
        <f>IF('Prod 1'!I96="","",'Prod 1'!I96)</f>
        <v/>
      </c>
      <c r="H96" s="63" t="str">
        <f>IF('Prod 1'!F96="","",'Prod 1'!F96)</f>
        <v/>
      </c>
      <c r="I96" s="75" t="str">
        <f>IF('Prod 3'!F96="","",'Prod 3'!F96)</f>
        <v/>
      </c>
    </row>
    <row r="97" spans="3:9" ht="30" customHeight="1" x14ac:dyDescent="0.25">
      <c r="C97" s="42">
        <v>93</v>
      </c>
      <c r="D97" s="67" t="str">
        <f>IF('Prod 1'!D97="","",'Prod 1'!D97)</f>
        <v/>
      </c>
      <c r="E97" s="73" t="str">
        <f>IF('Prod 1'!E97="","",'Prod 1'!E97)</f>
        <v/>
      </c>
      <c r="F97" s="74" t="str">
        <f>IF('Prod 2'!K97="","",'Prod 2'!K97)</f>
        <v/>
      </c>
      <c r="G97" s="77" t="str">
        <f>IF('Prod 1'!I97="","",'Prod 1'!I97)</f>
        <v/>
      </c>
      <c r="H97" s="63" t="str">
        <f>IF('Prod 1'!F97="","",'Prod 1'!F97)</f>
        <v/>
      </c>
      <c r="I97" s="75" t="str">
        <f>IF('Prod 3'!F97="","",'Prod 3'!F97)</f>
        <v/>
      </c>
    </row>
    <row r="98" spans="3:9" ht="30" customHeight="1" x14ac:dyDescent="0.25">
      <c r="C98" s="42">
        <v>94</v>
      </c>
      <c r="D98" s="67" t="str">
        <f>IF('Prod 1'!D98="","",'Prod 1'!D98)</f>
        <v/>
      </c>
      <c r="E98" s="73" t="str">
        <f>IF('Prod 1'!E98="","",'Prod 1'!E98)</f>
        <v/>
      </c>
      <c r="F98" s="74" t="str">
        <f>IF('Prod 2'!K98="","",'Prod 2'!K98)</f>
        <v/>
      </c>
      <c r="G98" s="77" t="str">
        <f>IF('Prod 1'!I98="","",'Prod 1'!I98)</f>
        <v/>
      </c>
      <c r="H98" s="63" t="str">
        <f>IF('Prod 1'!F98="","",'Prod 1'!F98)</f>
        <v/>
      </c>
      <c r="I98" s="75" t="str">
        <f>IF('Prod 3'!F98="","",'Prod 3'!F98)</f>
        <v/>
      </c>
    </row>
    <row r="99" spans="3:9" ht="30" customHeight="1" x14ac:dyDescent="0.25">
      <c r="C99" s="42">
        <v>95</v>
      </c>
      <c r="D99" s="67" t="str">
        <f>IF('Prod 1'!D99="","",'Prod 1'!D99)</f>
        <v/>
      </c>
      <c r="E99" s="73" t="str">
        <f>IF('Prod 1'!E99="","",'Prod 1'!E99)</f>
        <v/>
      </c>
      <c r="F99" s="74" t="str">
        <f>IF('Prod 2'!K99="","",'Prod 2'!K99)</f>
        <v/>
      </c>
      <c r="G99" s="77" t="str">
        <f>IF('Prod 1'!I99="","",'Prod 1'!I99)</f>
        <v/>
      </c>
      <c r="H99" s="63" t="str">
        <f>IF('Prod 1'!F99="","",'Prod 1'!F99)</f>
        <v/>
      </c>
      <c r="I99" s="75" t="str">
        <f>IF('Prod 3'!F99="","",'Prod 3'!F99)</f>
        <v/>
      </c>
    </row>
    <row r="100" spans="3:9" ht="30" customHeight="1" x14ac:dyDescent="0.25">
      <c r="C100" s="42">
        <v>96</v>
      </c>
      <c r="D100" s="67" t="str">
        <f>IF('Prod 1'!D100="","",'Prod 1'!D100)</f>
        <v/>
      </c>
      <c r="E100" s="73" t="str">
        <f>IF('Prod 1'!E100="","",'Prod 1'!E100)</f>
        <v/>
      </c>
      <c r="F100" s="74" t="str">
        <f>IF('Prod 2'!K100="","",'Prod 2'!K100)</f>
        <v/>
      </c>
      <c r="G100" s="77" t="str">
        <f>IF('Prod 1'!I100="","",'Prod 1'!I100)</f>
        <v/>
      </c>
      <c r="H100" s="63" t="str">
        <f>IF('Prod 1'!F100="","",'Prod 1'!F100)</f>
        <v/>
      </c>
      <c r="I100" s="75" t="str">
        <f>IF('Prod 3'!F100="","",'Prod 3'!F100)</f>
        <v/>
      </c>
    </row>
    <row r="101" spans="3:9" ht="30" customHeight="1" x14ac:dyDescent="0.25">
      <c r="C101" s="42">
        <v>97</v>
      </c>
      <c r="D101" s="67" t="str">
        <f>IF('Prod 1'!D101="","",'Prod 1'!D101)</f>
        <v/>
      </c>
      <c r="E101" s="73" t="str">
        <f>IF('Prod 1'!E101="","",'Prod 1'!E101)</f>
        <v/>
      </c>
      <c r="F101" s="74" t="str">
        <f>IF('Prod 2'!K101="","",'Prod 2'!K101)</f>
        <v/>
      </c>
      <c r="G101" s="77" t="str">
        <f>IF('Prod 1'!I101="","",'Prod 1'!I101)</f>
        <v/>
      </c>
      <c r="H101" s="63" t="str">
        <f>IF('Prod 1'!F101="","",'Prod 1'!F101)</f>
        <v/>
      </c>
      <c r="I101" s="75" t="str">
        <f>IF('Prod 3'!F101="","",'Prod 3'!F101)</f>
        <v/>
      </c>
    </row>
    <row r="102" spans="3:9" ht="30" customHeight="1" x14ac:dyDescent="0.25">
      <c r="C102" s="42">
        <v>98</v>
      </c>
      <c r="D102" s="67" t="str">
        <f>IF('Prod 1'!D102="","",'Prod 1'!D102)</f>
        <v/>
      </c>
      <c r="E102" s="73" t="str">
        <f>IF('Prod 1'!E102="","",'Prod 1'!E102)</f>
        <v/>
      </c>
      <c r="F102" s="74" t="str">
        <f>IF('Prod 2'!K102="","",'Prod 2'!K102)</f>
        <v/>
      </c>
      <c r="G102" s="77" t="str">
        <f>IF('Prod 1'!I102="","",'Prod 1'!I102)</f>
        <v/>
      </c>
      <c r="H102" s="63" t="str">
        <f>IF('Prod 1'!F102="","",'Prod 1'!F102)</f>
        <v/>
      </c>
      <c r="I102" s="75" t="str">
        <f>IF('Prod 3'!F102="","",'Prod 3'!F102)</f>
        <v/>
      </c>
    </row>
    <row r="103" spans="3:9" ht="30" customHeight="1" x14ac:dyDescent="0.25">
      <c r="C103" s="42">
        <v>99</v>
      </c>
      <c r="D103" s="67" t="str">
        <f>IF('Prod 1'!D103="","",'Prod 1'!D103)</f>
        <v/>
      </c>
      <c r="E103" s="73" t="str">
        <f>IF('Prod 1'!E103="","",'Prod 1'!E103)</f>
        <v/>
      </c>
      <c r="F103" s="74" t="str">
        <f>IF('Prod 2'!K103="","",'Prod 2'!K103)</f>
        <v/>
      </c>
      <c r="G103" s="77" t="str">
        <f>IF('Prod 1'!I103="","",'Prod 1'!I103)</f>
        <v/>
      </c>
      <c r="H103" s="63" t="str">
        <f>IF('Prod 1'!F103="","",'Prod 1'!F103)</f>
        <v/>
      </c>
      <c r="I103" s="75" t="str">
        <f>IF('Prod 3'!F103="","",'Prod 3'!F103)</f>
        <v/>
      </c>
    </row>
    <row r="104" spans="3:9" ht="30" customHeight="1" x14ac:dyDescent="0.25">
      <c r="C104" s="42">
        <v>100</v>
      </c>
      <c r="D104" s="67" t="str">
        <f>IF('Prod 1'!D104="","",'Prod 1'!D104)</f>
        <v/>
      </c>
      <c r="E104" s="73" t="str">
        <f>IF('Prod 1'!E104="","",'Prod 1'!E104)</f>
        <v/>
      </c>
      <c r="F104" s="74" t="str">
        <f>IF('Prod 2'!K104="","",'Prod 2'!K104)</f>
        <v/>
      </c>
      <c r="G104" s="77" t="str">
        <f>IF('Prod 1'!I104="","",'Prod 1'!I104)</f>
        <v/>
      </c>
      <c r="H104" s="63" t="str">
        <f>IF('Prod 1'!F104="","",'Prod 1'!F104)</f>
        <v/>
      </c>
      <c r="I104" s="75" t="str">
        <f>IF('Prod 3'!F104="","",'Prod 3'!F104)</f>
        <v/>
      </c>
    </row>
    <row r="105" spans="3:9" ht="30" customHeight="1" x14ac:dyDescent="0.25">
      <c r="C105" s="42">
        <v>101</v>
      </c>
      <c r="D105" s="67" t="str">
        <f>IF('Prod 1'!D105="","",'Prod 1'!D105)</f>
        <v/>
      </c>
      <c r="E105" s="73" t="str">
        <f>IF('Prod 1'!E105="","",'Prod 1'!E105)</f>
        <v/>
      </c>
      <c r="F105" s="74" t="str">
        <f>IF('Prod 2'!K105="","",'Prod 2'!K105)</f>
        <v/>
      </c>
      <c r="G105" s="77" t="str">
        <f>IF('Prod 1'!I105="","",'Prod 1'!I105)</f>
        <v/>
      </c>
      <c r="H105" s="63" t="str">
        <f>IF('Prod 1'!F105="","",'Prod 1'!F105)</f>
        <v/>
      </c>
      <c r="I105" s="75" t="str">
        <f>IF('Prod 3'!F105="","",'Prod 3'!F105)</f>
        <v/>
      </c>
    </row>
    <row r="106" spans="3:9" ht="30" customHeight="1" x14ac:dyDescent="0.25">
      <c r="C106" s="42">
        <v>102</v>
      </c>
      <c r="D106" s="67" t="str">
        <f>IF('Prod 1'!D106="","",'Prod 1'!D106)</f>
        <v/>
      </c>
      <c r="E106" s="73" t="str">
        <f>IF('Prod 1'!E106="","",'Prod 1'!E106)</f>
        <v/>
      </c>
      <c r="F106" s="74" t="str">
        <f>IF('Prod 2'!K106="","",'Prod 2'!K106)</f>
        <v/>
      </c>
      <c r="G106" s="77" t="str">
        <f>IF('Prod 1'!I106="","",'Prod 1'!I106)</f>
        <v/>
      </c>
      <c r="H106" s="63" t="str">
        <f>IF('Prod 1'!F106="","",'Prod 1'!F106)</f>
        <v/>
      </c>
      <c r="I106" s="75" t="str">
        <f>IF('Prod 3'!F106="","",'Prod 3'!F106)</f>
        <v/>
      </c>
    </row>
    <row r="107" spans="3:9" ht="30" customHeight="1" x14ac:dyDescent="0.25">
      <c r="C107" s="42">
        <v>103</v>
      </c>
      <c r="D107" s="67" t="str">
        <f>IF('Prod 1'!D107="","",'Prod 1'!D107)</f>
        <v/>
      </c>
      <c r="E107" s="73" t="str">
        <f>IF('Prod 1'!E107="","",'Prod 1'!E107)</f>
        <v/>
      </c>
      <c r="F107" s="74" t="str">
        <f>IF('Prod 2'!K107="","",'Prod 2'!K107)</f>
        <v/>
      </c>
      <c r="G107" s="77" t="str">
        <f>IF('Prod 1'!I107="","",'Prod 1'!I107)</f>
        <v/>
      </c>
      <c r="H107" s="63" t="str">
        <f>IF('Prod 1'!F107="","",'Prod 1'!F107)</f>
        <v/>
      </c>
      <c r="I107" s="75" t="str">
        <f>IF('Prod 3'!F107="","",'Prod 3'!F107)</f>
        <v/>
      </c>
    </row>
    <row r="108" spans="3:9" ht="30" customHeight="1" x14ac:dyDescent="0.25">
      <c r="C108" s="42">
        <v>104</v>
      </c>
      <c r="D108" s="67" t="str">
        <f>IF('Prod 1'!D108="","",'Prod 1'!D108)</f>
        <v/>
      </c>
      <c r="E108" s="73" t="str">
        <f>IF('Prod 1'!E108="","",'Prod 1'!E108)</f>
        <v/>
      </c>
      <c r="F108" s="74" t="str">
        <f>IF('Prod 2'!K108="","",'Prod 2'!K108)</f>
        <v/>
      </c>
      <c r="G108" s="77" t="str">
        <f>IF('Prod 1'!I108="","",'Prod 1'!I108)</f>
        <v/>
      </c>
      <c r="H108" s="63" t="str">
        <f>IF('Prod 1'!F108="","",'Prod 1'!F108)</f>
        <v/>
      </c>
      <c r="I108" s="75" t="str">
        <f>IF('Prod 3'!F108="","",'Prod 3'!F108)</f>
        <v/>
      </c>
    </row>
    <row r="109" spans="3:9" ht="30" customHeight="1" x14ac:dyDescent="0.25">
      <c r="C109" s="42">
        <v>105</v>
      </c>
      <c r="D109" s="67" t="str">
        <f>IF('Prod 1'!D109="","",'Prod 1'!D109)</f>
        <v/>
      </c>
      <c r="E109" s="73" t="str">
        <f>IF('Prod 1'!E109="","",'Prod 1'!E109)</f>
        <v/>
      </c>
      <c r="F109" s="74" t="str">
        <f>IF('Prod 2'!K109="","",'Prod 2'!K109)</f>
        <v/>
      </c>
      <c r="G109" s="77" t="str">
        <f>IF('Prod 1'!I109="","",'Prod 1'!I109)</f>
        <v/>
      </c>
      <c r="H109" s="63" t="str">
        <f>IF('Prod 1'!F109="","",'Prod 1'!F109)</f>
        <v/>
      </c>
      <c r="I109" s="75" t="str">
        <f>IF('Prod 3'!F109="","",'Prod 3'!F109)</f>
        <v/>
      </c>
    </row>
    <row r="110" spans="3:9" ht="30" customHeight="1" x14ac:dyDescent="0.25">
      <c r="C110" s="42">
        <v>106</v>
      </c>
      <c r="D110" s="67" t="str">
        <f>IF('Prod 1'!D110="","",'Prod 1'!D110)</f>
        <v/>
      </c>
      <c r="E110" s="73" t="str">
        <f>IF('Prod 1'!E110="","",'Prod 1'!E110)</f>
        <v/>
      </c>
      <c r="F110" s="74" t="str">
        <f>IF('Prod 2'!K110="","",'Prod 2'!K110)</f>
        <v/>
      </c>
      <c r="G110" s="77" t="str">
        <f>IF('Prod 1'!I110="","",'Prod 1'!I110)</f>
        <v/>
      </c>
      <c r="H110" s="63" t="str">
        <f>IF('Prod 1'!F110="","",'Prod 1'!F110)</f>
        <v/>
      </c>
      <c r="I110" s="75" t="str">
        <f>IF('Prod 3'!F110="","",'Prod 3'!F110)</f>
        <v/>
      </c>
    </row>
    <row r="111" spans="3:9" ht="30" customHeight="1" x14ac:dyDescent="0.25">
      <c r="C111" s="42">
        <v>107</v>
      </c>
      <c r="D111" s="67" t="str">
        <f>IF('Prod 1'!D111="","",'Prod 1'!D111)</f>
        <v/>
      </c>
      <c r="E111" s="73" t="str">
        <f>IF('Prod 1'!E111="","",'Prod 1'!E111)</f>
        <v/>
      </c>
      <c r="F111" s="74" t="str">
        <f>IF('Prod 2'!K111="","",'Prod 2'!K111)</f>
        <v/>
      </c>
      <c r="G111" s="77" t="str">
        <f>IF('Prod 1'!I111="","",'Prod 1'!I111)</f>
        <v/>
      </c>
      <c r="H111" s="63" t="str">
        <f>IF('Prod 1'!F111="","",'Prod 1'!F111)</f>
        <v/>
      </c>
      <c r="I111" s="75" t="str">
        <f>IF('Prod 3'!F111="","",'Prod 3'!F111)</f>
        <v/>
      </c>
    </row>
    <row r="112" spans="3:9" ht="30" customHeight="1" x14ac:dyDescent="0.25">
      <c r="C112" s="42">
        <v>108</v>
      </c>
      <c r="D112" s="67" t="str">
        <f>IF('Prod 1'!D112="","",'Prod 1'!D112)</f>
        <v/>
      </c>
      <c r="E112" s="73" t="str">
        <f>IF('Prod 1'!E112="","",'Prod 1'!E112)</f>
        <v/>
      </c>
      <c r="F112" s="74" t="str">
        <f>IF('Prod 2'!K112="","",'Prod 2'!K112)</f>
        <v/>
      </c>
      <c r="G112" s="77" t="str">
        <f>IF('Prod 1'!I112="","",'Prod 1'!I112)</f>
        <v/>
      </c>
      <c r="H112" s="63" t="str">
        <f>IF('Prod 1'!F112="","",'Prod 1'!F112)</f>
        <v/>
      </c>
      <c r="I112" s="75" t="str">
        <f>IF('Prod 3'!F112="","",'Prod 3'!F112)</f>
        <v/>
      </c>
    </row>
    <row r="113" spans="3:9" ht="30" customHeight="1" x14ac:dyDescent="0.25">
      <c r="C113" s="42">
        <v>109</v>
      </c>
      <c r="D113" s="67" t="str">
        <f>IF('Prod 1'!D113="","",'Prod 1'!D113)</f>
        <v/>
      </c>
      <c r="E113" s="73" t="str">
        <f>IF('Prod 1'!E113="","",'Prod 1'!E113)</f>
        <v/>
      </c>
      <c r="F113" s="74" t="str">
        <f>IF('Prod 2'!K113="","",'Prod 2'!K113)</f>
        <v/>
      </c>
      <c r="G113" s="77" t="str">
        <f>IF('Prod 1'!I113="","",'Prod 1'!I113)</f>
        <v/>
      </c>
      <c r="H113" s="63" t="str">
        <f>IF('Prod 1'!F113="","",'Prod 1'!F113)</f>
        <v/>
      </c>
      <c r="I113" s="75" t="str">
        <f>IF('Prod 3'!F113="","",'Prod 3'!F113)</f>
        <v/>
      </c>
    </row>
    <row r="114" spans="3:9" ht="30" customHeight="1" x14ac:dyDescent="0.25">
      <c r="C114" s="42">
        <v>110</v>
      </c>
      <c r="D114" s="67" t="str">
        <f>IF('Prod 1'!D114="","",'Prod 1'!D114)</f>
        <v/>
      </c>
      <c r="E114" s="73" t="str">
        <f>IF('Prod 1'!E114="","",'Prod 1'!E114)</f>
        <v/>
      </c>
      <c r="F114" s="74" t="str">
        <f>IF('Prod 2'!K114="","",'Prod 2'!K114)</f>
        <v/>
      </c>
      <c r="G114" s="77" t="str">
        <f>IF('Prod 1'!I114="","",'Prod 1'!I114)</f>
        <v/>
      </c>
      <c r="H114" s="63" t="str">
        <f>IF('Prod 1'!F114="","",'Prod 1'!F114)</f>
        <v/>
      </c>
      <c r="I114" s="75" t="str">
        <f>IF('Prod 3'!F114="","",'Prod 3'!F114)</f>
        <v/>
      </c>
    </row>
    <row r="115" spans="3:9" ht="30" customHeight="1" x14ac:dyDescent="0.25">
      <c r="C115" s="42">
        <v>111</v>
      </c>
      <c r="D115" s="67" t="str">
        <f>IF('Prod 1'!D115="","",'Prod 1'!D115)</f>
        <v/>
      </c>
      <c r="E115" s="73" t="str">
        <f>IF('Prod 1'!E115="","",'Prod 1'!E115)</f>
        <v/>
      </c>
      <c r="F115" s="74" t="str">
        <f>IF('Prod 2'!K115="","",'Prod 2'!K115)</f>
        <v/>
      </c>
      <c r="G115" s="77" t="str">
        <f>IF('Prod 1'!I115="","",'Prod 1'!I115)</f>
        <v/>
      </c>
      <c r="H115" s="63" t="str">
        <f>IF('Prod 1'!F115="","",'Prod 1'!F115)</f>
        <v/>
      </c>
      <c r="I115" s="75" t="str">
        <f>IF('Prod 3'!F115="","",'Prod 3'!F115)</f>
        <v/>
      </c>
    </row>
    <row r="116" spans="3:9" ht="30" customHeight="1" x14ac:dyDescent="0.25">
      <c r="C116" s="42">
        <v>112</v>
      </c>
      <c r="D116" s="67" t="str">
        <f>IF('Prod 1'!D116="","",'Prod 1'!D116)</f>
        <v/>
      </c>
      <c r="E116" s="73" t="str">
        <f>IF('Prod 1'!E116="","",'Prod 1'!E116)</f>
        <v/>
      </c>
      <c r="F116" s="74" t="str">
        <f>IF('Prod 2'!K116="","",'Prod 2'!K116)</f>
        <v/>
      </c>
      <c r="G116" s="77" t="str">
        <f>IF('Prod 1'!I116="","",'Prod 1'!I116)</f>
        <v/>
      </c>
      <c r="H116" s="63" t="str">
        <f>IF('Prod 1'!F116="","",'Prod 1'!F116)</f>
        <v/>
      </c>
      <c r="I116" s="75" t="str">
        <f>IF('Prod 3'!F116="","",'Prod 3'!F116)</f>
        <v/>
      </c>
    </row>
    <row r="117" spans="3:9" ht="30" customHeight="1" x14ac:dyDescent="0.25">
      <c r="C117" s="42">
        <v>113</v>
      </c>
      <c r="D117" s="67" t="str">
        <f>IF('Prod 1'!D117="","",'Prod 1'!D117)</f>
        <v/>
      </c>
      <c r="E117" s="73" t="str">
        <f>IF('Prod 1'!E117="","",'Prod 1'!E117)</f>
        <v/>
      </c>
      <c r="F117" s="74" t="str">
        <f>IF('Prod 2'!K117="","",'Prod 2'!K117)</f>
        <v/>
      </c>
      <c r="G117" s="77" t="str">
        <f>IF('Prod 1'!I117="","",'Prod 1'!I117)</f>
        <v/>
      </c>
      <c r="H117" s="63" t="str">
        <f>IF('Prod 1'!F117="","",'Prod 1'!F117)</f>
        <v/>
      </c>
      <c r="I117" s="75" t="str">
        <f>IF('Prod 3'!F117="","",'Prod 3'!F117)</f>
        <v/>
      </c>
    </row>
    <row r="118" spans="3:9" ht="30" customHeight="1" x14ac:dyDescent="0.25">
      <c r="C118" s="42">
        <v>114</v>
      </c>
      <c r="D118" s="67" t="str">
        <f>IF('Prod 1'!D118="","",'Prod 1'!D118)</f>
        <v/>
      </c>
      <c r="E118" s="73" t="str">
        <f>IF('Prod 1'!E118="","",'Prod 1'!E118)</f>
        <v/>
      </c>
      <c r="F118" s="74" t="str">
        <f>IF('Prod 2'!K118="","",'Prod 2'!K118)</f>
        <v/>
      </c>
      <c r="G118" s="77" t="str">
        <f>IF('Prod 1'!I118="","",'Prod 1'!I118)</f>
        <v/>
      </c>
      <c r="H118" s="63" t="str">
        <f>IF('Prod 1'!F118="","",'Prod 1'!F118)</f>
        <v/>
      </c>
      <c r="I118" s="75" t="str">
        <f>IF('Prod 3'!F118="","",'Prod 3'!F118)</f>
        <v/>
      </c>
    </row>
    <row r="119" spans="3:9" ht="30" customHeight="1" x14ac:dyDescent="0.25">
      <c r="C119" s="42">
        <v>115</v>
      </c>
      <c r="D119" s="67" t="str">
        <f>IF('Prod 1'!D119="","",'Prod 1'!D119)</f>
        <v/>
      </c>
      <c r="E119" s="73" t="str">
        <f>IF('Prod 1'!E119="","",'Prod 1'!E119)</f>
        <v/>
      </c>
      <c r="F119" s="74" t="str">
        <f>IF('Prod 2'!K119="","",'Prod 2'!K119)</f>
        <v/>
      </c>
      <c r="G119" s="77" t="str">
        <f>IF('Prod 1'!I119="","",'Prod 1'!I119)</f>
        <v/>
      </c>
      <c r="H119" s="63" t="str">
        <f>IF('Prod 1'!F119="","",'Prod 1'!F119)</f>
        <v/>
      </c>
      <c r="I119" s="75" t="str">
        <f>IF('Prod 3'!F119="","",'Prod 3'!F119)</f>
        <v/>
      </c>
    </row>
    <row r="120" spans="3:9" ht="30" customHeight="1" x14ac:dyDescent="0.25">
      <c r="C120" s="42">
        <v>116</v>
      </c>
      <c r="D120" s="67" t="str">
        <f>IF('Prod 1'!D120="","",'Prod 1'!D120)</f>
        <v/>
      </c>
      <c r="E120" s="73" t="str">
        <f>IF('Prod 1'!E120="","",'Prod 1'!E120)</f>
        <v/>
      </c>
      <c r="F120" s="74" t="str">
        <f>IF('Prod 2'!K120="","",'Prod 2'!K120)</f>
        <v/>
      </c>
      <c r="G120" s="77" t="str">
        <f>IF('Prod 1'!I120="","",'Prod 1'!I120)</f>
        <v/>
      </c>
      <c r="H120" s="63" t="str">
        <f>IF('Prod 1'!F120="","",'Prod 1'!F120)</f>
        <v/>
      </c>
      <c r="I120" s="75" t="str">
        <f>IF('Prod 3'!F120="","",'Prod 3'!F120)</f>
        <v/>
      </c>
    </row>
    <row r="121" spans="3:9" ht="30" customHeight="1" x14ac:dyDescent="0.25">
      <c r="C121" s="42">
        <v>117</v>
      </c>
      <c r="D121" s="67" t="str">
        <f>IF('Prod 1'!D121="","",'Prod 1'!D121)</f>
        <v/>
      </c>
      <c r="E121" s="73" t="str">
        <f>IF('Prod 1'!E121="","",'Prod 1'!E121)</f>
        <v/>
      </c>
      <c r="F121" s="74" t="str">
        <f>IF('Prod 2'!K121="","",'Prod 2'!K121)</f>
        <v/>
      </c>
      <c r="G121" s="77" t="str">
        <f>IF('Prod 1'!I121="","",'Prod 1'!I121)</f>
        <v/>
      </c>
      <c r="H121" s="63" t="str">
        <f>IF('Prod 1'!F121="","",'Prod 1'!F121)</f>
        <v/>
      </c>
      <c r="I121" s="75" t="str">
        <f>IF('Prod 3'!F121="","",'Prod 3'!F121)</f>
        <v/>
      </c>
    </row>
    <row r="122" spans="3:9" ht="30" customHeight="1" x14ac:dyDescent="0.25">
      <c r="C122" s="42">
        <v>118</v>
      </c>
      <c r="D122" s="67" t="str">
        <f>IF('Prod 1'!D122="","",'Prod 1'!D122)</f>
        <v/>
      </c>
      <c r="E122" s="73" t="str">
        <f>IF('Prod 1'!E122="","",'Prod 1'!E122)</f>
        <v/>
      </c>
      <c r="F122" s="74" t="str">
        <f>IF('Prod 2'!K122="","",'Prod 2'!K122)</f>
        <v/>
      </c>
      <c r="G122" s="77" t="str">
        <f>IF('Prod 1'!I122="","",'Prod 1'!I122)</f>
        <v/>
      </c>
      <c r="H122" s="63" t="str">
        <f>IF('Prod 1'!F122="","",'Prod 1'!F122)</f>
        <v/>
      </c>
      <c r="I122" s="75" t="str">
        <f>IF('Prod 3'!F122="","",'Prod 3'!F122)</f>
        <v/>
      </c>
    </row>
    <row r="123" spans="3:9" ht="30" customHeight="1" x14ac:dyDescent="0.25">
      <c r="C123" s="42">
        <v>119</v>
      </c>
      <c r="D123" s="67" t="str">
        <f>IF('Prod 1'!D123="","",'Prod 1'!D123)</f>
        <v/>
      </c>
      <c r="E123" s="73" t="str">
        <f>IF('Prod 1'!E123="","",'Prod 1'!E123)</f>
        <v/>
      </c>
      <c r="F123" s="74" t="str">
        <f>IF('Prod 2'!K123="","",'Prod 2'!K123)</f>
        <v/>
      </c>
      <c r="G123" s="77" t="str">
        <f>IF('Prod 1'!I123="","",'Prod 1'!I123)</f>
        <v/>
      </c>
      <c r="H123" s="63" t="str">
        <f>IF('Prod 1'!F123="","",'Prod 1'!F123)</f>
        <v/>
      </c>
      <c r="I123" s="75" t="str">
        <f>IF('Prod 3'!F123="","",'Prod 3'!F123)</f>
        <v/>
      </c>
    </row>
    <row r="124" spans="3:9" ht="30" customHeight="1" x14ac:dyDescent="0.25">
      <c r="C124" s="42">
        <v>120</v>
      </c>
      <c r="D124" s="67" t="str">
        <f>IF('Prod 1'!D124="","",'Prod 1'!D124)</f>
        <v/>
      </c>
      <c r="E124" s="73" t="str">
        <f>IF('Prod 1'!E124="","",'Prod 1'!E124)</f>
        <v/>
      </c>
      <c r="F124" s="74" t="str">
        <f>IF('Prod 2'!K124="","",'Prod 2'!K124)</f>
        <v/>
      </c>
      <c r="G124" s="77" t="str">
        <f>IF('Prod 1'!I124="","",'Prod 1'!I124)</f>
        <v/>
      </c>
      <c r="H124" s="63" t="str">
        <f>IF('Prod 1'!F124="","",'Prod 1'!F124)</f>
        <v/>
      </c>
      <c r="I124" s="75" t="str">
        <f>IF('Prod 3'!F124="","",'Prod 3'!F124)</f>
        <v/>
      </c>
    </row>
    <row r="125" spans="3:9" ht="30" customHeight="1" x14ac:dyDescent="0.25">
      <c r="C125" s="42">
        <v>121</v>
      </c>
      <c r="D125" s="67" t="str">
        <f>IF('Prod 1'!D125="","",'Prod 1'!D125)</f>
        <v/>
      </c>
      <c r="E125" s="73" t="str">
        <f>IF('Prod 1'!E125="","",'Prod 1'!E125)</f>
        <v/>
      </c>
      <c r="F125" s="74" t="str">
        <f>IF('Prod 2'!K125="","",'Prod 2'!K125)</f>
        <v/>
      </c>
      <c r="G125" s="77" t="str">
        <f>IF('Prod 1'!I125="","",'Prod 1'!I125)</f>
        <v/>
      </c>
      <c r="H125" s="63" t="str">
        <f>IF('Prod 1'!F125="","",'Prod 1'!F125)</f>
        <v/>
      </c>
      <c r="I125" s="75" t="str">
        <f>IF('Prod 3'!F125="","",'Prod 3'!F125)</f>
        <v/>
      </c>
    </row>
    <row r="126" spans="3:9" ht="30" customHeight="1" x14ac:dyDescent="0.25">
      <c r="C126" s="42">
        <v>122</v>
      </c>
      <c r="D126" s="67" t="str">
        <f>IF('Prod 1'!D126="","",'Prod 1'!D126)</f>
        <v/>
      </c>
      <c r="E126" s="73" t="str">
        <f>IF('Prod 1'!E126="","",'Prod 1'!E126)</f>
        <v/>
      </c>
      <c r="F126" s="74" t="str">
        <f>IF('Prod 2'!K126="","",'Prod 2'!K126)</f>
        <v/>
      </c>
      <c r="G126" s="77" t="str">
        <f>IF('Prod 1'!I126="","",'Prod 1'!I126)</f>
        <v/>
      </c>
      <c r="H126" s="63" t="str">
        <f>IF('Prod 1'!F126="","",'Prod 1'!F126)</f>
        <v/>
      </c>
      <c r="I126" s="75" t="str">
        <f>IF('Prod 3'!F126="","",'Prod 3'!F126)</f>
        <v/>
      </c>
    </row>
    <row r="127" spans="3:9" ht="30" customHeight="1" x14ac:dyDescent="0.25">
      <c r="C127" s="42">
        <v>123</v>
      </c>
      <c r="D127" s="67" t="str">
        <f>IF('Prod 1'!D127="","",'Prod 1'!D127)</f>
        <v/>
      </c>
      <c r="E127" s="73" t="str">
        <f>IF('Prod 1'!E127="","",'Prod 1'!E127)</f>
        <v/>
      </c>
      <c r="F127" s="74" t="str">
        <f>IF('Prod 2'!K127="","",'Prod 2'!K127)</f>
        <v/>
      </c>
      <c r="G127" s="77" t="str">
        <f>IF('Prod 1'!I127="","",'Prod 1'!I127)</f>
        <v/>
      </c>
      <c r="H127" s="63" t="str">
        <f>IF('Prod 1'!F127="","",'Prod 1'!F127)</f>
        <v/>
      </c>
      <c r="I127" s="75" t="str">
        <f>IF('Prod 3'!F127="","",'Prod 3'!F127)</f>
        <v/>
      </c>
    </row>
    <row r="128" spans="3:9" ht="30" customHeight="1" x14ac:dyDescent="0.25">
      <c r="C128" s="42">
        <v>124</v>
      </c>
      <c r="D128" s="67" t="str">
        <f>IF('Prod 1'!D128="","",'Prod 1'!D128)</f>
        <v/>
      </c>
      <c r="E128" s="73" t="str">
        <f>IF('Prod 1'!E128="","",'Prod 1'!E128)</f>
        <v/>
      </c>
      <c r="F128" s="74" t="str">
        <f>IF('Prod 2'!K128="","",'Prod 2'!K128)</f>
        <v/>
      </c>
      <c r="G128" s="77" t="str">
        <f>IF('Prod 1'!I128="","",'Prod 1'!I128)</f>
        <v/>
      </c>
      <c r="H128" s="63" t="str">
        <f>IF('Prod 1'!F128="","",'Prod 1'!F128)</f>
        <v/>
      </c>
      <c r="I128" s="75" t="str">
        <f>IF('Prod 3'!F128="","",'Prod 3'!F128)</f>
        <v/>
      </c>
    </row>
    <row r="129" spans="3:9" ht="30" customHeight="1" x14ac:dyDescent="0.25">
      <c r="C129" s="42">
        <v>125</v>
      </c>
      <c r="D129" s="67" t="str">
        <f>IF('Prod 1'!D129="","",'Prod 1'!D129)</f>
        <v/>
      </c>
      <c r="E129" s="73" t="str">
        <f>IF('Prod 1'!E129="","",'Prod 1'!E129)</f>
        <v/>
      </c>
      <c r="F129" s="74" t="str">
        <f>IF('Prod 2'!K129="","",'Prod 2'!K129)</f>
        <v/>
      </c>
      <c r="G129" s="77" t="str">
        <f>IF('Prod 1'!I129="","",'Prod 1'!I129)</f>
        <v/>
      </c>
      <c r="H129" s="63" t="str">
        <f>IF('Prod 1'!F129="","",'Prod 1'!F129)</f>
        <v/>
      </c>
      <c r="I129" s="75" t="str">
        <f>IF('Prod 3'!F129="","",'Prod 3'!F129)</f>
        <v/>
      </c>
    </row>
    <row r="130" spans="3:9" ht="30" customHeight="1" x14ac:dyDescent="0.25">
      <c r="C130" s="42">
        <v>126</v>
      </c>
      <c r="D130" s="67" t="str">
        <f>IF('Prod 1'!D130="","",'Prod 1'!D130)</f>
        <v/>
      </c>
      <c r="E130" s="73" t="str">
        <f>IF('Prod 1'!E130="","",'Prod 1'!E130)</f>
        <v/>
      </c>
      <c r="F130" s="74" t="str">
        <f>IF('Prod 2'!K130="","",'Prod 2'!K130)</f>
        <v/>
      </c>
      <c r="G130" s="77" t="str">
        <f>IF('Prod 1'!I130="","",'Prod 1'!I130)</f>
        <v/>
      </c>
      <c r="H130" s="63" t="str">
        <f>IF('Prod 1'!F130="","",'Prod 1'!F130)</f>
        <v/>
      </c>
      <c r="I130" s="75" t="str">
        <f>IF('Prod 3'!F130="","",'Prod 3'!F130)</f>
        <v/>
      </c>
    </row>
    <row r="131" spans="3:9" ht="30" customHeight="1" x14ac:dyDescent="0.25">
      <c r="C131" s="42">
        <v>127</v>
      </c>
      <c r="D131" s="67" t="str">
        <f>IF('Prod 1'!D131="","",'Prod 1'!D131)</f>
        <v/>
      </c>
      <c r="E131" s="73" t="str">
        <f>IF('Prod 1'!E131="","",'Prod 1'!E131)</f>
        <v/>
      </c>
      <c r="F131" s="74" t="str">
        <f>IF('Prod 2'!K131="","",'Prod 2'!K131)</f>
        <v/>
      </c>
      <c r="G131" s="77" t="str">
        <f>IF('Prod 1'!I131="","",'Prod 1'!I131)</f>
        <v/>
      </c>
      <c r="H131" s="63" t="str">
        <f>IF('Prod 1'!F131="","",'Prod 1'!F131)</f>
        <v/>
      </c>
      <c r="I131" s="75" t="str">
        <f>IF('Prod 3'!F131="","",'Prod 3'!F131)</f>
        <v/>
      </c>
    </row>
    <row r="132" spans="3:9" ht="30" customHeight="1" x14ac:dyDescent="0.25">
      <c r="C132" s="42">
        <v>128</v>
      </c>
      <c r="D132" s="67" t="str">
        <f>IF('Prod 1'!D132="","",'Prod 1'!D132)</f>
        <v/>
      </c>
      <c r="E132" s="73" t="str">
        <f>IF('Prod 1'!E132="","",'Prod 1'!E132)</f>
        <v/>
      </c>
      <c r="F132" s="74" t="str">
        <f>IF('Prod 2'!K132="","",'Prod 2'!K132)</f>
        <v/>
      </c>
      <c r="G132" s="77" t="str">
        <f>IF('Prod 1'!I132="","",'Prod 1'!I132)</f>
        <v/>
      </c>
      <c r="H132" s="63" t="str">
        <f>IF('Prod 1'!F132="","",'Prod 1'!F132)</f>
        <v/>
      </c>
      <c r="I132" s="75" t="str">
        <f>IF('Prod 3'!F132="","",'Prod 3'!F132)</f>
        <v/>
      </c>
    </row>
    <row r="133" spans="3:9" ht="30" customHeight="1" x14ac:dyDescent="0.25">
      <c r="C133" s="42">
        <v>129</v>
      </c>
      <c r="D133" s="67" t="str">
        <f>IF('Prod 1'!D133="","",'Prod 1'!D133)</f>
        <v/>
      </c>
      <c r="E133" s="73" t="str">
        <f>IF('Prod 1'!E133="","",'Prod 1'!E133)</f>
        <v/>
      </c>
      <c r="F133" s="74" t="str">
        <f>IF('Prod 2'!K133="","",'Prod 2'!K133)</f>
        <v/>
      </c>
      <c r="G133" s="77" t="str">
        <f>IF('Prod 1'!I133="","",'Prod 1'!I133)</f>
        <v/>
      </c>
      <c r="H133" s="63" t="str">
        <f>IF('Prod 1'!F133="","",'Prod 1'!F133)</f>
        <v/>
      </c>
      <c r="I133" s="75" t="str">
        <f>IF('Prod 3'!F133="","",'Prod 3'!F133)</f>
        <v/>
      </c>
    </row>
    <row r="134" spans="3:9" ht="30" customHeight="1" x14ac:dyDescent="0.25">
      <c r="C134" s="42">
        <v>130</v>
      </c>
      <c r="D134" s="67" t="str">
        <f>IF('Prod 1'!D134="","",'Prod 1'!D134)</f>
        <v/>
      </c>
      <c r="E134" s="73" t="str">
        <f>IF('Prod 1'!E134="","",'Prod 1'!E134)</f>
        <v/>
      </c>
      <c r="F134" s="74" t="str">
        <f>IF('Prod 2'!K134="","",'Prod 2'!K134)</f>
        <v/>
      </c>
      <c r="G134" s="77" t="str">
        <f>IF('Prod 1'!I134="","",'Prod 1'!I134)</f>
        <v/>
      </c>
      <c r="H134" s="63" t="str">
        <f>IF('Prod 1'!F134="","",'Prod 1'!F134)</f>
        <v/>
      </c>
      <c r="I134" s="75" t="str">
        <f>IF('Prod 3'!F134="","",'Prod 3'!F134)</f>
        <v/>
      </c>
    </row>
    <row r="135" spans="3:9" ht="30" customHeight="1" x14ac:dyDescent="0.25">
      <c r="C135" s="42">
        <v>131</v>
      </c>
      <c r="D135" s="67" t="str">
        <f>IF('Prod 1'!D135="","",'Prod 1'!D135)</f>
        <v/>
      </c>
      <c r="E135" s="73" t="str">
        <f>IF('Prod 1'!E135="","",'Prod 1'!E135)</f>
        <v/>
      </c>
      <c r="F135" s="74" t="str">
        <f>IF('Prod 2'!K135="","",'Prod 2'!K135)</f>
        <v/>
      </c>
      <c r="G135" s="77" t="str">
        <f>IF('Prod 1'!I135="","",'Prod 1'!I135)</f>
        <v/>
      </c>
      <c r="H135" s="63" t="str">
        <f>IF('Prod 1'!F135="","",'Prod 1'!F135)</f>
        <v/>
      </c>
      <c r="I135" s="75" t="str">
        <f>IF('Prod 3'!F135="","",'Prod 3'!F135)</f>
        <v/>
      </c>
    </row>
    <row r="136" spans="3:9" ht="30" customHeight="1" x14ac:dyDescent="0.25">
      <c r="C136" s="42">
        <v>132</v>
      </c>
      <c r="D136" s="67" t="str">
        <f>IF('Prod 1'!D136="","",'Prod 1'!D136)</f>
        <v/>
      </c>
      <c r="E136" s="73" t="str">
        <f>IF('Prod 1'!E136="","",'Prod 1'!E136)</f>
        <v/>
      </c>
      <c r="F136" s="74" t="str">
        <f>IF('Prod 2'!K136="","",'Prod 2'!K136)</f>
        <v/>
      </c>
      <c r="G136" s="77" t="str">
        <f>IF('Prod 1'!I136="","",'Prod 1'!I136)</f>
        <v/>
      </c>
      <c r="H136" s="63" t="str">
        <f>IF('Prod 1'!F136="","",'Prod 1'!F136)</f>
        <v/>
      </c>
      <c r="I136" s="75" t="str">
        <f>IF('Prod 3'!F136="","",'Prod 3'!F136)</f>
        <v/>
      </c>
    </row>
    <row r="137" spans="3:9" ht="30" customHeight="1" x14ac:dyDescent="0.25">
      <c r="C137" s="42">
        <v>133</v>
      </c>
      <c r="D137" s="67" t="str">
        <f>IF('Prod 1'!D137="","",'Prod 1'!D137)</f>
        <v/>
      </c>
      <c r="E137" s="73" t="str">
        <f>IF('Prod 1'!E137="","",'Prod 1'!E137)</f>
        <v/>
      </c>
      <c r="F137" s="74" t="str">
        <f>IF('Prod 2'!K137="","",'Prod 2'!K137)</f>
        <v/>
      </c>
      <c r="G137" s="77" t="str">
        <f>IF('Prod 1'!I137="","",'Prod 1'!I137)</f>
        <v/>
      </c>
      <c r="H137" s="63" t="str">
        <f>IF('Prod 1'!F137="","",'Prod 1'!F137)</f>
        <v/>
      </c>
      <c r="I137" s="75" t="str">
        <f>IF('Prod 3'!F137="","",'Prod 3'!F137)</f>
        <v/>
      </c>
    </row>
    <row r="138" spans="3:9" ht="30" customHeight="1" x14ac:dyDescent="0.25">
      <c r="C138" s="42">
        <v>134</v>
      </c>
      <c r="D138" s="67" t="str">
        <f>IF('Prod 1'!D138="","",'Prod 1'!D138)</f>
        <v/>
      </c>
      <c r="E138" s="73" t="str">
        <f>IF('Prod 1'!E138="","",'Prod 1'!E138)</f>
        <v/>
      </c>
      <c r="F138" s="74" t="str">
        <f>IF('Prod 2'!K138="","",'Prod 2'!K138)</f>
        <v/>
      </c>
      <c r="G138" s="77" t="str">
        <f>IF('Prod 1'!I138="","",'Prod 1'!I138)</f>
        <v/>
      </c>
      <c r="H138" s="63" t="str">
        <f>IF('Prod 1'!F138="","",'Prod 1'!F138)</f>
        <v/>
      </c>
      <c r="I138" s="75" t="str">
        <f>IF('Prod 3'!F138="","",'Prod 3'!F138)</f>
        <v/>
      </c>
    </row>
    <row r="139" spans="3:9" ht="30" customHeight="1" x14ac:dyDescent="0.25">
      <c r="C139" s="42">
        <v>135</v>
      </c>
      <c r="D139" s="67" t="str">
        <f>IF('Prod 1'!D139="","",'Prod 1'!D139)</f>
        <v/>
      </c>
      <c r="E139" s="73" t="str">
        <f>IF('Prod 1'!E139="","",'Prod 1'!E139)</f>
        <v/>
      </c>
      <c r="F139" s="74" t="str">
        <f>IF('Prod 2'!K139="","",'Prod 2'!K139)</f>
        <v/>
      </c>
      <c r="G139" s="77" t="str">
        <f>IF('Prod 1'!I139="","",'Prod 1'!I139)</f>
        <v/>
      </c>
      <c r="H139" s="63" t="str">
        <f>IF('Prod 1'!F139="","",'Prod 1'!F139)</f>
        <v/>
      </c>
      <c r="I139" s="75" t="str">
        <f>IF('Prod 3'!F139="","",'Prod 3'!F139)</f>
        <v/>
      </c>
    </row>
    <row r="140" spans="3:9" ht="30" customHeight="1" x14ac:dyDescent="0.25">
      <c r="C140" s="42">
        <v>136</v>
      </c>
      <c r="D140" s="67" t="str">
        <f>IF('Prod 1'!D140="","",'Prod 1'!D140)</f>
        <v/>
      </c>
      <c r="E140" s="73" t="str">
        <f>IF('Prod 1'!E140="","",'Prod 1'!E140)</f>
        <v/>
      </c>
      <c r="F140" s="74" t="str">
        <f>IF('Prod 2'!K140="","",'Prod 2'!K140)</f>
        <v/>
      </c>
      <c r="G140" s="77" t="str">
        <f>IF('Prod 1'!I140="","",'Prod 1'!I140)</f>
        <v/>
      </c>
      <c r="H140" s="63" t="str">
        <f>IF('Prod 1'!F140="","",'Prod 1'!F140)</f>
        <v/>
      </c>
      <c r="I140" s="75" t="str">
        <f>IF('Prod 3'!F140="","",'Prod 3'!F140)</f>
        <v/>
      </c>
    </row>
    <row r="141" spans="3:9" ht="30" customHeight="1" x14ac:dyDescent="0.25">
      <c r="C141" s="42">
        <v>137</v>
      </c>
      <c r="D141" s="67" t="str">
        <f>IF('Prod 1'!D141="","",'Prod 1'!D141)</f>
        <v/>
      </c>
      <c r="E141" s="73" t="str">
        <f>IF('Prod 1'!E141="","",'Prod 1'!E141)</f>
        <v/>
      </c>
      <c r="F141" s="74" t="str">
        <f>IF('Prod 2'!K141="","",'Prod 2'!K141)</f>
        <v/>
      </c>
      <c r="G141" s="77" t="str">
        <f>IF('Prod 1'!I141="","",'Prod 1'!I141)</f>
        <v/>
      </c>
      <c r="H141" s="63" t="str">
        <f>IF('Prod 1'!F141="","",'Prod 1'!F141)</f>
        <v/>
      </c>
      <c r="I141" s="75" t="str">
        <f>IF('Prod 3'!F141="","",'Prod 3'!F141)</f>
        <v/>
      </c>
    </row>
    <row r="142" spans="3:9" ht="30" customHeight="1" x14ac:dyDescent="0.25">
      <c r="C142" s="42">
        <v>138</v>
      </c>
      <c r="D142" s="67" t="str">
        <f>IF('Prod 1'!D142="","",'Prod 1'!D142)</f>
        <v/>
      </c>
      <c r="E142" s="73" t="str">
        <f>IF('Prod 1'!E142="","",'Prod 1'!E142)</f>
        <v/>
      </c>
      <c r="F142" s="74" t="str">
        <f>IF('Prod 2'!K142="","",'Prod 2'!K142)</f>
        <v/>
      </c>
      <c r="G142" s="77" t="str">
        <f>IF('Prod 1'!I142="","",'Prod 1'!I142)</f>
        <v/>
      </c>
      <c r="H142" s="63" t="str">
        <f>IF('Prod 1'!F142="","",'Prod 1'!F142)</f>
        <v/>
      </c>
      <c r="I142" s="75" t="str">
        <f>IF('Prod 3'!F142="","",'Prod 3'!F142)</f>
        <v/>
      </c>
    </row>
    <row r="143" spans="3:9" ht="30" customHeight="1" x14ac:dyDescent="0.25">
      <c r="C143" s="42">
        <v>139</v>
      </c>
      <c r="D143" s="67" t="str">
        <f>IF('Prod 1'!D143="","",'Prod 1'!D143)</f>
        <v/>
      </c>
      <c r="E143" s="73" t="str">
        <f>IF('Prod 1'!E143="","",'Prod 1'!E143)</f>
        <v/>
      </c>
      <c r="F143" s="74" t="str">
        <f>IF('Prod 2'!K143="","",'Prod 2'!K143)</f>
        <v/>
      </c>
      <c r="G143" s="77" t="str">
        <f>IF('Prod 1'!I143="","",'Prod 1'!I143)</f>
        <v/>
      </c>
      <c r="H143" s="63" t="str">
        <f>IF('Prod 1'!F143="","",'Prod 1'!F143)</f>
        <v/>
      </c>
      <c r="I143" s="75" t="str">
        <f>IF('Prod 3'!F143="","",'Prod 3'!F143)</f>
        <v/>
      </c>
    </row>
    <row r="144" spans="3:9" ht="30" customHeight="1" x14ac:dyDescent="0.25">
      <c r="C144" s="42">
        <v>140</v>
      </c>
      <c r="D144" s="67" t="str">
        <f>IF('Prod 1'!D144="","",'Prod 1'!D144)</f>
        <v/>
      </c>
      <c r="E144" s="73" t="str">
        <f>IF('Prod 1'!E144="","",'Prod 1'!E144)</f>
        <v/>
      </c>
      <c r="F144" s="74" t="str">
        <f>IF('Prod 2'!K144="","",'Prod 2'!K144)</f>
        <v/>
      </c>
      <c r="G144" s="77" t="str">
        <f>IF('Prod 1'!I144="","",'Prod 1'!I144)</f>
        <v/>
      </c>
      <c r="H144" s="63" t="str">
        <f>IF('Prod 1'!F144="","",'Prod 1'!F144)</f>
        <v/>
      </c>
      <c r="I144" s="75" t="str">
        <f>IF('Prod 3'!F144="","",'Prod 3'!F144)</f>
        <v/>
      </c>
    </row>
    <row r="145" spans="3:9" ht="30" customHeight="1" x14ac:dyDescent="0.25">
      <c r="C145" s="42">
        <v>141</v>
      </c>
      <c r="D145" s="67" t="str">
        <f>IF('Prod 1'!D145="","",'Prod 1'!D145)</f>
        <v/>
      </c>
      <c r="E145" s="73" t="str">
        <f>IF('Prod 1'!E145="","",'Prod 1'!E145)</f>
        <v/>
      </c>
      <c r="F145" s="74" t="str">
        <f>IF('Prod 2'!K145="","",'Prod 2'!K145)</f>
        <v/>
      </c>
      <c r="G145" s="77" t="str">
        <f>IF('Prod 1'!I145="","",'Prod 1'!I145)</f>
        <v/>
      </c>
      <c r="H145" s="63" t="str">
        <f>IF('Prod 1'!F145="","",'Prod 1'!F145)</f>
        <v/>
      </c>
      <c r="I145" s="75" t="str">
        <f>IF('Prod 3'!F145="","",'Prod 3'!F145)</f>
        <v/>
      </c>
    </row>
    <row r="146" spans="3:9" ht="30" customHeight="1" x14ac:dyDescent="0.25">
      <c r="C146" s="42">
        <v>142</v>
      </c>
      <c r="D146" s="67" t="str">
        <f>IF('Prod 1'!D146="","",'Prod 1'!D146)</f>
        <v/>
      </c>
      <c r="E146" s="73" t="str">
        <f>IF('Prod 1'!E146="","",'Prod 1'!E146)</f>
        <v/>
      </c>
      <c r="F146" s="74" t="str">
        <f>IF('Prod 2'!K146="","",'Prod 2'!K146)</f>
        <v/>
      </c>
      <c r="G146" s="77" t="str">
        <f>IF('Prod 1'!I146="","",'Prod 1'!I146)</f>
        <v/>
      </c>
      <c r="H146" s="63" t="str">
        <f>IF('Prod 1'!F146="","",'Prod 1'!F146)</f>
        <v/>
      </c>
      <c r="I146" s="75" t="str">
        <f>IF('Prod 3'!F146="","",'Prod 3'!F146)</f>
        <v/>
      </c>
    </row>
    <row r="147" spans="3:9" ht="30" customHeight="1" x14ac:dyDescent="0.25">
      <c r="C147" s="42">
        <v>143</v>
      </c>
      <c r="D147" s="67" t="str">
        <f>IF('Prod 1'!D147="","",'Prod 1'!D147)</f>
        <v/>
      </c>
      <c r="E147" s="73" t="str">
        <f>IF('Prod 1'!E147="","",'Prod 1'!E147)</f>
        <v/>
      </c>
      <c r="F147" s="74" t="str">
        <f>IF('Prod 2'!K147="","",'Prod 2'!K147)</f>
        <v/>
      </c>
      <c r="G147" s="77" t="str">
        <f>IF('Prod 1'!I147="","",'Prod 1'!I147)</f>
        <v/>
      </c>
      <c r="H147" s="63" t="str">
        <f>IF('Prod 1'!F147="","",'Prod 1'!F147)</f>
        <v/>
      </c>
      <c r="I147" s="75" t="str">
        <f>IF('Prod 3'!F147="","",'Prod 3'!F147)</f>
        <v/>
      </c>
    </row>
    <row r="148" spans="3:9" ht="30" customHeight="1" x14ac:dyDescent="0.25">
      <c r="C148" s="42">
        <v>144</v>
      </c>
      <c r="D148" s="67" t="str">
        <f>IF('Prod 1'!D148="","",'Prod 1'!D148)</f>
        <v/>
      </c>
      <c r="E148" s="73" t="str">
        <f>IF('Prod 1'!E148="","",'Prod 1'!E148)</f>
        <v/>
      </c>
      <c r="F148" s="74" t="str">
        <f>IF('Prod 2'!K148="","",'Prod 2'!K148)</f>
        <v/>
      </c>
      <c r="G148" s="77" t="str">
        <f>IF('Prod 1'!I148="","",'Prod 1'!I148)</f>
        <v/>
      </c>
      <c r="H148" s="63" t="str">
        <f>IF('Prod 1'!F148="","",'Prod 1'!F148)</f>
        <v/>
      </c>
      <c r="I148" s="75" t="str">
        <f>IF('Prod 3'!F148="","",'Prod 3'!F148)</f>
        <v/>
      </c>
    </row>
    <row r="149" spans="3:9" ht="30" customHeight="1" x14ac:dyDescent="0.25">
      <c r="C149" s="42">
        <v>145</v>
      </c>
      <c r="D149" s="67" t="str">
        <f>IF('Prod 1'!D149="","",'Prod 1'!D149)</f>
        <v/>
      </c>
      <c r="E149" s="73" t="str">
        <f>IF('Prod 1'!E149="","",'Prod 1'!E149)</f>
        <v/>
      </c>
      <c r="F149" s="74" t="str">
        <f>IF('Prod 2'!K149="","",'Prod 2'!K149)</f>
        <v/>
      </c>
      <c r="G149" s="77" t="str">
        <f>IF('Prod 1'!I149="","",'Prod 1'!I149)</f>
        <v/>
      </c>
      <c r="H149" s="63" t="str">
        <f>IF('Prod 1'!F149="","",'Prod 1'!F149)</f>
        <v/>
      </c>
      <c r="I149" s="75" t="str">
        <f>IF('Prod 3'!F149="","",'Prod 3'!F149)</f>
        <v/>
      </c>
    </row>
    <row r="150" spans="3:9" ht="30" customHeight="1" x14ac:dyDescent="0.25">
      <c r="C150" s="42">
        <v>146</v>
      </c>
      <c r="D150" s="67" t="str">
        <f>IF('Prod 1'!D150="","",'Prod 1'!D150)</f>
        <v/>
      </c>
      <c r="E150" s="73" t="str">
        <f>IF('Prod 1'!E150="","",'Prod 1'!E150)</f>
        <v/>
      </c>
      <c r="F150" s="74" t="str">
        <f>IF('Prod 2'!K150="","",'Prod 2'!K150)</f>
        <v/>
      </c>
      <c r="G150" s="77" t="str">
        <f>IF('Prod 1'!I150="","",'Prod 1'!I150)</f>
        <v/>
      </c>
      <c r="H150" s="63" t="str">
        <f>IF('Prod 1'!F150="","",'Prod 1'!F150)</f>
        <v/>
      </c>
      <c r="I150" s="75" t="str">
        <f>IF('Prod 3'!F150="","",'Prod 3'!F150)</f>
        <v/>
      </c>
    </row>
    <row r="151" spans="3:9" ht="30" customHeight="1" x14ac:dyDescent="0.25">
      <c r="C151" s="42">
        <v>147</v>
      </c>
      <c r="D151" s="67" t="str">
        <f>IF('Prod 1'!D151="","",'Prod 1'!D151)</f>
        <v/>
      </c>
      <c r="E151" s="73" t="str">
        <f>IF('Prod 1'!E151="","",'Prod 1'!E151)</f>
        <v/>
      </c>
      <c r="F151" s="74" t="str">
        <f>IF('Prod 2'!K151="","",'Prod 2'!K151)</f>
        <v/>
      </c>
      <c r="G151" s="77" t="str">
        <f>IF('Prod 1'!I151="","",'Prod 1'!I151)</f>
        <v/>
      </c>
      <c r="H151" s="63" t="str">
        <f>IF('Prod 1'!F151="","",'Prod 1'!F151)</f>
        <v/>
      </c>
      <c r="I151" s="75" t="str">
        <f>IF('Prod 3'!F151="","",'Prod 3'!F151)</f>
        <v/>
      </c>
    </row>
    <row r="152" spans="3:9" ht="30" customHeight="1" x14ac:dyDescent="0.25">
      <c r="C152" s="42">
        <v>148</v>
      </c>
      <c r="D152" s="67" t="str">
        <f>IF('Prod 1'!D152="","",'Prod 1'!D152)</f>
        <v/>
      </c>
      <c r="E152" s="73" t="str">
        <f>IF('Prod 1'!E152="","",'Prod 1'!E152)</f>
        <v/>
      </c>
      <c r="F152" s="74" t="str">
        <f>IF('Prod 2'!K152="","",'Prod 2'!K152)</f>
        <v/>
      </c>
      <c r="G152" s="77" t="str">
        <f>IF('Prod 1'!I152="","",'Prod 1'!I152)</f>
        <v/>
      </c>
      <c r="H152" s="63" t="str">
        <f>IF('Prod 1'!F152="","",'Prod 1'!F152)</f>
        <v/>
      </c>
      <c r="I152" s="75" t="str">
        <f>IF('Prod 3'!F152="","",'Prod 3'!F152)</f>
        <v/>
      </c>
    </row>
    <row r="153" spans="3:9" ht="30" customHeight="1" x14ac:dyDescent="0.25">
      <c r="C153" s="42">
        <v>149</v>
      </c>
      <c r="D153" s="67" t="str">
        <f>IF('Prod 1'!D153="","",'Prod 1'!D153)</f>
        <v/>
      </c>
      <c r="E153" s="73" t="str">
        <f>IF('Prod 1'!E153="","",'Prod 1'!E153)</f>
        <v/>
      </c>
      <c r="F153" s="74" t="str">
        <f>IF('Prod 2'!K153="","",'Prod 2'!K153)</f>
        <v/>
      </c>
      <c r="G153" s="77" t="str">
        <f>IF('Prod 1'!I153="","",'Prod 1'!I153)</f>
        <v/>
      </c>
      <c r="H153" s="63" t="str">
        <f>IF('Prod 1'!F153="","",'Prod 1'!F153)</f>
        <v/>
      </c>
      <c r="I153" s="75" t="str">
        <f>IF('Prod 3'!F153="","",'Prod 3'!F153)</f>
        <v/>
      </c>
    </row>
    <row r="154" spans="3:9" ht="30" customHeight="1" x14ac:dyDescent="0.25">
      <c r="C154" s="42">
        <v>150</v>
      </c>
      <c r="D154" s="67" t="str">
        <f>IF('Prod 1'!D154="","",'Prod 1'!D154)</f>
        <v/>
      </c>
      <c r="E154" s="73" t="str">
        <f>IF('Prod 1'!E154="","",'Prod 1'!E154)</f>
        <v/>
      </c>
      <c r="F154" s="74" t="str">
        <f>IF('Prod 2'!K154="","",'Prod 2'!K154)</f>
        <v/>
      </c>
      <c r="G154" s="77" t="str">
        <f>IF('Prod 1'!I154="","",'Prod 1'!I154)</f>
        <v/>
      </c>
      <c r="H154" s="63" t="str">
        <f>IF('Prod 1'!F154="","",'Prod 1'!F154)</f>
        <v/>
      </c>
      <c r="I154" s="75" t="str">
        <f>IF('Prod 3'!F154="","",'Prod 3'!F154)</f>
        <v/>
      </c>
    </row>
    <row r="155" spans="3:9" ht="30" customHeight="1" x14ac:dyDescent="0.25">
      <c r="C155" s="42">
        <v>151</v>
      </c>
      <c r="D155" s="67" t="str">
        <f>IF('Prod 1'!D155="","",'Prod 1'!D155)</f>
        <v/>
      </c>
      <c r="E155" s="73" t="str">
        <f>IF('Prod 1'!E155="","",'Prod 1'!E155)</f>
        <v/>
      </c>
      <c r="F155" s="74" t="str">
        <f>IF('Prod 2'!K155="","",'Prod 2'!K155)</f>
        <v/>
      </c>
      <c r="G155" s="77" t="str">
        <f>IF('Prod 1'!I155="","",'Prod 1'!I155)</f>
        <v/>
      </c>
      <c r="H155" s="63" t="str">
        <f>IF('Prod 1'!F155="","",'Prod 1'!F155)</f>
        <v/>
      </c>
      <c r="I155" s="75" t="str">
        <f>IF('Prod 3'!F155="","",'Prod 3'!F155)</f>
        <v/>
      </c>
    </row>
    <row r="156" spans="3:9" ht="30" customHeight="1" x14ac:dyDescent="0.25">
      <c r="C156" s="42">
        <v>152</v>
      </c>
      <c r="D156" s="67" t="str">
        <f>IF('Prod 1'!D156="","",'Prod 1'!D156)</f>
        <v/>
      </c>
      <c r="E156" s="73" t="str">
        <f>IF('Prod 1'!E156="","",'Prod 1'!E156)</f>
        <v/>
      </c>
      <c r="F156" s="74" t="str">
        <f>IF('Prod 2'!K156="","",'Prod 2'!K156)</f>
        <v/>
      </c>
      <c r="G156" s="77" t="str">
        <f>IF('Prod 1'!I156="","",'Prod 1'!I156)</f>
        <v/>
      </c>
      <c r="H156" s="63" t="str">
        <f>IF('Prod 1'!F156="","",'Prod 1'!F156)</f>
        <v/>
      </c>
      <c r="I156" s="75" t="str">
        <f>IF('Prod 3'!F156="","",'Prod 3'!F156)</f>
        <v/>
      </c>
    </row>
    <row r="157" spans="3:9" ht="30" customHeight="1" x14ac:dyDescent="0.25">
      <c r="C157" s="42">
        <v>153</v>
      </c>
      <c r="D157" s="67" t="str">
        <f>IF('Prod 1'!D157="","",'Prod 1'!D157)</f>
        <v/>
      </c>
      <c r="E157" s="73" t="str">
        <f>IF('Prod 1'!E157="","",'Prod 1'!E157)</f>
        <v/>
      </c>
      <c r="F157" s="74" t="str">
        <f>IF('Prod 2'!K157="","",'Prod 2'!K157)</f>
        <v/>
      </c>
      <c r="G157" s="77" t="str">
        <f>IF('Prod 1'!I157="","",'Prod 1'!I157)</f>
        <v/>
      </c>
      <c r="H157" s="63" t="str">
        <f>IF('Prod 1'!F157="","",'Prod 1'!F157)</f>
        <v/>
      </c>
      <c r="I157" s="75" t="str">
        <f>IF('Prod 3'!F157="","",'Prod 3'!F157)</f>
        <v/>
      </c>
    </row>
    <row r="158" spans="3:9" ht="30" customHeight="1" x14ac:dyDescent="0.25">
      <c r="C158" s="42">
        <v>154</v>
      </c>
      <c r="D158" s="67" t="str">
        <f>IF('Prod 1'!D158="","",'Prod 1'!D158)</f>
        <v/>
      </c>
      <c r="E158" s="73" t="str">
        <f>IF('Prod 1'!E158="","",'Prod 1'!E158)</f>
        <v/>
      </c>
      <c r="F158" s="74" t="str">
        <f>IF('Prod 2'!K158="","",'Prod 2'!K158)</f>
        <v/>
      </c>
      <c r="G158" s="77" t="str">
        <f>IF('Prod 1'!I158="","",'Prod 1'!I158)</f>
        <v/>
      </c>
      <c r="H158" s="63" t="str">
        <f>IF('Prod 1'!F158="","",'Prod 1'!F158)</f>
        <v/>
      </c>
      <c r="I158" s="75" t="str">
        <f>IF('Prod 3'!F158="","",'Prod 3'!F158)</f>
        <v/>
      </c>
    </row>
    <row r="159" spans="3:9" ht="30" customHeight="1" x14ac:dyDescent="0.25">
      <c r="C159" s="42">
        <v>155</v>
      </c>
      <c r="D159" s="67" t="str">
        <f>IF('Prod 1'!D159="","",'Prod 1'!D159)</f>
        <v/>
      </c>
      <c r="E159" s="73" t="str">
        <f>IF('Prod 1'!E159="","",'Prod 1'!E159)</f>
        <v/>
      </c>
      <c r="F159" s="74" t="str">
        <f>IF('Prod 2'!K159="","",'Prod 2'!K159)</f>
        <v/>
      </c>
      <c r="G159" s="77" t="str">
        <f>IF('Prod 1'!I159="","",'Prod 1'!I159)</f>
        <v/>
      </c>
      <c r="H159" s="63" t="str">
        <f>IF('Prod 1'!F159="","",'Prod 1'!F159)</f>
        <v/>
      </c>
      <c r="I159" s="75" t="str">
        <f>IF('Prod 3'!F159="","",'Prod 3'!F159)</f>
        <v/>
      </c>
    </row>
    <row r="160" spans="3:9" ht="30" customHeight="1" x14ac:dyDescent="0.25">
      <c r="C160" s="42">
        <v>156</v>
      </c>
      <c r="D160" s="67" t="str">
        <f>IF('Prod 1'!D160="","",'Prod 1'!D160)</f>
        <v/>
      </c>
      <c r="E160" s="73" t="str">
        <f>IF('Prod 1'!E160="","",'Prod 1'!E160)</f>
        <v/>
      </c>
      <c r="F160" s="74" t="str">
        <f>IF('Prod 2'!K160="","",'Prod 2'!K160)</f>
        <v/>
      </c>
      <c r="G160" s="77" t="str">
        <f>IF('Prod 1'!I160="","",'Prod 1'!I160)</f>
        <v/>
      </c>
      <c r="H160" s="63" t="str">
        <f>IF('Prod 1'!F160="","",'Prod 1'!F160)</f>
        <v/>
      </c>
      <c r="I160" s="75" t="str">
        <f>IF('Prod 3'!F160="","",'Prod 3'!F160)</f>
        <v/>
      </c>
    </row>
    <row r="161" spans="3:9" ht="30" customHeight="1" x14ac:dyDescent="0.25">
      <c r="C161" s="42">
        <v>157</v>
      </c>
      <c r="D161" s="67" t="str">
        <f>IF('Prod 1'!D161="","",'Prod 1'!D161)</f>
        <v/>
      </c>
      <c r="E161" s="73" t="str">
        <f>IF('Prod 1'!E161="","",'Prod 1'!E161)</f>
        <v/>
      </c>
      <c r="F161" s="74" t="str">
        <f>IF('Prod 2'!K161="","",'Prod 2'!K161)</f>
        <v/>
      </c>
      <c r="G161" s="77" t="str">
        <f>IF('Prod 1'!I161="","",'Prod 1'!I161)</f>
        <v/>
      </c>
      <c r="H161" s="63" t="str">
        <f>IF('Prod 1'!F161="","",'Prod 1'!F161)</f>
        <v/>
      </c>
      <c r="I161" s="75" t="str">
        <f>IF('Prod 3'!F161="","",'Prod 3'!F161)</f>
        <v/>
      </c>
    </row>
    <row r="162" spans="3:9" ht="30" customHeight="1" x14ac:dyDescent="0.25">
      <c r="C162" s="42">
        <v>158</v>
      </c>
      <c r="D162" s="67" t="str">
        <f>IF('Prod 1'!D162="","",'Prod 1'!D162)</f>
        <v/>
      </c>
      <c r="E162" s="73" t="str">
        <f>IF('Prod 1'!E162="","",'Prod 1'!E162)</f>
        <v/>
      </c>
      <c r="F162" s="74" t="str">
        <f>IF('Prod 2'!K162="","",'Prod 2'!K162)</f>
        <v/>
      </c>
      <c r="G162" s="77" t="str">
        <f>IF('Prod 1'!I162="","",'Prod 1'!I162)</f>
        <v/>
      </c>
      <c r="H162" s="63" t="str">
        <f>IF('Prod 1'!F162="","",'Prod 1'!F162)</f>
        <v/>
      </c>
      <c r="I162" s="75" t="str">
        <f>IF('Prod 3'!F162="","",'Prod 3'!F162)</f>
        <v/>
      </c>
    </row>
    <row r="163" spans="3:9" ht="30" customHeight="1" x14ac:dyDescent="0.25">
      <c r="C163" s="42">
        <v>159</v>
      </c>
      <c r="D163" s="67" t="str">
        <f>IF('Prod 1'!D163="","",'Prod 1'!D163)</f>
        <v/>
      </c>
      <c r="E163" s="73" t="str">
        <f>IF('Prod 1'!E163="","",'Prod 1'!E163)</f>
        <v/>
      </c>
      <c r="F163" s="74" t="str">
        <f>IF('Prod 2'!K163="","",'Prod 2'!K163)</f>
        <v/>
      </c>
      <c r="G163" s="77" t="str">
        <f>IF('Prod 1'!I163="","",'Prod 1'!I163)</f>
        <v/>
      </c>
      <c r="H163" s="63" t="str">
        <f>IF('Prod 1'!F163="","",'Prod 1'!F163)</f>
        <v/>
      </c>
      <c r="I163" s="75" t="str">
        <f>IF('Prod 3'!F163="","",'Prod 3'!F163)</f>
        <v/>
      </c>
    </row>
    <row r="164" spans="3:9" ht="30" customHeight="1" x14ac:dyDescent="0.25">
      <c r="C164" s="42">
        <v>160</v>
      </c>
      <c r="D164" s="67" t="str">
        <f>IF('Prod 1'!D164="","",'Prod 1'!D164)</f>
        <v/>
      </c>
      <c r="E164" s="73" t="str">
        <f>IF('Prod 1'!E164="","",'Prod 1'!E164)</f>
        <v/>
      </c>
      <c r="F164" s="74" t="str">
        <f>IF('Prod 2'!K164="","",'Prod 2'!K164)</f>
        <v/>
      </c>
      <c r="G164" s="77" t="str">
        <f>IF('Prod 1'!I164="","",'Prod 1'!I164)</f>
        <v/>
      </c>
      <c r="H164" s="63" t="str">
        <f>IF('Prod 1'!F164="","",'Prod 1'!F164)</f>
        <v/>
      </c>
      <c r="I164" s="75" t="str">
        <f>IF('Prod 3'!F164="","",'Prod 3'!F164)</f>
        <v/>
      </c>
    </row>
    <row r="165" spans="3:9" ht="30" customHeight="1" x14ac:dyDescent="0.25">
      <c r="C165" s="42">
        <v>161</v>
      </c>
      <c r="D165" s="67" t="str">
        <f>IF('Prod 1'!D165="","",'Prod 1'!D165)</f>
        <v/>
      </c>
      <c r="E165" s="73" t="str">
        <f>IF('Prod 1'!E165="","",'Prod 1'!E165)</f>
        <v/>
      </c>
      <c r="F165" s="74" t="str">
        <f>IF('Prod 2'!K165="","",'Prod 2'!K165)</f>
        <v/>
      </c>
      <c r="G165" s="77" t="str">
        <f>IF('Prod 1'!I165="","",'Prod 1'!I165)</f>
        <v/>
      </c>
      <c r="H165" s="63" t="str">
        <f>IF('Prod 1'!F165="","",'Prod 1'!F165)</f>
        <v/>
      </c>
      <c r="I165" s="75" t="str">
        <f>IF('Prod 3'!F165="","",'Prod 3'!F165)</f>
        <v/>
      </c>
    </row>
    <row r="166" spans="3:9" ht="30" customHeight="1" x14ac:dyDescent="0.25">
      <c r="C166" s="42">
        <v>162</v>
      </c>
      <c r="D166" s="67" t="str">
        <f>IF('Prod 1'!D166="","",'Prod 1'!D166)</f>
        <v/>
      </c>
      <c r="E166" s="73" t="str">
        <f>IF('Prod 1'!E166="","",'Prod 1'!E166)</f>
        <v/>
      </c>
      <c r="F166" s="74" t="str">
        <f>IF('Prod 2'!K166="","",'Prod 2'!K166)</f>
        <v/>
      </c>
      <c r="G166" s="77" t="str">
        <f>IF('Prod 1'!I166="","",'Prod 1'!I166)</f>
        <v/>
      </c>
      <c r="H166" s="63" t="str">
        <f>IF('Prod 1'!F166="","",'Prod 1'!F166)</f>
        <v/>
      </c>
      <c r="I166" s="75" t="str">
        <f>IF('Prod 3'!F166="","",'Prod 3'!F166)</f>
        <v/>
      </c>
    </row>
    <row r="167" spans="3:9" ht="30" customHeight="1" x14ac:dyDescent="0.25">
      <c r="C167" s="42">
        <v>163</v>
      </c>
      <c r="D167" s="67" t="str">
        <f>IF('Prod 1'!D167="","",'Prod 1'!D167)</f>
        <v/>
      </c>
      <c r="E167" s="73" t="str">
        <f>IF('Prod 1'!E167="","",'Prod 1'!E167)</f>
        <v/>
      </c>
      <c r="F167" s="74" t="str">
        <f>IF('Prod 2'!K167="","",'Prod 2'!K167)</f>
        <v/>
      </c>
      <c r="G167" s="77" t="str">
        <f>IF('Prod 1'!I167="","",'Prod 1'!I167)</f>
        <v/>
      </c>
      <c r="H167" s="63" t="str">
        <f>IF('Prod 1'!F167="","",'Prod 1'!F167)</f>
        <v/>
      </c>
      <c r="I167" s="75" t="str">
        <f>IF('Prod 3'!F167="","",'Prod 3'!F167)</f>
        <v/>
      </c>
    </row>
    <row r="168" spans="3:9" ht="30" customHeight="1" x14ac:dyDescent="0.25">
      <c r="C168" s="42">
        <v>164</v>
      </c>
      <c r="D168" s="67" t="str">
        <f>IF('Prod 1'!D168="","",'Prod 1'!D168)</f>
        <v/>
      </c>
      <c r="E168" s="73" t="str">
        <f>IF('Prod 1'!E168="","",'Prod 1'!E168)</f>
        <v/>
      </c>
      <c r="F168" s="74" t="str">
        <f>IF('Prod 2'!K168="","",'Prod 2'!K168)</f>
        <v/>
      </c>
      <c r="G168" s="77" t="str">
        <f>IF('Prod 1'!I168="","",'Prod 1'!I168)</f>
        <v/>
      </c>
      <c r="H168" s="63" t="str">
        <f>IF('Prod 1'!F168="","",'Prod 1'!F168)</f>
        <v/>
      </c>
      <c r="I168" s="75" t="str">
        <f>IF('Prod 3'!F168="","",'Prod 3'!F168)</f>
        <v/>
      </c>
    </row>
    <row r="169" spans="3:9" ht="30" customHeight="1" x14ac:dyDescent="0.25">
      <c r="C169" s="42">
        <v>165</v>
      </c>
      <c r="D169" s="67" t="str">
        <f>IF('Prod 1'!D169="","",'Prod 1'!D169)</f>
        <v/>
      </c>
      <c r="E169" s="73" t="str">
        <f>IF('Prod 1'!E169="","",'Prod 1'!E169)</f>
        <v/>
      </c>
      <c r="F169" s="74" t="str">
        <f>IF('Prod 2'!K169="","",'Prod 2'!K169)</f>
        <v/>
      </c>
      <c r="G169" s="77" t="str">
        <f>IF('Prod 1'!I169="","",'Prod 1'!I169)</f>
        <v/>
      </c>
      <c r="H169" s="63" t="str">
        <f>IF('Prod 1'!F169="","",'Prod 1'!F169)</f>
        <v/>
      </c>
      <c r="I169" s="75" t="str">
        <f>IF('Prod 3'!F169="","",'Prod 3'!F169)</f>
        <v/>
      </c>
    </row>
    <row r="170" spans="3:9" ht="30" customHeight="1" x14ac:dyDescent="0.25">
      <c r="C170" s="42">
        <v>166</v>
      </c>
      <c r="D170" s="67" t="str">
        <f>IF('Prod 1'!D170="","",'Prod 1'!D170)</f>
        <v/>
      </c>
      <c r="E170" s="73" t="str">
        <f>IF('Prod 1'!E170="","",'Prod 1'!E170)</f>
        <v/>
      </c>
      <c r="F170" s="74" t="str">
        <f>IF('Prod 2'!K170="","",'Prod 2'!K170)</f>
        <v/>
      </c>
      <c r="G170" s="77" t="str">
        <f>IF('Prod 1'!I170="","",'Prod 1'!I170)</f>
        <v/>
      </c>
      <c r="H170" s="63" t="str">
        <f>IF('Prod 1'!F170="","",'Prod 1'!F170)</f>
        <v/>
      </c>
      <c r="I170" s="75" t="str">
        <f>IF('Prod 3'!F170="","",'Prod 3'!F170)</f>
        <v/>
      </c>
    </row>
    <row r="171" spans="3:9" ht="30" customHeight="1" x14ac:dyDescent="0.25">
      <c r="C171" s="42">
        <v>167</v>
      </c>
      <c r="D171" s="67" t="str">
        <f>IF('Prod 1'!D171="","",'Prod 1'!D171)</f>
        <v/>
      </c>
      <c r="E171" s="73" t="str">
        <f>IF('Prod 1'!E171="","",'Prod 1'!E171)</f>
        <v/>
      </c>
      <c r="F171" s="74" t="str">
        <f>IF('Prod 2'!K171="","",'Prod 2'!K171)</f>
        <v/>
      </c>
      <c r="G171" s="77" t="str">
        <f>IF('Prod 1'!I171="","",'Prod 1'!I171)</f>
        <v/>
      </c>
      <c r="H171" s="63" t="str">
        <f>IF('Prod 1'!F171="","",'Prod 1'!F171)</f>
        <v/>
      </c>
      <c r="I171" s="75" t="str">
        <f>IF('Prod 3'!F171="","",'Prod 3'!F171)</f>
        <v/>
      </c>
    </row>
    <row r="172" spans="3:9" ht="30" customHeight="1" x14ac:dyDescent="0.25">
      <c r="C172" s="42">
        <v>168</v>
      </c>
      <c r="D172" s="67" t="str">
        <f>IF('Prod 1'!D172="","",'Prod 1'!D172)</f>
        <v/>
      </c>
      <c r="E172" s="73" t="str">
        <f>IF('Prod 1'!E172="","",'Prod 1'!E172)</f>
        <v/>
      </c>
      <c r="F172" s="74" t="str">
        <f>IF('Prod 2'!K172="","",'Prod 2'!K172)</f>
        <v/>
      </c>
      <c r="G172" s="77" t="str">
        <f>IF('Prod 1'!I172="","",'Prod 1'!I172)</f>
        <v/>
      </c>
      <c r="H172" s="63" t="str">
        <f>IF('Prod 1'!F172="","",'Prod 1'!F172)</f>
        <v/>
      </c>
      <c r="I172" s="75" t="str">
        <f>IF('Prod 3'!F172="","",'Prod 3'!F172)</f>
        <v/>
      </c>
    </row>
    <row r="173" spans="3:9" ht="30" customHeight="1" x14ac:dyDescent="0.25">
      <c r="C173" s="42">
        <v>169</v>
      </c>
      <c r="D173" s="67" t="str">
        <f>IF('Prod 1'!D173="","",'Prod 1'!D173)</f>
        <v/>
      </c>
      <c r="E173" s="73" t="str">
        <f>IF('Prod 1'!E173="","",'Prod 1'!E173)</f>
        <v/>
      </c>
      <c r="F173" s="74" t="str">
        <f>IF('Prod 2'!K173="","",'Prod 2'!K173)</f>
        <v/>
      </c>
      <c r="G173" s="77" t="str">
        <f>IF('Prod 1'!I173="","",'Prod 1'!I173)</f>
        <v/>
      </c>
      <c r="H173" s="63" t="str">
        <f>IF('Prod 1'!F173="","",'Prod 1'!F173)</f>
        <v/>
      </c>
      <c r="I173" s="75" t="str">
        <f>IF('Prod 3'!F173="","",'Prod 3'!F173)</f>
        <v/>
      </c>
    </row>
    <row r="174" spans="3:9" ht="30" customHeight="1" x14ac:dyDescent="0.25">
      <c r="C174" s="42">
        <v>170</v>
      </c>
      <c r="D174" s="67" t="str">
        <f>IF('Prod 1'!D174="","",'Prod 1'!D174)</f>
        <v/>
      </c>
      <c r="E174" s="73" t="str">
        <f>IF('Prod 1'!E174="","",'Prod 1'!E174)</f>
        <v/>
      </c>
      <c r="F174" s="74" t="str">
        <f>IF('Prod 2'!K174="","",'Prod 2'!K174)</f>
        <v/>
      </c>
      <c r="G174" s="77" t="str">
        <f>IF('Prod 1'!I174="","",'Prod 1'!I174)</f>
        <v/>
      </c>
      <c r="H174" s="63" t="str">
        <f>IF('Prod 1'!F174="","",'Prod 1'!F174)</f>
        <v/>
      </c>
      <c r="I174" s="75" t="str">
        <f>IF('Prod 3'!F174="","",'Prod 3'!F174)</f>
        <v/>
      </c>
    </row>
    <row r="175" spans="3:9" ht="30" customHeight="1" x14ac:dyDescent="0.25">
      <c r="C175" s="42">
        <v>171</v>
      </c>
      <c r="D175" s="67" t="str">
        <f>IF('Prod 1'!D175="","",'Prod 1'!D175)</f>
        <v/>
      </c>
      <c r="E175" s="73" t="str">
        <f>IF('Prod 1'!E175="","",'Prod 1'!E175)</f>
        <v/>
      </c>
      <c r="F175" s="74" t="str">
        <f>IF('Prod 2'!K175="","",'Prod 2'!K175)</f>
        <v/>
      </c>
      <c r="G175" s="77" t="str">
        <f>IF('Prod 1'!I175="","",'Prod 1'!I175)</f>
        <v/>
      </c>
      <c r="H175" s="63" t="str">
        <f>IF('Prod 1'!F175="","",'Prod 1'!F175)</f>
        <v/>
      </c>
      <c r="I175" s="75" t="str">
        <f>IF('Prod 3'!F175="","",'Prod 3'!F175)</f>
        <v/>
      </c>
    </row>
    <row r="176" spans="3:9" ht="30" customHeight="1" x14ac:dyDescent="0.25">
      <c r="C176" s="42">
        <v>172</v>
      </c>
      <c r="D176" s="67" t="str">
        <f>IF('Prod 1'!D176="","",'Prod 1'!D176)</f>
        <v/>
      </c>
      <c r="E176" s="73" t="str">
        <f>IF('Prod 1'!E176="","",'Prod 1'!E176)</f>
        <v/>
      </c>
      <c r="F176" s="74" t="str">
        <f>IF('Prod 2'!K176="","",'Prod 2'!K176)</f>
        <v/>
      </c>
      <c r="G176" s="77" t="str">
        <f>IF('Prod 1'!I176="","",'Prod 1'!I176)</f>
        <v/>
      </c>
      <c r="H176" s="63" t="str">
        <f>IF('Prod 1'!F176="","",'Prod 1'!F176)</f>
        <v/>
      </c>
      <c r="I176" s="75" t="str">
        <f>IF('Prod 3'!F176="","",'Prod 3'!F176)</f>
        <v/>
      </c>
    </row>
    <row r="177" spans="3:9" ht="30" customHeight="1" x14ac:dyDescent="0.25">
      <c r="C177" s="42">
        <v>173</v>
      </c>
      <c r="D177" s="67" t="str">
        <f>IF('Prod 1'!D177="","",'Prod 1'!D177)</f>
        <v/>
      </c>
      <c r="E177" s="73" t="str">
        <f>IF('Prod 1'!E177="","",'Prod 1'!E177)</f>
        <v/>
      </c>
      <c r="F177" s="74" t="str">
        <f>IF('Prod 2'!K177="","",'Prod 2'!K177)</f>
        <v/>
      </c>
      <c r="G177" s="77" t="str">
        <f>IF('Prod 1'!I177="","",'Prod 1'!I177)</f>
        <v/>
      </c>
      <c r="H177" s="63" t="str">
        <f>IF('Prod 1'!F177="","",'Prod 1'!F177)</f>
        <v/>
      </c>
      <c r="I177" s="75" t="str">
        <f>IF('Prod 3'!F177="","",'Prod 3'!F177)</f>
        <v/>
      </c>
    </row>
    <row r="178" spans="3:9" ht="30" customHeight="1" x14ac:dyDescent="0.25">
      <c r="C178" s="42">
        <v>174</v>
      </c>
      <c r="D178" s="67" t="str">
        <f>IF('Prod 1'!D178="","",'Prod 1'!D178)</f>
        <v/>
      </c>
      <c r="E178" s="73" t="str">
        <f>IF('Prod 1'!E178="","",'Prod 1'!E178)</f>
        <v/>
      </c>
      <c r="F178" s="74" t="str">
        <f>IF('Prod 2'!K178="","",'Prod 2'!K178)</f>
        <v/>
      </c>
      <c r="G178" s="77" t="str">
        <f>IF('Prod 1'!I178="","",'Prod 1'!I178)</f>
        <v/>
      </c>
      <c r="H178" s="63" t="str">
        <f>IF('Prod 1'!F178="","",'Prod 1'!F178)</f>
        <v/>
      </c>
      <c r="I178" s="75" t="str">
        <f>IF('Prod 3'!F178="","",'Prod 3'!F178)</f>
        <v/>
      </c>
    </row>
    <row r="179" spans="3:9" ht="30" customHeight="1" x14ac:dyDescent="0.25">
      <c r="C179" s="42">
        <v>175</v>
      </c>
      <c r="D179" s="67" t="str">
        <f>IF('Prod 1'!D179="","",'Prod 1'!D179)</f>
        <v/>
      </c>
      <c r="E179" s="73" t="str">
        <f>IF('Prod 1'!E179="","",'Prod 1'!E179)</f>
        <v/>
      </c>
      <c r="F179" s="74" t="str">
        <f>IF('Prod 2'!K179="","",'Prod 2'!K179)</f>
        <v/>
      </c>
      <c r="G179" s="77" t="str">
        <f>IF('Prod 1'!I179="","",'Prod 1'!I179)</f>
        <v/>
      </c>
      <c r="H179" s="63" t="str">
        <f>IF('Prod 1'!F179="","",'Prod 1'!F179)</f>
        <v/>
      </c>
      <c r="I179" s="75" t="str">
        <f>IF('Prod 3'!F179="","",'Prod 3'!F179)</f>
        <v/>
      </c>
    </row>
    <row r="180" spans="3:9" ht="30" customHeight="1" x14ac:dyDescent="0.25">
      <c r="C180" s="42">
        <v>176</v>
      </c>
      <c r="D180" s="67" t="str">
        <f>IF('Prod 1'!D180="","",'Prod 1'!D180)</f>
        <v/>
      </c>
      <c r="E180" s="73" t="str">
        <f>IF('Prod 1'!E180="","",'Prod 1'!E180)</f>
        <v/>
      </c>
      <c r="F180" s="74" t="str">
        <f>IF('Prod 2'!K180="","",'Prod 2'!K180)</f>
        <v/>
      </c>
      <c r="G180" s="77" t="str">
        <f>IF('Prod 1'!I180="","",'Prod 1'!I180)</f>
        <v/>
      </c>
      <c r="H180" s="63" t="str">
        <f>IF('Prod 1'!F180="","",'Prod 1'!F180)</f>
        <v/>
      </c>
      <c r="I180" s="75" t="str">
        <f>IF('Prod 3'!F180="","",'Prod 3'!F180)</f>
        <v/>
      </c>
    </row>
    <row r="181" spans="3:9" ht="30" customHeight="1" x14ac:dyDescent="0.25">
      <c r="C181" s="42">
        <v>177</v>
      </c>
      <c r="D181" s="67" t="str">
        <f>IF('Prod 1'!D181="","",'Prod 1'!D181)</f>
        <v/>
      </c>
      <c r="E181" s="73" t="str">
        <f>IF('Prod 1'!E181="","",'Prod 1'!E181)</f>
        <v/>
      </c>
      <c r="F181" s="74" t="str">
        <f>IF('Prod 2'!K181="","",'Prod 2'!K181)</f>
        <v/>
      </c>
      <c r="G181" s="77" t="str">
        <f>IF('Prod 1'!I181="","",'Prod 1'!I181)</f>
        <v/>
      </c>
      <c r="H181" s="63" t="str">
        <f>IF('Prod 1'!F181="","",'Prod 1'!F181)</f>
        <v/>
      </c>
      <c r="I181" s="75" t="str">
        <f>IF('Prod 3'!F181="","",'Prod 3'!F181)</f>
        <v/>
      </c>
    </row>
    <row r="182" spans="3:9" ht="30" customHeight="1" x14ac:dyDescent="0.25">
      <c r="C182" s="42">
        <v>178</v>
      </c>
      <c r="D182" s="67" t="str">
        <f>IF('Prod 1'!D182="","",'Prod 1'!D182)</f>
        <v/>
      </c>
      <c r="E182" s="73" t="str">
        <f>IF('Prod 1'!E182="","",'Prod 1'!E182)</f>
        <v/>
      </c>
      <c r="F182" s="74" t="str">
        <f>IF('Prod 2'!K182="","",'Prod 2'!K182)</f>
        <v/>
      </c>
      <c r="G182" s="77" t="str">
        <f>IF('Prod 1'!I182="","",'Prod 1'!I182)</f>
        <v/>
      </c>
      <c r="H182" s="63" t="str">
        <f>IF('Prod 1'!F182="","",'Prod 1'!F182)</f>
        <v/>
      </c>
      <c r="I182" s="75" t="str">
        <f>IF('Prod 3'!F182="","",'Prod 3'!F182)</f>
        <v/>
      </c>
    </row>
    <row r="183" spans="3:9" ht="30" customHeight="1" x14ac:dyDescent="0.25">
      <c r="C183" s="42">
        <v>179</v>
      </c>
      <c r="D183" s="67" t="str">
        <f>IF('Prod 1'!D183="","",'Prod 1'!D183)</f>
        <v/>
      </c>
      <c r="E183" s="73" t="str">
        <f>IF('Prod 1'!E183="","",'Prod 1'!E183)</f>
        <v/>
      </c>
      <c r="F183" s="74" t="str">
        <f>IF('Prod 2'!K183="","",'Prod 2'!K183)</f>
        <v/>
      </c>
      <c r="G183" s="77" t="str">
        <f>IF('Prod 1'!I183="","",'Prod 1'!I183)</f>
        <v/>
      </c>
      <c r="H183" s="63" t="str">
        <f>IF('Prod 1'!F183="","",'Prod 1'!F183)</f>
        <v/>
      </c>
      <c r="I183" s="75" t="str">
        <f>IF('Prod 3'!F183="","",'Prod 3'!F183)</f>
        <v/>
      </c>
    </row>
    <row r="184" spans="3:9" ht="30" customHeight="1" x14ac:dyDescent="0.25">
      <c r="C184" s="42">
        <v>180</v>
      </c>
      <c r="D184" s="67" t="str">
        <f>IF('Prod 1'!D184="","",'Prod 1'!D184)</f>
        <v/>
      </c>
      <c r="E184" s="73" t="str">
        <f>IF('Prod 1'!E184="","",'Prod 1'!E184)</f>
        <v/>
      </c>
      <c r="F184" s="74" t="str">
        <f>IF('Prod 2'!K184="","",'Prod 2'!K184)</f>
        <v/>
      </c>
      <c r="G184" s="77" t="str">
        <f>IF('Prod 1'!I184="","",'Prod 1'!I184)</f>
        <v/>
      </c>
      <c r="H184" s="63" t="str">
        <f>IF('Prod 1'!F184="","",'Prod 1'!F184)</f>
        <v/>
      </c>
      <c r="I184" s="75" t="str">
        <f>IF('Prod 3'!F184="","",'Prod 3'!F184)</f>
        <v/>
      </c>
    </row>
    <row r="185" spans="3:9" ht="30" customHeight="1" x14ac:dyDescent="0.25">
      <c r="C185" s="42">
        <v>181</v>
      </c>
      <c r="D185" s="67" t="str">
        <f>IF('Prod 1'!D185="","",'Prod 1'!D185)</f>
        <v/>
      </c>
      <c r="E185" s="73" t="str">
        <f>IF('Prod 1'!E185="","",'Prod 1'!E185)</f>
        <v/>
      </c>
      <c r="F185" s="74" t="str">
        <f>IF('Prod 2'!K185="","",'Prod 2'!K185)</f>
        <v/>
      </c>
      <c r="G185" s="77" t="str">
        <f>IF('Prod 1'!I185="","",'Prod 1'!I185)</f>
        <v/>
      </c>
      <c r="H185" s="63" t="str">
        <f>IF('Prod 1'!F185="","",'Prod 1'!F185)</f>
        <v/>
      </c>
      <c r="I185" s="75" t="str">
        <f>IF('Prod 3'!F185="","",'Prod 3'!F185)</f>
        <v/>
      </c>
    </row>
    <row r="186" spans="3:9" ht="30" customHeight="1" x14ac:dyDescent="0.25">
      <c r="C186" s="42">
        <v>182</v>
      </c>
      <c r="D186" s="67" t="str">
        <f>IF('Prod 1'!D186="","",'Prod 1'!D186)</f>
        <v/>
      </c>
      <c r="E186" s="73" t="str">
        <f>IF('Prod 1'!E186="","",'Prod 1'!E186)</f>
        <v/>
      </c>
      <c r="F186" s="74" t="str">
        <f>IF('Prod 2'!K186="","",'Prod 2'!K186)</f>
        <v/>
      </c>
      <c r="G186" s="77" t="str">
        <f>IF('Prod 1'!I186="","",'Prod 1'!I186)</f>
        <v/>
      </c>
      <c r="H186" s="63" t="str">
        <f>IF('Prod 1'!F186="","",'Prod 1'!F186)</f>
        <v/>
      </c>
      <c r="I186" s="75" t="str">
        <f>IF('Prod 3'!F186="","",'Prod 3'!F186)</f>
        <v/>
      </c>
    </row>
    <row r="187" spans="3:9" ht="30" customHeight="1" x14ac:dyDescent="0.25">
      <c r="C187" s="42">
        <v>183</v>
      </c>
      <c r="D187" s="67" t="str">
        <f>IF('Prod 1'!D187="","",'Prod 1'!D187)</f>
        <v/>
      </c>
      <c r="E187" s="73" t="str">
        <f>IF('Prod 1'!E187="","",'Prod 1'!E187)</f>
        <v/>
      </c>
      <c r="F187" s="74" t="str">
        <f>IF('Prod 2'!K187="","",'Prod 2'!K187)</f>
        <v/>
      </c>
      <c r="G187" s="77" t="str">
        <f>IF('Prod 1'!I187="","",'Prod 1'!I187)</f>
        <v/>
      </c>
      <c r="H187" s="63" t="str">
        <f>IF('Prod 1'!F187="","",'Prod 1'!F187)</f>
        <v/>
      </c>
      <c r="I187" s="75" t="str">
        <f>IF('Prod 3'!F187="","",'Prod 3'!F187)</f>
        <v/>
      </c>
    </row>
    <row r="188" spans="3:9" ht="30" customHeight="1" x14ac:dyDescent="0.25">
      <c r="C188" s="42">
        <v>184</v>
      </c>
      <c r="D188" s="67" t="str">
        <f>IF('Prod 1'!D188="","",'Prod 1'!D188)</f>
        <v/>
      </c>
      <c r="E188" s="73" t="str">
        <f>IF('Prod 1'!E188="","",'Prod 1'!E188)</f>
        <v/>
      </c>
      <c r="F188" s="74" t="str">
        <f>IF('Prod 2'!K188="","",'Prod 2'!K188)</f>
        <v/>
      </c>
      <c r="G188" s="77" t="str">
        <f>IF('Prod 1'!I188="","",'Prod 1'!I188)</f>
        <v/>
      </c>
      <c r="H188" s="63" t="str">
        <f>IF('Prod 1'!F188="","",'Prod 1'!F188)</f>
        <v/>
      </c>
      <c r="I188" s="75" t="str">
        <f>IF('Prod 3'!F188="","",'Prod 3'!F188)</f>
        <v/>
      </c>
    </row>
    <row r="189" spans="3:9" ht="30" customHeight="1" x14ac:dyDescent="0.25">
      <c r="C189" s="42">
        <v>185</v>
      </c>
      <c r="D189" s="67" t="str">
        <f>IF('Prod 1'!D189="","",'Prod 1'!D189)</f>
        <v/>
      </c>
      <c r="E189" s="73" t="str">
        <f>IF('Prod 1'!E189="","",'Prod 1'!E189)</f>
        <v/>
      </c>
      <c r="F189" s="74" t="str">
        <f>IF('Prod 2'!K189="","",'Prod 2'!K189)</f>
        <v/>
      </c>
      <c r="G189" s="77" t="str">
        <f>IF('Prod 1'!I189="","",'Prod 1'!I189)</f>
        <v/>
      </c>
      <c r="H189" s="63" t="str">
        <f>IF('Prod 1'!F189="","",'Prod 1'!F189)</f>
        <v/>
      </c>
      <c r="I189" s="75" t="str">
        <f>IF('Prod 3'!F189="","",'Prod 3'!F189)</f>
        <v/>
      </c>
    </row>
    <row r="190" spans="3:9" ht="30" customHeight="1" x14ac:dyDescent="0.25">
      <c r="C190" s="42">
        <v>186</v>
      </c>
      <c r="D190" s="67" t="str">
        <f>IF('Prod 1'!D190="","",'Prod 1'!D190)</f>
        <v/>
      </c>
      <c r="E190" s="73" t="str">
        <f>IF('Prod 1'!E190="","",'Prod 1'!E190)</f>
        <v/>
      </c>
      <c r="F190" s="74" t="str">
        <f>IF('Prod 2'!K190="","",'Prod 2'!K190)</f>
        <v/>
      </c>
      <c r="G190" s="77" t="str">
        <f>IF('Prod 1'!I190="","",'Prod 1'!I190)</f>
        <v/>
      </c>
      <c r="H190" s="63" t="str">
        <f>IF('Prod 1'!F190="","",'Prod 1'!F190)</f>
        <v/>
      </c>
      <c r="I190" s="75" t="str">
        <f>IF('Prod 3'!F190="","",'Prod 3'!F190)</f>
        <v/>
      </c>
    </row>
    <row r="191" spans="3:9" ht="30" customHeight="1" x14ac:dyDescent="0.25">
      <c r="C191" s="42">
        <v>187</v>
      </c>
      <c r="D191" s="67" t="str">
        <f>IF('Prod 1'!D191="","",'Prod 1'!D191)</f>
        <v/>
      </c>
      <c r="E191" s="73" t="str">
        <f>IF('Prod 1'!E191="","",'Prod 1'!E191)</f>
        <v/>
      </c>
      <c r="F191" s="74" t="str">
        <f>IF('Prod 2'!K191="","",'Prod 2'!K191)</f>
        <v/>
      </c>
      <c r="G191" s="77" t="str">
        <f>IF('Prod 1'!I191="","",'Prod 1'!I191)</f>
        <v/>
      </c>
      <c r="H191" s="63" t="str">
        <f>IF('Prod 1'!F191="","",'Prod 1'!F191)</f>
        <v/>
      </c>
      <c r="I191" s="75" t="str">
        <f>IF('Prod 3'!F191="","",'Prod 3'!F191)</f>
        <v/>
      </c>
    </row>
    <row r="192" spans="3:9" ht="30" customHeight="1" x14ac:dyDescent="0.25">
      <c r="C192" s="42">
        <v>188</v>
      </c>
      <c r="D192" s="67" t="str">
        <f>IF('Prod 1'!D192="","",'Prod 1'!D192)</f>
        <v/>
      </c>
      <c r="E192" s="73" t="str">
        <f>IF('Prod 1'!E192="","",'Prod 1'!E192)</f>
        <v/>
      </c>
      <c r="F192" s="74" t="str">
        <f>IF('Prod 2'!K192="","",'Prod 2'!K192)</f>
        <v/>
      </c>
      <c r="G192" s="77" t="str">
        <f>IF('Prod 1'!I192="","",'Prod 1'!I192)</f>
        <v/>
      </c>
      <c r="H192" s="63" t="str">
        <f>IF('Prod 1'!F192="","",'Prod 1'!F192)</f>
        <v/>
      </c>
      <c r="I192" s="75" t="str">
        <f>IF('Prod 3'!F192="","",'Prod 3'!F192)</f>
        <v/>
      </c>
    </row>
    <row r="193" spans="3:9" ht="30" customHeight="1" x14ac:dyDescent="0.25">
      <c r="C193" s="42">
        <v>189</v>
      </c>
      <c r="D193" s="67" t="str">
        <f>IF('Prod 1'!D193="","",'Prod 1'!D193)</f>
        <v/>
      </c>
      <c r="E193" s="73" t="str">
        <f>IF('Prod 1'!E193="","",'Prod 1'!E193)</f>
        <v/>
      </c>
      <c r="F193" s="74" t="str">
        <f>IF('Prod 2'!K193="","",'Prod 2'!K193)</f>
        <v/>
      </c>
      <c r="G193" s="77" t="str">
        <f>IF('Prod 1'!I193="","",'Prod 1'!I193)</f>
        <v/>
      </c>
      <c r="H193" s="63" t="str">
        <f>IF('Prod 1'!F193="","",'Prod 1'!F193)</f>
        <v/>
      </c>
      <c r="I193" s="75" t="str">
        <f>IF('Prod 3'!F193="","",'Prod 3'!F193)</f>
        <v/>
      </c>
    </row>
    <row r="194" spans="3:9" ht="30" customHeight="1" x14ac:dyDescent="0.25">
      <c r="C194" s="42">
        <v>190</v>
      </c>
      <c r="D194" s="67" t="str">
        <f>IF('Prod 1'!D194="","",'Prod 1'!D194)</f>
        <v/>
      </c>
      <c r="E194" s="73" t="str">
        <f>IF('Prod 1'!E194="","",'Prod 1'!E194)</f>
        <v/>
      </c>
      <c r="F194" s="74" t="str">
        <f>IF('Prod 2'!K194="","",'Prod 2'!K194)</f>
        <v/>
      </c>
      <c r="G194" s="77" t="str">
        <f>IF('Prod 1'!I194="","",'Prod 1'!I194)</f>
        <v/>
      </c>
      <c r="H194" s="63" t="str">
        <f>IF('Prod 1'!F194="","",'Prod 1'!F194)</f>
        <v/>
      </c>
      <c r="I194" s="75" t="str">
        <f>IF('Prod 3'!F194="","",'Prod 3'!F194)</f>
        <v/>
      </c>
    </row>
    <row r="195" spans="3:9" ht="30" customHeight="1" x14ac:dyDescent="0.25">
      <c r="C195" s="42">
        <v>191</v>
      </c>
      <c r="D195" s="67" t="str">
        <f>IF('Prod 1'!D195="","",'Prod 1'!D195)</f>
        <v/>
      </c>
      <c r="E195" s="73" t="str">
        <f>IF('Prod 1'!E195="","",'Prod 1'!E195)</f>
        <v/>
      </c>
      <c r="F195" s="74" t="str">
        <f>IF('Prod 2'!K195="","",'Prod 2'!K195)</f>
        <v/>
      </c>
      <c r="G195" s="77" t="str">
        <f>IF('Prod 1'!I195="","",'Prod 1'!I195)</f>
        <v/>
      </c>
      <c r="H195" s="63" t="str">
        <f>IF('Prod 1'!F195="","",'Prod 1'!F195)</f>
        <v/>
      </c>
      <c r="I195" s="75" t="str">
        <f>IF('Prod 3'!F195="","",'Prod 3'!F195)</f>
        <v/>
      </c>
    </row>
    <row r="196" spans="3:9" ht="30" customHeight="1" x14ac:dyDescent="0.25">
      <c r="C196" s="42">
        <v>192</v>
      </c>
      <c r="D196" s="67" t="str">
        <f>IF('Prod 1'!D196="","",'Prod 1'!D196)</f>
        <v/>
      </c>
      <c r="E196" s="73" t="str">
        <f>IF('Prod 1'!E196="","",'Prod 1'!E196)</f>
        <v/>
      </c>
      <c r="F196" s="74" t="str">
        <f>IF('Prod 2'!K196="","",'Prod 2'!K196)</f>
        <v/>
      </c>
      <c r="G196" s="77" t="str">
        <f>IF('Prod 1'!I196="","",'Prod 1'!I196)</f>
        <v/>
      </c>
      <c r="H196" s="63" t="str">
        <f>IF('Prod 1'!F196="","",'Prod 1'!F196)</f>
        <v/>
      </c>
      <c r="I196" s="75" t="str">
        <f>IF('Prod 3'!F196="","",'Prod 3'!F196)</f>
        <v/>
      </c>
    </row>
    <row r="197" spans="3:9" ht="30" customHeight="1" x14ac:dyDescent="0.25">
      <c r="C197" s="42">
        <v>193</v>
      </c>
      <c r="D197" s="67" t="str">
        <f>IF('Prod 1'!D197="","",'Prod 1'!D197)</f>
        <v/>
      </c>
      <c r="E197" s="73" t="str">
        <f>IF('Prod 1'!E197="","",'Prod 1'!E197)</f>
        <v/>
      </c>
      <c r="F197" s="74" t="str">
        <f>IF('Prod 2'!K197="","",'Prod 2'!K197)</f>
        <v/>
      </c>
      <c r="G197" s="77" t="str">
        <f>IF('Prod 1'!I197="","",'Prod 1'!I197)</f>
        <v/>
      </c>
      <c r="H197" s="63" t="str">
        <f>IF('Prod 1'!F197="","",'Prod 1'!F197)</f>
        <v/>
      </c>
      <c r="I197" s="75" t="str">
        <f>IF('Prod 3'!F197="","",'Prod 3'!F197)</f>
        <v/>
      </c>
    </row>
    <row r="198" spans="3:9" ht="30" customHeight="1" x14ac:dyDescent="0.25">
      <c r="C198" s="42">
        <v>194</v>
      </c>
      <c r="D198" s="67" t="str">
        <f>IF('Prod 1'!D198="","",'Prod 1'!D198)</f>
        <v/>
      </c>
      <c r="E198" s="73" t="str">
        <f>IF('Prod 1'!E198="","",'Prod 1'!E198)</f>
        <v/>
      </c>
      <c r="F198" s="74" t="str">
        <f>IF('Prod 2'!K198="","",'Prod 2'!K198)</f>
        <v/>
      </c>
      <c r="G198" s="77" t="str">
        <f>IF('Prod 1'!I198="","",'Prod 1'!I198)</f>
        <v/>
      </c>
      <c r="H198" s="63" t="str">
        <f>IF('Prod 1'!F198="","",'Prod 1'!F198)</f>
        <v/>
      </c>
      <c r="I198" s="75" t="str">
        <f>IF('Prod 3'!F198="","",'Prod 3'!F198)</f>
        <v/>
      </c>
    </row>
    <row r="199" spans="3:9" ht="30" customHeight="1" x14ac:dyDescent="0.25">
      <c r="C199" s="42">
        <v>195</v>
      </c>
      <c r="D199" s="67" t="str">
        <f>IF('Prod 1'!D199="","",'Prod 1'!D199)</f>
        <v/>
      </c>
      <c r="E199" s="73" t="str">
        <f>IF('Prod 1'!E199="","",'Prod 1'!E199)</f>
        <v/>
      </c>
      <c r="F199" s="74" t="str">
        <f>IF('Prod 2'!K199="","",'Prod 2'!K199)</f>
        <v/>
      </c>
      <c r="G199" s="77" t="str">
        <f>IF('Prod 1'!I199="","",'Prod 1'!I199)</f>
        <v/>
      </c>
      <c r="H199" s="63" t="str">
        <f>IF('Prod 1'!F199="","",'Prod 1'!F199)</f>
        <v/>
      </c>
      <c r="I199" s="75" t="str">
        <f>IF('Prod 3'!F199="","",'Prod 3'!F199)</f>
        <v/>
      </c>
    </row>
    <row r="200" spans="3:9" ht="30" customHeight="1" x14ac:dyDescent="0.25">
      <c r="C200" s="42">
        <v>196</v>
      </c>
      <c r="D200" s="67" t="str">
        <f>IF('Prod 1'!D200="","",'Prod 1'!D200)</f>
        <v/>
      </c>
      <c r="E200" s="73" t="str">
        <f>IF('Prod 1'!E200="","",'Prod 1'!E200)</f>
        <v/>
      </c>
      <c r="F200" s="74" t="str">
        <f>IF('Prod 2'!K200="","",'Prod 2'!K200)</f>
        <v/>
      </c>
      <c r="G200" s="77" t="str">
        <f>IF('Prod 1'!I200="","",'Prod 1'!I200)</f>
        <v/>
      </c>
      <c r="H200" s="63" t="str">
        <f>IF('Prod 1'!F200="","",'Prod 1'!F200)</f>
        <v/>
      </c>
      <c r="I200" s="75" t="str">
        <f>IF('Prod 3'!F200="","",'Prod 3'!F200)</f>
        <v/>
      </c>
    </row>
    <row r="201" spans="3:9" ht="30" customHeight="1" x14ac:dyDescent="0.25">
      <c r="C201" s="42">
        <v>197</v>
      </c>
      <c r="D201" s="67" t="str">
        <f>IF('Prod 1'!D201="","",'Prod 1'!D201)</f>
        <v/>
      </c>
      <c r="E201" s="73" t="str">
        <f>IF('Prod 1'!E201="","",'Prod 1'!E201)</f>
        <v/>
      </c>
      <c r="F201" s="74" t="str">
        <f>IF('Prod 2'!K201="","",'Prod 2'!K201)</f>
        <v/>
      </c>
      <c r="G201" s="77" t="str">
        <f>IF('Prod 1'!I201="","",'Prod 1'!I201)</f>
        <v/>
      </c>
      <c r="H201" s="63" t="str">
        <f>IF('Prod 1'!F201="","",'Prod 1'!F201)</f>
        <v/>
      </c>
      <c r="I201" s="75" t="str">
        <f>IF('Prod 3'!F201="","",'Prod 3'!F201)</f>
        <v/>
      </c>
    </row>
    <row r="202" spans="3:9" ht="30" customHeight="1" x14ac:dyDescent="0.25">
      <c r="C202" s="42">
        <v>198</v>
      </c>
      <c r="D202" s="67" t="str">
        <f>IF('Prod 1'!D202="","",'Prod 1'!D202)</f>
        <v/>
      </c>
      <c r="E202" s="73" t="str">
        <f>IF('Prod 1'!E202="","",'Prod 1'!E202)</f>
        <v/>
      </c>
      <c r="F202" s="74" t="str">
        <f>IF('Prod 2'!K202="","",'Prod 2'!K202)</f>
        <v/>
      </c>
      <c r="G202" s="77" t="str">
        <f>IF('Prod 1'!I202="","",'Prod 1'!I202)</f>
        <v/>
      </c>
      <c r="H202" s="63" t="str">
        <f>IF('Prod 1'!F202="","",'Prod 1'!F202)</f>
        <v/>
      </c>
      <c r="I202" s="75" t="str">
        <f>IF('Prod 3'!F202="","",'Prod 3'!F202)</f>
        <v/>
      </c>
    </row>
    <row r="203" spans="3:9" ht="30" customHeight="1" x14ac:dyDescent="0.25">
      <c r="C203" s="42">
        <v>199</v>
      </c>
      <c r="D203" s="67" t="str">
        <f>IF('Prod 1'!D203="","",'Prod 1'!D203)</f>
        <v/>
      </c>
      <c r="E203" s="73" t="str">
        <f>IF('Prod 1'!E203="","",'Prod 1'!E203)</f>
        <v/>
      </c>
      <c r="F203" s="74" t="str">
        <f>IF('Prod 2'!K203="","",'Prod 2'!K203)</f>
        <v/>
      </c>
      <c r="G203" s="77" t="str">
        <f>IF('Prod 1'!I203="","",'Prod 1'!I203)</f>
        <v/>
      </c>
      <c r="H203" s="63" t="str">
        <f>IF('Prod 1'!F203="","",'Prod 1'!F203)</f>
        <v/>
      </c>
      <c r="I203" s="75" t="str">
        <f>IF('Prod 3'!F203="","",'Prod 3'!F203)</f>
        <v/>
      </c>
    </row>
    <row r="204" spans="3:9" ht="30" customHeight="1" x14ac:dyDescent="0.25">
      <c r="C204" s="42">
        <v>200</v>
      </c>
      <c r="D204" s="67" t="str">
        <f>IF('Prod 1'!D204="","",'Prod 1'!D204)</f>
        <v/>
      </c>
      <c r="E204" s="73" t="str">
        <f>IF('Prod 1'!E204="","",'Prod 1'!E204)</f>
        <v/>
      </c>
      <c r="F204" s="74" t="str">
        <f>IF('Prod 2'!K204="","",'Prod 2'!K204)</f>
        <v/>
      </c>
      <c r="G204" s="77" t="str">
        <f>IF('Prod 1'!I204="","",'Prod 1'!I204)</f>
        <v/>
      </c>
      <c r="H204" s="63" t="str">
        <f>IF('Prod 1'!F204="","",'Prod 1'!F204)</f>
        <v/>
      </c>
      <c r="I204" s="75" t="str">
        <f>IF('Prod 3'!F204="","",'Prod 3'!F204)</f>
        <v/>
      </c>
    </row>
    <row r="205" spans="3:9" ht="30" customHeight="1" x14ac:dyDescent="0.25">
      <c r="C205" s="42">
        <v>201</v>
      </c>
      <c r="D205" s="67" t="str">
        <f>IF('Prod 1'!D205="","",'Prod 1'!D205)</f>
        <v/>
      </c>
      <c r="E205" s="73" t="str">
        <f>IF('Prod 1'!E205="","",'Prod 1'!E205)</f>
        <v/>
      </c>
      <c r="F205" s="74" t="str">
        <f>IF('Prod 2'!K205="","",'Prod 2'!K205)</f>
        <v/>
      </c>
      <c r="G205" s="77" t="str">
        <f>IF('Prod 1'!I205="","",'Prod 1'!I205)</f>
        <v/>
      </c>
      <c r="H205" s="63" t="str">
        <f>IF('Prod 1'!F205="","",'Prod 1'!F205)</f>
        <v/>
      </c>
      <c r="I205" s="75" t="str">
        <f>IF('Prod 3'!F205="","",'Prod 3'!F205)</f>
        <v/>
      </c>
    </row>
    <row r="206" spans="3:9" ht="30" customHeight="1" x14ac:dyDescent="0.25">
      <c r="C206" s="42">
        <v>202</v>
      </c>
      <c r="D206" s="67" t="str">
        <f>IF('Prod 1'!D206="","",'Prod 1'!D206)</f>
        <v/>
      </c>
      <c r="E206" s="73" t="str">
        <f>IF('Prod 1'!E206="","",'Prod 1'!E206)</f>
        <v/>
      </c>
      <c r="F206" s="74" t="str">
        <f>IF('Prod 2'!K206="","",'Prod 2'!K206)</f>
        <v/>
      </c>
      <c r="G206" s="77" t="str">
        <f>IF('Prod 1'!I206="","",'Prod 1'!I206)</f>
        <v/>
      </c>
      <c r="H206" s="63" t="str">
        <f>IF('Prod 1'!F206="","",'Prod 1'!F206)</f>
        <v/>
      </c>
      <c r="I206" s="75" t="str">
        <f>IF('Prod 3'!F206="","",'Prod 3'!F206)</f>
        <v/>
      </c>
    </row>
    <row r="207" spans="3:9" ht="30" customHeight="1" x14ac:dyDescent="0.25">
      <c r="C207" s="42">
        <v>203</v>
      </c>
      <c r="D207" s="67" t="str">
        <f>IF('Prod 1'!D207="","",'Prod 1'!D207)</f>
        <v/>
      </c>
      <c r="E207" s="73" t="str">
        <f>IF('Prod 1'!E207="","",'Prod 1'!E207)</f>
        <v/>
      </c>
      <c r="F207" s="74" t="str">
        <f>IF('Prod 2'!K207="","",'Prod 2'!K207)</f>
        <v/>
      </c>
      <c r="G207" s="77" t="str">
        <f>IF('Prod 1'!I207="","",'Prod 1'!I207)</f>
        <v/>
      </c>
      <c r="H207" s="63" t="str">
        <f>IF('Prod 1'!F207="","",'Prod 1'!F207)</f>
        <v/>
      </c>
      <c r="I207" s="75" t="str">
        <f>IF('Prod 3'!F207="","",'Prod 3'!F207)</f>
        <v/>
      </c>
    </row>
    <row r="208" spans="3:9" ht="30" customHeight="1" x14ac:dyDescent="0.25">
      <c r="C208" s="42">
        <v>204</v>
      </c>
      <c r="D208" s="67" t="str">
        <f>IF('Prod 1'!D208="","",'Prod 1'!D208)</f>
        <v/>
      </c>
      <c r="E208" s="73" t="str">
        <f>IF('Prod 1'!E208="","",'Prod 1'!E208)</f>
        <v/>
      </c>
      <c r="F208" s="74" t="str">
        <f>IF('Prod 2'!K208="","",'Prod 2'!K208)</f>
        <v/>
      </c>
      <c r="G208" s="77" t="str">
        <f>IF('Prod 1'!I208="","",'Prod 1'!I208)</f>
        <v/>
      </c>
      <c r="H208" s="63" t="str">
        <f>IF('Prod 1'!F208="","",'Prod 1'!F208)</f>
        <v/>
      </c>
      <c r="I208" s="75" t="str">
        <f>IF('Prod 3'!F208="","",'Prod 3'!F208)</f>
        <v/>
      </c>
    </row>
    <row r="209" spans="3:9" ht="30" customHeight="1" x14ac:dyDescent="0.25">
      <c r="C209" s="42">
        <v>205</v>
      </c>
      <c r="D209" s="67" t="str">
        <f>IF('Prod 1'!D209="","",'Prod 1'!D209)</f>
        <v/>
      </c>
      <c r="E209" s="73" t="str">
        <f>IF('Prod 1'!E209="","",'Prod 1'!E209)</f>
        <v/>
      </c>
      <c r="F209" s="74" t="str">
        <f>IF('Prod 2'!K209="","",'Prod 2'!K209)</f>
        <v/>
      </c>
      <c r="G209" s="77" t="str">
        <f>IF('Prod 1'!I209="","",'Prod 1'!I209)</f>
        <v/>
      </c>
      <c r="H209" s="63" t="str">
        <f>IF('Prod 1'!F209="","",'Prod 1'!F209)</f>
        <v/>
      </c>
      <c r="I209" s="75" t="str">
        <f>IF('Prod 3'!F209="","",'Prod 3'!F209)</f>
        <v/>
      </c>
    </row>
    <row r="210" spans="3:9" ht="30" customHeight="1" x14ac:dyDescent="0.25">
      <c r="C210" s="42">
        <v>206</v>
      </c>
      <c r="D210" s="67" t="str">
        <f>IF('Prod 1'!D210="","",'Prod 1'!D210)</f>
        <v/>
      </c>
      <c r="E210" s="73" t="str">
        <f>IF('Prod 1'!E210="","",'Prod 1'!E210)</f>
        <v/>
      </c>
      <c r="F210" s="74" t="str">
        <f>IF('Prod 2'!K210="","",'Prod 2'!K210)</f>
        <v/>
      </c>
      <c r="G210" s="77" t="str">
        <f>IF('Prod 1'!I210="","",'Prod 1'!I210)</f>
        <v/>
      </c>
      <c r="H210" s="63" t="str">
        <f>IF('Prod 1'!F210="","",'Prod 1'!F210)</f>
        <v/>
      </c>
      <c r="I210" s="75" t="str">
        <f>IF('Prod 3'!F210="","",'Prod 3'!F210)</f>
        <v/>
      </c>
    </row>
    <row r="211" spans="3:9" ht="30" customHeight="1" x14ac:dyDescent="0.25">
      <c r="C211" s="42">
        <v>207</v>
      </c>
      <c r="D211" s="67" t="str">
        <f>IF('Prod 1'!D211="","",'Prod 1'!D211)</f>
        <v/>
      </c>
      <c r="E211" s="73" t="str">
        <f>IF('Prod 1'!E211="","",'Prod 1'!E211)</f>
        <v/>
      </c>
      <c r="F211" s="74" t="str">
        <f>IF('Prod 2'!K211="","",'Prod 2'!K211)</f>
        <v/>
      </c>
      <c r="G211" s="77" t="str">
        <f>IF('Prod 1'!I211="","",'Prod 1'!I211)</f>
        <v/>
      </c>
      <c r="H211" s="63" t="str">
        <f>IF('Prod 1'!F211="","",'Prod 1'!F211)</f>
        <v/>
      </c>
      <c r="I211" s="75" t="str">
        <f>IF('Prod 3'!F211="","",'Prod 3'!F211)</f>
        <v/>
      </c>
    </row>
    <row r="212" spans="3:9" ht="30" customHeight="1" x14ac:dyDescent="0.25">
      <c r="C212" s="42">
        <v>208</v>
      </c>
      <c r="D212" s="67" t="str">
        <f>IF('Prod 1'!D212="","",'Prod 1'!D212)</f>
        <v/>
      </c>
      <c r="E212" s="73" t="str">
        <f>IF('Prod 1'!E212="","",'Prod 1'!E212)</f>
        <v/>
      </c>
      <c r="F212" s="74" t="str">
        <f>IF('Prod 2'!K212="","",'Prod 2'!K212)</f>
        <v/>
      </c>
      <c r="G212" s="77" t="str">
        <f>IF('Prod 1'!I212="","",'Prod 1'!I212)</f>
        <v/>
      </c>
      <c r="H212" s="63" t="str">
        <f>IF('Prod 1'!F212="","",'Prod 1'!F212)</f>
        <v/>
      </c>
      <c r="I212" s="75" t="str">
        <f>IF('Prod 3'!F212="","",'Prod 3'!F212)</f>
        <v/>
      </c>
    </row>
    <row r="213" spans="3:9" ht="30" customHeight="1" x14ac:dyDescent="0.25">
      <c r="C213" s="42">
        <v>209</v>
      </c>
      <c r="D213" s="67" t="str">
        <f>IF('Prod 1'!D213="","",'Prod 1'!D213)</f>
        <v/>
      </c>
      <c r="E213" s="73" t="str">
        <f>IF('Prod 1'!E213="","",'Prod 1'!E213)</f>
        <v/>
      </c>
      <c r="F213" s="74" t="str">
        <f>IF('Prod 2'!K213="","",'Prod 2'!K213)</f>
        <v/>
      </c>
      <c r="G213" s="77" t="str">
        <f>IF('Prod 1'!I213="","",'Prod 1'!I213)</f>
        <v/>
      </c>
      <c r="H213" s="63" t="str">
        <f>IF('Prod 1'!F213="","",'Prod 1'!F213)</f>
        <v/>
      </c>
      <c r="I213" s="75" t="str">
        <f>IF('Prod 3'!F213="","",'Prod 3'!F213)</f>
        <v/>
      </c>
    </row>
    <row r="214" spans="3:9" ht="30" customHeight="1" x14ac:dyDescent="0.25">
      <c r="C214" s="42">
        <v>210</v>
      </c>
      <c r="D214" s="67" t="str">
        <f>IF('Prod 1'!D214="","",'Prod 1'!D214)</f>
        <v/>
      </c>
      <c r="E214" s="73" t="str">
        <f>IF('Prod 1'!E214="","",'Prod 1'!E214)</f>
        <v/>
      </c>
      <c r="F214" s="74" t="str">
        <f>IF('Prod 2'!K214="","",'Prod 2'!K214)</f>
        <v/>
      </c>
      <c r="G214" s="77" t="str">
        <f>IF('Prod 1'!I214="","",'Prod 1'!I214)</f>
        <v/>
      </c>
      <c r="H214" s="63" t="str">
        <f>IF('Prod 1'!F214="","",'Prod 1'!F214)</f>
        <v/>
      </c>
      <c r="I214" s="75" t="str">
        <f>IF('Prod 3'!F214="","",'Prod 3'!F214)</f>
        <v/>
      </c>
    </row>
    <row r="215" spans="3:9" ht="30" customHeight="1" x14ac:dyDescent="0.25">
      <c r="C215" s="42">
        <v>211</v>
      </c>
      <c r="D215" s="67" t="str">
        <f>IF('Prod 1'!D215="","",'Prod 1'!D215)</f>
        <v/>
      </c>
      <c r="E215" s="73" t="str">
        <f>IF('Prod 1'!E215="","",'Prod 1'!E215)</f>
        <v/>
      </c>
      <c r="F215" s="74" t="str">
        <f>IF('Prod 2'!K215="","",'Prod 2'!K215)</f>
        <v/>
      </c>
      <c r="G215" s="77" t="str">
        <f>IF('Prod 1'!I215="","",'Prod 1'!I215)</f>
        <v/>
      </c>
      <c r="H215" s="63" t="str">
        <f>IF('Prod 1'!F215="","",'Prod 1'!F215)</f>
        <v/>
      </c>
      <c r="I215" s="75" t="str">
        <f>IF('Prod 3'!F215="","",'Prod 3'!F215)</f>
        <v/>
      </c>
    </row>
    <row r="216" spans="3:9" ht="30" customHeight="1" x14ac:dyDescent="0.25">
      <c r="C216" s="42">
        <v>212</v>
      </c>
      <c r="D216" s="67" t="str">
        <f>IF('Prod 1'!D216="","",'Prod 1'!D216)</f>
        <v/>
      </c>
      <c r="E216" s="73" t="str">
        <f>IF('Prod 1'!E216="","",'Prod 1'!E216)</f>
        <v/>
      </c>
      <c r="F216" s="74" t="str">
        <f>IF('Prod 2'!K216="","",'Prod 2'!K216)</f>
        <v/>
      </c>
      <c r="G216" s="77" t="str">
        <f>IF('Prod 1'!I216="","",'Prod 1'!I216)</f>
        <v/>
      </c>
      <c r="H216" s="63" t="str">
        <f>IF('Prod 1'!F216="","",'Prod 1'!F216)</f>
        <v/>
      </c>
      <c r="I216" s="75" t="str">
        <f>IF('Prod 3'!F216="","",'Prod 3'!F216)</f>
        <v/>
      </c>
    </row>
    <row r="217" spans="3:9" ht="30" customHeight="1" x14ac:dyDescent="0.25">
      <c r="C217" s="42">
        <v>213</v>
      </c>
      <c r="D217" s="67" t="str">
        <f>IF('Prod 1'!D217="","",'Prod 1'!D217)</f>
        <v/>
      </c>
      <c r="E217" s="73" t="str">
        <f>IF('Prod 1'!E217="","",'Prod 1'!E217)</f>
        <v/>
      </c>
      <c r="F217" s="74" t="str">
        <f>IF('Prod 2'!K217="","",'Prod 2'!K217)</f>
        <v/>
      </c>
      <c r="G217" s="77" t="str">
        <f>IF('Prod 1'!I217="","",'Prod 1'!I217)</f>
        <v/>
      </c>
      <c r="H217" s="63" t="str">
        <f>IF('Prod 1'!F217="","",'Prod 1'!F217)</f>
        <v/>
      </c>
      <c r="I217" s="75" t="str">
        <f>IF('Prod 3'!F217="","",'Prod 3'!F217)</f>
        <v/>
      </c>
    </row>
    <row r="218" spans="3:9" ht="30" customHeight="1" x14ac:dyDescent="0.25">
      <c r="C218" s="42">
        <v>214</v>
      </c>
      <c r="D218" s="67" t="str">
        <f>IF('Prod 1'!D218="","",'Prod 1'!D218)</f>
        <v/>
      </c>
      <c r="E218" s="73" t="str">
        <f>IF('Prod 1'!E218="","",'Prod 1'!E218)</f>
        <v/>
      </c>
      <c r="F218" s="74" t="str">
        <f>IF('Prod 2'!K218="","",'Prod 2'!K218)</f>
        <v/>
      </c>
      <c r="G218" s="77" t="str">
        <f>IF('Prod 1'!I218="","",'Prod 1'!I218)</f>
        <v/>
      </c>
      <c r="H218" s="63" t="str">
        <f>IF('Prod 1'!F218="","",'Prod 1'!F218)</f>
        <v/>
      </c>
      <c r="I218" s="75" t="str">
        <f>IF('Prod 3'!F218="","",'Prod 3'!F218)</f>
        <v/>
      </c>
    </row>
    <row r="219" spans="3:9" ht="30" customHeight="1" x14ac:dyDescent="0.25">
      <c r="C219" s="42">
        <v>215</v>
      </c>
      <c r="D219" s="67" t="str">
        <f>IF('Prod 1'!D219="","",'Prod 1'!D219)</f>
        <v/>
      </c>
      <c r="E219" s="73" t="str">
        <f>IF('Prod 1'!E219="","",'Prod 1'!E219)</f>
        <v/>
      </c>
      <c r="F219" s="74" t="str">
        <f>IF('Prod 2'!K219="","",'Prod 2'!K219)</f>
        <v/>
      </c>
      <c r="G219" s="77" t="str">
        <f>IF('Prod 1'!I219="","",'Prod 1'!I219)</f>
        <v/>
      </c>
      <c r="H219" s="63" t="str">
        <f>IF('Prod 1'!F219="","",'Prod 1'!F219)</f>
        <v/>
      </c>
      <c r="I219" s="75" t="str">
        <f>IF('Prod 3'!F219="","",'Prod 3'!F219)</f>
        <v/>
      </c>
    </row>
    <row r="220" spans="3:9" ht="30" customHeight="1" x14ac:dyDescent="0.25">
      <c r="C220" s="42">
        <v>216</v>
      </c>
      <c r="D220" s="67" t="str">
        <f>IF('Prod 1'!D220="","",'Prod 1'!D220)</f>
        <v/>
      </c>
      <c r="E220" s="73" t="str">
        <f>IF('Prod 1'!E220="","",'Prod 1'!E220)</f>
        <v/>
      </c>
      <c r="F220" s="74" t="str">
        <f>IF('Prod 2'!K220="","",'Prod 2'!K220)</f>
        <v/>
      </c>
      <c r="G220" s="77" t="str">
        <f>IF('Prod 1'!I220="","",'Prod 1'!I220)</f>
        <v/>
      </c>
      <c r="H220" s="63" t="str">
        <f>IF('Prod 1'!F220="","",'Prod 1'!F220)</f>
        <v/>
      </c>
      <c r="I220" s="75" t="str">
        <f>IF('Prod 3'!F220="","",'Prod 3'!F220)</f>
        <v/>
      </c>
    </row>
    <row r="221" spans="3:9" ht="30" customHeight="1" x14ac:dyDescent="0.25">
      <c r="C221" s="42">
        <v>217</v>
      </c>
      <c r="D221" s="67" t="str">
        <f>IF('Prod 1'!D221="","",'Prod 1'!D221)</f>
        <v/>
      </c>
      <c r="E221" s="73" t="str">
        <f>IF('Prod 1'!E221="","",'Prod 1'!E221)</f>
        <v/>
      </c>
      <c r="F221" s="74" t="str">
        <f>IF('Prod 2'!K221="","",'Prod 2'!K221)</f>
        <v/>
      </c>
      <c r="G221" s="77" t="str">
        <f>IF('Prod 1'!I221="","",'Prod 1'!I221)</f>
        <v/>
      </c>
      <c r="H221" s="63" t="str">
        <f>IF('Prod 1'!F221="","",'Prod 1'!F221)</f>
        <v/>
      </c>
      <c r="I221" s="75" t="str">
        <f>IF('Prod 3'!F221="","",'Prod 3'!F221)</f>
        <v/>
      </c>
    </row>
    <row r="222" spans="3:9" ht="30" customHeight="1" x14ac:dyDescent="0.25">
      <c r="C222" s="42">
        <v>218</v>
      </c>
      <c r="D222" s="67" t="str">
        <f>IF('Prod 1'!D222="","",'Prod 1'!D222)</f>
        <v/>
      </c>
      <c r="E222" s="73" t="str">
        <f>IF('Prod 1'!E222="","",'Prod 1'!E222)</f>
        <v/>
      </c>
      <c r="F222" s="74" t="str">
        <f>IF('Prod 2'!K222="","",'Prod 2'!K222)</f>
        <v/>
      </c>
      <c r="G222" s="77" t="str">
        <f>IF('Prod 1'!I222="","",'Prod 1'!I222)</f>
        <v/>
      </c>
      <c r="H222" s="63" t="str">
        <f>IF('Prod 1'!F222="","",'Prod 1'!F222)</f>
        <v/>
      </c>
      <c r="I222" s="75" t="str">
        <f>IF('Prod 3'!F222="","",'Prod 3'!F222)</f>
        <v/>
      </c>
    </row>
    <row r="223" spans="3:9" ht="30" customHeight="1" x14ac:dyDescent="0.25">
      <c r="C223" s="42">
        <v>219</v>
      </c>
      <c r="D223" s="67" t="str">
        <f>IF('Prod 1'!D223="","",'Prod 1'!D223)</f>
        <v/>
      </c>
      <c r="E223" s="73" t="str">
        <f>IF('Prod 1'!E223="","",'Prod 1'!E223)</f>
        <v/>
      </c>
      <c r="F223" s="74" t="str">
        <f>IF('Prod 2'!K223="","",'Prod 2'!K223)</f>
        <v/>
      </c>
      <c r="G223" s="77" t="str">
        <f>IF('Prod 1'!I223="","",'Prod 1'!I223)</f>
        <v/>
      </c>
      <c r="H223" s="63" t="str">
        <f>IF('Prod 1'!F223="","",'Prod 1'!F223)</f>
        <v/>
      </c>
      <c r="I223" s="75" t="str">
        <f>IF('Prod 3'!F223="","",'Prod 3'!F223)</f>
        <v/>
      </c>
    </row>
    <row r="224" spans="3:9" ht="30" customHeight="1" x14ac:dyDescent="0.25">
      <c r="C224" s="42">
        <v>220</v>
      </c>
      <c r="D224" s="67" t="str">
        <f>IF('Prod 1'!D224="","",'Prod 1'!D224)</f>
        <v/>
      </c>
      <c r="E224" s="73" t="str">
        <f>IF('Prod 1'!E224="","",'Prod 1'!E224)</f>
        <v/>
      </c>
      <c r="F224" s="74" t="str">
        <f>IF('Prod 2'!K224="","",'Prod 2'!K224)</f>
        <v/>
      </c>
      <c r="G224" s="77" t="str">
        <f>IF('Prod 1'!I224="","",'Prod 1'!I224)</f>
        <v/>
      </c>
      <c r="H224" s="63" t="str">
        <f>IF('Prod 1'!F224="","",'Prod 1'!F224)</f>
        <v/>
      </c>
      <c r="I224" s="75" t="str">
        <f>IF('Prod 3'!F224="","",'Prod 3'!F224)</f>
        <v/>
      </c>
    </row>
    <row r="225" spans="3:9" ht="30" customHeight="1" x14ac:dyDescent="0.25">
      <c r="C225" s="42">
        <v>221</v>
      </c>
      <c r="D225" s="67" t="str">
        <f>IF('Prod 1'!D225="","",'Prod 1'!D225)</f>
        <v/>
      </c>
      <c r="E225" s="73" t="str">
        <f>IF('Prod 1'!E225="","",'Prod 1'!E225)</f>
        <v/>
      </c>
      <c r="F225" s="74" t="str">
        <f>IF('Prod 2'!K225="","",'Prod 2'!K225)</f>
        <v/>
      </c>
      <c r="G225" s="77" t="str">
        <f>IF('Prod 1'!I225="","",'Prod 1'!I225)</f>
        <v/>
      </c>
      <c r="H225" s="63" t="str">
        <f>IF('Prod 1'!F225="","",'Prod 1'!F225)</f>
        <v/>
      </c>
      <c r="I225" s="75" t="str">
        <f>IF('Prod 3'!F225="","",'Prod 3'!F225)</f>
        <v/>
      </c>
    </row>
    <row r="226" spans="3:9" ht="30" customHeight="1" x14ac:dyDescent="0.25">
      <c r="C226" s="42">
        <v>222</v>
      </c>
      <c r="D226" s="67" t="str">
        <f>IF('Prod 1'!D226="","",'Prod 1'!D226)</f>
        <v/>
      </c>
      <c r="E226" s="73" t="str">
        <f>IF('Prod 1'!E226="","",'Prod 1'!E226)</f>
        <v/>
      </c>
      <c r="F226" s="74" t="str">
        <f>IF('Prod 2'!K226="","",'Prod 2'!K226)</f>
        <v/>
      </c>
      <c r="G226" s="77" t="str">
        <f>IF('Prod 1'!I226="","",'Prod 1'!I226)</f>
        <v/>
      </c>
      <c r="H226" s="63" t="str">
        <f>IF('Prod 1'!F226="","",'Prod 1'!F226)</f>
        <v/>
      </c>
      <c r="I226" s="75" t="str">
        <f>IF('Prod 3'!F226="","",'Prod 3'!F226)</f>
        <v/>
      </c>
    </row>
    <row r="227" spans="3:9" ht="30" customHeight="1" x14ac:dyDescent="0.25">
      <c r="C227" s="42">
        <v>223</v>
      </c>
      <c r="D227" s="67" t="str">
        <f>IF('Prod 1'!D227="","",'Prod 1'!D227)</f>
        <v/>
      </c>
      <c r="E227" s="73" t="str">
        <f>IF('Prod 1'!E227="","",'Prod 1'!E227)</f>
        <v/>
      </c>
      <c r="F227" s="74" t="str">
        <f>IF('Prod 2'!K227="","",'Prod 2'!K227)</f>
        <v/>
      </c>
      <c r="G227" s="77" t="str">
        <f>IF('Prod 1'!I227="","",'Prod 1'!I227)</f>
        <v/>
      </c>
      <c r="H227" s="63" t="str">
        <f>IF('Prod 1'!F227="","",'Prod 1'!F227)</f>
        <v/>
      </c>
      <c r="I227" s="75" t="str">
        <f>IF('Prod 3'!F227="","",'Prod 3'!F227)</f>
        <v/>
      </c>
    </row>
    <row r="228" spans="3:9" ht="30" customHeight="1" x14ac:dyDescent="0.25">
      <c r="C228" s="42">
        <v>224</v>
      </c>
      <c r="D228" s="67" t="str">
        <f>IF('Prod 1'!D228="","",'Prod 1'!D228)</f>
        <v/>
      </c>
      <c r="E228" s="73" t="str">
        <f>IF('Prod 1'!E228="","",'Prod 1'!E228)</f>
        <v/>
      </c>
      <c r="F228" s="74" t="str">
        <f>IF('Prod 2'!K228="","",'Prod 2'!K228)</f>
        <v/>
      </c>
      <c r="G228" s="77" t="str">
        <f>IF('Prod 1'!I228="","",'Prod 1'!I228)</f>
        <v/>
      </c>
      <c r="H228" s="63" t="str">
        <f>IF('Prod 1'!F228="","",'Prod 1'!F228)</f>
        <v/>
      </c>
      <c r="I228" s="75" t="str">
        <f>IF('Prod 3'!F228="","",'Prod 3'!F228)</f>
        <v/>
      </c>
    </row>
    <row r="229" spans="3:9" ht="30" customHeight="1" x14ac:dyDescent="0.25">
      <c r="C229" s="42">
        <v>225</v>
      </c>
      <c r="D229" s="67" t="str">
        <f>IF('Prod 1'!D229="","",'Prod 1'!D229)</f>
        <v/>
      </c>
      <c r="E229" s="73" t="str">
        <f>IF('Prod 1'!E229="","",'Prod 1'!E229)</f>
        <v/>
      </c>
      <c r="F229" s="74" t="str">
        <f>IF('Prod 2'!K229="","",'Prod 2'!K229)</f>
        <v/>
      </c>
      <c r="G229" s="77" t="str">
        <f>IF('Prod 1'!I229="","",'Prod 1'!I229)</f>
        <v/>
      </c>
      <c r="H229" s="63" t="str">
        <f>IF('Prod 1'!F229="","",'Prod 1'!F229)</f>
        <v/>
      </c>
      <c r="I229" s="75" t="str">
        <f>IF('Prod 3'!F229="","",'Prod 3'!F229)</f>
        <v/>
      </c>
    </row>
    <row r="230" spans="3:9" ht="30" customHeight="1" x14ac:dyDescent="0.25">
      <c r="C230" s="42">
        <v>226</v>
      </c>
      <c r="D230" s="67" t="str">
        <f>IF('Prod 1'!D230="","",'Prod 1'!D230)</f>
        <v/>
      </c>
      <c r="E230" s="73" t="str">
        <f>IF('Prod 1'!E230="","",'Prod 1'!E230)</f>
        <v/>
      </c>
      <c r="F230" s="74" t="str">
        <f>IF('Prod 2'!K230="","",'Prod 2'!K230)</f>
        <v/>
      </c>
      <c r="G230" s="77" t="str">
        <f>IF('Prod 1'!I230="","",'Prod 1'!I230)</f>
        <v/>
      </c>
      <c r="H230" s="63" t="str">
        <f>IF('Prod 1'!F230="","",'Prod 1'!F230)</f>
        <v/>
      </c>
      <c r="I230" s="75" t="str">
        <f>IF('Prod 3'!F230="","",'Prod 3'!F230)</f>
        <v/>
      </c>
    </row>
    <row r="231" spans="3:9" ht="30" customHeight="1" x14ac:dyDescent="0.25">
      <c r="C231" s="42">
        <v>227</v>
      </c>
      <c r="D231" s="67" t="str">
        <f>IF('Prod 1'!D231="","",'Prod 1'!D231)</f>
        <v/>
      </c>
      <c r="E231" s="73" t="str">
        <f>IF('Prod 1'!E231="","",'Prod 1'!E231)</f>
        <v/>
      </c>
      <c r="F231" s="74" t="str">
        <f>IF('Prod 2'!K231="","",'Prod 2'!K231)</f>
        <v/>
      </c>
      <c r="G231" s="77" t="str">
        <f>IF('Prod 1'!I231="","",'Prod 1'!I231)</f>
        <v/>
      </c>
      <c r="H231" s="63" t="str">
        <f>IF('Prod 1'!F231="","",'Prod 1'!F231)</f>
        <v/>
      </c>
      <c r="I231" s="75" t="str">
        <f>IF('Prod 3'!F231="","",'Prod 3'!F231)</f>
        <v/>
      </c>
    </row>
    <row r="232" spans="3:9" ht="30" customHeight="1" x14ac:dyDescent="0.25">
      <c r="C232" s="42">
        <v>228</v>
      </c>
      <c r="D232" s="67" t="str">
        <f>IF('Prod 1'!D232="","",'Prod 1'!D232)</f>
        <v/>
      </c>
      <c r="E232" s="73" t="str">
        <f>IF('Prod 1'!E232="","",'Prod 1'!E232)</f>
        <v/>
      </c>
      <c r="F232" s="74" t="str">
        <f>IF('Prod 2'!K232="","",'Prod 2'!K232)</f>
        <v/>
      </c>
      <c r="G232" s="77" t="str">
        <f>IF('Prod 1'!I232="","",'Prod 1'!I232)</f>
        <v/>
      </c>
      <c r="H232" s="63" t="str">
        <f>IF('Prod 1'!F232="","",'Prod 1'!F232)</f>
        <v/>
      </c>
      <c r="I232" s="75" t="str">
        <f>IF('Prod 3'!F232="","",'Prod 3'!F232)</f>
        <v/>
      </c>
    </row>
    <row r="233" spans="3:9" ht="30" customHeight="1" x14ac:dyDescent="0.25">
      <c r="C233" s="42">
        <v>229</v>
      </c>
      <c r="D233" s="67" t="str">
        <f>IF('Prod 1'!D233="","",'Prod 1'!D233)</f>
        <v/>
      </c>
      <c r="E233" s="73" t="str">
        <f>IF('Prod 1'!E233="","",'Prod 1'!E233)</f>
        <v/>
      </c>
      <c r="F233" s="74" t="str">
        <f>IF('Prod 2'!K233="","",'Prod 2'!K233)</f>
        <v/>
      </c>
      <c r="G233" s="77" t="str">
        <f>IF('Prod 1'!I233="","",'Prod 1'!I233)</f>
        <v/>
      </c>
      <c r="H233" s="63" t="str">
        <f>IF('Prod 1'!F233="","",'Prod 1'!F233)</f>
        <v/>
      </c>
      <c r="I233" s="75" t="str">
        <f>IF('Prod 3'!F233="","",'Prod 3'!F233)</f>
        <v/>
      </c>
    </row>
    <row r="234" spans="3:9" ht="30" customHeight="1" x14ac:dyDescent="0.25">
      <c r="C234" s="42">
        <v>230</v>
      </c>
      <c r="D234" s="67" t="str">
        <f>IF('Prod 1'!D234="","",'Prod 1'!D234)</f>
        <v/>
      </c>
      <c r="E234" s="73" t="str">
        <f>IF('Prod 1'!E234="","",'Prod 1'!E234)</f>
        <v/>
      </c>
      <c r="F234" s="74" t="str">
        <f>IF('Prod 2'!K234="","",'Prod 2'!K234)</f>
        <v/>
      </c>
      <c r="G234" s="77" t="str">
        <f>IF('Prod 1'!I234="","",'Prod 1'!I234)</f>
        <v/>
      </c>
      <c r="H234" s="63" t="str">
        <f>IF('Prod 1'!F234="","",'Prod 1'!F234)</f>
        <v/>
      </c>
      <c r="I234" s="75" t="str">
        <f>IF('Prod 3'!F234="","",'Prod 3'!F234)</f>
        <v/>
      </c>
    </row>
    <row r="235" spans="3:9" ht="30" customHeight="1" x14ac:dyDescent="0.25">
      <c r="C235" s="42">
        <v>231</v>
      </c>
      <c r="D235" s="67" t="str">
        <f>IF('Prod 1'!D235="","",'Prod 1'!D235)</f>
        <v/>
      </c>
      <c r="E235" s="73" t="str">
        <f>IF('Prod 1'!E235="","",'Prod 1'!E235)</f>
        <v/>
      </c>
      <c r="F235" s="74" t="str">
        <f>IF('Prod 2'!K235="","",'Prod 2'!K235)</f>
        <v/>
      </c>
      <c r="G235" s="77" t="str">
        <f>IF('Prod 1'!I235="","",'Prod 1'!I235)</f>
        <v/>
      </c>
      <c r="H235" s="63" t="str">
        <f>IF('Prod 1'!F235="","",'Prod 1'!F235)</f>
        <v/>
      </c>
      <c r="I235" s="75" t="str">
        <f>IF('Prod 3'!F235="","",'Prod 3'!F235)</f>
        <v/>
      </c>
    </row>
    <row r="236" spans="3:9" ht="30" customHeight="1" x14ac:dyDescent="0.25">
      <c r="C236" s="42">
        <v>232</v>
      </c>
      <c r="D236" s="67" t="str">
        <f>IF('Prod 1'!D236="","",'Prod 1'!D236)</f>
        <v/>
      </c>
      <c r="E236" s="73" t="str">
        <f>IF('Prod 1'!E236="","",'Prod 1'!E236)</f>
        <v/>
      </c>
      <c r="F236" s="74" t="str">
        <f>IF('Prod 2'!K236="","",'Prod 2'!K236)</f>
        <v/>
      </c>
      <c r="G236" s="77" t="str">
        <f>IF('Prod 1'!I236="","",'Prod 1'!I236)</f>
        <v/>
      </c>
      <c r="H236" s="63" t="str">
        <f>IF('Prod 1'!F236="","",'Prod 1'!F236)</f>
        <v/>
      </c>
      <c r="I236" s="75" t="str">
        <f>IF('Prod 3'!F236="","",'Prod 3'!F236)</f>
        <v/>
      </c>
    </row>
    <row r="237" spans="3:9" ht="30" customHeight="1" x14ac:dyDescent="0.25">
      <c r="C237" s="42">
        <v>233</v>
      </c>
      <c r="D237" s="67" t="str">
        <f>IF('Prod 1'!D237="","",'Prod 1'!D237)</f>
        <v/>
      </c>
      <c r="E237" s="73" t="str">
        <f>IF('Prod 1'!E237="","",'Prod 1'!E237)</f>
        <v/>
      </c>
      <c r="F237" s="74" t="str">
        <f>IF('Prod 2'!K237="","",'Prod 2'!K237)</f>
        <v/>
      </c>
      <c r="G237" s="77" t="str">
        <f>IF('Prod 1'!I237="","",'Prod 1'!I237)</f>
        <v/>
      </c>
      <c r="H237" s="63" t="str">
        <f>IF('Prod 1'!F237="","",'Prod 1'!F237)</f>
        <v/>
      </c>
      <c r="I237" s="75" t="str">
        <f>IF('Prod 3'!F237="","",'Prod 3'!F237)</f>
        <v/>
      </c>
    </row>
    <row r="238" spans="3:9" ht="30" customHeight="1" x14ac:dyDescent="0.25">
      <c r="C238" s="42">
        <v>234</v>
      </c>
      <c r="D238" s="67" t="str">
        <f>IF('Prod 1'!D238="","",'Prod 1'!D238)</f>
        <v/>
      </c>
      <c r="E238" s="73" t="str">
        <f>IF('Prod 1'!E238="","",'Prod 1'!E238)</f>
        <v/>
      </c>
      <c r="F238" s="74" t="str">
        <f>IF('Prod 2'!K238="","",'Prod 2'!K238)</f>
        <v/>
      </c>
      <c r="G238" s="77" t="str">
        <f>IF('Prod 1'!I238="","",'Prod 1'!I238)</f>
        <v/>
      </c>
      <c r="H238" s="63" t="str">
        <f>IF('Prod 1'!F238="","",'Prod 1'!F238)</f>
        <v/>
      </c>
      <c r="I238" s="75" t="str">
        <f>IF('Prod 3'!F238="","",'Prod 3'!F238)</f>
        <v/>
      </c>
    </row>
    <row r="239" spans="3:9" ht="30" customHeight="1" x14ac:dyDescent="0.25">
      <c r="C239" s="42">
        <v>235</v>
      </c>
      <c r="D239" s="67" t="str">
        <f>IF('Prod 1'!D239="","",'Prod 1'!D239)</f>
        <v/>
      </c>
      <c r="E239" s="73" t="str">
        <f>IF('Prod 1'!E239="","",'Prod 1'!E239)</f>
        <v/>
      </c>
      <c r="F239" s="74" t="str">
        <f>IF('Prod 2'!K239="","",'Prod 2'!K239)</f>
        <v/>
      </c>
      <c r="G239" s="77" t="str">
        <f>IF('Prod 1'!I239="","",'Prod 1'!I239)</f>
        <v/>
      </c>
      <c r="H239" s="63" t="str">
        <f>IF('Prod 1'!F239="","",'Prod 1'!F239)</f>
        <v/>
      </c>
      <c r="I239" s="75" t="str">
        <f>IF('Prod 3'!F239="","",'Prod 3'!F239)</f>
        <v/>
      </c>
    </row>
    <row r="240" spans="3:9" ht="30" customHeight="1" x14ac:dyDescent="0.25">
      <c r="C240" s="42">
        <v>236</v>
      </c>
      <c r="D240" s="67" t="str">
        <f>IF('Prod 1'!D240="","",'Prod 1'!D240)</f>
        <v/>
      </c>
      <c r="E240" s="73" t="str">
        <f>IF('Prod 1'!E240="","",'Prod 1'!E240)</f>
        <v/>
      </c>
      <c r="F240" s="74" t="str">
        <f>IF('Prod 2'!K240="","",'Prod 2'!K240)</f>
        <v/>
      </c>
      <c r="G240" s="77" t="str">
        <f>IF('Prod 1'!I240="","",'Prod 1'!I240)</f>
        <v/>
      </c>
      <c r="H240" s="63" t="str">
        <f>IF('Prod 1'!F240="","",'Prod 1'!F240)</f>
        <v/>
      </c>
      <c r="I240" s="75" t="str">
        <f>IF('Prod 3'!F240="","",'Prod 3'!F240)</f>
        <v/>
      </c>
    </row>
    <row r="241" spans="3:9" ht="30" customHeight="1" x14ac:dyDescent="0.25">
      <c r="C241" s="42">
        <v>237</v>
      </c>
      <c r="D241" s="67" t="str">
        <f>IF('Prod 1'!D241="","",'Prod 1'!D241)</f>
        <v/>
      </c>
      <c r="E241" s="73" t="str">
        <f>IF('Prod 1'!E241="","",'Prod 1'!E241)</f>
        <v/>
      </c>
      <c r="F241" s="74" t="str">
        <f>IF('Prod 2'!K241="","",'Prod 2'!K241)</f>
        <v/>
      </c>
      <c r="G241" s="77" t="str">
        <f>IF('Prod 1'!I241="","",'Prod 1'!I241)</f>
        <v/>
      </c>
      <c r="H241" s="63" t="str">
        <f>IF('Prod 1'!F241="","",'Prod 1'!F241)</f>
        <v/>
      </c>
      <c r="I241" s="75" t="str">
        <f>IF('Prod 3'!F241="","",'Prod 3'!F241)</f>
        <v/>
      </c>
    </row>
    <row r="242" spans="3:9" ht="30" customHeight="1" x14ac:dyDescent="0.25">
      <c r="C242" s="42">
        <v>238</v>
      </c>
      <c r="D242" s="67" t="str">
        <f>IF('Prod 1'!D242="","",'Prod 1'!D242)</f>
        <v/>
      </c>
      <c r="E242" s="73" t="str">
        <f>IF('Prod 1'!E242="","",'Prod 1'!E242)</f>
        <v/>
      </c>
      <c r="F242" s="74" t="str">
        <f>IF('Prod 2'!K242="","",'Prod 2'!K242)</f>
        <v/>
      </c>
      <c r="G242" s="77" t="str">
        <f>IF('Prod 1'!I242="","",'Prod 1'!I242)</f>
        <v/>
      </c>
      <c r="H242" s="63" t="str">
        <f>IF('Prod 1'!F242="","",'Prod 1'!F242)</f>
        <v/>
      </c>
      <c r="I242" s="75" t="str">
        <f>IF('Prod 3'!F242="","",'Prod 3'!F242)</f>
        <v/>
      </c>
    </row>
    <row r="243" spans="3:9" ht="30" customHeight="1" x14ac:dyDescent="0.25">
      <c r="C243" s="42">
        <v>239</v>
      </c>
      <c r="D243" s="67" t="str">
        <f>IF('Prod 1'!D243="","",'Prod 1'!D243)</f>
        <v/>
      </c>
      <c r="E243" s="73" t="str">
        <f>IF('Prod 1'!E243="","",'Prod 1'!E243)</f>
        <v/>
      </c>
      <c r="F243" s="74" t="str">
        <f>IF('Prod 2'!K243="","",'Prod 2'!K243)</f>
        <v/>
      </c>
      <c r="G243" s="77" t="str">
        <f>IF('Prod 1'!I243="","",'Prod 1'!I243)</f>
        <v/>
      </c>
      <c r="H243" s="63" t="str">
        <f>IF('Prod 1'!F243="","",'Prod 1'!F243)</f>
        <v/>
      </c>
      <c r="I243" s="75" t="str">
        <f>IF('Prod 3'!F243="","",'Prod 3'!F243)</f>
        <v/>
      </c>
    </row>
    <row r="244" spans="3:9" ht="30" customHeight="1" x14ac:dyDescent="0.25">
      <c r="C244" s="42">
        <v>240</v>
      </c>
      <c r="D244" s="67" t="str">
        <f>IF('Prod 1'!D244="","",'Prod 1'!D244)</f>
        <v/>
      </c>
      <c r="E244" s="73" t="str">
        <f>IF('Prod 1'!E244="","",'Prod 1'!E244)</f>
        <v/>
      </c>
      <c r="F244" s="74" t="str">
        <f>IF('Prod 2'!K244="","",'Prod 2'!K244)</f>
        <v/>
      </c>
      <c r="G244" s="77" t="str">
        <f>IF('Prod 1'!I244="","",'Prod 1'!I244)</f>
        <v/>
      </c>
      <c r="H244" s="63" t="str">
        <f>IF('Prod 1'!F244="","",'Prod 1'!F244)</f>
        <v/>
      </c>
      <c r="I244" s="75" t="str">
        <f>IF('Prod 3'!F244="","",'Prod 3'!F244)</f>
        <v/>
      </c>
    </row>
    <row r="245" spans="3:9" ht="30" customHeight="1" x14ac:dyDescent="0.25">
      <c r="C245" s="42">
        <v>241</v>
      </c>
      <c r="D245" s="67" t="str">
        <f>IF('Prod 1'!D245="","",'Prod 1'!D245)</f>
        <v/>
      </c>
      <c r="E245" s="73" t="str">
        <f>IF('Prod 1'!E245="","",'Prod 1'!E245)</f>
        <v/>
      </c>
      <c r="F245" s="74" t="str">
        <f>IF('Prod 2'!K245="","",'Prod 2'!K245)</f>
        <v/>
      </c>
      <c r="G245" s="77" t="str">
        <f>IF('Prod 1'!I245="","",'Prod 1'!I245)</f>
        <v/>
      </c>
      <c r="H245" s="63" t="str">
        <f>IF('Prod 1'!F245="","",'Prod 1'!F245)</f>
        <v/>
      </c>
      <c r="I245" s="75" t="str">
        <f>IF('Prod 3'!F245="","",'Prod 3'!F245)</f>
        <v/>
      </c>
    </row>
    <row r="246" spans="3:9" ht="30" customHeight="1" x14ac:dyDescent="0.25">
      <c r="C246" s="42">
        <v>242</v>
      </c>
      <c r="D246" s="67" t="str">
        <f>IF('Prod 1'!D246="","",'Prod 1'!D246)</f>
        <v/>
      </c>
      <c r="E246" s="73" t="str">
        <f>IF('Prod 1'!E246="","",'Prod 1'!E246)</f>
        <v/>
      </c>
      <c r="F246" s="74" t="str">
        <f>IF('Prod 2'!K246="","",'Prod 2'!K246)</f>
        <v/>
      </c>
      <c r="G246" s="77" t="str">
        <f>IF('Prod 1'!I246="","",'Prod 1'!I246)</f>
        <v/>
      </c>
      <c r="H246" s="63" t="str">
        <f>IF('Prod 1'!F246="","",'Prod 1'!F246)</f>
        <v/>
      </c>
      <c r="I246" s="75" t="str">
        <f>IF('Prod 3'!F246="","",'Prod 3'!F246)</f>
        <v/>
      </c>
    </row>
    <row r="247" spans="3:9" ht="30" customHeight="1" x14ac:dyDescent="0.25">
      <c r="C247" s="42">
        <v>243</v>
      </c>
      <c r="D247" s="67" t="str">
        <f>IF('Prod 1'!D247="","",'Prod 1'!D247)</f>
        <v/>
      </c>
      <c r="E247" s="73" t="str">
        <f>IF('Prod 1'!E247="","",'Prod 1'!E247)</f>
        <v/>
      </c>
      <c r="F247" s="74" t="str">
        <f>IF('Prod 2'!K247="","",'Prod 2'!K247)</f>
        <v/>
      </c>
      <c r="G247" s="77" t="str">
        <f>IF('Prod 1'!I247="","",'Prod 1'!I247)</f>
        <v/>
      </c>
      <c r="H247" s="63" t="str">
        <f>IF('Prod 1'!F247="","",'Prod 1'!F247)</f>
        <v/>
      </c>
      <c r="I247" s="75" t="str">
        <f>IF('Prod 3'!F247="","",'Prod 3'!F247)</f>
        <v/>
      </c>
    </row>
    <row r="248" spans="3:9" ht="30" customHeight="1" x14ac:dyDescent="0.25">
      <c r="C248" s="42">
        <v>244</v>
      </c>
      <c r="D248" s="67" t="str">
        <f>IF('Prod 1'!D248="","",'Prod 1'!D248)</f>
        <v/>
      </c>
      <c r="E248" s="73" t="str">
        <f>IF('Prod 1'!E248="","",'Prod 1'!E248)</f>
        <v/>
      </c>
      <c r="F248" s="74" t="str">
        <f>IF('Prod 2'!K248="","",'Prod 2'!K248)</f>
        <v/>
      </c>
      <c r="G248" s="77" t="str">
        <f>IF('Prod 1'!I248="","",'Prod 1'!I248)</f>
        <v/>
      </c>
      <c r="H248" s="63" t="str">
        <f>IF('Prod 1'!F248="","",'Prod 1'!F248)</f>
        <v/>
      </c>
      <c r="I248" s="75" t="str">
        <f>IF('Prod 3'!F248="","",'Prod 3'!F248)</f>
        <v/>
      </c>
    </row>
    <row r="249" spans="3:9" ht="30" customHeight="1" x14ac:dyDescent="0.25">
      <c r="C249" s="42">
        <v>245</v>
      </c>
      <c r="D249" s="67" t="str">
        <f>IF('Prod 1'!D249="","",'Prod 1'!D249)</f>
        <v/>
      </c>
      <c r="E249" s="73" t="str">
        <f>IF('Prod 1'!E249="","",'Prod 1'!E249)</f>
        <v/>
      </c>
      <c r="F249" s="74" t="str">
        <f>IF('Prod 2'!K249="","",'Prod 2'!K249)</f>
        <v/>
      </c>
      <c r="G249" s="77" t="str">
        <f>IF('Prod 1'!I249="","",'Prod 1'!I249)</f>
        <v/>
      </c>
      <c r="H249" s="63" t="str">
        <f>IF('Prod 1'!F249="","",'Prod 1'!F249)</f>
        <v/>
      </c>
      <c r="I249" s="75" t="str">
        <f>IF('Prod 3'!F249="","",'Prod 3'!F249)</f>
        <v/>
      </c>
    </row>
    <row r="250" spans="3:9" ht="30" customHeight="1" x14ac:dyDescent="0.25">
      <c r="C250" s="42">
        <v>246</v>
      </c>
      <c r="D250" s="67" t="str">
        <f>IF('Prod 1'!D250="","",'Prod 1'!D250)</f>
        <v/>
      </c>
      <c r="E250" s="73" t="str">
        <f>IF('Prod 1'!E250="","",'Prod 1'!E250)</f>
        <v/>
      </c>
      <c r="F250" s="74" t="str">
        <f>IF('Prod 2'!K250="","",'Prod 2'!K250)</f>
        <v/>
      </c>
      <c r="G250" s="77" t="str">
        <f>IF('Prod 1'!I250="","",'Prod 1'!I250)</f>
        <v/>
      </c>
      <c r="H250" s="63" t="str">
        <f>IF('Prod 1'!F250="","",'Prod 1'!F250)</f>
        <v/>
      </c>
      <c r="I250" s="75" t="str">
        <f>IF('Prod 3'!F250="","",'Prod 3'!F250)</f>
        <v/>
      </c>
    </row>
    <row r="251" spans="3:9" ht="30" customHeight="1" x14ac:dyDescent="0.25">
      <c r="C251" s="42">
        <v>247</v>
      </c>
      <c r="D251" s="67" t="str">
        <f>IF('Prod 1'!D251="","",'Prod 1'!D251)</f>
        <v/>
      </c>
      <c r="E251" s="73" t="str">
        <f>IF('Prod 1'!E251="","",'Prod 1'!E251)</f>
        <v/>
      </c>
      <c r="F251" s="74" t="str">
        <f>IF('Prod 2'!K251="","",'Prod 2'!K251)</f>
        <v/>
      </c>
      <c r="G251" s="77" t="str">
        <f>IF('Prod 1'!I251="","",'Prod 1'!I251)</f>
        <v/>
      </c>
      <c r="H251" s="63" t="str">
        <f>IF('Prod 1'!F251="","",'Prod 1'!F251)</f>
        <v/>
      </c>
      <c r="I251" s="75" t="str">
        <f>IF('Prod 3'!F251="","",'Prod 3'!F251)</f>
        <v/>
      </c>
    </row>
    <row r="252" spans="3:9" ht="30" customHeight="1" x14ac:dyDescent="0.25">
      <c r="C252" s="42">
        <v>248</v>
      </c>
      <c r="D252" s="67" t="str">
        <f>IF('Prod 1'!D252="","",'Prod 1'!D252)</f>
        <v/>
      </c>
      <c r="E252" s="73" t="str">
        <f>IF('Prod 1'!E252="","",'Prod 1'!E252)</f>
        <v/>
      </c>
      <c r="F252" s="74" t="str">
        <f>IF('Prod 2'!K252="","",'Prod 2'!K252)</f>
        <v/>
      </c>
      <c r="G252" s="77" t="str">
        <f>IF('Prod 1'!I252="","",'Prod 1'!I252)</f>
        <v/>
      </c>
      <c r="H252" s="63" t="str">
        <f>IF('Prod 1'!F252="","",'Prod 1'!F252)</f>
        <v/>
      </c>
      <c r="I252" s="75" t="str">
        <f>IF('Prod 3'!F252="","",'Prod 3'!F252)</f>
        <v/>
      </c>
    </row>
    <row r="253" spans="3:9" ht="30" customHeight="1" x14ac:dyDescent="0.25">
      <c r="C253" s="42">
        <v>249</v>
      </c>
      <c r="D253" s="67" t="str">
        <f>IF('Prod 1'!D253="","",'Prod 1'!D253)</f>
        <v/>
      </c>
      <c r="E253" s="73" t="str">
        <f>IF('Prod 1'!E253="","",'Prod 1'!E253)</f>
        <v/>
      </c>
      <c r="F253" s="74" t="str">
        <f>IF('Prod 2'!K253="","",'Prod 2'!K253)</f>
        <v/>
      </c>
      <c r="G253" s="77" t="str">
        <f>IF('Prod 1'!I253="","",'Prod 1'!I253)</f>
        <v/>
      </c>
      <c r="H253" s="63" t="str">
        <f>IF('Prod 1'!F253="","",'Prod 1'!F253)</f>
        <v/>
      </c>
      <c r="I253" s="75" t="str">
        <f>IF('Prod 3'!F253="","",'Prod 3'!F253)</f>
        <v/>
      </c>
    </row>
    <row r="254" spans="3:9" ht="30" customHeight="1" x14ac:dyDescent="0.25">
      <c r="C254" s="42">
        <v>250</v>
      </c>
      <c r="D254" s="67" t="str">
        <f>IF('Prod 1'!D254="","",'Prod 1'!D254)</f>
        <v/>
      </c>
      <c r="E254" s="73" t="str">
        <f>IF('Prod 1'!E254="","",'Prod 1'!E254)</f>
        <v/>
      </c>
      <c r="F254" s="74" t="str">
        <f>IF('Prod 2'!K254="","",'Prod 2'!K254)</f>
        <v/>
      </c>
      <c r="G254" s="77" t="str">
        <f>IF('Prod 1'!I254="","",'Prod 1'!I254)</f>
        <v/>
      </c>
      <c r="H254" s="63" t="str">
        <f>IF('Prod 1'!F254="","",'Prod 1'!F254)</f>
        <v/>
      </c>
      <c r="I254" s="75" t="str">
        <f>IF('Prod 3'!F254="","",'Prod 3'!F254)</f>
        <v/>
      </c>
    </row>
    <row r="255" spans="3:9" ht="30" customHeight="1" x14ac:dyDescent="0.25">
      <c r="C255" s="42">
        <v>251</v>
      </c>
      <c r="D255" s="67" t="str">
        <f>IF('Prod 1'!D255="","",'Prod 1'!D255)</f>
        <v/>
      </c>
      <c r="E255" s="73" t="str">
        <f>IF('Prod 1'!E255="","",'Prod 1'!E255)</f>
        <v/>
      </c>
      <c r="F255" s="74" t="str">
        <f>IF('Prod 2'!K255="","",'Prod 2'!K255)</f>
        <v/>
      </c>
      <c r="G255" s="77" t="str">
        <f>IF('Prod 1'!I255="","",'Prod 1'!I255)</f>
        <v/>
      </c>
      <c r="H255" s="63" t="str">
        <f>IF('Prod 1'!F255="","",'Prod 1'!F255)</f>
        <v/>
      </c>
      <c r="I255" s="75" t="str">
        <f>IF('Prod 3'!F255="","",'Prod 3'!F255)</f>
        <v/>
      </c>
    </row>
    <row r="256" spans="3:9" ht="30" customHeight="1" x14ac:dyDescent="0.25">
      <c r="C256" s="42">
        <v>252</v>
      </c>
      <c r="D256" s="67" t="str">
        <f>IF('Prod 1'!D256="","",'Prod 1'!D256)</f>
        <v/>
      </c>
      <c r="E256" s="73" t="str">
        <f>IF('Prod 1'!E256="","",'Prod 1'!E256)</f>
        <v/>
      </c>
      <c r="F256" s="74" t="str">
        <f>IF('Prod 2'!K256="","",'Prod 2'!K256)</f>
        <v/>
      </c>
      <c r="G256" s="77" t="str">
        <f>IF('Prod 1'!I256="","",'Prod 1'!I256)</f>
        <v/>
      </c>
      <c r="H256" s="63" t="str">
        <f>IF('Prod 1'!F256="","",'Prod 1'!F256)</f>
        <v/>
      </c>
      <c r="I256" s="75" t="str">
        <f>IF('Prod 3'!F256="","",'Prod 3'!F256)</f>
        <v/>
      </c>
    </row>
    <row r="257" spans="3:9" ht="30" customHeight="1" x14ac:dyDescent="0.25">
      <c r="C257" s="42">
        <v>253</v>
      </c>
      <c r="D257" s="67" t="str">
        <f>IF('Prod 1'!D257="","",'Prod 1'!D257)</f>
        <v/>
      </c>
      <c r="E257" s="73" t="str">
        <f>IF('Prod 1'!E257="","",'Prod 1'!E257)</f>
        <v/>
      </c>
      <c r="F257" s="74" t="str">
        <f>IF('Prod 2'!K257="","",'Prod 2'!K257)</f>
        <v/>
      </c>
      <c r="G257" s="77" t="str">
        <f>IF('Prod 1'!I257="","",'Prod 1'!I257)</f>
        <v/>
      </c>
      <c r="H257" s="63" t="str">
        <f>IF('Prod 1'!F257="","",'Prod 1'!F257)</f>
        <v/>
      </c>
      <c r="I257" s="75" t="str">
        <f>IF('Prod 3'!F257="","",'Prod 3'!F257)</f>
        <v/>
      </c>
    </row>
    <row r="258" spans="3:9" ht="30" customHeight="1" x14ac:dyDescent="0.25">
      <c r="C258" s="42">
        <v>254</v>
      </c>
      <c r="D258" s="67" t="str">
        <f>IF('Prod 1'!D258="","",'Prod 1'!D258)</f>
        <v/>
      </c>
      <c r="E258" s="73" t="str">
        <f>IF('Prod 1'!E258="","",'Prod 1'!E258)</f>
        <v/>
      </c>
      <c r="F258" s="74" t="str">
        <f>IF('Prod 2'!K258="","",'Prod 2'!K258)</f>
        <v/>
      </c>
      <c r="G258" s="77" t="str">
        <f>IF('Prod 1'!I258="","",'Prod 1'!I258)</f>
        <v/>
      </c>
      <c r="H258" s="63" t="str">
        <f>IF('Prod 1'!F258="","",'Prod 1'!F258)</f>
        <v/>
      </c>
      <c r="I258" s="75" t="str">
        <f>IF('Prod 3'!F258="","",'Prod 3'!F258)</f>
        <v/>
      </c>
    </row>
    <row r="259" spans="3:9" ht="30" customHeight="1" x14ac:dyDescent="0.25">
      <c r="C259" s="42">
        <v>255</v>
      </c>
      <c r="D259" s="67" t="str">
        <f>IF('Prod 1'!D259="","",'Prod 1'!D259)</f>
        <v/>
      </c>
      <c r="E259" s="73" t="str">
        <f>IF('Prod 1'!E259="","",'Prod 1'!E259)</f>
        <v/>
      </c>
      <c r="F259" s="74" t="str">
        <f>IF('Prod 2'!K259="","",'Prod 2'!K259)</f>
        <v/>
      </c>
      <c r="G259" s="77" t="str">
        <f>IF('Prod 1'!I259="","",'Prod 1'!I259)</f>
        <v/>
      </c>
      <c r="H259" s="63" t="str">
        <f>IF('Prod 1'!F259="","",'Prod 1'!F259)</f>
        <v/>
      </c>
      <c r="I259" s="75" t="str">
        <f>IF('Prod 3'!F259="","",'Prod 3'!F259)</f>
        <v/>
      </c>
    </row>
    <row r="260" spans="3:9" ht="30" customHeight="1" x14ac:dyDescent="0.25">
      <c r="C260" s="42">
        <v>256</v>
      </c>
      <c r="D260" s="67" t="str">
        <f>IF('Prod 1'!D260="","",'Prod 1'!D260)</f>
        <v/>
      </c>
      <c r="E260" s="73" t="str">
        <f>IF('Prod 1'!E260="","",'Prod 1'!E260)</f>
        <v/>
      </c>
      <c r="F260" s="74" t="str">
        <f>IF('Prod 2'!K260="","",'Prod 2'!K260)</f>
        <v/>
      </c>
      <c r="G260" s="77" t="str">
        <f>IF('Prod 1'!I260="","",'Prod 1'!I260)</f>
        <v/>
      </c>
      <c r="H260" s="63" t="str">
        <f>IF('Prod 1'!F260="","",'Prod 1'!F260)</f>
        <v/>
      </c>
      <c r="I260" s="75" t="str">
        <f>IF('Prod 3'!F260="","",'Prod 3'!F260)</f>
        <v/>
      </c>
    </row>
    <row r="261" spans="3:9" ht="30" customHeight="1" x14ac:dyDescent="0.25">
      <c r="C261" s="42">
        <v>257</v>
      </c>
      <c r="D261" s="67" t="str">
        <f>IF('Prod 1'!D261="","",'Prod 1'!D261)</f>
        <v/>
      </c>
      <c r="E261" s="73" t="str">
        <f>IF('Prod 1'!E261="","",'Prod 1'!E261)</f>
        <v/>
      </c>
      <c r="F261" s="74" t="str">
        <f>IF('Prod 2'!K261="","",'Prod 2'!K261)</f>
        <v/>
      </c>
      <c r="G261" s="77" t="str">
        <f>IF('Prod 1'!I261="","",'Prod 1'!I261)</f>
        <v/>
      </c>
      <c r="H261" s="63" t="str">
        <f>IF('Prod 1'!F261="","",'Prod 1'!F261)</f>
        <v/>
      </c>
      <c r="I261" s="75" t="str">
        <f>IF('Prod 3'!F261="","",'Prod 3'!F261)</f>
        <v/>
      </c>
    </row>
    <row r="262" spans="3:9" ht="30" customHeight="1" x14ac:dyDescent="0.25">
      <c r="C262" s="42">
        <v>258</v>
      </c>
      <c r="D262" s="67" t="str">
        <f>IF('Prod 1'!D262="","",'Prod 1'!D262)</f>
        <v/>
      </c>
      <c r="E262" s="73" t="str">
        <f>IF('Prod 1'!E262="","",'Prod 1'!E262)</f>
        <v/>
      </c>
      <c r="F262" s="74" t="str">
        <f>IF('Prod 2'!K262="","",'Prod 2'!K262)</f>
        <v/>
      </c>
      <c r="G262" s="77" t="str">
        <f>IF('Prod 1'!I262="","",'Prod 1'!I262)</f>
        <v/>
      </c>
      <c r="H262" s="63" t="str">
        <f>IF('Prod 1'!F262="","",'Prod 1'!F262)</f>
        <v/>
      </c>
      <c r="I262" s="75" t="str">
        <f>IF('Prod 3'!F262="","",'Prod 3'!F262)</f>
        <v/>
      </c>
    </row>
    <row r="263" spans="3:9" ht="30" customHeight="1" x14ac:dyDescent="0.25">
      <c r="C263" s="42">
        <v>259</v>
      </c>
      <c r="D263" s="67" t="str">
        <f>IF('Prod 1'!D263="","",'Prod 1'!D263)</f>
        <v/>
      </c>
      <c r="E263" s="73" t="str">
        <f>IF('Prod 1'!E263="","",'Prod 1'!E263)</f>
        <v/>
      </c>
      <c r="F263" s="74" t="str">
        <f>IF('Prod 2'!K263="","",'Prod 2'!K263)</f>
        <v/>
      </c>
      <c r="G263" s="77" t="str">
        <f>IF('Prod 1'!I263="","",'Prod 1'!I263)</f>
        <v/>
      </c>
      <c r="H263" s="63" t="str">
        <f>IF('Prod 1'!F263="","",'Prod 1'!F263)</f>
        <v/>
      </c>
      <c r="I263" s="75" t="str">
        <f>IF('Prod 3'!F263="","",'Prod 3'!F263)</f>
        <v/>
      </c>
    </row>
    <row r="264" spans="3:9" ht="30" customHeight="1" x14ac:dyDescent="0.25">
      <c r="C264" s="42">
        <v>260</v>
      </c>
      <c r="D264" s="67" t="str">
        <f>IF('Prod 1'!D264="","",'Prod 1'!D264)</f>
        <v/>
      </c>
      <c r="E264" s="73" t="str">
        <f>IF('Prod 1'!E264="","",'Prod 1'!E264)</f>
        <v/>
      </c>
      <c r="F264" s="74" t="str">
        <f>IF('Prod 2'!K264="","",'Prod 2'!K264)</f>
        <v/>
      </c>
      <c r="G264" s="77" t="str">
        <f>IF('Prod 1'!I264="","",'Prod 1'!I264)</f>
        <v/>
      </c>
      <c r="H264" s="63" t="str">
        <f>IF('Prod 1'!F264="","",'Prod 1'!F264)</f>
        <v/>
      </c>
      <c r="I264" s="75" t="str">
        <f>IF('Prod 3'!F264="","",'Prod 3'!F264)</f>
        <v/>
      </c>
    </row>
    <row r="265" spans="3:9" ht="30" customHeight="1" x14ac:dyDescent="0.25">
      <c r="C265" s="42">
        <v>261</v>
      </c>
      <c r="D265" s="67" t="str">
        <f>IF('Prod 1'!D265="","",'Prod 1'!D265)</f>
        <v/>
      </c>
      <c r="E265" s="73" t="str">
        <f>IF('Prod 1'!E265="","",'Prod 1'!E265)</f>
        <v/>
      </c>
      <c r="F265" s="74" t="str">
        <f>IF('Prod 2'!K265="","",'Prod 2'!K265)</f>
        <v/>
      </c>
      <c r="G265" s="77" t="str">
        <f>IF('Prod 1'!I265="","",'Prod 1'!I265)</f>
        <v/>
      </c>
      <c r="H265" s="63" t="str">
        <f>IF('Prod 1'!F265="","",'Prod 1'!F265)</f>
        <v/>
      </c>
      <c r="I265" s="75" t="str">
        <f>IF('Prod 3'!F265="","",'Prod 3'!F265)</f>
        <v/>
      </c>
    </row>
    <row r="266" spans="3:9" ht="30" customHeight="1" x14ac:dyDescent="0.25">
      <c r="C266" s="42">
        <v>262</v>
      </c>
      <c r="D266" s="67" t="str">
        <f>IF('Prod 1'!D266="","",'Prod 1'!D266)</f>
        <v/>
      </c>
      <c r="E266" s="73" t="str">
        <f>IF('Prod 1'!E266="","",'Prod 1'!E266)</f>
        <v/>
      </c>
      <c r="F266" s="74" t="str">
        <f>IF('Prod 2'!K266="","",'Prod 2'!K266)</f>
        <v/>
      </c>
      <c r="G266" s="77" t="str">
        <f>IF('Prod 1'!I266="","",'Prod 1'!I266)</f>
        <v/>
      </c>
      <c r="H266" s="63" t="str">
        <f>IF('Prod 1'!F266="","",'Prod 1'!F266)</f>
        <v/>
      </c>
      <c r="I266" s="75" t="str">
        <f>IF('Prod 3'!F266="","",'Prod 3'!F266)</f>
        <v/>
      </c>
    </row>
    <row r="267" spans="3:9" ht="30" customHeight="1" x14ac:dyDescent="0.25">
      <c r="C267" s="42">
        <v>263</v>
      </c>
      <c r="D267" s="67" t="str">
        <f>IF('Prod 1'!D267="","",'Prod 1'!D267)</f>
        <v/>
      </c>
      <c r="E267" s="73" t="str">
        <f>IF('Prod 1'!E267="","",'Prod 1'!E267)</f>
        <v/>
      </c>
      <c r="F267" s="74" t="str">
        <f>IF('Prod 2'!K267="","",'Prod 2'!K267)</f>
        <v/>
      </c>
      <c r="G267" s="77" t="str">
        <f>IF('Prod 1'!I267="","",'Prod 1'!I267)</f>
        <v/>
      </c>
      <c r="H267" s="63" t="str">
        <f>IF('Prod 1'!F267="","",'Prod 1'!F267)</f>
        <v/>
      </c>
      <c r="I267" s="75" t="str">
        <f>IF('Prod 3'!F267="","",'Prod 3'!F267)</f>
        <v/>
      </c>
    </row>
    <row r="268" spans="3:9" ht="30" customHeight="1" x14ac:dyDescent="0.25">
      <c r="C268" s="42">
        <v>264</v>
      </c>
      <c r="D268" s="67" t="str">
        <f>IF('Prod 1'!D268="","",'Prod 1'!D268)</f>
        <v/>
      </c>
      <c r="E268" s="73" t="str">
        <f>IF('Prod 1'!E268="","",'Prod 1'!E268)</f>
        <v/>
      </c>
      <c r="F268" s="74" t="str">
        <f>IF('Prod 2'!K268="","",'Prod 2'!K268)</f>
        <v/>
      </c>
      <c r="G268" s="77" t="str">
        <f>IF('Prod 1'!I268="","",'Prod 1'!I268)</f>
        <v/>
      </c>
      <c r="H268" s="63" t="str">
        <f>IF('Prod 1'!F268="","",'Prod 1'!F268)</f>
        <v/>
      </c>
      <c r="I268" s="75" t="str">
        <f>IF('Prod 3'!F268="","",'Prod 3'!F268)</f>
        <v/>
      </c>
    </row>
    <row r="269" spans="3:9" ht="30" customHeight="1" x14ac:dyDescent="0.25">
      <c r="C269" s="42">
        <v>265</v>
      </c>
      <c r="D269" s="67" t="str">
        <f>IF('Prod 1'!D269="","",'Prod 1'!D269)</f>
        <v/>
      </c>
      <c r="E269" s="73" t="str">
        <f>IF('Prod 1'!E269="","",'Prod 1'!E269)</f>
        <v/>
      </c>
      <c r="F269" s="74" t="str">
        <f>IF('Prod 2'!K269="","",'Prod 2'!K269)</f>
        <v/>
      </c>
      <c r="G269" s="77" t="str">
        <f>IF('Prod 1'!I269="","",'Prod 1'!I269)</f>
        <v/>
      </c>
      <c r="H269" s="63" t="str">
        <f>IF('Prod 1'!F269="","",'Prod 1'!F269)</f>
        <v/>
      </c>
      <c r="I269" s="75" t="str">
        <f>IF('Prod 3'!F269="","",'Prod 3'!F269)</f>
        <v/>
      </c>
    </row>
    <row r="270" spans="3:9" ht="30" customHeight="1" x14ac:dyDescent="0.25">
      <c r="C270" s="42">
        <v>266</v>
      </c>
      <c r="D270" s="67" t="str">
        <f>IF('Prod 1'!D270="","",'Prod 1'!D270)</f>
        <v/>
      </c>
      <c r="E270" s="73" t="str">
        <f>IF('Prod 1'!E270="","",'Prod 1'!E270)</f>
        <v/>
      </c>
      <c r="F270" s="74" t="str">
        <f>IF('Prod 2'!K270="","",'Prod 2'!K270)</f>
        <v/>
      </c>
      <c r="G270" s="77" t="str">
        <f>IF('Prod 1'!I270="","",'Prod 1'!I270)</f>
        <v/>
      </c>
      <c r="H270" s="63" t="str">
        <f>IF('Prod 1'!F270="","",'Prod 1'!F270)</f>
        <v/>
      </c>
      <c r="I270" s="75" t="str">
        <f>IF('Prod 3'!F270="","",'Prod 3'!F270)</f>
        <v/>
      </c>
    </row>
    <row r="271" spans="3:9" ht="30" customHeight="1" x14ac:dyDescent="0.25">
      <c r="C271" s="42">
        <v>267</v>
      </c>
      <c r="D271" s="67" t="str">
        <f>IF('Prod 1'!D271="","",'Prod 1'!D271)</f>
        <v/>
      </c>
      <c r="E271" s="73" t="str">
        <f>IF('Prod 1'!E271="","",'Prod 1'!E271)</f>
        <v/>
      </c>
      <c r="F271" s="74" t="str">
        <f>IF('Prod 2'!K271="","",'Prod 2'!K271)</f>
        <v/>
      </c>
      <c r="G271" s="77" t="str">
        <f>IF('Prod 1'!I271="","",'Prod 1'!I271)</f>
        <v/>
      </c>
      <c r="H271" s="63" t="str">
        <f>IF('Prod 1'!F271="","",'Prod 1'!F271)</f>
        <v/>
      </c>
      <c r="I271" s="75" t="str">
        <f>IF('Prod 3'!F271="","",'Prod 3'!F271)</f>
        <v/>
      </c>
    </row>
    <row r="272" spans="3:9" ht="30" customHeight="1" x14ac:dyDescent="0.25">
      <c r="C272" s="42">
        <v>268</v>
      </c>
      <c r="D272" s="67" t="str">
        <f>IF('Prod 1'!D272="","",'Prod 1'!D272)</f>
        <v/>
      </c>
      <c r="E272" s="73" t="str">
        <f>IF('Prod 1'!E272="","",'Prod 1'!E272)</f>
        <v/>
      </c>
      <c r="F272" s="74" t="str">
        <f>IF('Prod 2'!K272="","",'Prod 2'!K272)</f>
        <v/>
      </c>
      <c r="G272" s="77" t="str">
        <f>IF('Prod 1'!I272="","",'Prod 1'!I272)</f>
        <v/>
      </c>
      <c r="H272" s="63" t="str">
        <f>IF('Prod 1'!F272="","",'Prod 1'!F272)</f>
        <v/>
      </c>
      <c r="I272" s="75" t="str">
        <f>IF('Prod 3'!F272="","",'Prod 3'!F272)</f>
        <v/>
      </c>
    </row>
    <row r="273" spans="3:9" ht="30" customHeight="1" x14ac:dyDescent="0.25">
      <c r="C273" s="42">
        <v>269</v>
      </c>
      <c r="D273" s="67" t="str">
        <f>IF('Prod 1'!D273="","",'Prod 1'!D273)</f>
        <v/>
      </c>
      <c r="E273" s="73" t="str">
        <f>IF('Prod 1'!E273="","",'Prod 1'!E273)</f>
        <v/>
      </c>
      <c r="F273" s="74" t="str">
        <f>IF('Prod 2'!K273="","",'Prod 2'!K273)</f>
        <v/>
      </c>
      <c r="G273" s="77" t="str">
        <f>IF('Prod 1'!I273="","",'Prod 1'!I273)</f>
        <v/>
      </c>
      <c r="H273" s="63" t="str">
        <f>IF('Prod 1'!F273="","",'Prod 1'!F273)</f>
        <v/>
      </c>
      <c r="I273" s="75" t="str">
        <f>IF('Prod 3'!F273="","",'Prod 3'!F273)</f>
        <v/>
      </c>
    </row>
    <row r="274" spans="3:9" ht="30" customHeight="1" x14ac:dyDescent="0.25">
      <c r="C274" s="42">
        <v>270</v>
      </c>
      <c r="D274" s="67" t="str">
        <f>IF('Prod 1'!D274="","",'Prod 1'!D274)</f>
        <v/>
      </c>
      <c r="E274" s="73" t="str">
        <f>IF('Prod 1'!E274="","",'Prod 1'!E274)</f>
        <v/>
      </c>
      <c r="F274" s="74" t="str">
        <f>IF('Prod 2'!K274="","",'Prod 2'!K274)</f>
        <v/>
      </c>
      <c r="G274" s="77" t="str">
        <f>IF('Prod 1'!I274="","",'Prod 1'!I274)</f>
        <v/>
      </c>
      <c r="H274" s="63" t="str">
        <f>IF('Prod 1'!F274="","",'Prod 1'!F274)</f>
        <v/>
      </c>
      <c r="I274" s="75" t="str">
        <f>IF('Prod 3'!F274="","",'Prod 3'!F274)</f>
        <v/>
      </c>
    </row>
    <row r="275" spans="3:9" ht="30" customHeight="1" x14ac:dyDescent="0.25">
      <c r="C275" s="42">
        <v>271</v>
      </c>
      <c r="D275" s="67" t="str">
        <f>IF('Prod 1'!D275="","",'Prod 1'!D275)</f>
        <v/>
      </c>
      <c r="E275" s="73" t="str">
        <f>IF('Prod 1'!E275="","",'Prod 1'!E275)</f>
        <v/>
      </c>
      <c r="F275" s="74" t="str">
        <f>IF('Prod 2'!K275="","",'Prod 2'!K275)</f>
        <v/>
      </c>
      <c r="G275" s="77" t="str">
        <f>IF('Prod 1'!I275="","",'Prod 1'!I275)</f>
        <v/>
      </c>
      <c r="H275" s="63" t="str">
        <f>IF('Prod 1'!F275="","",'Prod 1'!F275)</f>
        <v/>
      </c>
      <c r="I275" s="75" t="str">
        <f>IF('Prod 3'!F275="","",'Prod 3'!F275)</f>
        <v/>
      </c>
    </row>
    <row r="276" spans="3:9" ht="30" customHeight="1" x14ac:dyDescent="0.25">
      <c r="C276" s="42">
        <v>272</v>
      </c>
      <c r="D276" s="67" t="str">
        <f>IF('Prod 1'!D276="","",'Prod 1'!D276)</f>
        <v/>
      </c>
      <c r="E276" s="73" t="str">
        <f>IF('Prod 1'!E276="","",'Prod 1'!E276)</f>
        <v/>
      </c>
      <c r="F276" s="74" t="str">
        <f>IF('Prod 2'!K276="","",'Prod 2'!K276)</f>
        <v/>
      </c>
      <c r="G276" s="77" t="str">
        <f>IF('Prod 1'!I276="","",'Prod 1'!I276)</f>
        <v/>
      </c>
      <c r="H276" s="63" t="str">
        <f>IF('Prod 1'!F276="","",'Prod 1'!F276)</f>
        <v/>
      </c>
      <c r="I276" s="75" t="str">
        <f>IF('Prod 3'!F276="","",'Prod 3'!F276)</f>
        <v/>
      </c>
    </row>
    <row r="277" spans="3:9" ht="30" customHeight="1" x14ac:dyDescent="0.25">
      <c r="C277" s="42">
        <v>273</v>
      </c>
      <c r="D277" s="67" t="str">
        <f>IF('Prod 1'!D277="","",'Prod 1'!D277)</f>
        <v/>
      </c>
      <c r="E277" s="73" t="str">
        <f>IF('Prod 1'!E277="","",'Prod 1'!E277)</f>
        <v/>
      </c>
      <c r="F277" s="74" t="str">
        <f>IF('Prod 2'!K277="","",'Prod 2'!K277)</f>
        <v/>
      </c>
      <c r="G277" s="77" t="str">
        <f>IF('Prod 1'!I277="","",'Prod 1'!I277)</f>
        <v/>
      </c>
      <c r="H277" s="63" t="str">
        <f>IF('Prod 1'!F277="","",'Prod 1'!F277)</f>
        <v/>
      </c>
      <c r="I277" s="75" t="str">
        <f>IF('Prod 3'!F277="","",'Prod 3'!F277)</f>
        <v/>
      </c>
    </row>
    <row r="278" spans="3:9" ht="30" customHeight="1" x14ac:dyDescent="0.25">
      <c r="C278" s="42">
        <v>274</v>
      </c>
      <c r="D278" s="67" t="str">
        <f>IF('Prod 1'!D278="","",'Prod 1'!D278)</f>
        <v/>
      </c>
      <c r="E278" s="73" t="str">
        <f>IF('Prod 1'!E278="","",'Prod 1'!E278)</f>
        <v/>
      </c>
      <c r="F278" s="74" t="str">
        <f>IF('Prod 2'!K278="","",'Prod 2'!K278)</f>
        <v/>
      </c>
      <c r="G278" s="77" t="str">
        <f>IF('Prod 1'!I278="","",'Prod 1'!I278)</f>
        <v/>
      </c>
      <c r="H278" s="63" t="str">
        <f>IF('Prod 1'!F278="","",'Prod 1'!F278)</f>
        <v/>
      </c>
      <c r="I278" s="75" t="str">
        <f>IF('Prod 3'!F278="","",'Prod 3'!F278)</f>
        <v/>
      </c>
    </row>
    <row r="279" spans="3:9" ht="30" customHeight="1" x14ac:dyDescent="0.25">
      <c r="C279" s="42">
        <v>275</v>
      </c>
      <c r="D279" s="67" t="str">
        <f>IF('Prod 1'!D279="","",'Prod 1'!D279)</f>
        <v/>
      </c>
      <c r="E279" s="73" t="str">
        <f>IF('Prod 1'!E279="","",'Prod 1'!E279)</f>
        <v/>
      </c>
      <c r="F279" s="74" t="str">
        <f>IF('Prod 2'!K279="","",'Prod 2'!K279)</f>
        <v/>
      </c>
      <c r="G279" s="77" t="str">
        <f>IF('Prod 1'!I279="","",'Prod 1'!I279)</f>
        <v/>
      </c>
      <c r="H279" s="63" t="str">
        <f>IF('Prod 1'!F279="","",'Prod 1'!F279)</f>
        <v/>
      </c>
      <c r="I279" s="75" t="str">
        <f>IF('Prod 3'!F279="","",'Prod 3'!F279)</f>
        <v/>
      </c>
    </row>
    <row r="280" spans="3:9" ht="30" customHeight="1" x14ac:dyDescent="0.25">
      <c r="C280" s="42">
        <v>276</v>
      </c>
      <c r="D280" s="67" t="str">
        <f>IF('Prod 1'!D280="","",'Prod 1'!D280)</f>
        <v/>
      </c>
      <c r="E280" s="73" t="str">
        <f>IF('Prod 1'!E280="","",'Prod 1'!E280)</f>
        <v/>
      </c>
      <c r="F280" s="74" t="str">
        <f>IF('Prod 2'!K280="","",'Prod 2'!K280)</f>
        <v/>
      </c>
      <c r="G280" s="77" t="str">
        <f>IF('Prod 1'!I280="","",'Prod 1'!I280)</f>
        <v/>
      </c>
      <c r="H280" s="63" t="str">
        <f>IF('Prod 1'!F280="","",'Prod 1'!F280)</f>
        <v/>
      </c>
      <c r="I280" s="75" t="str">
        <f>IF('Prod 3'!F280="","",'Prod 3'!F280)</f>
        <v/>
      </c>
    </row>
    <row r="281" spans="3:9" ht="30" customHeight="1" x14ac:dyDescent="0.25">
      <c r="C281" s="42">
        <v>277</v>
      </c>
      <c r="D281" s="67" t="str">
        <f>IF('Prod 1'!D281="","",'Prod 1'!D281)</f>
        <v/>
      </c>
      <c r="E281" s="73" t="str">
        <f>IF('Prod 1'!E281="","",'Prod 1'!E281)</f>
        <v/>
      </c>
      <c r="F281" s="74" t="str">
        <f>IF('Prod 2'!K281="","",'Prod 2'!K281)</f>
        <v/>
      </c>
      <c r="G281" s="77" t="str">
        <f>IF('Prod 1'!I281="","",'Prod 1'!I281)</f>
        <v/>
      </c>
      <c r="H281" s="63" t="str">
        <f>IF('Prod 1'!F281="","",'Prod 1'!F281)</f>
        <v/>
      </c>
      <c r="I281" s="75" t="str">
        <f>IF('Prod 3'!F281="","",'Prod 3'!F281)</f>
        <v/>
      </c>
    </row>
    <row r="282" spans="3:9" ht="30" customHeight="1" x14ac:dyDescent="0.25">
      <c r="C282" s="42">
        <v>278</v>
      </c>
      <c r="D282" s="67" t="str">
        <f>IF('Prod 1'!D282="","",'Prod 1'!D282)</f>
        <v/>
      </c>
      <c r="E282" s="73" t="str">
        <f>IF('Prod 1'!E282="","",'Prod 1'!E282)</f>
        <v/>
      </c>
      <c r="F282" s="74" t="str">
        <f>IF('Prod 2'!K282="","",'Prod 2'!K282)</f>
        <v/>
      </c>
      <c r="G282" s="77" t="str">
        <f>IF('Prod 1'!I282="","",'Prod 1'!I282)</f>
        <v/>
      </c>
      <c r="H282" s="63" t="str">
        <f>IF('Prod 1'!F282="","",'Prod 1'!F282)</f>
        <v/>
      </c>
      <c r="I282" s="75" t="str">
        <f>IF('Prod 3'!F282="","",'Prod 3'!F282)</f>
        <v/>
      </c>
    </row>
    <row r="283" spans="3:9" ht="30" customHeight="1" x14ac:dyDescent="0.25">
      <c r="C283" s="42">
        <v>279</v>
      </c>
      <c r="D283" s="67" t="str">
        <f>IF('Prod 1'!D283="","",'Prod 1'!D283)</f>
        <v/>
      </c>
      <c r="E283" s="73" t="str">
        <f>IF('Prod 1'!E283="","",'Prod 1'!E283)</f>
        <v/>
      </c>
      <c r="F283" s="74" t="str">
        <f>IF('Prod 2'!K283="","",'Prod 2'!K283)</f>
        <v/>
      </c>
      <c r="G283" s="77" t="str">
        <f>IF('Prod 1'!I283="","",'Prod 1'!I283)</f>
        <v/>
      </c>
      <c r="H283" s="63" t="str">
        <f>IF('Prod 1'!F283="","",'Prod 1'!F283)</f>
        <v/>
      </c>
      <c r="I283" s="75" t="str">
        <f>IF('Prod 3'!F283="","",'Prod 3'!F283)</f>
        <v/>
      </c>
    </row>
    <row r="284" spans="3:9" ht="30" customHeight="1" x14ac:dyDescent="0.25">
      <c r="C284" s="42">
        <v>280</v>
      </c>
      <c r="D284" s="67" t="str">
        <f>IF('Prod 1'!D284="","",'Prod 1'!D284)</f>
        <v/>
      </c>
      <c r="E284" s="73" t="str">
        <f>IF('Prod 1'!E284="","",'Prod 1'!E284)</f>
        <v/>
      </c>
      <c r="F284" s="74" t="str">
        <f>IF('Prod 2'!K284="","",'Prod 2'!K284)</f>
        <v/>
      </c>
      <c r="G284" s="77" t="str">
        <f>IF('Prod 1'!I284="","",'Prod 1'!I284)</f>
        <v/>
      </c>
      <c r="H284" s="63" t="str">
        <f>IF('Prod 1'!F284="","",'Prod 1'!F284)</f>
        <v/>
      </c>
      <c r="I284" s="75" t="str">
        <f>IF('Prod 3'!F284="","",'Prod 3'!F284)</f>
        <v/>
      </c>
    </row>
    <row r="285" spans="3:9" ht="30" customHeight="1" x14ac:dyDescent="0.25">
      <c r="C285" s="42">
        <v>281</v>
      </c>
      <c r="D285" s="67" t="str">
        <f>IF('Prod 1'!D285="","",'Prod 1'!D285)</f>
        <v/>
      </c>
      <c r="E285" s="73" t="str">
        <f>IF('Prod 1'!E285="","",'Prod 1'!E285)</f>
        <v/>
      </c>
      <c r="F285" s="74" t="str">
        <f>IF('Prod 2'!K285="","",'Prod 2'!K285)</f>
        <v/>
      </c>
      <c r="G285" s="77" t="str">
        <f>IF('Prod 1'!I285="","",'Prod 1'!I285)</f>
        <v/>
      </c>
      <c r="H285" s="63" t="str">
        <f>IF('Prod 1'!F285="","",'Prod 1'!F285)</f>
        <v/>
      </c>
      <c r="I285" s="75" t="str">
        <f>IF('Prod 3'!F285="","",'Prod 3'!F285)</f>
        <v/>
      </c>
    </row>
    <row r="286" spans="3:9" ht="30" customHeight="1" x14ac:dyDescent="0.25">
      <c r="C286" s="42">
        <v>282</v>
      </c>
      <c r="D286" s="67" t="str">
        <f>IF('Prod 1'!D286="","",'Prod 1'!D286)</f>
        <v/>
      </c>
      <c r="E286" s="73" t="str">
        <f>IF('Prod 1'!E286="","",'Prod 1'!E286)</f>
        <v/>
      </c>
      <c r="F286" s="74" t="str">
        <f>IF('Prod 2'!K286="","",'Prod 2'!K286)</f>
        <v/>
      </c>
      <c r="G286" s="77" t="str">
        <f>IF('Prod 1'!I286="","",'Prod 1'!I286)</f>
        <v/>
      </c>
      <c r="H286" s="63" t="str">
        <f>IF('Prod 1'!F286="","",'Prod 1'!F286)</f>
        <v/>
      </c>
      <c r="I286" s="75" t="str">
        <f>IF('Prod 3'!F286="","",'Prod 3'!F286)</f>
        <v/>
      </c>
    </row>
    <row r="287" spans="3:9" ht="30" customHeight="1" x14ac:dyDescent="0.25">
      <c r="C287" s="42">
        <v>283</v>
      </c>
      <c r="D287" s="67" t="str">
        <f>IF('Prod 1'!D287="","",'Prod 1'!D287)</f>
        <v/>
      </c>
      <c r="E287" s="73" t="str">
        <f>IF('Prod 1'!E287="","",'Prod 1'!E287)</f>
        <v/>
      </c>
      <c r="F287" s="74" t="str">
        <f>IF('Prod 2'!K287="","",'Prod 2'!K287)</f>
        <v/>
      </c>
      <c r="G287" s="77" t="str">
        <f>IF('Prod 1'!I287="","",'Prod 1'!I287)</f>
        <v/>
      </c>
      <c r="H287" s="63" t="str">
        <f>IF('Prod 1'!F287="","",'Prod 1'!F287)</f>
        <v/>
      </c>
      <c r="I287" s="75" t="str">
        <f>IF('Prod 3'!F287="","",'Prod 3'!F287)</f>
        <v/>
      </c>
    </row>
    <row r="288" spans="3:9" ht="30" customHeight="1" x14ac:dyDescent="0.25">
      <c r="C288" s="42">
        <v>284</v>
      </c>
      <c r="D288" s="67" t="str">
        <f>IF('Prod 1'!D288="","",'Prod 1'!D288)</f>
        <v/>
      </c>
      <c r="E288" s="73" t="str">
        <f>IF('Prod 1'!E288="","",'Prod 1'!E288)</f>
        <v/>
      </c>
      <c r="F288" s="74" t="str">
        <f>IF('Prod 2'!K288="","",'Prod 2'!K288)</f>
        <v/>
      </c>
      <c r="G288" s="77" t="str">
        <f>IF('Prod 1'!I288="","",'Prod 1'!I288)</f>
        <v/>
      </c>
      <c r="H288" s="63" t="str">
        <f>IF('Prod 1'!F288="","",'Prod 1'!F288)</f>
        <v/>
      </c>
      <c r="I288" s="75" t="str">
        <f>IF('Prod 3'!F288="","",'Prod 3'!F288)</f>
        <v/>
      </c>
    </row>
    <row r="289" spans="3:9" ht="30" customHeight="1" x14ac:dyDescent="0.25">
      <c r="C289" s="42">
        <v>285</v>
      </c>
      <c r="D289" s="67" t="str">
        <f>IF('Prod 1'!D289="","",'Prod 1'!D289)</f>
        <v/>
      </c>
      <c r="E289" s="73" t="str">
        <f>IF('Prod 1'!E289="","",'Prod 1'!E289)</f>
        <v/>
      </c>
      <c r="F289" s="74" t="str">
        <f>IF('Prod 2'!K289="","",'Prod 2'!K289)</f>
        <v/>
      </c>
      <c r="G289" s="77" t="str">
        <f>IF('Prod 1'!I289="","",'Prod 1'!I289)</f>
        <v/>
      </c>
      <c r="H289" s="63" t="str">
        <f>IF('Prod 1'!F289="","",'Prod 1'!F289)</f>
        <v/>
      </c>
      <c r="I289" s="75" t="str">
        <f>IF('Prod 3'!F289="","",'Prod 3'!F289)</f>
        <v/>
      </c>
    </row>
    <row r="290" spans="3:9" ht="30" customHeight="1" x14ac:dyDescent="0.25">
      <c r="C290" s="42">
        <v>286</v>
      </c>
      <c r="D290" s="67" t="str">
        <f>IF('Prod 1'!D290="","",'Prod 1'!D290)</f>
        <v/>
      </c>
      <c r="E290" s="73" t="str">
        <f>IF('Prod 1'!E290="","",'Prod 1'!E290)</f>
        <v/>
      </c>
      <c r="F290" s="74" t="str">
        <f>IF('Prod 2'!K290="","",'Prod 2'!K290)</f>
        <v/>
      </c>
      <c r="G290" s="77" t="str">
        <f>IF('Prod 1'!I290="","",'Prod 1'!I290)</f>
        <v/>
      </c>
      <c r="H290" s="63" t="str">
        <f>IF('Prod 1'!F290="","",'Prod 1'!F290)</f>
        <v/>
      </c>
      <c r="I290" s="75" t="str">
        <f>IF('Prod 3'!F290="","",'Prod 3'!F290)</f>
        <v/>
      </c>
    </row>
    <row r="291" spans="3:9" ht="30" customHeight="1" x14ac:dyDescent="0.25">
      <c r="C291" s="42">
        <v>287</v>
      </c>
      <c r="D291" s="67" t="str">
        <f>IF('Prod 1'!D291="","",'Prod 1'!D291)</f>
        <v/>
      </c>
      <c r="E291" s="73" t="str">
        <f>IF('Prod 1'!E291="","",'Prod 1'!E291)</f>
        <v/>
      </c>
      <c r="F291" s="74" t="str">
        <f>IF('Prod 2'!K291="","",'Prod 2'!K291)</f>
        <v/>
      </c>
      <c r="G291" s="77" t="str">
        <f>IF('Prod 1'!I291="","",'Prod 1'!I291)</f>
        <v/>
      </c>
      <c r="H291" s="63" t="str">
        <f>IF('Prod 1'!F291="","",'Prod 1'!F291)</f>
        <v/>
      </c>
      <c r="I291" s="75" t="str">
        <f>IF('Prod 3'!F291="","",'Prod 3'!F291)</f>
        <v/>
      </c>
    </row>
    <row r="292" spans="3:9" ht="30" customHeight="1" x14ac:dyDescent="0.25">
      <c r="C292" s="42">
        <v>288</v>
      </c>
      <c r="D292" s="67" t="str">
        <f>IF('Prod 1'!D292="","",'Prod 1'!D292)</f>
        <v/>
      </c>
      <c r="E292" s="73" t="str">
        <f>IF('Prod 1'!E292="","",'Prod 1'!E292)</f>
        <v/>
      </c>
      <c r="F292" s="74" t="str">
        <f>IF('Prod 2'!K292="","",'Prod 2'!K292)</f>
        <v/>
      </c>
      <c r="G292" s="77" t="str">
        <f>IF('Prod 1'!I292="","",'Prod 1'!I292)</f>
        <v/>
      </c>
      <c r="H292" s="63" t="str">
        <f>IF('Prod 1'!F292="","",'Prod 1'!F292)</f>
        <v/>
      </c>
      <c r="I292" s="75" t="str">
        <f>IF('Prod 3'!F292="","",'Prod 3'!F292)</f>
        <v/>
      </c>
    </row>
    <row r="293" spans="3:9" ht="30" customHeight="1" x14ac:dyDescent="0.25">
      <c r="C293" s="42">
        <v>289</v>
      </c>
      <c r="D293" s="67" t="str">
        <f>IF('Prod 1'!D293="","",'Prod 1'!D293)</f>
        <v/>
      </c>
      <c r="E293" s="73" t="str">
        <f>IF('Prod 1'!E293="","",'Prod 1'!E293)</f>
        <v/>
      </c>
      <c r="F293" s="74" t="str">
        <f>IF('Prod 2'!K293="","",'Prod 2'!K293)</f>
        <v/>
      </c>
      <c r="G293" s="77" t="str">
        <f>IF('Prod 1'!I293="","",'Prod 1'!I293)</f>
        <v/>
      </c>
      <c r="H293" s="63" t="str">
        <f>IF('Prod 1'!F293="","",'Prod 1'!F293)</f>
        <v/>
      </c>
      <c r="I293" s="75" t="str">
        <f>IF('Prod 3'!F293="","",'Prod 3'!F293)</f>
        <v/>
      </c>
    </row>
    <row r="294" spans="3:9" ht="30" customHeight="1" x14ac:dyDescent="0.25">
      <c r="C294" s="42">
        <v>290</v>
      </c>
      <c r="D294" s="67" t="str">
        <f>IF('Prod 1'!D294="","",'Prod 1'!D294)</f>
        <v/>
      </c>
      <c r="E294" s="73" t="str">
        <f>IF('Prod 1'!E294="","",'Prod 1'!E294)</f>
        <v/>
      </c>
      <c r="F294" s="74" t="str">
        <f>IF('Prod 2'!K294="","",'Prod 2'!K294)</f>
        <v/>
      </c>
      <c r="G294" s="77" t="str">
        <f>IF('Prod 1'!I294="","",'Prod 1'!I294)</f>
        <v/>
      </c>
      <c r="H294" s="63" t="str">
        <f>IF('Prod 1'!F294="","",'Prod 1'!F294)</f>
        <v/>
      </c>
      <c r="I294" s="75" t="str">
        <f>IF('Prod 3'!F294="","",'Prod 3'!F294)</f>
        <v/>
      </c>
    </row>
    <row r="295" spans="3:9" ht="30" customHeight="1" x14ac:dyDescent="0.25">
      <c r="C295" s="42">
        <v>291</v>
      </c>
      <c r="D295" s="67" t="str">
        <f>IF('Prod 1'!D295="","",'Prod 1'!D295)</f>
        <v/>
      </c>
      <c r="E295" s="73" t="str">
        <f>IF('Prod 1'!E295="","",'Prod 1'!E295)</f>
        <v/>
      </c>
      <c r="F295" s="74" t="str">
        <f>IF('Prod 2'!K295="","",'Prod 2'!K295)</f>
        <v/>
      </c>
      <c r="G295" s="77" t="str">
        <f>IF('Prod 1'!I295="","",'Prod 1'!I295)</f>
        <v/>
      </c>
      <c r="H295" s="63" t="str">
        <f>IF('Prod 1'!F295="","",'Prod 1'!F295)</f>
        <v/>
      </c>
      <c r="I295" s="75" t="str">
        <f>IF('Prod 3'!F295="","",'Prod 3'!F295)</f>
        <v/>
      </c>
    </row>
    <row r="296" spans="3:9" ht="30" customHeight="1" x14ac:dyDescent="0.25">
      <c r="C296" s="42">
        <v>292</v>
      </c>
      <c r="D296" s="67" t="str">
        <f>IF('Prod 1'!D296="","",'Prod 1'!D296)</f>
        <v/>
      </c>
      <c r="E296" s="73" t="str">
        <f>IF('Prod 1'!E296="","",'Prod 1'!E296)</f>
        <v/>
      </c>
      <c r="F296" s="74" t="str">
        <f>IF('Prod 2'!K296="","",'Prod 2'!K296)</f>
        <v/>
      </c>
      <c r="G296" s="77" t="str">
        <f>IF('Prod 1'!I296="","",'Prod 1'!I296)</f>
        <v/>
      </c>
      <c r="H296" s="63" t="str">
        <f>IF('Prod 1'!F296="","",'Prod 1'!F296)</f>
        <v/>
      </c>
      <c r="I296" s="75" t="str">
        <f>IF('Prod 3'!F296="","",'Prod 3'!F296)</f>
        <v/>
      </c>
    </row>
    <row r="297" spans="3:9" ht="30" customHeight="1" x14ac:dyDescent="0.25">
      <c r="C297" s="42">
        <v>293</v>
      </c>
      <c r="D297" s="67" t="str">
        <f>IF('Prod 1'!D297="","",'Prod 1'!D297)</f>
        <v/>
      </c>
      <c r="E297" s="73" t="str">
        <f>IF('Prod 1'!E297="","",'Prod 1'!E297)</f>
        <v/>
      </c>
      <c r="F297" s="74" t="str">
        <f>IF('Prod 2'!K297="","",'Prod 2'!K297)</f>
        <v/>
      </c>
      <c r="G297" s="77" t="str">
        <f>IF('Prod 1'!I297="","",'Prod 1'!I297)</f>
        <v/>
      </c>
      <c r="H297" s="63" t="str">
        <f>IF('Prod 1'!F297="","",'Prod 1'!F297)</f>
        <v/>
      </c>
      <c r="I297" s="75" t="str">
        <f>IF('Prod 3'!F297="","",'Prod 3'!F297)</f>
        <v/>
      </c>
    </row>
    <row r="298" spans="3:9" ht="30" customHeight="1" x14ac:dyDescent="0.25">
      <c r="C298" s="42">
        <v>294</v>
      </c>
      <c r="D298" s="67" t="str">
        <f>IF('Prod 1'!D298="","",'Prod 1'!D298)</f>
        <v/>
      </c>
      <c r="E298" s="73" t="str">
        <f>IF('Prod 1'!E298="","",'Prod 1'!E298)</f>
        <v/>
      </c>
      <c r="F298" s="74" t="str">
        <f>IF('Prod 2'!K298="","",'Prod 2'!K298)</f>
        <v/>
      </c>
      <c r="G298" s="77" t="str">
        <f>IF('Prod 1'!I298="","",'Prod 1'!I298)</f>
        <v/>
      </c>
      <c r="H298" s="63" t="str">
        <f>IF('Prod 1'!F298="","",'Prod 1'!F298)</f>
        <v/>
      </c>
      <c r="I298" s="75" t="str">
        <f>IF('Prod 3'!F298="","",'Prod 3'!F298)</f>
        <v/>
      </c>
    </row>
    <row r="299" spans="3:9" ht="30" customHeight="1" x14ac:dyDescent="0.25">
      <c r="C299" s="42">
        <v>295</v>
      </c>
      <c r="D299" s="67" t="str">
        <f>IF('Prod 1'!D299="","",'Prod 1'!D299)</f>
        <v/>
      </c>
      <c r="E299" s="73" t="str">
        <f>IF('Prod 1'!E299="","",'Prod 1'!E299)</f>
        <v/>
      </c>
      <c r="F299" s="74" t="str">
        <f>IF('Prod 2'!K299="","",'Prod 2'!K299)</f>
        <v/>
      </c>
      <c r="G299" s="77" t="str">
        <f>IF('Prod 1'!I299="","",'Prod 1'!I299)</f>
        <v/>
      </c>
      <c r="H299" s="63" t="str">
        <f>IF('Prod 1'!F299="","",'Prod 1'!F299)</f>
        <v/>
      </c>
      <c r="I299" s="75" t="str">
        <f>IF('Prod 3'!F299="","",'Prod 3'!F299)</f>
        <v/>
      </c>
    </row>
    <row r="300" spans="3:9" ht="30" customHeight="1" x14ac:dyDescent="0.25">
      <c r="C300" s="42">
        <v>296</v>
      </c>
      <c r="D300" s="67" t="str">
        <f>IF('Prod 1'!D300="","",'Prod 1'!D300)</f>
        <v/>
      </c>
      <c r="E300" s="73" t="str">
        <f>IF('Prod 1'!E300="","",'Prod 1'!E300)</f>
        <v/>
      </c>
      <c r="F300" s="74" t="str">
        <f>IF('Prod 2'!K300="","",'Prod 2'!K300)</f>
        <v/>
      </c>
      <c r="G300" s="77" t="str">
        <f>IF('Prod 1'!I300="","",'Prod 1'!I300)</f>
        <v/>
      </c>
      <c r="H300" s="63" t="str">
        <f>IF('Prod 1'!F300="","",'Prod 1'!F300)</f>
        <v/>
      </c>
      <c r="I300" s="75" t="str">
        <f>IF('Prod 3'!F300="","",'Prod 3'!F300)</f>
        <v/>
      </c>
    </row>
    <row r="301" spans="3:9" ht="30" customHeight="1" x14ac:dyDescent="0.25">
      <c r="C301" s="42">
        <v>297</v>
      </c>
      <c r="D301" s="67" t="str">
        <f>IF('Prod 1'!D301="","",'Prod 1'!D301)</f>
        <v/>
      </c>
      <c r="E301" s="73" t="str">
        <f>IF('Prod 1'!E301="","",'Prod 1'!E301)</f>
        <v/>
      </c>
      <c r="F301" s="74" t="str">
        <f>IF('Prod 2'!K301="","",'Prod 2'!K301)</f>
        <v/>
      </c>
      <c r="G301" s="77" t="str">
        <f>IF('Prod 1'!I301="","",'Prod 1'!I301)</f>
        <v/>
      </c>
      <c r="H301" s="63" t="str">
        <f>IF('Prod 1'!F301="","",'Prod 1'!F301)</f>
        <v/>
      </c>
      <c r="I301" s="75" t="str">
        <f>IF('Prod 3'!F301="","",'Prod 3'!F301)</f>
        <v/>
      </c>
    </row>
    <row r="302" spans="3:9" ht="30" customHeight="1" x14ac:dyDescent="0.25">
      <c r="C302" s="42">
        <v>298</v>
      </c>
      <c r="D302" s="67" t="str">
        <f>IF('Prod 1'!D302="","",'Prod 1'!D302)</f>
        <v/>
      </c>
      <c r="E302" s="73" t="str">
        <f>IF('Prod 1'!E302="","",'Prod 1'!E302)</f>
        <v/>
      </c>
      <c r="F302" s="74" t="str">
        <f>IF('Prod 2'!K302="","",'Prod 2'!K302)</f>
        <v/>
      </c>
      <c r="G302" s="77" t="str">
        <f>IF('Prod 1'!I302="","",'Prod 1'!I302)</f>
        <v/>
      </c>
      <c r="H302" s="63" t="str">
        <f>IF('Prod 1'!F302="","",'Prod 1'!F302)</f>
        <v/>
      </c>
      <c r="I302" s="75" t="str">
        <f>IF('Prod 3'!F302="","",'Prod 3'!F302)</f>
        <v/>
      </c>
    </row>
    <row r="303" spans="3:9" ht="30" customHeight="1" x14ac:dyDescent="0.25">
      <c r="C303" s="42">
        <v>299</v>
      </c>
      <c r="D303" s="67" t="str">
        <f>IF('Prod 1'!D303="","",'Prod 1'!D303)</f>
        <v/>
      </c>
      <c r="E303" s="73" t="str">
        <f>IF('Prod 1'!E303="","",'Prod 1'!E303)</f>
        <v/>
      </c>
      <c r="F303" s="74" t="str">
        <f>IF('Prod 2'!K303="","",'Prod 2'!K303)</f>
        <v/>
      </c>
      <c r="G303" s="77" t="str">
        <f>IF('Prod 1'!I303="","",'Prod 1'!I303)</f>
        <v/>
      </c>
      <c r="H303" s="63" t="str">
        <f>IF('Prod 1'!F303="","",'Prod 1'!F303)</f>
        <v/>
      </c>
      <c r="I303" s="75" t="str">
        <f>IF('Prod 3'!F303="","",'Prod 3'!F303)</f>
        <v/>
      </c>
    </row>
    <row r="304" spans="3:9" ht="30" customHeight="1" x14ac:dyDescent="0.25">
      <c r="C304" s="42">
        <v>300</v>
      </c>
      <c r="D304" s="67" t="str">
        <f>IF('Prod 1'!D304="","",'Prod 1'!D304)</f>
        <v/>
      </c>
      <c r="E304" s="73" t="str">
        <f>IF('Prod 1'!E304="","",'Prod 1'!E304)</f>
        <v/>
      </c>
      <c r="F304" s="74" t="str">
        <f>IF('Prod 2'!K304="","",'Prod 2'!K304)</f>
        <v/>
      </c>
      <c r="G304" s="77" t="str">
        <f>IF('Prod 1'!I304="","",'Prod 1'!I304)</f>
        <v/>
      </c>
      <c r="H304" s="63" t="str">
        <f>IF('Prod 1'!F304="","",'Prod 1'!F304)</f>
        <v/>
      </c>
      <c r="I304" s="75" t="str">
        <f>IF('Prod 3'!F304="","",'Prod 3'!F304)</f>
        <v/>
      </c>
    </row>
    <row r="305" spans="3:9" ht="30" customHeight="1" x14ac:dyDescent="0.25">
      <c r="C305" s="42">
        <v>301</v>
      </c>
      <c r="D305" s="67" t="str">
        <f>IF('Prod 1'!D305="","",'Prod 1'!D305)</f>
        <v/>
      </c>
      <c r="E305" s="73" t="str">
        <f>IF('Prod 1'!E305="","",'Prod 1'!E305)</f>
        <v/>
      </c>
      <c r="F305" s="74" t="str">
        <f>IF('Prod 2'!K305="","",'Prod 2'!K305)</f>
        <v/>
      </c>
      <c r="G305" s="77" t="str">
        <f>IF('Prod 1'!I305="","",'Prod 1'!I305)</f>
        <v/>
      </c>
      <c r="H305" s="63" t="str">
        <f>IF('Prod 1'!F305="","",'Prod 1'!F305)</f>
        <v/>
      </c>
      <c r="I305" s="75" t="str">
        <f>IF('Prod 3'!F305="","",'Prod 3'!F305)</f>
        <v/>
      </c>
    </row>
    <row r="306" spans="3:9" ht="30" customHeight="1" x14ac:dyDescent="0.25">
      <c r="C306" s="42">
        <v>302</v>
      </c>
      <c r="D306" s="67" t="str">
        <f>IF('Prod 1'!D306="","",'Prod 1'!D306)</f>
        <v/>
      </c>
      <c r="E306" s="73" t="str">
        <f>IF('Prod 1'!E306="","",'Prod 1'!E306)</f>
        <v/>
      </c>
      <c r="F306" s="74" t="str">
        <f>IF('Prod 2'!K306="","",'Prod 2'!K306)</f>
        <v/>
      </c>
      <c r="G306" s="77" t="str">
        <f>IF('Prod 1'!I306="","",'Prod 1'!I306)</f>
        <v/>
      </c>
      <c r="H306" s="63" t="str">
        <f>IF('Prod 1'!F306="","",'Prod 1'!F306)</f>
        <v/>
      </c>
      <c r="I306" s="75" t="str">
        <f>IF('Prod 3'!F306="","",'Prod 3'!F306)</f>
        <v/>
      </c>
    </row>
    <row r="307" spans="3:9" ht="30" customHeight="1" x14ac:dyDescent="0.25">
      <c r="C307" s="42">
        <v>303</v>
      </c>
      <c r="D307" s="67" t="str">
        <f>IF('Prod 1'!D307="","",'Prod 1'!D307)</f>
        <v/>
      </c>
      <c r="E307" s="73" t="str">
        <f>IF('Prod 1'!E307="","",'Prod 1'!E307)</f>
        <v/>
      </c>
      <c r="F307" s="74" t="str">
        <f>IF('Prod 2'!K307="","",'Prod 2'!K307)</f>
        <v/>
      </c>
      <c r="G307" s="77" t="str">
        <f>IF('Prod 1'!I307="","",'Prod 1'!I307)</f>
        <v/>
      </c>
      <c r="H307" s="63" t="str">
        <f>IF('Prod 1'!F307="","",'Prod 1'!F307)</f>
        <v/>
      </c>
      <c r="I307" s="75" t="str">
        <f>IF('Prod 3'!F307="","",'Prod 3'!F307)</f>
        <v/>
      </c>
    </row>
    <row r="308" spans="3:9" ht="30" customHeight="1" x14ac:dyDescent="0.25">
      <c r="C308" s="42">
        <v>304</v>
      </c>
      <c r="D308" s="67" t="str">
        <f>IF('Prod 1'!D308="","",'Prod 1'!D308)</f>
        <v/>
      </c>
      <c r="E308" s="73" t="str">
        <f>IF('Prod 1'!E308="","",'Prod 1'!E308)</f>
        <v/>
      </c>
      <c r="F308" s="74" t="str">
        <f>IF('Prod 2'!K308="","",'Prod 2'!K308)</f>
        <v/>
      </c>
      <c r="G308" s="77" t="str">
        <f>IF('Prod 1'!I308="","",'Prod 1'!I308)</f>
        <v/>
      </c>
      <c r="H308" s="63" t="str">
        <f>IF('Prod 1'!F308="","",'Prod 1'!F308)</f>
        <v/>
      </c>
      <c r="I308" s="75" t="str">
        <f>IF('Prod 3'!F308="","",'Prod 3'!F308)</f>
        <v/>
      </c>
    </row>
    <row r="309" spans="3:9" ht="30" customHeight="1" x14ac:dyDescent="0.25">
      <c r="C309" s="42">
        <v>305</v>
      </c>
      <c r="D309" s="67" t="str">
        <f>IF('Prod 1'!D309="","",'Prod 1'!D309)</f>
        <v/>
      </c>
      <c r="E309" s="73" t="str">
        <f>IF('Prod 1'!E309="","",'Prod 1'!E309)</f>
        <v/>
      </c>
      <c r="F309" s="74" t="str">
        <f>IF('Prod 2'!K309="","",'Prod 2'!K309)</f>
        <v/>
      </c>
      <c r="G309" s="77" t="str">
        <f>IF('Prod 1'!I309="","",'Prod 1'!I309)</f>
        <v/>
      </c>
      <c r="H309" s="63" t="str">
        <f>IF('Prod 1'!F309="","",'Prod 1'!F309)</f>
        <v/>
      </c>
      <c r="I309" s="75" t="str">
        <f>IF('Prod 3'!F309="","",'Prod 3'!F309)</f>
        <v/>
      </c>
    </row>
    <row r="310" spans="3:9" ht="30" customHeight="1" x14ac:dyDescent="0.25">
      <c r="C310" s="42">
        <v>306</v>
      </c>
      <c r="D310" s="67" t="str">
        <f>IF('Prod 1'!D310="","",'Prod 1'!D310)</f>
        <v/>
      </c>
      <c r="E310" s="73" t="str">
        <f>IF('Prod 1'!E310="","",'Prod 1'!E310)</f>
        <v/>
      </c>
      <c r="F310" s="74" t="str">
        <f>IF('Prod 2'!K310="","",'Prod 2'!K310)</f>
        <v/>
      </c>
      <c r="G310" s="77" t="str">
        <f>IF('Prod 1'!I310="","",'Prod 1'!I310)</f>
        <v/>
      </c>
      <c r="H310" s="63" t="str">
        <f>IF('Prod 1'!F310="","",'Prod 1'!F310)</f>
        <v/>
      </c>
      <c r="I310" s="75" t="str">
        <f>IF('Prod 3'!F310="","",'Prod 3'!F310)</f>
        <v/>
      </c>
    </row>
    <row r="311" spans="3:9" ht="30" customHeight="1" x14ac:dyDescent="0.25">
      <c r="C311" s="42">
        <v>307</v>
      </c>
      <c r="D311" s="67" t="str">
        <f>IF('Prod 1'!D311="","",'Prod 1'!D311)</f>
        <v/>
      </c>
      <c r="E311" s="73" t="str">
        <f>IF('Prod 1'!E311="","",'Prod 1'!E311)</f>
        <v/>
      </c>
      <c r="F311" s="74" t="str">
        <f>IF('Prod 2'!K311="","",'Prod 2'!K311)</f>
        <v/>
      </c>
      <c r="G311" s="77" t="str">
        <f>IF('Prod 1'!I311="","",'Prod 1'!I311)</f>
        <v/>
      </c>
      <c r="H311" s="63" t="str">
        <f>IF('Prod 1'!F311="","",'Prod 1'!F311)</f>
        <v/>
      </c>
      <c r="I311" s="75" t="str">
        <f>IF('Prod 3'!F311="","",'Prod 3'!F311)</f>
        <v/>
      </c>
    </row>
    <row r="312" spans="3:9" ht="30" customHeight="1" x14ac:dyDescent="0.25">
      <c r="C312" s="42">
        <v>308</v>
      </c>
      <c r="D312" s="67" t="str">
        <f>IF('Prod 1'!D312="","",'Prod 1'!D312)</f>
        <v/>
      </c>
      <c r="E312" s="73" t="str">
        <f>IF('Prod 1'!E312="","",'Prod 1'!E312)</f>
        <v/>
      </c>
      <c r="F312" s="74" t="str">
        <f>IF('Prod 2'!K312="","",'Prod 2'!K312)</f>
        <v/>
      </c>
      <c r="G312" s="77" t="str">
        <f>IF('Prod 1'!I312="","",'Prod 1'!I312)</f>
        <v/>
      </c>
      <c r="H312" s="63" t="str">
        <f>IF('Prod 1'!F312="","",'Prod 1'!F312)</f>
        <v/>
      </c>
      <c r="I312" s="75" t="str">
        <f>IF('Prod 3'!F312="","",'Prod 3'!F312)</f>
        <v/>
      </c>
    </row>
    <row r="313" spans="3:9" ht="30" customHeight="1" x14ac:dyDescent="0.25">
      <c r="C313" s="42">
        <v>309</v>
      </c>
      <c r="D313" s="67" t="str">
        <f>IF('Prod 1'!D313="","",'Prod 1'!D313)</f>
        <v/>
      </c>
      <c r="E313" s="73" t="str">
        <f>IF('Prod 1'!E313="","",'Prod 1'!E313)</f>
        <v/>
      </c>
      <c r="F313" s="74" t="str">
        <f>IF('Prod 2'!K313="","",'Prod 2'!K313)</f>
        <v/>
      </c>
      <c r="G313" s="77" t="str">
        <f>IF('Prod 1'!I313="","",'Prod 1'!I313)</f>
        <v/>
      </c>
      <c r="H313" s="63" t="str">
        <f>IF('Prod 1'!F313="","",'Prod 1'!F313)</f>
        <v/>
      </c>
      <c r="I313" s="75" t="str">
        <f>IF('Prod 3'!F313="","",'Prod 3'!F313)</f>
        <v/>
      </c>
    </row>
    <row r="314" spans="3:9" ht="30" customHeight="1" x14ac:dyDescent="0.25">
      <c r="C314" s="42">
        <v>310</v>
      </c>
      <c r="D314" s="67" t="str">
        <f>IF('Prod 1'!D314="","",'Prod 1'!D314)</f>
        <v/>
      </c>
      <c r="E314" s="73" t="str">
        <f>IF('Prod 1'!E314="","",'Prod 1'!E314)</f>
        <v/>
      </c>
      <c r="F314" s="74" t="str">
        <f>IF('Prod 2'!K314="","",'Prod 2'!K314)</f>
        <v/>
      </c>
      <c r="G314" s="77" t="str">
        <f>IF('Prod 1'!I314="","",'Prod 1'!I314)</f>
        <v/>
      </c>
      <c r="H314" s="63" t="str">
        <f>IF('Prod 1'!F314="","",'Prod 1'!F314)</f>
        <v/>
      </c>
      <c r="I314" s="75" t="str">
        <f>IF('Prod 3'!F314="","",'Prod 3'!F314)</f>
        <v/>
      </c>
    </row>
    <row r="315" spans="3:9" ht="30" customHeight="1" x14ac:dyDescent="0.25">
      <c r="C315" s="42">
        <v>311</v>
      </c>
      <c r="D315" s="67" t="str">
        <f>IF('Prod 1'!D315="","",'Prod 1'!D315)</f>
        <v/>
      </c>
      <c r="E315" s="73" t="str">
        <f>IF('Prod 1'!E315="","",'Prod 1'!E315)</f>
        <v/>
      </c>
      <c r="F315" s="74" t="str">
        <f>IF('Prod 2'!K315="","",'Prod 2'!K315)</f>
        <v/>
      </c>
      <c r="G315" s="77" t="str">
        <f>IF('Prod 1'!I315="","",'Prod 1'!I315)</f>
        <v/>
      </c>
      <c r="H315" s="63" t="str">
        <f>IF('Prod 1'!F315="","",'Prod 1'!F315)</f>
        <v/>
      </c>
      <c r="I315" s="75" t="str">
        <f>IF('Prod 3'!F315="","",'Prod 3'!F315)</f>
        <v/>
      </c>
    </row>
    <row r="316" spans="3:9" ht="30" customHeight="1" x14ac:dyDescent="0.25">
      <c r="C316" s="42">
        <v>312</v>
      </c>
      <c r="D316" s="67" t="str">
        <f>IF('Prod 1'!D316="","",'Prod 1'!D316)</f>
        <v/>
      </c>
      <c r="E316" s="73" t="str">
        <f>IF('Prod 1'!E316="","",'Prod 1'!E316)</f>
        <v/>
      </c>
      <c r="F316" s="74" t="str">
        <f>IF('Prod 2'!K316="","",'Prod 2'!K316)</f>
        <v/>
      </c>
      <c r="G316" s="77" t="str">
        <f>IF('Prod 1'!I316="","",'Prod 1'!I316)</f>
        <v/>
      </c>
      <c r="H316" s="63" t="str">
        <f>IF('Prod 1'!F316="","",'Prod 1'!F316)</f>
        <v/>
      </c>
      <c r="I316" s="75" t="str">
        <f>IF('Prod 3'!F316="","",'Prod 3'!F316)</f>
        <v/>
      </c>
    </row>
    <row r="317" spans="3:9" ht="30" customHeight="1" x14ac:dyDescent="0.25">
      <c r="C317" s="42">
        <v>313</v>
      </c>
      <c r="D317" s="67" t="str">
        <f>IF('Prod 1'!D317="","",'Prod 1'!D317)</f>
        <v/>
      </c>
      <c r="E317" s="73" t="str">
        <f>IF('Prod 1'!E317="","",'Prod 1'!E317)</f>
        <v/>
      </c>
      <c r="F317" s="74" t="str">
        <f>IF('Prod 2'!K317="","",'Prod 2'!K317)</f>
        <v/>
      </c>
      <c r="G317" s="77" t="str">
        <f>IF('Prod 1'!I317="","",'Prod 1'!I317)</f>
        <v/>
      </c>
      <c r="H317" s="63" t="str">
        <f>IF('Prod 1'!F317="","",'Prod 1'!F317)</f>
        <v/>
      </c>
      <c r="I317" s="75" t="str">
        <f>IF('Prod 3'!F317="","",'Prod 3'!F317)</f>
        <v/>
      </c>
    </row>
    <row r="318" spans="3:9" ht="30" customHeight="1" x14ac:dyDescent="0.25">
      <c r="C318" s="42">
        <v>314</v>
      </c>
      <c r="D318" s="67" t="str">
        <f>IF('Prod 1'!D318="","",'Prod 1'!D318)</f>
        <v/>
      </c>
      <c r="E318" s="73" t="str">
        <f>IF('Prod 1'!E318="","",'Prod 1'!E318)</f>
        <v/>
      </c>
      <c r="F318" s="74" t="str">
        <f>IF('Prod 2'!K318="","",'Prod 2'!K318)</f>
        <v/>
      </c>
      <c r="G318" s="77" t="str">
        <f>IF('Prod 1'!I318="","",'Prod 1'!I318)</f>
        <v/>
      </c>
      <c r="H318" s="63" t="str">
        <f>IF('Prod 1'!F318="","",'Prod 1'!F318)</f>
        <v/>
      </c>
      <c r="I318" s="75" t="str">
        <f>IF('Prod 3'!F318="","",'Prod 3'!F318)</f>
        <v/>
      </c>
    </row>
    <row r="319" spans="3:9" ht="30" customHeight="1" x14ac:dyDescent="0.25">
      <c r="C319" s="42">
        <v>315</v>
      </c>
      <c r="D319" s="67" t="str">
        <f>IF('Prod 1'!D319="","",'Prod 1'!D319)</f>
        <v/>
      </c>
      <c r="E319" s="73" t="str">
        <f>IF('Prod 1'!E319="","",'Prod 1'!E319)</f>
        <v/>
      </c>
      <c r="F319" s="74" t="str">
        <f>IF('Prod 2'!K319="","",'Prod 2'!K319)</f>
        <v/>
      </c>
      <c r="G319" s="77" t="str">
        <f>IF('Prod 1'!I319="","",'Prod 1'!I319)</f>
        <v/>
      </c>
      <c r="H319" s="63" t="str">
        <f>IF('Prod 1'!F319="","",'Prod 1'!F319)</f>
        <v/>
      </c>
      <c r="I319" s="75" t="str">
        <f>IF('Prod 3'!F319="","",'Prod 3'!F319)</f>
        <v/>
      </c>
    </row>
    <row r="320" spans="3:9" ht="30" customHeight="1" x14ac:dyDescent="0.25">
      <c r="C320" s="42">
        <v>316</v>
      </c>
      <c r="D320" s="67" t="str">
        <f>IF('Prod 1'!D320="","",'Prod 1'!D320)</f>
        <v/>
      </c>
      <c r="E320" s="73" t="str">
        <f>IF('Prod 1'!E320="","",'Prod 1'!E320)</f>
        <v/>
      </c>
      <c r="F320" s="74" t="str">
        <f>IF('Prod 2'!K320="","",'Prod 2'!K320)</f>
        <v/>
      </c>
      <c r="G320" s="77" t="str">
        <f>IF('Prod 1'!I320="","",'Prod 1'!I320)</f>
        <v/>
      </c>
      <c r="H320" s="63" t="str">
        <f>IF('Prod 1'!F320="","",'Prod 1'!F320)</f>
        <v/>
      </c>
      <c r="I320" s="75" t="str">
        <f>IF('Prod 3'!F320="","",'Prod 3'!F320)</f>
        <v/>
      </c>
    </row>
    <row r="321" spans="3:9" ht="30" customHeight="1" x14ac:dyDescent="0.25">
      <c r="C321" s="42">
        <v>317</v>
      </c>
      <c r="D321" s="67" t="str">
        <f>IF('Prod 1'!D321="","",'Prod 1'!D321)</f>
        <v/>
      </c>
      <c r="E321" s="73" t="str">
        <f>IF('Prod 1'!E321="","",'Prod 1'!E321)</f>
        <v/>
      </c>
      <c r="F321" s="74" t="str">
        <f>IF('Prod 2'!K321="","",'Prod 2'!K321)</f>
        <v/>
      </c>
      <c r="G321" s="77" t="str">
        <f>IF('Prod 1'!I321="","",'Prod 1'!I321)</f>
        <v/>
      </c>
      <c r="H321" s="63" t="str">
        <f>IF('Prod 1'!F321="","",'Prod 1'!F321)</f>
        <v/>
      </c>
      <c r="I321" s="75" t="str">
        <f>IF('Prod 3'!F321="","",'Prod 3'!F321)</f>
        <v/>
      </c>
    </row>
    <row r="322" spans="3:9" ht="30" customHeight="1" x14ac:dyDescent="0.25">
      <c r="C322" s="42">
        <v>318</v>
      </c>
      <c r="D322" s="67" t="str">
        <f>IF('Prod 1'!D322="","",'Prod 1'!D322)</f>
        <v/>
      </c>
      <c r="E322" s="73" t="str">
        <f>IF('Prod 1'!E322="","",'Prod 1'!E322)</f>
        <v/>
      </c>
      <c r="F322" s="74" t="str">
        <f>IF('Prod 2'!K322="","",'Prod 2'!K322)</f>
        <v/>
      </c>
      <c r="G322" s="77" t="str">
        <f>IF('Prod 1'!I322="","",'Prod 1'!I322)</f>
        <v/>
      </c>
      <c r="H322" s="63" t="str">
        <f>IF('Prod 1'!F322="","",'Prod 1'!F322)</f>
        <v/>
      </c>
      <c r="I322" s="75" t="str">
        <f>IF('Prod 3'!F322="","",'Prod 3'!F322)</f>
        <v/>
      </c>
    </row>
    <row r="323" spans="3:9" ht="30" customHeight="1" x14ac:dyDescent="0.25">
      <c r="C323" s="42">
        <v>319</v>
      </c>
      <c r="D323" s="67" t="str">
        <f>IF('Prod 1'!D323="","",'Prod 1'!D323)</f>
        <v/>
      </c>
      <c r="E323" s="73" t="str">
        <f>IF('Prod 1'!E323="","",'Prod 1'!E323)</f>
        <v/>
      </c>
      <c r="F323" s="74" t="str">
        <f>IF('Prod 2'!K323="","",'Prod 2'!K323)</f>
        <v/>
      </c>
      <c r="G323" s="77" t="str">
        <f>IF('Prod 1'!I323="","",'Prod 1'!I323)</f>
        <v/>
      </c>
      <c r="H323" s="63" t="str">
        <f>IF('Prod 1'!F323="","",'Prod 1'!F323)</f>
        <v/>
      </c>
      <c r="I323" s="75" t="str">
        <f>IF('Prod 3'!F323="","",'Prod 3'!F323)</f>
        <v/>
      </c>
    </row>
    <row r="324" spans="3:9" ht="30" customHeight="1" x14ac:dyDescent="0.25">
      <c r="C324" s="42">
        <v>320</v>
      </c>
      <c r="D324" s="67" t="str">
        <f>IF('Prod 1'!D324="","",'Prod 1'!D324)</f>
        <v/>
      </c>
      <c r="E324" s="73" t="str">
        <f>IF('Prod 1'!E324="","",'Prod 1'!E324)</f>
        <v/>
      </c>
      <c r="F324" s="74" t="str">
        <f>IF('Prod 2'!K324="","",'Prod 2'!K324)</f>
        <v/>
      </c>
      <c r="G324" s="77" t="str">
        <f>IF('Prod 1'!I324="","",'Prod 1'!I324)</f>
        <v/>
      </c>
      <c r="H324" s="63" t="str">
        <f>IF('Prod 1'!F324="","",'Prod 1'!F324)</f>
        <v/>
      </c>
      <c r="I324" s="75" t="str">
        <f>IF('Prod 3'!F324="","",'Prod 3'!F324)</f>
        <v/>
      </c>
    </row>
    <row r="325" spans="3:9" ht="30" customHeight="1" x14ac:dyDescent="0.25">
      <c r="C325" s="42">
        <v>321</v>
      </c>
      <c r="D325" s="67" t="str">
        <f>IF('Prod 1'!D325="","",'Prod 1'!D325)</f>
        <v/>
      </c>
      <c r="E325" s="73" t="str">
        <f>IF('Prod 1'!E325="","",'Prod 1'!E325)</f>
        <v/>
      </c>
      <c r="F325" s="74" t="str">
        <f>IF('Prod 2'!K325="","",'Prod 2'!K325)</f>
        <v/>
      </c>
      <c r="G325" s="77" t="str">
        <f>IF('Prod 1'!I325="","",'Prod 1'!I325)</f>
        <v/>
      </c>
      <c r="H325" s="63" t="str">
        <f>IF('Prod 1'!F325="","",'Prod 1'!F325)</f>
        <v/>
      </c>
      <c r="I325" s="75" t="str">
        <f>IF('Prod 3'!F325="","",'Prod 3'!F325)</f>
        <v/>
      </c>
    </row>
    <row r="326" spans="3:9" ht="30" customHeight="1" x14ac:dyDescent="0.25">
      <c r="C326" s="42">
        <v>322</v>
      </c>
      <c r="D326" s="67" t="str">
        <f>IF('Prod 1'!D326="","",'Prod 1'!D326)</f>
        <v/>
      </c>
      <c r="E326" s="73" t="str">
        <f>IF('Prod 1'!E326="","",'Prod 1'!E326)</f>
        <v/>
      </c>
      <c r="F326" s="74" t="str">
        <f>IF('Prod 2'!K326="","",'Prod 2'!K326)</f>
        <v/>
      </c>
      <c r="G326" s="77" t="str">
        <f>IF('Prod 1'!I326="","",'Prod 1'!I326)</f>
        <v/>
      </c>
      <c r="H326" s="63" t="str">
        <f>IF('Prod 1'!F326="","",'Prod 1'!F326)</f>
        <v/>
      </c>
      <c r="I326" s="75" t="str">
        <f>IF('Prod 3'!F326="","",'Prod 3'!F326)</f>
        <v/>
      </c>
    </row>
    <row r="327" spans="3:9" ht="30" customHeight="1" x14ac:dyDescent="0.25">
      <c r="C327" s="42">
        <v>323</v>
      </c>
      <c r="D327" s="67" t="str">
        <f>IF('Prod 1'!D327="","",'Prod 1'!D327)</f>
        <v/>
      </c>
      <c r="E327" s="73" t="str">
        <f>IF('Prod 1'!E327="","",'Prod 1'!E327)</f>
        <v/>
      </c>
      <c r="F327" s="74" t="str">
        <f>IF('Prod 2'!K327="","",'Prod 2'!K327)</f>
        <v/>
      </c>
      <c r="G327" s="77" t="str">
        <f>IF('Prod 1'!I327="","",'Prod 1'!I327)</f>
        <v/>
      </c>
      <c r="H327" s="63" t="str">
        <f>IF('Prod 1'!F327="","",'Prod 1'!F327)</f>
        <v/>
      </c>
      <c r="I327" s="75" t="str">
        <f>IF('Prod 3'!F327="","",'Prod 3'!F327)</f>
        <v/>
      </c>
    </row>
    <row r="328" spans="3:9" ht="30" customHeight="1" x14ac:dyDescent="0.25">
      <c r="C328" s="42">
        <v>324</v>
      </c>
      <c r="D328" s="67" t="str">
        <f>IF('Prod 1'!D328="","",'Prod 1'!D328)</f>
        <v/>
      </c>
      <c r="E328" s="73" t="str">
        <f>IF('Prod 1'!E328="","",'Prod 1'!E328)</f>
        <v/>
      </c>
      <c r="F328" s="74" t="str">
        <f>IF('Prod 2'!K328="","",'Prod 2'!K328)</f>
        <v/>
      </c>
      <c r="G328" s="77" t="str">
        <f>IF('Prod 1'!I328="","",'Prod 1'!I328)</f>
        <v/>
      </c>
      <c r="H328" s="63" t="str">
        <f>IF('Prod 1'!F328="","",'Prod 1'!F328)</f>
        <v/>
      </c>
      <c r="I328" s="75" t="str">
        <f>IF('Prod 3'!F328="","",'Prod 3'!F328)</f>
        <v/>
      </c>
    </row>
    <row r="329" spans="3:9" ht="30" customHeight="1" x14ac:dyDescent="0.25">
      <c r="C329" s="42">
        <v>325</v>
      </c>
      <c r="D329" s="67" t="str">
        <f>IF('Prod 1'!D329="","",'Prod 1'!D329)</f>
        <v/>
      </c>
      <c r="E329" s="73" t="str">
        <f>IF('Prod 1'!E329="","",'Prod 1'!E329)</f>
        <v/>
      </c>
      <c r="F329" s="74" t="str">
        <f>IF('Prod 2'!K329="","",'Prod 2'!K329)</f>
        <v/>
      </c>
      <c r="G329" s="77" t="str">
        <f>IF('Prod 1'!I329="","",'Prod 1'!I329)</f>
        <v/>
      </c>
      <c r="H329" s="63" t="str">
        <f>IF('Prod 1'!F329="","",'Prod 1'!F329)</f>
        <v/>
      </c>
      <c r="I329" s="75" t="str">
        <f>IF('Prod 3'!F329="","",'Prod 3'!F329)</f>
        <v/>
      </c>
    </row>
    <row r="330" spans="3:9" ht="30" customHeight="1" x14ac:dyDescent="0.25">
      <c r="C330" s="42">
        <v>326</v>
      </c>
      <c r="D330" s="67" t="str">
        <f>IF('Prod 1'!D330="","",'Prod 1'!D330)</f>
        <v/>
      </c>
      <c r="E330" s="73" t="str">
        <f>IF('Prod 1'!E330="","",'Prod 1'!E330)</f>
        <v/>
      </c>
      <c r="F330" s="74" t="str">
        <f>IF('Prod 2'!K330="","",'Prod 2'!K330)</f>
        <v/>
      </c>
      <c r="G330" s="77" t="str">
        <f>IF('Prod 1'!I330="","",'Prod 1'!I330)</f>
        <v/>
      </c>
      <c r="H330" s="63" t="str">
        <f>IF('Prod 1'!F330="","",'Prod 1'!F330)</f>
        <v/>
      </c>
      <c r="I330" s="75" t="str">
        <f>IF('Prod 3'!F330="","",'Prod 3'!F330)</f>
        <v/>
      </c>
    </row>
    <row r="331" spans="3:9" ht="30" customHeight="1" x14ac:dyDescent="0.25">
      <c r="C331" s="42">
        <v>327</v>
      </c>
      <c r="D331" s="67" t="str">
        <f>IF('Prod 1'!D331="","",'Prod 1'!D331)</f>
        <v/>
      </c>
      <c r="E331" s="73" t="str">
        <f>IF('Prod 1'!E331="","",'Prod 1'!E331)</f>
        <v/>
      </c>
      <c r="F331" s="74" t="str">
        <f>IF('Prod 2'!K331="","",'Prod 2'!K331)</f>
        <v/>
      </c>
      <c r="G331" s="77" t="str">
        <f>IF('Prod 1'!I331="","",'Prod 1'!I331)</f>
        <v/>
      </c>
      <c r="H331" s="63" t="str">
        <f>IF('Prod 1'!F331="","",'Prod 1'!F331)</f>
        <v/>
      </c>
      <c r="I331" s="75" t="str">
        <f>IF('Prod 3'!F331="","",'Prod 3'!F331)</f>
        <v/>
      </c>
    </row>
    <row r="332" spans="3:9" ht="30" customHeight="1" x14ac:dyDescent="0.25">
      <c r="C332" s="42">
        <v>328</v>
      </c>
      <c r="D332" s="67" t="str">
        <f>IF('Prod 1'!D332="","",'Prod 1'!D332)</f>
        <v/>
      </c>
      <c r="E332" s="73" t="str">
        <f>IF('Prod 1'!E332="","",'Prod 1'!E332)</f>
        <v/>
      </c>
      <c r="F332" s="74" t="str">
        <f>IF('Prod 2'!K332="","",'Prod 2'!K332)</f>
        <v/>
      </c>
      <c r="G332" s="77" t="str">
        <f>IF('Prod 1'!I332="","",'Prod 1'!I332)</f>
        <v/>
      </c>
      <c r="H332" s="63" t="str">
        <f>IF('Prod 1'!F332="","",'Prod 1'!F332)</f>
        <v/>
      </c>
      <c r="I332" s="75" t="str">
        <f>IF('Prod 3'!F332="","",'Prod 3'!F332)</f>
        <v/>
      </c>
    </row>
    <row r="333" spans="3:9" ht="30" customHeight="1" x14ac:dyDescent="0.25">
      <c r="C333" s="42">
        <v>329</v>
      </c>
      <c r="D333" s="67" t="str">
        <f>IF('Prod 1'!D333="","",'Prod 1'!D333)</f>
        <v/>
      </c>
      <c r="E333" s="73" t="str">
        <f>IF('Prod 1'!E333="","",'Prod 1'!E333)</f>
        <v/>
      </c>
      <c r="F333" s="74" t="str">
        <f>IF('Prod 2'!K333="","",'Prod 2'!K333)</f>
        <v/>
      </c>
      <c r="G333" s="77" t="str">
        <f>IF('Prod 1'!I333="","",'Prod 1'!I333)</f>
        <v/>
      </c>
      <c r="H333" s="63" t="str">
        <f>IF('Prod 1'!F333="","",'Prod 1'!F333)</f>
        <v/>
      </c>
      <c r="I333" s="75" t="str">
        <f>IF('Prod 3'!F333="","",'Prod 3'!F333)</f>
        <v/>
      </c>
    </row>
    <row r="334" spans="3:9" ht="30" customHeight="1" x14ac:dyDescent="0.25">
      <c r="C334" s="42">
        <v>330</v>
      </c>
      <c r="D334" s="67" t="str">
        <f>IF('Prod 1'!D334="","",'Prod 1'!D334)</f>
        <v/>
      </c>
      <c r="E334" s="73" t="str">
        <f>IF('Prod 1'!E334="","",'Prod 1'!E334)</f>
        <v/>
      </c>
      <c r="F334" s="74" t="str">
        <f>IF('Prod 2'!K334="","",'Prod 2'!K334)</f>
        <v/>
      </c>
      <c r="G334" s="77" t="str">
        <f>IF('Prod 1'!I334="","",'Prod 1'!I334)</f>
        <v/>
      </c>
      <c r="H334" s="63" t="str">
        <f>IF('Prod 1'!F334="","",'Prod 1'!F334)</f>
        <v/>
      </c>
      <c r="I334" s="75" t="str">
        <f>IF('Prod 3'!F334="","",'Prod 3'!F334)</f>
        <v/>
      </c>
    </row>
    <row r="335" spans="3:9" ht="30" customHeight="1" x14ac:dyDescent="0.25">
      <c r="C335" s="42">
        <v>331</v>
      </c>
      <c r="D335" s="67" t="str">
        <f>IF('Prod 1'!D335="","",'Prod 1'!D335)</f>
        <v/>
      </c>
      <c r="E335" s="73" t="str">
        <f>IF('Prod 1'!E335="","",'Prod 1'!E335)</f>
        <v/>
      </c>
      <c r="F335" s="74" t="str">
        <f>IF('Prod 2'!K335="","",'Prod 2'!K335)</f>
        <v/>
      </c>
      <c r="G335" s="77" t="str">
        <f>IF('Prod 1'!I335="","",'Prod 1'!I335)</f>
        <v/>
      </c>
      <c r="H335" s="63" t="str">
        <f>IF('Prod 1'!F335="","",'Prod 1'!F335)</f>
        <v/>
      </c>
      <c r="I335" s="75" t="str">
        <f>IF('Prod 3'!F335="","",'Prod 3'!F335)</f>
        <v/>
      </c>
    </row>
    <row r="336" spans="3:9" ht="30" customHeight="1" x14ac:dyDescent="0.25">
      <c r="C336" s="42">
        <v>332</v>
      </c>
      <c r="D336" s="67" t="str">
        <f>IF('Prod 1'!D336="","",'Prod 1'!D336)</f>
        <v/>
      </c>
      <c r="E336" s="73" t="str">
        <f>IF('Prod 1'!E336="","",'Prod 1'!E336)</f>
        <v/>
      </c>
      <c r="F336" s="74" t="str">
        <f>IF('Prod 2'!K336="","",'Prod 2'!K336)</f>
        <v/>
      </c>
      <c r="G336" s="77" t="str">
        <f>IF('Prod 1'!I336="","",'Prod 1'!I336)</f>
        <v/>
      </c>
      <c r="H336" s="63" t="str">
        <f>IF('Prod 1'!F336="","",'Prod 1'!F336)</f>
        <v/>
      </c>
      <c r="I336" s="75" t="str">
        <f>IF('Prod 3'!F336="","",'Prod 3'!F336)</f>
        <v/>
      </c>
    </row>
    <row r="337" spans="3:9" ht="30" customHeight="1" x14ac:dyDescent="0.25">
      <c r="C337" s="42">
        <v>333</v>
      </c>
      <c r="D337" s="67" t="str">
        <f>IF('Prod 1'!D337="","",'Prod 1'!D337)</f>
        <v/>
      </c>
      <c r="E337" s="73" t="str">
        <f>IF('Prod 1'!E337="","",'Prod 1'!E337)</f>
        <v/>
      </c>
      <c r="F337" s="74" t="str">
        <f>IF('Prod 2'!K337="","",'Prod 2'!K337)</f>
        <v/>
      </c>
      <c r="G337" s="77" t="str">
        <f>IF('Prod 1'!I337="","",'Prod 1'!I337)</f>
        <v/>
      </c>
      <c r="H337" s="63" t="str">
        <f>IF('Prod 1'!F337="","",'Prod 1'!F337)</f>
        <v/>
      </c>
      <c r="I337" s="75" t="str">
        <f>IF('Prod 3'!F337="","",'Prod 3'!F337)</f>
        <v/>
      </c>
    </row>
    <row r="338" spans="3:9" ht="30" customHeight="1" x14ac:dyDescent="0.25">
      <c r="C338" s="42">
        <v>334</v>
      </c>
      <c r="D338" s="67" t="str">
        <f>IF('Prod 1'!D338="","",'Prod 1'!D338)</f>
        <v/>
      </c>
      <c r="E338" s="73" t="str">
        <f>IF('Prod 1'!E338="","",'Prod 1'!E338)</f>
        <v/>
      </c>
      <c r="F338" s="74" t="str">
        <f>IF('Prod 2'!K338="","",'Prod 2'!K338)</f>
        <v/>
      </c>
      <c r="G338" s="77" t="str">
        <f>IF('Prod 1'!I338="","",'Prod 1'!I338)</f>
        <v/>
      </c>
      <c r="H338" s="63" t="str">
        <f>IF('Prod 1'!F338="","",'Prod 1'!F338)</f>
        <v/>
      </c>
      <c r="I338" s="75" t="str">
        <f>IF('Prod 3'!F338="","",'Prod 3'!F338)</f>
        <v/>
      </c>
    </row>
    <row r="339" spans="3:9" ht="30" customHeight="1" x14ac:dyDescent="0.25">
      <c r="C339" s="42">
        <v>335</v>
      </c>
      <c r="D339" s="67" t="str">
        <f>IF('Prod 1'!D339="","",'Prod 1'!D339)</f>
        <v/>
      </c>
      <c r="E339" s="73" t="str">
        <f>IF('Prod 1'!E339="","",'Prod 1'!E339)</f>
        <v/>
      </c>
      <c r="F339" s="74" t="str">
        <f>IF('Prod 2'!K339="","",'Prod 2'!K339)</f>
        <v/>
      </c>
      <c r="G339" s="77" t="str">
        <f>IF('Prod 1'!I339="","",'Prod 1'!I339)</f>
        <v/>
      </c>
      <c r="H339" s="63" t="str">
        <f>IF('Prod 1'!F339="","",'Prod 1'!F339)</f>
        <v/>
      </c>
      <c r="I339" s="75" t="str">
        <f>IF('Prod 3'!F339="","",'Prod 3'!F339)</f>
        <v/>
      </c>
    </row>
    <row r="340" spans="3:9" ht="30" customHeight="1" x14ac:dyDescent="0.25">
      <c r="C340" s="42">
        <v>336</v>
      </c>
      <c r="D340" s="67" t="str">
        <f>IF('Prod 1'!D340="","",'Prod 1'!D340)</f>
        <v/>
      </c>
      <c r="E340" s="73" t="str">
        <f>IF('Prod 1'!E340="","",'Prod 1'!E340)</f>
        <v/>
      </c>
      <c r="F340" s="74" t="str">
        <f>IF('Prod 2'!K340="","",'Prod 2'!K340)</f>
        <v/>
      </c>
      <c r="G340" s="77" t="str">
        <f>IF('Prod 1'!I340="","",'Prod 1'!I340)</f>
        <v/>
      </c>
      <c r="H340" s="63" t="str">
        <f>IF('Prod 1'!F340="","",'Prod 1'!F340)</f>
        <v/>
      </c>
      <c r="I340" s="75" t="str">
        <f>IF('Prod 3'!F340="","",'Prod 3'!F340)</f>
        <v/>
      </c>
    </row>
    <row r="341" spans="3:9" ht="30" customHeight="1" x14ac:dyDescent="0.25">
      <c r="C341" s="42">
        <v>337</v>
      </c>
      <c r="D341" s="67" t="str">
        <f>IF('Prod 1'!D341="","",'Prod 1'!D341)</f>
        <v/>
      </c>
      <c r="E341" s="73" t="str">
        <f>IF('Prod 1'!E341="","",'Prod 1'!E341)</f>
        <v/>
      </c>
      <c r="F341" s="74" t="str">
        <f>IF('Prod 2'!K341="","",'Prod 2'!K341)</f>
        <v/>
      </c>
      <c r="G341" s="77" t="str">
        <f>IF('Prod 1'!I341="","",'Prod 1'!I341)</f>
        <v/>
      </c>
      <c r="H341" s="63" t="str">
        <f>IF('Prod 1'!F341="","",'Prod 1'!F341)</f>
        <v/>
      </c>
      <c r="I341" s="75" t="str">
        <f>IF('Prod 3'!F341="","",'Prod 3'!F341)</f>
        <v/>
      </c>
    </row>
    <row r="342" spans="3:9" ht="30" customHeight="1" x14ac:dyDescent="0.25">
      <c r="C342" s="42">
        <v>338</v>
      </c>
      <c r="D342" s="67" t="str">
        <f>IF('Prod 1'!D342="","",'Prod 1'!D342)</f>
        <v/>
      </c>
      <c r="E342" s="73" t="str">
        <f>IF('Prod 1'!E342="","",'Prod 1'!E342)</f>
        <v/>
      </c>
      <c r="F342" s="74" t="str">
        <f>IF('Prod 2'!K342="","",'Prod 2'!K342)</f>
        <v/>
      </c>
      <c r="G342" s="77" t="str">
        <f>IF('Prod 1'!I342="","",'Prod 1'!I342)</f>
        <v/>
      </c>
      <c r="H342" s="63" t="str">
        <f>IF('Prod 1'!F342="","",'Prod 1'!F342)</f>
        <v/>
      </c>
      <c r="I342" s="75" t="str">
        <f>IF('Prod 3'!F342="","",'Prod 3'!F342)</f>
        <v/>
      </c>
    </row>
    <row r="343" spans="3:9" ht="30" customHeight="1" x14ac:dyDescent="0.25">
      <c r="C343" s="42">
        <v>339</v>
      </c>
      <c r="D343" s="67" t="str">
        <f>IF('Prod 1'!D343="","",'Prod 1'!D343)</f>
        <v/>
      </c>
      <c r="E343" s="73" t="str">
        <f>IF('Prod 1'!E343="","",'Prod 1'!E343)</f>
        <v/>
      </c>
      <c r="F343" s="74" t="str">
        <f>IF('Prod 2'!K343="","",'Prod 2'!K343)</f>
        <v/>
      </c>
      <c r="G343" s="77" t="str">
        <f>IF('Prod 1'!I343="","",'Prod 1'!I343)</f>
        <v/>
      </c>
      <c r="H343" s="63" t="str">
        <f>IF('Prod 1'!F343="","",'Prod 1'!F343)</f>
        <v/>
      </c>
      <c r="I343" s="75" t="str">
        <f>IF('Prod 3'!F343="","",'Prod 3'!F343)</f>
        <v/>
      </c>
    </row>
    <row r="344" spans="3:9" ht="30" customHeight="1" x14ac:dyDescent="0.25">
      <c r="C344" s="42">
        <v>340</v>
      </c>
      <c r="D344" s="67" t="str">
        <f>IF('Prod 1'!D344="","",'Prod 1'!D344)</f>
        <v/>
      </c>
      <c r="E344" s="73" t="str">
        <f>IF('Prod 1'!E344="","",'Prod 1'!E344)</f>
        <v/>
      </c>
      <c r="F344" s="74" t="str">
        <f>IF('Prod 2'!K344="","",'Prod 2'!K344)</f>
        <v/>
      </c>
      <c r="G344" s="77" t="str">
        <f>IF('Prod 1'!I344="","",'Prod 1'!I344)</f>
        <v/>
      </c>
      <c r="H344" s="63" t="str">
        <f>IF('Prod 1'!F344="","",'Prod 1'!F344)</f>
        <v/>
      </c>
      <c r="I344" s="75" t="str">
        <f>IF('Prod 3'!F344="","",'Prod 3'!F344)</f>
        <v/>
      </c>
    </row>
    <row r="345" spans="3:9" ht="30" customHeight="1" x14ac:dyDescent="0.25">
      <c r="C345" s="42">
        <v>341</v>
      </c>
      <c r="D345" s="67" t="str">
        <f>IF('Prod 1'!D345="","",'Prod 1'!D345)</f>
        <v/>
      </c>
      <c r="E345" s="73" t="str">
        <f>IF('Prod 1'!E345="","",'Prod 1'!E345)</f>
        <v/>
      </c>
      <c r="F345" s="74" t="str">
        <f>IF('Prod 2'!K345="","",'Prod 2'!K345)</f>
        <v/>
      </c>
      <c r="G345" s="77" t="str">
        <f>IF('Prod 1'!I345="","",'Prod 1'!I345)</f>
        <v/>
      </c>
      <c r="H345" s="63" t="str">
        <f>IF('Prod 1'!F345="","",'Prod 1'!F345)</f>
        <v/>
      </c>
      <c r="I345" s="75" t="str">
        <f>IF('Prod 3'!F345="","",'Prod 3'!F345)</f>
        <v/>
      </c>
    </row>
    <row r="346" spans="3:9" ht="30" customHeight="1" x14ac:dyDescent="0.25">
      <c r="C346" s="42">
        <v>342</v>
      </c>
      <c r="D346" s="67" t="str">
        <f>IF('Prod 1'!D346="","",'Prod 1'!D346)</f>
        <v/>
      </c>
      <c r="E346" s="73" t="str">
        <f>IF('Prod 1'!E346="","",'Prod 1'!E346)</f>
        <v/>
      </c>
      <c r="F346" s="74" t="str">
        <f>IF('Prod 2'!K346="","",'Prod 2'!K346)</f>
        <v/>
      </c>
      <c r="G346" s="77" t="str">
        <f>IF('Prod 1'!I346="","",'Prod 1'!I346)</f>
        <v/>
      </c>
      <c r="H346" s="63" t="str">
        <f>IF('Prod 1'!F346="","",'Prod 1'!F346)</f>
        <v/>
      </c>
      <c r="I346" s="75" t="str">
        <f>IF('Prod 3'!F346="","",'Prod 3'!F346)</f>
        <v/>
      </c>
    </row>
    <row r="347" spans="3:9" ht="30" customHeight="1" x14ac:dyDescent="0.25">
      <c r="C347" s="42">
        <v>343</v>
      </c>
      <c r="D347" s="67" t="str">
        <f>IF('Prod 1'!D347="","",'Prod 1'!D347)</f>
        <v/>
      </c>
      <c r="E347" s="73" t="str">
        <f>IF('Prod 1'!E347="","",'Prod 1'!E347)</f>
        <v/>
      </c>
      <c r="F347" s="74" t="str">
        <f>IF('Prod 2'!K347="","",'Prod 2'!K347)</f>
        <v/>
      </c>
      <c r="G347" s="77" t="str">
        <f>IF('Prod 1'!I347="","",'Prod 1'!I347)</f>
        <v/>
      </c>
      <c r="H347" s="63" t="str">
        <f>IF('Prod 1'!F347="","",'Prod 1'!F347)</f>
        <v/>
      </c>
      <c r="I347" s="75" t="str">
        <f>IF('Prod 3'!F347="","",'Prod 3'!F347)</f>
        <v/>
      </c>
    </row>
    <row r="348" spans="3:9" ht="30" customHeight="1" x14ac:dyDescent="0.25">
      <c r="C348" s="42">
        <v>344</v>
      </c>
      <c r="D348" s="67" t="str">
        <f>IF('Prod 1'!D348="","",'Prod 1'!D348)</f>
        <v/>
      </c>
      <c r="E348" s="73" t="str">
        <f>IF('Prod 1'!E348="","",'Prod 1'!E348)</f>
        <v/>
      </c>
      <c r="F348" s="74" t="str">
        <f>IF('Prod 2'!K348="","",'Prod 2'!K348)</f>
        <v/>
      </c>
      <c r="G348" s="77" t="str">
        <f>IF('Prod 1'!I348="","",'Prod 1'!I348)</f>
        <v/>
      </c>
      <c r="H348" s="63" t="str">
        <f>IF('Prod 1'!F348="","",'Prod 1'!F348)</f>
        <v/>
      </c>
      <c r="I348" s="75" t="str">
        <f>IF('Prod 3'!F348="","",'Prod 3'!F348)</f>
        <v/>
      </c>
    </row>
    <row r="349" spans="3:9" ht="30" customHeight="1" x14ac:dyDescent="0.25">
      <c r="C349" s="42">
        <v>345</v>
      </c>
      <c r="D349" s="67" t="str">
        <f>IF('Prod 1'!D349="","",'Prod 1'!D349)</f>
        <v/>
      </c>
      <c r="E349" s="73" t="str">
        <f>IF('Prod 1'!E349="","",'Prod 1'!E349)</f>
        <v/>
      </c>
      <c r="F349" s="74" t="str">
        <f>IF('Prod 2'!K349="","",'Prod 2'!K349)</f>
        <v/>
      </c>
      <c r="G349" s="77" t="str">
        <f>IF('Prod 1'!I349="","",'Prod 1'!I349)</f>
        <v/>
      </c>
      <c r="H349" s="63" t="str">
        <f>IF('Prod 1'!F349="","",'Prod 1'!F349)</f>
        <v/>
      </c>
      <c r="I349" s="75" t="str">
        <f>IF('Prod 3'!F349="","",'Prod 3'!F349)</f>
        <v/>
      </c>
    </row>
    <row r="350" spans="3:9" ht="30" customHeight="1" x14ac:dyDescent="0.25">
      <c r="C350" s="42">
        <v>346</v>
      </c>
      <c r="D350" s="67" t="str">
        <f>IF('Prod 1'!D350="","",'Prod 1'!D350)</f>
        <v/>
      </c>
      <c r="E350" s="73" t="str">
        <f>IF('Prod 1'!E350="","",'Prod 1'!E350)</f>
        <v/>
      </c>
      <c r="F350" s="74" t="str">
        <f>IF('Prod 2'!K350="","",'Prod 2'!K350)</f>
        <v/>
      </c>
      <c r="G350" s="77" t="str">
        <f>IF('Prod 1'!I350="","",'Prod 1'!I350)</f>
        <v/>
      </c>
      <c r="H350" s="63" t="str">
        <f>IF('Prod 1'!F350="","",'Prod 1'!F350)</f>
        <v/>
      </c>
      <c r="I350" s="75" t="str">
        <f>IF('Prod 3'!F350="","",'Prod 3'!F350)</f>
        <v/>
      </c>
    </row>
    <row r="351" spans="3:9" ht="30" customHeight="1" x14ac:dyDescent="0.25">
      <c r="C351" s="42">
        <v>347</v>
      </c>
      <c r="D351" s="67" t="str">
        <f>IF('Prod 1'!D351="","",'Prod 1'!D351)</f>
        <v/>
      </c>
      <c r="E351" s="73" t="str">
        <f>IF('Prod 1'!E351="","",'Prod 1'!E351)</f>
        <v/>
      </c>
      <c r="F351" s="74" t="str">
        <f>IF('Prod 2'!K351="","",'Prod 2'!K351)</f>
        <v/>
      </c>
      <c r="G351" s="77" t="str">
        <f>IF('Prod 1'!I351="","",'Prod 1'!I351)</f>
        <v/>
      </c>
      <c r="H351" s="63" t="str">
        <f>IF('Prod 1'!F351="","",'Prod 1'!F351)</f>
        <v/>
      </c>
      <c r="I351" s="75" t="str">
        <f>IF('Prod 3'!F351="","",'Prod 3'!F351)</f>
        <v/>
      </c>
    </row>
    <row r="352" spans="3:9" ht="30" customHeight="1" x14ac:dyDescent="0.25">
      <c r="C352" s="42">
        <v>348</v>
      </c>
      <c r="D352" s="67" t="str">
        <f>IF('Prod 1'!D352="","",'Prod 1'!D352)</f>
        <v/>
      </c>
      <c r="E352" s="73" t="str">
        <f>IF('Prod 1'!E352="","",'Prod 1'!E352)</f>
        <v/>
      </c>
      <c r="F352" s="74" t="str">
        <f>IF('Prod 2'!K352="","",'Prod 2'!K352)</f>
        <v/>
      </c>
      <c r="G352" s="77" t="str">
        <f>IF('Prod 1'!I352="","",'Prod 1'!I352)</f>
        <v/>
      </c>
      <c r="H352" s="63" t="str">
        <f>IF('Prod 1'!F352="","",'Prod 1'!F352)</f>
        <v/>
      </c>
      <c r="I352" s="75" t="str">
        <f>IF('Prod 3'!F352="","",'Prod 3'!F352)</f>
        <v/>
      </c>
    </row>
    <row r="353" spans="3:9" ht="30" customHeight="1" x14ac:dyDescent="0.25">
      <c r="C353" s="42">
        <v>349</v>
      </c>
      <c r="D353" s="67" t="str">
        <f>IF('Prod 1'!D353="","",'Prod 1'!D353)</f>
        <v/>
      </c>
      <c r="E353" s="73" t="str">
        <f>IF('Prod 1'!E353="","",'Prod 1'!E353)</f>
        <v/>
      </c>
      <c r="F353" s="74" t="str">
        <f>IF('Prod 2'!K353="","",'Prod 2'!K353)</f>
        <v/>
      </c>
      <c r="G353" s="77" t="str">
        <f>IF('Prod 1'!I353="","",'Prod 1'!I353)</f>
        <v/>
      </c>
      <c r="H353" s="63" t="str">
        <f>IF('Prod 1'!F353="","",'Prod 1'!F353)</f>
        <v/>
      </c>
      <c r="I353" s="75" t="str">
        <f>IF('Prod 3'!F353="","",'Prod 3'!F353)</f>
        <v/>
      </c>
    </row>
    <row r="354" spans="3:9" ht="30" customHeight="1" x14ac:dyDescent="0.25">
      <c r="C354" s="42">
        <v>350</v>
      </c>
      <c r="D354" s="67" t="str">
        <f>IF('Prod 1'!D354="","",'Prod 1'!D354)</f>
        <v/>
      </c>
      <c r="E354" s="73" t="str">
        <f>IF('Prod 1'!E354="","",'Prod 1'!E354)</f>
        <v/>
      </c>
      <c r="F354" s="74" t="str">
        <f>IF('Prod 2'!K354="","",'Prod 2'!K354)</f>
        <v/>
      </c>
      <c r="G354" s="77" t="str">
        <f>IF('Prod 1'!I354="","",'Prod 1'!I354)</f>
        <v/>
      </c>
      <c r="H354" s="63" t="str">
        <f>IF('Prod 1'!F354="","",'Prod 1'!F354)</f>
        <v/>
      </c>
      <c r="I354" s="75" t="str">
        <f>IF('Prod 3'!F354="","",'Prod 3'!F354)</f>
        <v/>
      </c>
    </row>
    <row r="355" spans="3:9" ht="30" customHeight="1" x14ac:dyDescent="0.25">
      <c r="C355" s="42">
        <v>351</v>
      </c>
      <c r="D355" s="67" t="str">
        <f>IF('Prod 1'!D355="","",'Prod 1'!D355)</f>
        <v/>
      </c>
      <c r="E355" s="73" t="str">
        <f>IF('Prod 1'!E355="","",'Prod 1'!E355)</f>
        <v/>
      </c>
      <c r="F355" s="74" t="str">
        <f>IF('Prod 2'!K355="","",'Prod 2'!K355)</f>
        <v/>
      </c>
      <c r="G355" s="77" t="str">
        <f>IF('Prod 1'!I355="","",'Prod 1'!I355)</f>
        <v/>
      </c>
      <c r="H355" s="63" t="str">
        <f>IF('Prod 1'!F355="","",'Prod 1'!F355)</f>
        <v/>
      </c>
      <c r="I355" s="75" t="str">
        <f>IF('Prod 3'!F355="","",'Prod 3'!F355)</f>
        <v/>
      </c>
    </row>
    <row r="356" spans="3:9" ht="30" customHeight="1" x14ac:dyDescent="0.25">
      <c r="C356" s="42">
        <v>352</v>
      </c>
      <c r="D356" s="67" t="str">
        <f>IF('Prod 1'!D356="","",'Prod 1'!D356)</f>
        <v/>
      </c>
      <c r="E356" s="73" t="str">
        <f>IF('Prod 1'!E356="","",'Prod 1'!E356)</f>
        <v/>
      </c>
      <c r="F356" s="74" t="str">
        <f>IF('Prod 2'!K356="","",'Prod 2'!K356)</f>
        <v/>
      </c>
      <c r="G356" s="77" t="str">
        <f>IF('Prod 1'!I356="","",'Prod 1'!I356)</f>
        <v/>
      </c>
      <c r="H356" s="63" t="str">
        <f>IF('Prod 1'!F356="","",'Prod 1'!F356)</f>
        <v/>
      </c>
      <c r="I356" s="75" t="str">
        <f>IF('Prod 3'!F356="","",'Prod 3'!F356)</f>
        <v/>
      </c>
    </row>
    <row r="357" spans="3:9" ht="30" customHeight="1" x14ac:dyDescent="0.25">
      <c r="C357" s="42">
        <v>353</v>
      </c>
      <c r="D357" s="67" t="str">
        <f>IF('Prod 1'!D357="","",'Prod 1'!D357)</f>
        <v/>
      </c>
      <c r="E357" s="73" t="str">
        <f>IF('Prod 1'!E357="","",'Prod 1'!E357)</f>
        <v/>
      </c>
      <c r="F357" s="74" t="str">
        <f>IF('Prod 2'!K357="","",'Prod 2'!K357)</f>
        <v/>
      </c>
      <c r="G357" s="77" t="str">
        <f>IF('Prod 1'!I357="","",'Prod 1'!I357)</f>
        <v/>
      </c>
      <c r="H357" s="63" t="str">
        <f>IF('Prod 1'!F357="","",'Prod 1'!F357)</f>
        <v/>
      </c>
      <c r="I357" s="75" t="str">
        <f>IF('Prod 3'!F357="","",'Prod 3'!F357)</f>
        <v/>
      </c>
    </row>
    <row r="358" spans="3:9" ht="30" customHeight="1" x14ac:dyDescent="0.25">
      <c r="C358" s="42">
        <v>354</v>
      </c>
      <c r="D358" s="67" t="str">
        <f>IF('Prod 1'!D358="","",'Prod 1'!D358)</f>
        <v/>
      </c>
      <c r="E358" s="73" t="str">
        <f>IF('Prod 1'!E358="","",'Prod 1'!E358)</f>
        <v/>
      </c>
      <c r="F358" s="74" t="str">
        <f>IF('Prod 2'!K358="","",'Prod 2'!K358)</f>
        <v/>
      </c>
      <c r="G358" s="77" t="str">
        <f>IF('Prod 1'!I358="","",'Prod 1'!I358)</f>
        <v/>
      </c>
      <c r="H358" s="63" t="str">
        <f>IF('Prod 1'!F358="","",'Prod 1'!F358)</f>
        <v/>
      </c>
      <c r="I358" s="75" t="str">
        <f>IF('Prod 3'!F358="","",'Prod 3'!F358)</f>
        <v/>
      </c>
    </row>
    <row r="359" spans="3:9" ht="30" customHeight="1" x14ac:dyDescent="0.25">
      <c r="C359" s="42">
        <v>355</v>
      </c>
      <c r="D359" s="67" t="str">
        <f>IF('Prod 1'!D359="","",'Prod 1'!D359)</f>
        <v/>
      </c>
      <c r="E359" s="73" t="str">
        <f>IF('Prod 1'!E359="","",'Prod 1'!E359)</f>
        <v/>
      </c>
      <c r="F359" s="74" t="str">
        <f>IF('Prod 2'!K359="","",'Prod 2'!K359)</f>
        <v/>
      </c>
      <c r="G359" s="77" t="str">
        <f>IF('Prod 1'!I359="","",'Prod 1'!I359)</f>
        <v/>
      </c>
      <c r="H359" s="63" t="str">
        <f>IF('Prod 1'!F359="","",'Prod 1'!F359)</f>
        <v/>
      </c>
      <c r="I359" s="75" t="str">
        <f>IF('Prod 3'!F359="","",'Prod 3'!F359)</f>
        <v/>
      </c>
    </row>
    <row r="360" spans="3:9" ht="30" customHeight="1" x14ac:dyDescent="0.25">
      <c r="C360" s="42">
        <v>356</v>
      </c>
      <c r="D360" s="67" t="str">
        <f>IF('Prod 1'!D360="","",'Prod 1'!D360)</f>
        <v/>
      </c>
      <c r="E360" s="73" t="str">
        <f>IF('Prod 1'!E360="","",'Prod 1'!E360)</f>
        <v/>
      </c>
      <c r="F360" s="74" t="str">
        <f>IF('Prod 2'!K360="","",'Prod 2'!K360)</f>
        <v/>
      </c>
      <c r="G360" s="77" t="str">
        <f>IF('Prod 1'!I360="","",'Prod 1'!I360)</f>
        <v/>
      </c>
      <c r="H360" s="63" t="str">
        <f>IF('Prod 1'!F360="","",'Prod 1'!F360)</f>
        <v/>
      </c>
      <c r="I360" s="75" t="str">
        <f>IF('Prod 3'!F360="","",'Prod 3'!F360)</f>
        <v/>
      </c>
    </row>
    <row r="361" spans="3:9" ht="30" customHeight="1" x14ac:dyDescent="0.25">
      <c r="C361" s="42">
        <v>357</v>
      </c>
      <c r="D361" s="67" t="str">
        <f>IF('Prod 1'!D361="","",'Prod 1'!D361)</f>
        <v/>
      </c>
      <c r="E361" s="73" t="str">
        <f>IF('Prod 1'!E361="","",'Prod 1'!E361)</f>
        <v/>
      </c>
      <c r="F361" s="74" t="str">
        <f>IF('Prod 2'!K361="","",'Prod 2'!K361)</f>
        <v/>
      </c>
      <c r="G361" s="77" t="str">
        <f>IF('Prod 1'!I361="","",'Prod 1'!I361)</f>
        <v/>
      </c>
      <c r="H361" s="63" t="str">
        <f>IF('Prod 1'!F361="","",'Prod 1'!F361)</f>
        <v/>
      </c>
      <c r="I361" s="75" t="str">
        <f>IF('Prod 3'!F361="","",'Prod 3'!F361)</f>
        <v/>
      </c>
    </row>
    <row r="362" spans="3:9" ht="30" customHeight="1" x14ac:dyDescent="0.25">
      <c r="C362" s="42">
        <v>358</v>
      </c>
      <c r="D362" s="67" t="str">
        <f>IF('Prod 1'!D362="","",'Prod 1'!D362)</f>
        <v/>
      </c>
      <c r="E362" s="73" t="str">
        <f>IF('Prod 1'!E362="","",'Prod 1'!E362)</f>
        <v/>
      </c>
      <c r="F362" s="74" t="str">
        <f>IF('Prod 2'!K362="","",'Prod 2'!K362)</f>
        <v/>
      </c>
      <c r="G362" s="77" t="str">
        <f>IF('Prod 1'!I362="","",'Prod 1'!I362)</f>
        <v/>
      </c>
      <c r="H362" s="63" t="str">
        <f>IF('Prod 1'!F362="","",'Prod 1'!F362)</f>
        <v/>
      </c>
      <c r="I362" s="75" t="str">
        <f>IF('Prod 3'!F362="","",'Prod 3'!F362)</f>
        <v/>
      </c>
    </row>
    <row r="363" spans="3:9" ht="30" customHeight="1" x14ac:dyDescent="0.25">
      <c r="C363" s="42">
        <v>359</v>
      </c>
      <c r="D363" s="67" t="str">
        <f>IF('Prod 1'!D363="","",'Prod 1'!D363)</f>
        <v/>
      </c>
      <c r="E363" s="73" t="str">
        <f>IF('Prod 1'!E363="","",'Prod 1'!E363)</f>
        <v/>
      </c>
      <c r="F363" s="74" t="str">
        <f>IF('Prod 2'!K363="","",'Prod 2'!K363)</f>
        <v/>
      </c>
      <c r="G363" s="77" t="str">
        <f>IF('Prod 1'!I363="","",'Prod 1'!I363)</f>
        <v/>
      </c>
      <c r="H363" s="63" t="str">
        <f>IF('Prod 1'!F363="","",'Prod 1'!F363)</f>
        <v/>
      </c>
      <c r="I363" s="75" t="str">
        <f>IF('Prod 3'!F363="","",'Prod 3'!F363)</f>
        <v/>
      </c>
    </row>
    <row r="364" spans="3:9" ht="30" customHeight="1" x14ac:dyDescent="0.25">
      <c r="C364" s="42">
        <v>360</v>
      </c>
      <c r="D364" s="67" t="str">
        <f>IF('Prod 1'!D364="","",'Prod 1'!D364)</f>
        <v/>
      </c>
      <c r="E364" s="73" t="str">
        <f>IF('Prod 1'!E364="","",'Prod 1'!E364)</f>
        <v/>
      </c>
      <c r="F364" s="74" t="str">
        <f>IF('Prod 2'!K364="","",'Prod 2'!K364)</f>
        <v/>
      </c>
      <c r="G364" s="77" t="str">
        <f>IF('Prod 1'!I364="","",'Prod 1'!I364)</f>
        <v/>
      </c>
      <c r="H364" s="63" t="str">
        <f>IF('Prod 1'!F364="","",'Prod 1'!F364)</f>
        <v/>
      </c>
      <c r="I364" s="75" t="str">
        <f>IF('Prod 3'!F364="","",'Prod 3'!F364)</f>
        <v/>
      </c>
    </row>
    <row r="365" spans="3:9" ht="30" customHeight="1" x14ac:dyDescent="0.25">
      <c r="C365" s="42">
        <v>361</v>
      </c>
      <c r="D365" s="67" t="str">
        <f>IF('Prod 1'!D365="","",'Prod 1'!D365)</f>
        <v/>
      </c>
      <c r="E365" s="73" t="str">
        <f>IF('Prod 1'!E365="","",'Prod 1'!E365)</f>
        <v/>
      </c>
      <c r="F365" s="74" t="str">
        <f>IF('Prod 2'!K365="","",'Prod 2'!K365)</f>
        <v/>
      </c>
      <c r="G365" s="77" t="str">
        <f>IF('Prod 1'!I365="","",'Prod 1'!I365)</f>
        <v/>
      </c>
      <c r="H365" s="63" t="str">
        <f>IF('Prod 1'!F365="","",'Prod 1'!F365)</f>
        <v/>
      </c>
      <c r="I365" s="75" t="str">
        <f>IF('Prod 3'!F365="","",'Prod 3'!F365)</f>
        <v/>
      </c>
    </row>
    <row r="366" spans="3:9" ht="30" customHeight="1" x14ac:dyDescent="0.25">
      <c r="C366" s="42">
        <v>362</v>
      </c>
      <c r="D366" s="67" t="str">
        <f>IF('Prod 1'!D366="","",'Prod 1'!D366)</f>
        <v/>
      </c>
      <c r="E366" s="73" t="str">
        <f>IF('Prod 1'!E366="","",'Prod 1'!E366)</f>
        <v/>
      </c>
      <c r="F366" s="74" t="str">
        <f>IF('Prod 2'!K366="","",'Prod 2'!K366)</f>
        <v/>
      </c>
      <c r="G366" s="77" t="str">
        <f>IF('Prod 1'!I366="","",'Prod 1'!I366)</f>
        <v/>
      </c>
      <c r="H366" s="63" t="str">
        <f>IF('Prod 1'!F366="","",'Prod 1'!F366)</f>
        <v/>
      </c>
      <c r="I366" s="75" t="str">
        <f>IF('Prod 3'!F366="","",'Prod 3'!F366)</f>
        <v/>
      </c>
    </row>
    <row r="367" spans="3:9" ht="30" customHeight="1" x14ac:dyDescent="0.25">
      <c r="C367" s="42">
        <v>363</v>
      </c>
      <c r="D367" s="67" t="str">
        <f>IF('Prod 1'!D367="","",'Prod 1'!D367)</f>
        <v/>
      </c>
      <c r="E367" s="73" t="str">
        <f>IF('Prod 1'!E367="","",'Prod 1'!E367)</f>
        <v/>
      </c>
      <c r="F367" s="74" t="str">
        <f>IF('Prod 2'!K367="","",'Prod 2'!K367)</f>
        <v/>
      </c>
      <c r="G367" s="77" t="str">
        <f>IF('Prod 1'!I367="","",'Prod 1'!I367)</f>
        <v/>
      </c>
      <c r="H367" s="63" t="str">
        <f>IF('Prod 1'!F367="","",'Prod 1'!F367)</f>
        <v/>
      </c>
      <c r="I367" s="75" t="str">
        <f>IF('Prod 3'!F367="","",'Prod 3'!F367)</f>
        <v/>
      </c>
    </row>
    <row r="368" spans="3:9" ht="30" customHeight="1" x14ac:dyDescent="0.25">
      <c r="C368" s="42">
        <v>364</v>
      </c>
      <c r="D368" s="67" t="str">
        <f>IF('Prod 1'!D368="","",'Prod 1'!D368)</f>
        <v/>
      </c>
      <c r="E368" s="73" t="str">
        <f>IF('Prod 1'!E368="","",'Prod 1'!E368)</f>
        <v/>
      </c>
      <c r="F368" s="74" t="str">
        <f>IF('Prod 2'!K368="","",'Prod 2'!K368)</f>
        <v/>
      </c>
      <c r="G368" s="77" t="str">
        <f>IF('Prod 1'!I368="","",'Prod 1'!I368)</f>
        <v/>
      </c>
      <c r="H368" s="63" t="str">
        <f>IF('Prod 1'!F368="","",'Prod 1'!F368)</f>
        <v/>
      </c>
      <c r="I368" s="75" t="str">
        <f>IF('Prod 3'!F368="","",'Prod 3'!F368)</f>
        <v/>
      </c>
    </row>
    <row r="369" spans="3:9" ht="30" customHeight="1" x14ac:dyDescent="0.25">
      <c r="C369" s="42">
        <v>365</v>
      </c>
      <c r="D369" s="67" t="str">
        <f>IF('Prod 1'!D369="","",'Prod 1'!D369)</f>
        <v/>
      </c>
      <c r="E369" s="73" t="str">
        <f>IF('Prod 1'!E369="","",'Prod 1'!E369)</f>
        <v/>
      </c>
      <c r="F369" s="74" t="str">
        <f>IF('Prod 2'!K369="","",'Prod 2'!K369)</f>
        <v/>
      </c>
      <c r="G369" s="77" t="str">
        <f>IF('Prod 1'!I369="","",'Prod 1'!I369)</f>
        <v/>
      </c>
      <c r="H369" s="63" t="str">
        <f>IF('Prod 1'!F369="","",'Prod 1'!F369)</f>
        <v/>
      </c>
      <c r="I369" s="75" t="str">
        <f>IF('Prod 3'!F369="","",'Prod 3'!F369)</f>
        <v/>
      </c>
    </row>
    <row r="370" spans="3:9" ht="30" customHeight="1" x14ac:dyDescent="0.25">
      <c r="C370" s="42">
        <v>366</v>
      </c>
      <c r="D370" s="67" t="str">
        <f>IF('Prod 1'!D370="","",'Prod 1'!D370)</f>
        <v/>
      </c>
      <c r="E370" s="73" t="str">
        <f>IF('Prod 1'!E370="","",'Prod 1'!E370)</f>
        <v/>
      </c>
      <c r="F370" s="74" t="str">
        <f>IF('Prod 2'!K370="","",'Prod 2'!K370)</f>
        <v/>
      </c>
      <c r="G370" s="77" t="str">
        <f>IF('Prod 1'!I370="","",'Prod 1'!I370)</f>
        <v/>
      </c>
      <c r="H370" s="63" t="str">
        <f>IF('Prod 1'!F370="","",'Prod 1'!F370)</f>
        <v/>
      </c>
      <c r="I370" s="75" t="str">
        <f>IF('Prod 3'!F370="","",'Prod 3'!F370)</f>
        <v/>
      </c>
    </row>
    <row r="371" spans="3:9" ht="30" customHeight="1" x14ac:dyDescent="0.25">
      <c r="C371" s="42">
        <v>367</v>
      </c>
      <c r="D371" s="67" t="str">
        <f>IF('Prod 1'!D371="","",'Prod 1'!D371)</f>
        <v/>
      </c>
      <c r="E371" s="73" t="str">
        <f>IF('Prod 1'!E371="","",'Prod 1'!E371)</f>
        <v/>
      </c>
      <c r="F371" s="74" t="str">
        <f>IF('Prod 2'!K371="","",'Prod 2'!K371)</f>
        <v/>
      </c>
      <c r="G371" s="77" t="str">
        <f>IF('Prod 1'!I371="","",'Prod 1'!I371)</f>
        <v/>
      </c>
      <c r="H371" s="63" t="str">
        <f>IF('Prod 1'!F371="","",'Prod 1'!F371)</f>
        <v/>
      </c>
      <c r="I371" s="75" t="str">
        <f>IF('Prod 3'!F371="","",'Prod 3'!F371)</f>
        <v/>
      </c>
    </row>
    <row r="372" spans="3:9" ht="30" customHeight="1" x14ac:dyDescent="0.25">
      <c r="C372" s="42">
        <v>368</v>
      </c>
      <c r="D372" s="67" t="str">
        <f>IF('Prod 1'!D372="","",'Prod 1'!D372)</f>
        <v/>
      </c>
      <c r="E372" s="73" t="str">
        <f>IF('Prod 1'!E372="","",'Prod 1'!E372)</f>
        <v/>
      </c>
      <c r="F372" s="74" t="str">
        <f>IF('Prod 2'!K372="","",'Prod 2'!K372)</f>
        <v/>
      </c>
      <c r="G372" s="77" t="str">
        <f>IF('Prod 1'!I372="","",'Prod 1'!I372)</f>
        <v/>
      </c>
      <c r="H372" s="63" t="str">
        <f>IF('Prod 1'!F372="","",'Prod 1'!F372)</f>
        <v/>
      </c>
      <c r="I372" s="75" t="str">
        <f>IF('Prod 3'!F372="","",'Prod 3'!F372)</f>
        <v/>
      </c>
    </row>
    <row r="373" spans="3:9" ht="30" customHeight="1" x14ac:dyDescent="0.25">
      <c r="C373" s="42">
        <v>369</v>
      </c>
      <c r="D373" s="67" t="str">
        <f>IF('Prod 1'!D373="","",'Prod 1'!D373)</f>
        <v/>
      </c>
      <c r="E373" s="73" t="str">
        <f>IF('Prod 1'!E373="","",'Prod 1'!E373)</f>
        <v/>
      </c>
      <c r="F373" s="74" t="str">
        <f>IF('Prod 2'!K373="","",'Prod 2'!K373)</f>
        <v/>
      </c>
      <c r="G373" s="77" t="str">
        <f>IF('Prod 1'!I373="","",'Prod 1'!I373)</f>
        <v/>
      </c>
      <c r="H373" s="63" t="str">
        <f>IF('Prod 1'!F373="","",'Prod 1'!F373)</f>
        <v/>
      </c>
      <c r="I373" s="75" t="str">
        <f>IF('Prod 3'!F373="","",'Prod 3'!F373)</f>
        <v/>
      </c>
    </row>
    <row r="374" spans="3:9" ht="30" customHeight="1" x14ac:dyDescent="0.25">
      <c r="C374" s="42">
        <v>370</v>
      </c>
      <c r="D374" s="67" t="str">
        <f>IF('Prod 1'!D374="","",'Prod 1'!D374)</f>
        <v/>
      </c>
      <c r="E374" s="73" t="str">
        <f>IF('Prod 1'!E374="","",'Prod 1'!E374)</f>
        <v/>
      </c>
      <c r="F374" s="74" t="str">
        <f>IF('Prod 2'!K374="","",'Prod 2'!K374)</f>
        <v/>
      </c>
      <c r="G374" s="77" t="str">
        <f>IF('Prod 1'!I374="","",'Prod 1'!I374)</f>
        <v/>
      </c>
      <c r="H374" s="63" t="str">
        <f>IF('Prod 1'!F374="","",'Prod 1'!F374)</f>
        <v/>
      </c>
      <c r="I374" s="75" t="str">
        <f>IF('Prod 3'!F374="","",'Prod 3'!F374)</f>
        <v/>
      </c>
    </row>
    <row r="375" spans="3:9" ht="30" customHeight="1" x14ac:dyDescent="0.25">
      <c r="C375" s="42">
        <v>371</v>
      </c>
      <c r="D375" s="67" t="str">
        <f>IF('Prod 1'!D375="","",'Prod 1'!D375)</f>
        <v/>
      </c>
      <c r="E375" s="73" t="str">
        <f>IF('Prod 1'!E375="","",'Prod 1'!E375)</f>
        <v/>
      </c>
      <c r="F375" s="74" t="str">
        <f>IF('Prod 2'!K375="","",'Prod 2'!K375)</f>
        <v/>
      </c>
      <c r="G375" s="77" t="str">
        <f>IF('Prod 1'!I375="","",'Prod 1'!I375)</f>
        <v/>
      </c>
      <c r="H375" s="63" t="str">
        <f>IF('Prod 1'!F375="","",'Prod 1'!F375)</f>
        <v/>
      </c>
      <c r="I375" s="75" t="str">
        <f>IF('Prod 3'!F375="","",'Prod 3'!F375)</f>
        <v/>
      </c>
    </row>
    <row r="376" spans="3:9" ht="30" customHeight="1" x14ac:dyDescent="0.25">
      <c r="C376" s="42">
        <v>372</v>
      </c>
      <c r="D376" s="67" t="str">
        <f>IF('Prod 1'!D376="","",'Prod 1'!D376)</f>
        <v/>
      </c>
      <c r="E376" s="73" t="str">
        <f>IF('Prod 1'!E376="","",'Prod 1'!E376)</f>
        <v/>
      </c>
      <c r="F376" s="74" t="str">
        <f>IF('Prod 2'!K376="","",'Prod 2'!K376)</f>
        <v/>
      </c>
      <c r="G376" s="77" t="str">
        <f>IF('Prod 1'!I376="","",'Prod 1'!I376)</f>
        <v/>
      </c>
      <c r="H376" s="63" t="str">
        <f>IF('Prod 1'!F376="","",'Prod 1'!F376)</f>
        <v/>
      </c>
      <c r="I376" s="75" t="str">
        <f>IF('Prod 3'!F376="","",'Prod 3'!F376)</f>
        <v/>
      </c>
    </row>
    <row r="377" spans="3:9" ht="30" customHeight="1" x14ac:dyDescent="0.25">
      <c r="C377" s="42">
        <v>373</v>
      </c>
      <c r="D377" s="67" t="str">
        <f>IF('Prod 1'!D377="","",'Prod 1'!D377)</f>
        <v/>
      </c>
      <c r="E377" s="73" t="str">
        <f>IF('Prod 1'!E377="","",'Prod 1'!E377)</f>
        <v/>
      </c>
      <c r="F377" s="74" t="str">
        <f>IF('Prod 2'!K377="","",'Prod 2'!K377)</f>
        <v/>
      </c>
      <c r="G377" s="77" t="str">
        <f>IF('Prod 1'!I377="","",'Prod 1'!I377)</f>
        <v/>
      </c>
      <c r="H377" s="63" t="str">
        <f>IF('Prod 1'!F377="","",'Prod 1'!F377)</f>
        <v/>
      </c>
      <c r="I377" s="75" t="str">
        <f>IF('Prod 3'!F377="","",'Prod 3'!F377)</f>
        <v/>
      </c>
    </row>
    <row r="378" spans="3:9" ht="30" customHeight="1" x14ac:dyDescent="0.25">
      <c r="C378" s="42">
        <v>374</v>
      </c>
      <c r="D378" s="67" t="str">
        <f>IF('Prod 1'!D378="","",'Prod 1'!D378)</f>
        <v/>
      </c>
      <c r="E378" s="73" t="str">
        <f>IF('Prod 1'!E378="","",'Prod 1'!E378)</f>
        <v/>
      </c>
      <c r="F378" s="74" t="str">
        <f>IF('Prod 2'!K378="","",'Prod 2'!K378)</f>
        <v/>
      </c>
      <c r="G378" s="77" t="str">
        <f>IF('Prod 1'!I378="","",'Prod 1'!I378)</f>
        <v/>
      </c>
      <c r="H378" s="63" t="str">
        <f>IF('Prod 1'!F378="","",'Prod 1'!F378)</f>
        <v/>
      </c>
      <c r="I378" s="75" t="str">
        <f>IF('Prod 3'!F378="","",'Prod 3'!F378)</f>
        <v/>
      </c>
    </row>
    <row r="379" spans="3:9" ht="30" customHeight="1" x14ac:dyDescent="0.25">
      <c r="C379" s="42">
        <v>375</v>
      </c>
      <c r="D379" s="67" t="str">
        <f>IF('Prod 1'!D379="","",'Prod 1'!D379)</f>
        <v/>
      </c>
      <c r="E379" s="73" t="str">
        <f>IF('Prod 1'!E379="","",'Prod 1'!E379)</f>
        <v/>
      </c>
      <c r="F379" s="74" t="str">
        <f>IF('Prod 2'!K379="","",'Prod 2'!K379)</f>
        <v/>
      </c>
      <c r="G379" s="77" t="str">
        <f>IF('Prod 1'!I379="","",'Prod 1'!I379)</f>
        <v/>
      </c>
      <c r="H379" s="63" t="str">
        <f>IF('Prod 1'!F379="","",'Prod 1'!F379)</f>
        <v/>
      </c>
      <c r="I379" s="75" t="str">
        <f>IF('Prod 3'!F379="","",'Prod 3'!F379)</f>
        <v/>
      </c>
    </row>
    <row r="380" spans="3:9" ht="30" customHeight="1" x14ac:dyDescent="0.25">
      <c r="C380" s="42">
        <v>376</v>
      </c>
      <c r="D380" s="67" t="str">
        <f>IF('Prod 1'!D380="","",'Prod 1'!D380)</f>
        <v/>
      </c>
      <c r="E380" s="73" t="str">
        <f>IF('Prod 1'!E380="","",'Prod 1'!E380)</f>
        <v/>
      </c>
      <c r="F380" s="74" t="str">
        <f>IF('Prod 2'!K380="","",'Prod 2'!K380)</f>
        <v/>
      </c>
      <c r="G380" s="77" t="str">
        <f>IF('Prod 1'!I380="","",'Prod 1'!I380)</f>
        <v/>
      </c>
      <c r="H380" s="63" t="str">
        <f>IF('Prod 1'!F380="","",'Prod 1'!F380)</f>
        <v/>
      </c>
      <c r="I380" s="75" t="str">
        <f>IF('Prod 3'!F380="","",'Prod 3'!F380)</f>
        <v/>
      </c>
    </row>
    <row r="381" spans="3:9" ht="30" customHeight="1" x14ac:dyDescent="0.25">
      <c r="C381" s="42">
        <v>377</v>
      </c>
      <c r="D381" s="67" t="str">
        <f>IF('Prod 1'!D381="","",'Prod 1'!D381)</f>
        <v/>
      </c>
      <c r="E381" s="73" t="str">
        <f>IF('Prod 1'!E381="","",'Prod 1'!E381)</f>
        <v/>
      </c>
      <c r="F381" s="74" t="str">
        <f>IF('Prod 2'!K381="","",'Prod 2'!K381)</f>
        <v/>
      </c>
      <c r="G381" s="77" t="str">
        <f>IF('Prod 1'!I381="","",'Prod 1'!I381)</f>
        <v/>
      </c>
      <c r="H381" s="63" t="str">
        <f>IF('Prod 1'!F381="","",'Prod 1'!F381)</f>
        <v/>
      </c>
      <c r="I381" s="75" t="str">
        <f>IF('Prod 3'!F381="","",'Prod 3'!F381)</f>
        <v/>
      </c>
    </row>
    <row r="382" spans="3:9" ht="30" customHeight="1" x14ac:dyDescent="0.25">
      <c r="C382" s="42">
        <v>378</v>
      </c>
      <c r="D382" s="67" t="str">
        <f>IF('Prod 1'!D382="","",'Prod 1'!D382)</f>
        <v/>
      </c>
      <c r="E382" s="73" t="str">
        <f>IF('Prod 1'!E382="","",'Prod 1'!E382)</f>
        <v/>
      </c>
      <c r="F382" s="74" t="str">
        <f>IF('Prod 2'!K382="","",'Prod 2'!K382)</f>
        <v/>
      </c>
      <c r="G382" s="77" t="str">
        <f>IF('Prod 1'!I382="","",'Prod 1'!I382)</f>
        <v/>
      </c>
      <c r="H382" s="63" t="str">
        <f>IF('Prod 1'!F382="","",'Prod 1'!F382)</f>
        <v/>
      </c>
      <c r="I382" s="75" t="str">
        <f>IF('Prod 3'!F382="","",'Prod 3'!F382)</f>
        <v/>
      </c>
    </row>
    <row r="383" spans="3:9" ht="30" customHeight="1" x14ac:dyDescent="0.25">
      <c r="C383" s="42">
        <v>379</v>
      </c>
      <c r="D383" s="67" t="str">
        <f>IF('Prod 1'!D383="","",'Prod 1'!D383)</f>
        <v/>
      </c>
      <c r="E383" s="73" t="str">
        <f>IF('Prod 1'!E383="","",'Prod 1'!E383)</f>
        <v/>
      </c>
      <c r="F383" s="74" t="str">
        <f>IF('Prod 2'!K383="","",'Prod 2'!K383)</f>
        <v/>
      </c>
      <c r="G383" s="77" t="str">
        <f>IF('Prod 1'!I383="","",'Prod 1'!I383)</f>
        <v/>
      </c>
      <c r="H383" s="63" t="str">
        <f>IF('Prod 1'!F383="","",'Prod 1'!F383)</f>
        <v/>
      </c>
      <c r="I383" s="75" t="str">
        <f>IF('Prod 3'!F383="","",'Prod 3'!F383)</f>
        <v/>
      </c>
    </row>
    <row r="384" spans="3:9" ht="30" customHeight="1" x14ac:dyDescent="0.25">
      <c r="C384" s="42">
        <v>380</v>
      </c>
      <c r="D384" s="67" t="str">
        <f>IF('Prod 1'!D384="","",'Prod 1'!D384)</f>
        <v/>
      </c>
      <c r="E384" s="73" t="str">
        <f>IF('Prod 1'!E384="","",'Prod 1'!E384)</f>
        <v/>
      </c>
      <c r="F384" s="74" t="str">
        <f>IF('Prod 2'!K384="","",'Prod 2'!K384)</f>
        <v/>
      </c>
      <c r="G384" s="77" t="str">
        <f>IF('Prod 1'!I384="","",'Prod 1'!I384)</f>
        <v/>
      </c>
      <c r="H384" s="63" t="str">
        <f>IF('Prod 1'!F384="","",'Prod 1'!F384)</f>
        <v/>
      </c>
      <c r="I384" s="75" t="str">
        <f>IF('Prod 3'!F384="","",'Prod 3'!F384)</f>
        <v/>
      </c>
    </row>
    <row r="385" spans="3:9" ht="30" customHeight="1" x14ac:dyDescent="0.25">
      <c r="C385" s="42">
        <v>381</v>
      </c>
      <c r="D385" s="67" t="str">
        <f>IF('Prod 1'!D385="","",'Prod 1'!D385)</f>
        <v/>
      </c>
      <c r="E385" s="73" t="str">
        <f>IF('Prod 1'!E385="","",'Prod 1'!E385)</f>
        <v/>
      </c>
      <c r="F385" s="74" t="str">
        <f>IF('Prod 2'!K385="","",'Prod 2'!K385)</f>
        <v/>
      </c>
      <c r="G385" s="77" t="str">
        <f>IF('Prod 1'!I385="","",'Prod 1'!I385)</f>
        <v/>
      </c>
      <c r="H385" s="63" t="str">
        <f>IF('Prod 1'!F385="","",'Prod 1'!F385)</f>
        <v/>
      </c>
      <c r="I385" s="75" t="str">
        <f>IF('Prod 3'!F385="","",'Prod 3'!F385)</f>
        <v/>
      </c>
    </row>
    <row r="386" spans="3:9" ht="30" customHeight="1" x14ac:dyDescent="0.25">
      <c r="C386" s="42">
        <v>382</v>
      </c>
      <c r="D386" s="67" t="str">
        <f>IF('Prod 1'!D386="","",'Prod 1'!D386)</f>
        <v/>
      </c>
      <c r="E386" s="73" t="str">
        <f>IF('Prod 1'!E386="","",'Prod 1'!E386)</f>
        <v/>
      </c>
      <c r="F386" s="74" t="str">
        <f>IF('Prod 2'!K386="","",'Prod 2'!K386)</f>
        <v/>
      </c>
      <c r="G386" s="77" t="str">
        <f>IF('Prod 1'!I386="","",'Prod 1'!I386)</f>
        <v/>
      </c>
      <c r="H386" s="63" t="str">
        <f>IF('Prod 1'!F386="","",'Prod 1'!F386)</f>
        <v/>
      </c>
      <c r="I386" s="75" t="str">
        <f>IF('Prod 3'!F386="","",'Prod 3'!F386)</f>
        <v/>
      </c>
    </row>
    <row r="387" spans="3:9" ht="30" customHeight="1" x14ac:dyDescent="0.25">
      <c r="C387" s="42">
        <v>383</v>
      </c>
      <c r="D387" s="67" t="str">
        <f>IF('Prod 1'!D387="","",'Prod 1'!D387)</f>
        <v/>
      </c>
      <c r="E387" s="73" t="str">
        <f>IF('Prod 1'!E387="","",'Prod 1'!E387)</f>
        <v/>
      </c>
      <c r="F387" s="74" t="str">
        <f>IF('Prod 2'!K387="","",'Prod 2'!K387)</f>
        <v/>
      </c>
      <c r="G387" s="77" t="str">
        <f>IF('Prod 1'!I387="","",'Prod 1'!I387)</f>
        <v/>
      </c>
      <c r="H387" s="63" t="str">
        <f>IF('Prod 1'!F387="","",'Prod 1'!F387)</f>
        <v/>
      </c>
      <c r="I387" s="75" t="str">
        <f>IF('Prod 3'!F387="","",'Prod 3'!F387)</f>
        <v/>
      </c>
    </row>
    <row r="388" spans="3:9" ht="30" customHeight="1" x14ac:dyDescent="0.25">
      <c r="C388" s="42">
        <v>384</v>
      </c>
      <c r="D388" s="67" t="str">
        <f>IF('Prod 1'!D388="","",'Prod 1'!D388)</f>
        <v/>
      </c>
      <c r="E388" s="73" t="str">
        <f>IF('Prod 1'!E388="","",'Prod 1'!E388)</f>
        <v/>
      </c>
      <c r="F388" s="74" t="str">
        <f>IF('Prod 2'!K388="","",'Prod 2'!K388)</f>
        <v/>
      </c>
      <c r="G388" s="77" t="str">
        <f>IF('Prod 1'!I388="","",'Prod 1'!I388)</f>
        <v/>
      </c>
      <c r="H388" s="63" t="str">
        <f>IF('Prod 1'!F388="","",'Prod 1'!F388)</f>
        <v/>
      </c>
      <c r="I388" s="75" t="str">
        <f>IF('Prod 3'!F388="","",'Prod 3'!F388)</f>
        <v/>
      </c>
    </row>
    <row r="389" spans="3:9" ht="30" customHeight="1" x14ac:dyDescent="0.25">
      <c r="C389" s="42">
        <v>385</v>
      </c>
      <c r="D389" s="67" t="str">
        <f>IF('Prod 1'!D389="","",'Prod 1'!D389)</f>
        <v/>
      </c>
      <c r="E389" s="73" t="str">
        <f>IF('Prod 1'!E389="","",'Prod 1'!E389)</f>
        <v/>
      </c>
      <c r="F389" s="74" t="str">
        <f>IF('Prod 2'!K389="","",'Prod 2'!K389)</f>
        <v/>
      </c>
      <c r="G389" s="77" t="str">
        <f>IF('Prod 1'!I389="","",'Prod 1'!I389)</f>
        <v/>
      </c>
      <c r="H389" s="63" t="str">
        <f>IF('Prod 1'!F389="","",'Prod 1'!F389)</f>
        <v/>
      </c>
      <c r="I389" s="75" t="str">
        <f>IF('Prod 3'!F389="","",'Prod 3'!F389)</f>
        <v/>
      </c>
    </row>
    <row r="390" spans="3:9" ht="30" customHeight="1" x14ac:dyDescent="0.25">
      <c r="C390" s="42">
        <v>386</v>
      </c>
      <c r="D390" s="67" t="str">
        <f>IF('Prod 1'!D390="","",'Prod 1'!D390)</f>
        <v/>
      </c>
      <c r="E390" s="73" t="str">
        <f>IF('Prod 1'!E390="","",'Prod 1'!E390)</f>
        <v/>
      </c>
      <c r="F390" s="74" t="str">
        <f>IF('Prod 2'!K390="","",'Prod 2'!K390)</f>
        <v/>
      </c>
      <c r="G390" s="77" t="str">
        <f>IF('Prod 1'!I390="","",'Prod 1'!I390)</f>
        <v/>
      </c>
      <c r="H390" s="63" t="str">
        <f>IF('Prod 1'!F390="","",'Prod 1'!F390)</f>
        <v/>
      </c>
      <c r="I390" s="75" t="str">
        <f>IF('Prod 3'!F390="","",'Prod 3'!F390)</f>
        <v/>
      </c>
    </row>
    <row r="391" spans="3:9" ht="30" customHeight="1" x14ac:dyDescent="0.25">
      <c r="C391" s="42">
        <v>387</v>
      </c>
      <c r="D391" s="67" t="str">
        <f>IF('Prod 1'!D391="","",'Prod 1'!D391)</f>
        <v/>
      </c>
      <c r="E391" s="73" t="str">
        <f>IF('Prod 1'!E391="","",'Prod 1'!E391)</f>
        <v/>
      </c>
      <c r="F391" s="74" t="str">
        <f>IF('Prod 2'!K391="","",'Prod 2'!K391)</f>
        <v/>
      </c>
      <c r="G391" s="77" t="str">
        <f>IF('Prod 1'!I391="","",'Prod 1'!I391)</f>
        <v/>
      </c>
      <c r="H391" s="63" t="str">
        <f>IF('Prod 1'!F391="","",'Prod 1'!F391)</f>
        <v/>
      </c>
      <c r="I391" s="75" t="str">
        <f>IF('Prod 3'!F391="","",'Prod 3'!F391)</f>
        <v/>
      </c>
    </row>
    <row r="392" spans="3:9" ht="30" customHeight="1" x14ac:dyDescent="0.25">
      <c r="C392" s="42">
        <v>388</v>
      </c>
      <c r="D392" s="67" t="str">
        <f>IF('Prod 1'!D392="","",'Prod 1'!D392)</f>
        <v/>
      </c>
      <c r="E392" s="73" t="str">
        <f>IF('Prod 1'!E392="","",'Prod 1'!E392)</f>
        <v/>
      </c>
      <c r="F392" s="74" t="str">
        <f>IF('Prod 2'!K392="","",'Prod 2'!K392)</f>
        <v/>
      </c>
      <c r="G392" s="77" t="str">
        <f>IF('Prod 1'!I392="","",'Prod 1'!I392)</f>
        <v/>
      </c>
      <c r="H392" s="63" t="str">
        <f>IF('Prod 1'!F392="","",'Prod 1'!F392)</f>
        <v/>
      </c>
      <c r="I392" s="75" t="str">
        <f>IF('Prod 3'!F392="","",'Prod 3'!F392)</f>
        <v/>
      </c>
    </row>
    <row r="393" spans="3:9" ht="30" customHeight="1" x14ac:dyDescent="0.25">
      <c r="C393" s="42">
        <v>389</v>
      </c>
      <c r="D393" s="67" t="str">
        <f>IF('Prod 1'!D393="","",'Prod 1'!D393)</f>
        <v/>
      </c>
      <c r="E393" s="73" t="str">
        <f>IF('Prod 1'!E393="","",'Prod 1'!E393)</f>
        <v/>
      </c>
      <c r="F393" s="74" t="str">
        <f>IF('Prod 2'!K393="","",'Prod 2'!K393)</f>
        <v/>
      </c>
      <c r="G393" s="77" t="str">
        <f>IF('Prod 1'!I393="","",'Prod 1'!I393)</f>
        <v/>
      </c>
      <c r="H393" s="63" t="str">
        <f>IF('Prod 1'!F393="","",'Prod 1'!F393)</f>
        <v/>
      </c>
      <c r="I393" s="75" t="str">
        <f>IF('Prod 3'!F393="","",'Prod 3'!F393)</f>
        <v/>
      </c>
    </row>
    <row r="394" spans="3:9" ht="30" customHeight="1" x14ac:dyDescent="0.25">
      <c r="C394" s="42">
        <v>390</v>
      </c>
      <c r="D394" s="67" t="str">
        <f>IF('Prod 1'!D394="","",'Prod 1'!D394)</f>
        <v/>
      </c>
      <c r="E394" s="73" t="str">
        <f>IF('Prod 1'!E394="","",'Prod 1'!E394)</f>
        <v/>
      </c>
      <c r="F394" s="74" t="str">
        <f>IF('Prod 2'!K394="","",'Prod 2'!K394)</f>
        <v/>
      </c>
      <c r="G394" s="77" t="str">
        <f>IF('Prod 1'!I394="","",'Prod 1'!I394)</f>
        <v/>
      </c>
      <c r="H394" s="63" t="str">
        <f>IF('Prod 1'!F394="","",'Prod 1'!F394)</f>
        <v/>
      </c>
      <c r="I394" s="75" t="str">
        <f>IF('Prod 3'!F394="","",'Prod 3'!F394)</f>
        <v/>
      </c>
    </row>
    <row r="395" spans="3:9" ht="30" customHeight="1" x14ac:dyDescent="0.25">
      <c r="C395" s="42">
        <v>391</v>
      </c>
      <c r="D395" s="67" t="str">
        <f>IF('Prod 1'!D395="","",'Prod 1'!D395)</f>
        <v/>
      </c>
      <c r="E395" s="73" t="str">
        <f>IF('Prod 1'!E395="","",'Prod 1'!E395)</f>
        <v/>
      </c>
      <c r="F395" s="74" t="str">
        <f>IF('Prod 2'!K395="","",'Prod 2'!K395)</f>
        <v/>
      </c>
      <c r="G395" s="77" t="str">
        <f>IF('Prod 1'!I395="","",'Prod 1'!I395)</f>
        <v/>
      </c>
      <c r="H395" s="63" t="str">
        <f>IF('Prod 1'!F395="","",'Prod 1'!F395)</f>
        <v/>
      </c>
      <c r="I395" s="75" t="str">
        <f>IF('Prod 3'!F395="","",'Prod 3'!F395)</f>
        <v/>
      </c>
    </row>
    <row r="396" spans="3:9" ht="30" customHeight="1" x14ac:dyDescent="0.25">
      <c r="C396" s="42">
        <v>392</v>
      </c>
      <c r="D396" s="67" t="str">
        <f>IF('Prod 1'!D396="","",'Prod 1'!D396)</f>
        <v/>
      </c>
      <c r="E396" s="73" t="str">
        <f>IF('Prod 1'!E396="","",'Prod 1'!E396)</f>
        <v/>
      </c>
      <c r="F396" s="74" t="str">
        <f>IF('Prod 2'!K396="","",'Prod 2'!K396)</f>
        <v/>
      </c>
      <c r="G396" s="77" t="str">
        <f>IF('Prod 1'!I396="","",'Prod 1'!I396)</f>
        <v/>
      </c>
      <c r="H396" s="63" t="str">
        <f>IF('Prod 1'!F396="","",'Prod 1'!F396)</f>
        <v/>
      </c>
      <c r="I396" s="75" t="str">
        <f>IF('Prod 3'!F396="","",'Prod 3'!F396)</f>
        <v/>
      </c>
    </row>
    <row r="397" spans="3:9" ht="30" customHeight="1" x14ac:dyDescent="0.25">
      <c r="C397" s="42">
        <v>393</v>
      </c>
      <c r="D397" s="67" t="str">
        <f>IF('Prod 1'!D397="","",'Prod 1'!D397)</f>
        <v/>
      </c>
      <c r="E397" s="73" t="str">
        <f>IF('Prod 1'!E397="","",'Prod 1'!E397)</f>
        <v/>
      </c>
      <c r="F397" s="74" t="str">
        <f>IF('Prod 2'!K397="","",'Prod 2'!K397)</f>
        <v/>
      </c>
      <c r="G397" s="77" t="str">
        <f>IF('Prod 1'!I397="","",'Prod 1'!I397)</f>
        <v/>
      </c>
      <c r="H397" s="63" t="str">
        <f>IF('Prod 1'!F397="","",'Prod 1'!F397)</f>
        <v/>
      </c>
      <c r="I397" s="75" t="str">
        <f>IF('Prod 3'!F397="","",'Prod 3'!F397)</f>
        <v/>
      </c>
    </row>
    <row r="398" spans="3:9" ht="30" customHeight="1" x14ac:dyDescent="0.25">
      <c r="C398" s="42">
        <v>394</v>
      </c>
      <c r="D398" s="67" t="str">
        <f>IF('Prod 1'!D398="","",'Prod 1'!D398)</f>
        <v/>
      </c>
      <c r="E398" s="73" t="str">
        <f>IF('Prod 1'!E398="","",'Prod 1'!E398)</f>
        <v/>
      </c>
      <c r="F398" s="74" t="str">
        <f>IF('Prod 2'!K398="","",'Prod 2'!K398)</f>
        <v/>
      </c>
      <c r="G398" s="77" t="str">
        <f>IF('Prod 1'!I398="","",'Prod 1'!I398)</f>
        <v/>
      </c>
      <c r="H398" s="63" t="str">
        <f>IF('Prod 1'!F398="","",'Prod 1'!F398)</f>
        <v/>
      </c>
      <c r="I398" s="75" t="str">
        <f>IF('Prod 3'!F398="","",'Prod 3'!F398)</f>
        <v/>
      </c>
    </row>
    <row r="399" spans="3:9" ht="30" customHeight="1" x14ac:dyDescent="0.25">
      <c r="C399" s="42">
        <v>395</v>
      </c>
      <c r="D399" s="67" t="str">
        <f>IF('Prod 1'!D399="","",'Prod 1'!D399)</f>
        <v/>
      </c>
      <c r="E399" s="73" t="str">
        <f>IF('Prod 1'!E399="","",'Prod 1'!E399)</f>
        <v/>
      </c>
      <c r="F399" s="74" t="str">
        <f>IF('Prod 2'!K399="","",'Prod 2'!K399)</f>
        <v/>
      </c>
      <c r="G399" s="77" t="str">
        <f>IF('Prod 1'!I399="","",'Prod 1'!I399)</f>
        <v/>
      </c>
      <c r="H399" s="63" t="str">
        <f>IF('Prod 1'!F399="","",'Prod 1'!F399)</f>
        <v/>
      </c>
      <c r="I399" s="75" t="str">
        <f>IF('Prod 3'!F399="","",'Prod 3'!F399)</f>
        <v/>
      </c>
    </row>
    <row r="400" spans="3:9" ht="30" customHeight="1" x14ac:dyDescent="0.25">
      <c r="C400" s="42">
        <v>396</v>
      </c>
      <c r="D400" s="67" t="str">
        <f>IF('Prod 1'!D400="","",'Prod 1'!D400)</f>
        <v/>
      </c>
      <c r="E400" s="73" t="str">
        <f>IF('Prod 1'!E400="","",'Prod 1'!E400)</f>
        <v/>
      </c>
      <c r="F400" s="74" t="str">
        <f>IF('Prod 2'!K400="","",'Prod 2'!K400)</f>
        <v/>
      </c>
      <c r="G400" s="77" t="str">
        <f>IF('Prod 1'!I400="","",'Prod 1'!I400)</f>
        <v/>
      </c>
      <c r="H400" s="63" t="str">
        <f>IF('Prod 1'!F400="","",'Prod 1'!F400)</f>
        <v/>
      </c>
      <c r="I400" s="75" t="str">
        <f>IF('Prod 3'!F400="","",'Prod 3'!F400)</f>
        <v/>
      </c>
    </row>
    <row r="401" spans="3:9" ht="30" customHeight="1" x14ac:dyDescent="0.25">
      <c r="C401" s="42">
        <v>397</v>
      </c>
      <c r="D401" s="67" t="str">
        <f>IF('Prod 1'!D401="","",'Prod 1'!D401)</f>
        <v/>
      </c>
      <c r="E401" s="73" t="str">
        <f>IF('Prod 1'!E401="","",'Prod 1'!E401)</f>
        <v/>
      </c>
      <c r="F401" s="74" t="str">
        <f>IF('Prod 2'!K401="","",'Prod 2'!K401)</f>
        <v/>
      </c>
      <c r="G401" s="77" t="str">
        <f>IF('Prod 1'!I401="","",'Prod 1'!I401)</f>
        <v/>
      </c>
      <c r="H401" s="63" t="str">
        <f>IF('Prod 1'!F401="","",'Prod 1'!F401)</f>
        <v/>
      </c>
      <c r="I401" s="75" t="str">
        <f>IF('Prod 3'!F401="","",'Prod 3'!F401)</f>
        <v/>
      </c>
    </row>
    <row r="402" spans="3:9" ht="30" customHeight="1" x14ac:dyDescent="0.25">
      <c r="C402" s="42">
        <v>398</v>
      </c>
      <c r="D402" s="67" t="str">
        <f>IF('Prod 1'!D402="","",'Prod 1'!D402)</f>
        <v/>
      </c>
      <c r="E402" s="73" t="str">
        <f>IF('Prod 1'!E402="","",'Prod 1'!E402)</f>
        <v/>
      </c>
      <c r="F402" s="74" t="str">
        <f>IF('Prod 2'!K402="","",'Prod 2'!K402)</f>
        <v/>
      </c>
      <c r="G402" s="77" t="str">
        <f>IF('Prod 1'!I402="","",'Prod 1'!I402)</f>
        <v/>
      </c>
      <c r="H402" s="63" t="str">
        <f>IF('Prod 1'!F402="","",'Prod 1'!F402)</f>
        <v/>
      </c>
      <c r="I402" s="75" t="str">
        <f>IF('Prod 3'!F402="","",'Prod 3'!F402)</f>
        <v/>
      </c>
    </row>
    <row r="403" spans="3:9" ht="30" customHeight="1" x14ac:dyDescent="0.25">
      <c r="C403" s="42">
        <v>399</v>
      </c>
      <c r="D403" s="67" t="str">
        <f>IF('Prod 1'!D403="","",'Prod 1'!D403)</f>
        <v/>
      </c>
      <c r="E403" s="73" t="str">
        <f>IF('Prod 1'!E403="","",'Prod 1'!E403)</f>
        <v/>
      </c>
      <c r="F403" s="74" t="str">
        <f>IF('Prod 2'!K403="","",'Prod 2'!K403)</f>
        <v/>
      </c>
      <c r="G403" s="77" t="str">
        <f>IF('Prod 1'!I403="","",'Prod 1'!I403)</f>
        <v/>
      </c>
      <c r="H403" s="63" t="str">
        <f>IF('Prod 1'!F403="","",'Prod 1'!F403)</f>
        <v/>
      </c>
      <c r="I403" s="75" t="str">
        <f>IF('Prod 3'!F403="","",'Prod 3'!F403)</f>
        <v/>
      </c>
    </row>
    <row r="404" spans="3:9" ht="30" customHeight="1" x14ac:dyDescent="0.25">
      <c r="C404" s="42">
        <v>400</v>
      </c>
      <c r="D404" s="67" t="str">
        <f>IF('Prod 1'!D404="","",'Prod 1'!D404)</f>
        <v/>
      </c>
      <c r="E404" s="73" t="str">
        <f>IF('Prod 1'!E404="","",'Prod 1'!E404)</f>
        <v/>
      </c>
      <c r="F404" s="74" t="str">
        <f>IF('Prod 2'!K404="","",'Prod 2'!K404)</f>
        <v/>
      </c>
      <c r="G404" s="77" t="str">
        <f>IF('Prod 1'!I404="","",'Prod 1'!I404)</f>
        <v/>
      </c>
      <c r="H404" s="63" t="str">
        <f>IF('Prod 1'!F404="","",'Prod 1'!F404)</f>
        <v/>
      </c>
      <c r="I404" s="75" t="str">
        <f>IF('Prod 3'!F404="","",'Prod 3'!F404)</f>
        <v/>
      </c>
    </row>
    <row r="405" spans="3:9" ht="30" customHeight="1" x14ac:dyDescent="0.25">
      <c r="C405" s="42">
        <v>401</v>
      </c>
      <c r="D405" s="67" t="str">
        <f>IF('Prod 1'!D405="","",'Prod 1'!D405)</f>
        <v/>
      </c>
      <c r="E405" s="73" t="str">
        <f>IF('Prod 1'!E405="","",'Prod 1'!E405)</f>
        <v/>
      </c>
      <c r="F405" s="74" t="str">
        <f>IF('Prod 2'!K405="","",'Prod 2'!K405)</f>
        <v/>
      </c>
      <c r="G405" s="77" t="str">
        <f>IF('Prod 1'!I405="","",'Prod 1'!I405)</f>
        <v/>
      </c>
      <c r="H405" s="63" t="str">
        <f>IF('Prod 1'!F405="","",'Prod 1'!F405)</f>
        <v/>
      </c>
      <c r="I405" s="75" t="str">
        <f>IF('Prod 3'!F405="","",'Prod 3'!F405)</f>
        <v/>
      </c>
    </row>
    <row r="406" spans="3:9" ht="30" customHeight="1" x14ac:dyDescent="0.25">
      <c r="C406" s="42">
        <v>402</v>
      </c>
      <c r="D406" s="67" t="str">
        <f>IF('Prod 1'!D406="","",'Prod 1'!D406)</f>
        <v/>
      </c>
      <c r="E406" s="73" t="str">
        <f>IF('Prod 1'!E406="","",'Prod 1'!E406)</f>
        <v/>
      </c>
      <c r="F406" s="74" t="str">
        <f>IF('Prod 2'!K406="","",'Prod 2'!K406)</f>
        <v/>
      </c>
      <c r="G406" s="77" t="str">
        <f>IF('Prod 1'!I406="","",'Prod 1'!I406)</f>
        <v/>
      </c>
      <c r="H406" s="63" t="str">
        <f>IF('Prod 1'!F406="","",'Prod 1'!F406)</f>
        <v/>
      </c>
      <c r="I406" s="75" t="str">
        <f>IF('Prod 3'!F406="","",'Prod 3'!F406)</f>
        <v/>
      </c>
    </row>
    <row r="407" spans="3:9" ht="30" customHeight="1" x14ac:dyDescent="0.25">
      <c r="C407" s="42">
        <v>403</v>
      </c>
      <c r="D407" s="67" t="str">
        <f>IF('Prod 1'!D407="","",'Prod 1'!D407)</f>
        <v/>
      </c>
      <c r="E407" s="73" t="str">
        <f>IF('Prod 1'!E407="","",'Prod 1'!E407)</f>
        <v/>
      </c>
      <c r="F407" s="74" t="str">
        <f>IF('Prod 2'!K407="","",'Prod 2'!K407)</f>
        <v/>
      </c>
      <c r="G407" s="77" t="str">
        <f>IF('Prod 1'!I407="","",'Prod 1'!I407)</f>
        <v/>
      </c>
      <c r="H407" s="63" t="str">
        <f>IF('Prod 1'!F407="","",'Prod 1'!F407)</f>
        <v/>
      </c>
      <c r="I407" s="75" t="str">
        <f>IF('Prod 3'!F407="","",'Prod 3'!F407)</f>
        <v/>
      </c>
    </row>
    <row r="408" spans="3:9" ht="30" customHeight="1" x14ac:dyDescent="0.25">
      <c r="C408" s="42">
        <v>404</v>
      </c>
      <c r="D408" s="67" t="str">
        <f>IF('Prod 1'!D408="","",'Prod 1'!D408)</f>
        <v/>
      </c>
      <c r="E408" s="73" t="str">
        <f>IF('Prod 1'!E408="","",'Prod 1'!E408)</f>
        <v/>
      </c>
      <c r="F408" s="74" t="str">
        <f>IF('Prod 2'!K408="","",'Prod 2'!K408)</f>
        <v/>
      </c>
      <c r="G408" s="77" t="str">
        <f>IF('Prod 1'!I408="","",'Prod 1'!I408)</f>
        <v/>
      </c>
      <c r="H408" s="63" t="str">
        <f>IF('Prod 1'!F408="","",'Prod 1'!F408)</f>
        <v/>
      </c>
      <c r="I408" s="75" t="str">
        <f>IF('Prod 3'!F408="","",'Prod 3'!F408)</f>
        <v/>
      </c>
    </row>
    <row r="409" spans="3:9" ht="30" customHeight="1" x14ac:dyDescent="0.25">
      <c r="C409" s="42">
        <v>405</v>
      </c>
      <c r="D409" s="67" t="str">
        <f>IF('Prod 1'!D409="","",'Prod 1'!D409)</f>
        <v/>
      </c>
      <c r="E409" s="73" t="str">
        <f>IF('Prod 1'!E409="","",'Prod 1'!E409)</f>
        <v/>
      </c>
      <c r="F409" s="74" t="str">
        <f>IF('Prod 2'!K409="","",'Prod 2'!K409)</f>
        <v/>
      </c>
      <c r="G409" s="77" t="str">
        <f>IF('Prod 1'!I409="","",'Prod 1'!I409)</f>
        <v/>
      </c>
      <c r="H409" s="63" t="str">
        <f>IF('Prod 1'!F409="","",'Prod 1'!F409)</f>
        <v/>
      </c>
      <c r="I409" s="75" t="str">
        <f>IF('Prod 3'!F409="","",'Prod 3'!F409)</f>
        <v/>
      </c>
    </row>
    <row r="410" spans="3:9" ht="30" customHeight="1" x14ac:dyDescent="0.25">
      <c r="C410" s="42">
        <v>406</v>
      </c>
      <c r="D410" s="67" t="str">
        <f>IF('Prod 1'!D410="","",'Prod 1'!D410)</f>
        <v/>
      </c>
      <c r="E410" s="73" t="str">
        <f>IF('Prod 1'!E410="","",'Prod 1'!E410)</f>
        <v/>
      </c>
      <c r="F410" s="74" t="str">
        <f>IF('Prod 2'!K410="","",'Prod 2'!K410)</f>
        <v/>
      </c>
      <c r="G410" s="77" t="str">
        <f>IF('Prod 1'!I410="","",'Prod 1'!I410)</f>
        <v/>
      </c>
      <c r="H410" s="63" t="str">
        <f>IF('Prod 1'!F410="","",'Prod 1'!F410)</f>
        <v/>
      </c>
      <c r="I410" s="75" t="str">
        <f>IF('Prod 3'!F410="","",'Prod 3'!F410)</f>
        <v/>
      </c>
    </row>
    <row r="411" spans="3:9" ht="30" customHeight="1" x14ac:dyDescent="0.25">
      <c r="C411" s="42">
        <v>407</v>
      </c>
      <c r="D411" s="67" t="str">
        <f>IF('Prod 1'!D411="","",'Prod 1'!D411)</f>
        <v/>
      </c>
      <c r="E411" s="73" t="str">
        <f>IF('Prod 1'!E411="","",'Prod 1'!E411)</f>
        <v/>
      </c>
      <c r="F411" s="74" t="str">
        <f>IF('Prod 2'!K411="","",'Prod 2'!K411)</f>
        <v/>
      </c>
      <c r="G411" s="77" t="str">
        <f>IF('Prod 1'!I411="","",'Prod 1'!I411)</f>
        <v/>
      </c>
      <c r="H411" s="63" t="str">
        <f>IF('Prod 1'!F411="","",'Prod 1'!F411)</f>
        <v/>
      </c>
      <c r="I411" s="75" t="str">
        <f>IF('Prod 3'!F411="","",'Prod 3'!F411)</f>
        <v/>
      </c>
    </row>
    <row r="412" spans="3:9" ht="30" customHeight="1" x14ac:dyDescent="0.25">
      <c r="C412" s="42">
        <v>408</v>
      </c>
      <c r="D412" s="67" t="str">
        <f>IF('Prod 1'!D412="","",'Prod 1'!D412)</f>
        <v/>
      </c>
      <c r="E412" s="73" t="str">
        <f>IF('Prod 1'!E412="","",'Prod 1'!E412)</f>
        <v/>
      </c>
      <c r="F412" s="74" t="str">
        <f>IF('Prod 2'!K412="","",'Prod 2'!K412)</f>
        <v/>
      </c>
      <c r="G412" s="77" t="str">
        <f>IF('Prod 1'!I412="","",'Prod 1'!I412)</f>
        <v/>
      </c>
      <c r="H412" s="63" t="str">
        <f>IF('Prod 1'!F412="","",'Prod 1'!F412)</f>
        <v/>
      </c>
      <c r="I412" s="75" t="str">
        <f>IF('Prod 3'!F412="","",'Prod 3'!F412)</f>
        <v/>
      </c>
    </row>
    <row r="413" spans="3:9" ht="30" customHeight="1" x14ac:dyDescent="0.25">
      <c r="C413" s="42">
        <v>409</v>
      </c>
      <c r="D413" s="67" t="str">
        <f>IF('Prod 1'!D413="","",'Prod 1'!D413)</f>
        <v/>
      </c>
      <c r="E413" s="73" t="str">
        <f>IF('Prod 1'!E413="","",'Prod 1'!E413)</f>
        <v/>
      </c>
      <c r="F413" s="74" t="str">
        <f>IF('Prod 2'!K413="","",'Prod 2'!K413)</f>
        <v/>
      </c>
      <c r="G413" s="77" t="str">
        <f>IF('Prod 1'!I413="","",'Prod 1'!I413)</f>
        <v/>
      </c>
      <c r="H413" s="63" t="str">
        <f>IF('Prod 1'!F413="","",'Prod 1'!F413)</f>
        <v/>
      </c>
      <c r="I413" s="75" t="str">
        <f>IF('Prod 3'!F413="","",'Prod 3'!F413)</f>
        <v/>
      </c>
    </row>
    <row r="414" spans="3:9" ht="30" customHeight="1" x14ac:dyDescent="0.25">
      <c r="C414" s="42">
        <v>410</v>
      </c>
      <c r="D414" s="67" t="str">
        <f>IF('Prod 1'!D414="","",'Prod 1'!D414)</f>
        <v/>
      </c>
      <c r="E414" s="73" t="str">
        <f>IF('Prod 1'!E414="","",'Prod 1'!E414)</f>
        <v/>
      </c>
      <c r="F414" s="74" t="str">
        <f>IF('Prod 2'!K414="","",'Prod 2'!K414)</f>
        <v/>
      </c>
      <c r="G414" s="77" t="str">
        <f>IF('Prod 1'!I414="","",'Prod 1'!I414)</f>
        <v/>
      </c>
      <c r="H414" s="63" t="str">
        <f>IF('Prod 1'!F414="","",'Prod 1'!F414)</f>
        <v/>
      </c>
      <c r="I414" s="75" t="str">
        <f>IF('Prod 3'!F414="","",'Prod 3'!F414)</f>
        <v/>
      </c>
    </row>
    <row r="415" spans="3:9" ht="30" customHeight="1" x14ac:dyDescent="0.25">
      <c r="C415" s="42">
        <v>411</v>
      </c>
      <c r="D415" s="67" t="str">
        <f>IF('Prod 1'!D415="","",'Prod 1'!D415)</f>
        <v/>
      </c>
      <c r="E415" s="73" t="str">
        <f>IF('Prod 1'!E415="","",'Prod 1'!E415)</f>
        <v/>
      </c>
      <c r="F415" s="74" t="str">
        <f>IF('Prod 2'!K415="","",'Prod 2'!K415)</f>
        <v/>
      </c>
      <c r="G415" s="77" t="str">
        <f>IF('Prod 1'!I415="","",'Prod 1'!I415)</f>
        <v/>
      </c>
      <c r="H415" s="63" t="str">
        <f>IF('Prod 1'!F415="","",'Prod 1'!F415)</f>
        <v/>
      </c>
      <c r="I415" s="75" t="str">
        <f>IF('Prod 3'!F415="","",'Prod 3'!F415)</f>
        <v/>
      </c>
    </row>
    <row r="416" spans="3:9" ht="30" customHeight="1" x14ac:dyDescent="0.25">
      <c r="C416" s="42">
        <v>412</v>
      </c>
      <c r="D416" s="67" t="str">
        <f>IF('Prod 1'!D416="","",'Prod 1'!D416)</f>
        <v/>
      </c>
      <c r="E416" s="73" t="str">
        <f>IF('Prod 1'!E416="","",'Prod 1'!E416)</f>
        <v/>
      </c>
      <c r="F416" s="74" t="str">
        <f>IF('Prod 2'!K416="","",'Prod 2'!K416)</f>
        <v/>
      </c>
      <c r="G416" s="77" t="str">
        <f>IF('Prod 1'!I416="","",'Prod 1'!I416)</f>
        <v/>
      </c>
      <c r="H416" s="63" t="str">
        <f>IF('Prod 1'!F416="","",'Prod 1'!F416)</f>
        <v/>
      </c>
      <c r="I416" s="75" t="str">
        <f>IF('Prod 3'!F416="","",'Prod 3'!F416)</f>
        <v/>
      </c>
    </row>
    <row r="417" spans="3:9" ht="30" customHeight="1" x14ac:dyDescent="0.25">
      <c r="C417" s="42">
        <v>413</v>
      </c>
      <c r="D417" s="67" t="str">
        <f>IF('Prod 1'!D417="","",'Prod 1'!D417)</f>
        <v/>
      </c>
      <c r="E417" s="73" t="str">
        <f>IF('Prod 1'!E417="","",'Prod 1'!E417)</f>
        <v/>
      </c>
      <c r="F417" s="74" t="str">
        <f>IF('Prod 2'!K417="","",'Prod 2'!K417)</f>
        <v/>
      </c>
      <c r="G417" s="77" t="str">
        <f>IF('Prod 1'!I417="","",'Prod 1'!I417)</f>
        <v/>
      </c>
      <c r="H417" s="63" t="str">
        <f>IF('Prod 1'!F417="","",'Prod 1'!F417)</f>
        <v/>
      </c>
      <c r="I417" s="75" t="str">
        <f>IF('Prod 3'!F417="","",'Prod 3'!F417)</f>
        <v/>
      </c>
    </row>
    <row r="418" spans="3:9" ht="30" customHeight="1" x14ac:dyDescent="0.25">
      <c r="C418" s="42">
        <v>414</v>
      </c>
      <c r="D418" s="67" t="str">
        <f>IF('Prod 1'!D418="","",'Prod 1'!D418)</f>
        <v/>
      </c>
      <c r="E418" s="73" t="str">
        <f>IF('Prod 1'!E418="","",'Prod 1'!E418)</f>
        <v/>
      </c>
      <c r="F418" s="74" t="str">
        <f>IF('Prod 2'!K418="","",'Prod 2'!K418)</f>
        <v/>
      </c>
      <c r="G418" s="77" t="str">
        <f>IF('Prod 1'!I418="","",'Prod 1'!I418)</f>
        <v/>
      </c>
      <c r="H418" s="63" t="str">
        <f>IF('Prod 1'!F418="","",'Prod 1'!F418)</f>
        <v/>
      </c>
      <c r="I418" s="75" t="str">
        <f>IF('Prod 3'!F418="","",'Prod 3'!F418)</f>
        <v/>
      </c>
    </row>
    <row r="419" spans="3:9" ht="30" customHeight="1" x14ac:dyDescent="0.25">
      <c r="C419" s="42">
        <v>415</v>
      </c>
      <c r="D419" s="67" t="str">
        <f>IF('Prod 1'!D419="","",'Prod 1'!D419)</f>
        <v/>
      </c>
      <c r="E419" s="73" t="str">
        <f>IF('Prod 1'!E419="","",'Prod 1'!E419)</f>
        <v/>
      </c>
      <c r="F419" s="74" t="str">
        <f>IF('Prod 2'!K419="","",'Prod 2'!K419)</f>
        <v/>
      </c>
      <c r="G419" s="77" t="str">
        <f>IF('Prod 1'!I419="","",'Prod 1'!I419)</f>
        <v/>
      </c>
      <c r="H419" s="63" t="str">
        <f>IF('Prod 1'!F419="","",'Prod 1'!F419)</f>
        <v/>
      </c>
      <c r="I419" s="75" t="str">
        <f>IF('Prod 3'!F419="","",'Prod 3'!F419)</f>
        <v/>
      </c>
    </row>
    <row r="420" spans="3:9" ht="30" customHeight="1" x14ac:dyDescent="0.25">
      <c r="C420" s="42">
        <v>416</v>
      </c>
      <c r="D420" s="67" t="str">
        <f>IF('Prod 1'!D420="","",'Prod 1'!D420)</f>
        <v/>
      </c>
      <c r="E420" s="73" t="str">
        <f>IF('Prod 1'!E420="","",'Prod 1'!E420)</f>
        <v/>
      </c>
      <c r="F420" s="74" t="str">
        <f>IF('Prod 2'!K420="","",'Prod 2'!K420)</f>
        <v/>
      </c>
      <c r="G420" s="77" t="str">
        <f>IF('Prod 1'!I420="","",'Prod 1'!I420)</f>
        <v/>
      </c>
      <c r="H420" s="63" t="str">
        <f>IF('Prod 1'!F420="","",'Prod 1'!F420)</f>
        <v/>
      </c>
      <c r="I420" s="75" t="str">
        <f>IF('Prod 3'!F420="","",'Prod 3'!F420)</f>
        <v/>
      </c>
    </row>
    <row r="421" spans="3:9" ht="30" customHeight="1" x14ac:dyDescent="0.25">
      <c r="C421" s="42">
        <v>417</v>
      </c>
      <c r="D421" s="67" t="str">
        <f>IF('Prod 1'!D421="","",'Prod 1'!D421)</f>
        <v/>
      </c>
      <c r="E421" s="73" t="str">
        <f>IF('Prod 1'!E421="","",'Prod 1'!E421)</f>
        <v/>
      </c>
      <c r="F421" s="74" t="str">
        <f>IF('Prod 2'!K421="","",'Prod 2'!K421)</f>
        <v/>
      </c>
      <c r="G421" s="77" t="str">
        <f>IF('Prod 1'!I421="","",'Prod 1'!I421)</f>
        <v/>
      </c>
      <c r="H421" s="63" t="str">
        <f>IF('Prod 1'!F421="","",'Prod 1'!F421)</f>
        <v/>
      </c>
      <c r="I421" s="75" t="str">
        <f>IF('Prod 3'!F421="","",'Prod 3'!F421)</f>
        <v/>
      </c>
    </row>
    <row r="422" spans="3:9" ht="30" customHeight="1" x14ac:dyDescent="0.25">
      <c r="C422" s="42">
        <v>418</v>
      </c>
      <c r="D422" s="67" t="str">
        <f>IF('Prod 1'!D422="","",'Prod 1'!D422)</f>
        <v/>
      </c>
      <c r="E422" s="73" t="str">
        <f>IF('Prod 1'!E422="","",'Prod 1'!E422)</f>
        <v/>
      </c>
      <c r="F422" s="74" t="str">
        <f>IF('Prod 2'!K422="","",'Prod 2'!K422)</f>
        <v/>
      </c>
      <c r="G422" s="77" t="str">
        <f>IF('Prod 1'!I422="","",'Prod 1'!I422)</f>
        <v/>
      </c>
      <c r="H422" s="63" t="str">
        <f>IF('Prod 1'!F422="","",'Prod 1'!F422)</f>
        <v/>
      </c>
      <c r="I422" s="75" t="str">
        <f>IF('Prod 3'!F422="","",'Prod 3'!F422)</f>
        <v/>
      </c>
    </row>
    <row r="423" spans="3:9" ht="30" customHeight="1" x14ac:dyDescent="0.25">
      <c r="C423" s="42">
        <v>419</v>
      </c>
      <c r="D423" s="67" t="str">
        <f>IF('Prod 1'!D423="","",'Prod 1'!D423)</f>
        <v/>
      </c>
      <c r="E423" s="73" t="str">
        <f>IF('Prod 1'!E423="","",'Prod 1'!E423)</f>
        <v/>
      </c>
      <c r="F423" s="74" t="str">
        <f>IF('Prod 2'!K423="","",'Prod 2'!K423)</f>
        <v/>
      </c>
      <c r="G423" s="77" t="str">
        <f>IF('Prod 1'!I423="","",'Prod 1'!I423)</f>
        <v/>
      </c>
      <c r="H423" s="63" t="str">
        <f>IF('Prod 1'!F423="","",'Prod 1'!F423)</f>
        <v/>
      </c>
      <c r="I423" s="75" t="str">
        <f>IF('Prod 3'!F423="","",'Prod 3'!F423)</f>
        <v/>
      </c>
    </row>
    <row r="424" spans="3:9" ht="30" customHeight="1" x14ac:dyDescent="0.25">
      <c r="C424" s="42">
        <v>420</v>
      </c>
      <c r="D424" s="67" t="str">
        <f>IF('Prod 1'!D424="","",'Prod 1'!D424)</f>
        <v/>
      </c>
      <c r="E424" s="73" t="str">
        <f>IF('Prod 1'!E424="","",'Prod 1'!E424)</f>
        <v/>
      </c>
      <c r="F424" s="74" t="str">
        <f>IF('Prod 2'!K424="","",'Prod 2'!K424)</f>
        <v/>
      </c>
      <c r="G424" s="77" t="str">
        <f>IF('Prod 1'!I424="","",'Prod 1'!I424)</f>
        <v/>
      </c>
      <c r="H424" s="63" t="str">
        <f>IF('Prod 1'!F424="","",'Prod 1'!F424)</f>
        <v/>
      </c>
      <c r="I424" s="75" t="str">
        <f>IF('Prod 3'!F424="","",'Prod 3'!F424)</f>
        <v/>
      </c>
    </row>
    <row r="425" spans="3:9" ht="30" customHeight="1" x14ac:dyDescent="0.25">
      <c r="C425" s="42">
        <v>421</v>
      </c>
      <c r="D425" s="67" t="str">
        <f>IF('Prod 1'!D425="","",'Prod 1'!D425)</f>
        <v/>
      </c>
      <c r="E425" s="73" t="str">
        <f>IF('Prod 1'!E425="","",'Prod 1'!E425)</f>
        <v/>
      </c>
      <c r="F425" s="74" t="str">
        <f>IF('Prod 2'!K425="","",'Prod 2'!K425)</f>
        <v/>
      </c>
      <c r="G425" s="77" t="str">
        <f>IF('Prod 1'!I425="","",'Prod 1'!I425)</f>
        <v/>
      </c>
      <c r="H425" s="63" t="str">
        <f>IF('Prod 1'!F425="","",'Prod 1'!F425)</f>
        <v/>
      </c>
      <c r="I425" s="75" t="str">
        <f>IF('Prod 3'!F425="","",'Prod 3'!F425)</f>
        <v/>
      </c>
    </row>
    <row r="426" spans="3:9" ht="30" customHeight="1" x14ac:dyDescent="0.25">
      <c r="C426" s="42">
        <v>422</v>
      </c>
      <c r="D426" s="67" t="str">
        <f>IF('Prod 1'!D426="","",'Prod 1'!D426)</f>
        <v/>
      </c>
      <c r="E426" s="73" t="str">
        <f>IF('Prod 1'!E426="","",'Prod 1'!E426)</f>
        <v/>
      </c>
      <c r="F426" s="74" t="str">
        <f>IF('Prod 2'!K426="","",'Prod 2'!K426)</f>
        <v/>
      </c>
      <c r="G426" s="77" t="str">
        <f>IF('Prod 1'!I426="","",'Prod 1'!I426)</f>
        <v/>
      </c>
      <c r="H426" s="63" t="str">
        <f>IF('Prod 1'!F426="","",'Prod 1'!F426)</f>
        <v/>
      </c>
      <c r="I426" s="75" t="str">
        <f>IF('Prod 3'!F426="","",'Prod 3'!F426)</f>
        <v/>
      </c>
    </row>
    <row r="427" spans="3:9" ht="30" customHeight="1" x14ac:dyDescent="0.25">
      <c r="C427" s="42">
        <v>423</v>
      </c>
      <c r="D427" s="67" t="str">
        <f>IF('Prod 1'!D427="","",'Prod 1'!D427)</f>
        <v/>
      </c>
      <c r="E427" s="73" t="str">
        <f>IF('Prod 1'!E427="","",'Prod 1'!E427)</f>
        <v/>
      </c>
      <c r="F427" s="74" t="str">
        <f>IF('Prod 2'!K427="","",'Prod 2'!K427)</f>
        <v/>
      </c>
      <c r="G427" s="77" t="str">
        <f>IF('Prod 1'!I427="","",'Prod 1'!I427)</f>
        <v/>
      </c>
      <c r="H427" s="63" t="str">
        <f>IF('Prod 1'!F427="","",'Prod 1'!F427)</f>
        <v/>
      </c>
      <c r="I427" s="75" t="str">
        <f>IF('Prod 3'!F427="","",'Prod 3'!F427)</f>
        <v/>
      </c>
    </row>
    <row r="428" spans="3:9" ht="30" customHeight="1" x14ac:dyDescent="0.25">
      <c r="C428" s="42">
        <v>424</v>
      </c>
      <c r="D428" s="67" t="str">
        <f>IF('Prod 1'!D428="","",'Prod 1'!D428)</f>
        <v/>
      </c>
      <c r="E428" s="73" t="str">
        <f>IF('Prod 1'!E428="","",'Prod 1'!E428)</f>
        <v/>
      </c>
      <c r="F428" s="74" t="str">
        <f>IF('Prod 2'!K428="","",'Prod 2'!K428)</f>
        <v/>
      </c>
      <c r="G428" s="77" t="str">
        <f>IF('Prod 1'!I428="","",'Prod 1'!I428)</f>
        <v/>
      </c>
      <c r="H428" s="63" t="str">
        <f>IF('Prod 1'!F428="","",'Prod 1'!F428)</f>
        <v/>
      </c>
      <c r="I428" s="75" t="str">
        <f>IF('Prod 3'!F428="","",'Prod 3'!F428)</f>
        <v/>
      </c>
    </row>
    <row r="429" spans="3:9" ht="30" customHeight="1" x14ac:dyDescent="0.25">
      <c r="C429" s="42">
        <v>425</v>
      </c>
      <c r="D429" s="67" t="str">
        <f>IF('Prod 1'!D429="","",'Prod 1'!D429)</f>
        <v/>
      </c>
      <c r="E429" s="73" t="str">
        <f>IF('Prod 1'!E429="","",'Prod 1'!E429)</f>
        <v/>
      </c>
      <c r="F429" s="74" t="str">
        <f>IF('Prod 2'!K429="","",'Prod 2'!K429)</f>
        <v/>
      </c>
      <c r="G429" s="77" t="str">
        <f>IF('Prod 1'!I429="","",'Prod 1'!I429)</f>
        <v/>
      </c>
      <c r="H429" s="63" t="str">
        <f>IF('Prod 1'!F429="","",'Prod 1'!F429)</f>
        <v/>
      </c>
      <c r="I429" s="75" t="str">
        <f>IF('Prod 3'!F429="","",'Prod 3'!F429)</f>
        <v/>
      </c>
    </row>
    <row r="430" spans="3:9" ht="30" customHeight="1" x14ac:dyDescent="0.25">
      <c r="C430" s="42">
        <v>426</v>
      </c>
      <c r="D430" s="67" t="str">
        <f>IF('Prod 1'!D430="","",'Prod 1'!D430)</f>
        <v/>
      </c>
      <c r="E430" s="73" t="str">
        <f>IF('Prod 1'!E430="","",'Prod 1'!E430)</f>
        <v/>
      </c>
      <c r="F430" s="74" t="str">
        <f>IF('Prod 2'!K430="","",'Prod 2'!K430)</f>
        <v/>
      </c>
      <c r="G430" s="77" t="str">
        <f>IF('Prod 1'!I430="","",'Prod 1'!I430)</f>
        <v/>
      </c>
      <c r="H430" s="63" t="str">
        <f>IF('Prod 1'!F430="","",'Prod 1'!F430)</f>
        <v/>
      </c>
      <c r="I430" s="75" t="str">
        <f>IF('Prod 3'!F430="","",'Prod 3'!F430)</f>
        <v/>
      </c>
    </row>
    <row r="431" spans="3:9" ht="30" customHeight="1" x14ac:dyDescent="0.25">
      <c r="C431" s="42">
        <v>427</v>
      </c>
      <c r="D431" s="67" t="str">
        <f>IF('Prod 1'!D431="","",'Prod 1'!D431)</f>
        <v/>
      </c>
      <c r="E431" s="73" t="str">
        <f>IF('Prod 1'!E431="","",'Prod 1'!E431)</f>
        <v/>
      </c>
      <c r="F431" s="74" t="str">
        <f>IF('Prod 2'!K431="","",'Prod 2'!K431)</f>
        <v/>
      </c>
      <c r="G431" s="77" t="str">
        <f>IF('Prod 1'!I431="","",'Prod 1'!I431)</f>
        <v/>
      </c>
      <c r="H431" s="63" t="str">
        <f>IF('Prod 1'!F431="","",'Prod 1'!F431)</f>
        <v/>
      </c>
      <c r="I431" s="75" t="str">
        <f>IF('Prod 3'!F431="","",'Prod 3'!F431)</f>
        <v/>
      </c>
    </row>
    <row r="432" spans="3:9" ht="30" customHeight="1" x14ac:dyDescent="0.25">
      <c r="C432" s="42">
        <v>428</v>
      </c>
      <c r="D432" s="67" t="str">
        <f>IF('Prod 1'!D432="","",'Prod 1'!D432)</f>
        <v/>
      </c>
      <c r="E432" s="73" t="str">
        <f>IF('Prod 1'!E432="","",'Prod 1'!E432)</f>
        <v/>
      </c>
      <c r="F432" s="74" t="str">
        <f>IF('Prod 2'!K432="","",'Prod 2'!K432)</f>
        <v/>
      </c>
      <c r="G432" s="77" t="str">
        <f>IF('Prod 1'!I432="","",'Prod 1'!I432)</f>
        <v/>
      </c>
      <c r="H432" s="63" t="str">
        <f>IF('Prod 1'!F432="","",'Prod 1'!F432)</f>
        <v/>
      </c>
      <c r="I432" s="75" t="str">
        <f>IF('Prod 3'!F432="","",'Prod 3'!F432)</f>
        <v/>
      </c>
    </row>
    <row r="433" spans="3:9" ht="30" customHeight="1" x14ac:dyDescent="0.25">
      <c r="C433" s="42">
        <v>429</v>
      </c>
      <c r="D433" s="67" t="str">
        <f>IF('Prod 1'!D433="","",'Prod 1'!D433)</f>
        <v/>
      </c>
      <c r="E433" s="73" t="str">
        <f>IF('Prod 1'!E433="","",'Prod 1'!E433)</f>
        <v/>
      </c>
      <c r="F433" s="74" t="str">
        <f>IF('Prod 2'!K433="","",'Prod 2'!K433)</f>
        <v/>
      </c>
      <c r="G433" s="77" t="str">
        <f>IF('Prod 1'!I433="","",'Prod 1'!I433)</f>
        <v/>
      </c>
      <c r="H433" s="63" t="str">
        <f>IF('Prod 1'!F433="","",'Prod 1'!F433)</f>
        <v/>
      </c>
      <c r="I433" s="75" t="str">
        <f>IF('Prod 3'!F433="","",'Prod 3'!F433)</f>
        <v/>
      </c>
    </row>
    <row r="434" spans="3:9" ht="30" customHeight="1" x14ac:dyDescent="0.25">
      <c r="C434" s="42">
        <v>430</v>
      </c>
      <c r="D434" s="67" t="str">
        <f>IF('Prod 1'!D434="","",'Prod 1'!D434)</f>
        <v/>
      </c>
      <c r="E434" s="73" t="str">
        <f>IF('Prod 1'!E434="","",'Prod 1'!E434)</f>
        <v/>
      </c>
      <c r="F434" s="74" t="str">
        <f>IF('Prod 2'!K434="","",'Prod 2'!K434)</f>
        <v/>
      </c>
      <c r="G434" s="77" t="str">
        <f>IF('Prod 1'!I434="","",'Prod 1'!I434)</f>
        <v/>
      </c>
      <c r="H434" s="63" t="str">
        <f>IF('Prod 1'!F434="","",'Prod 1'!F434)</f>
        <v/>
      </c>
      <c r="I434" s="75" t="str">
        <f>IF('Prod 3'!F434="","",'Prod 3'!F434)</f>
        <v/>
      </c>
    </row>
    <row r="435" spans="3:9" ht="30" customHeight="1" x14ac:dyDescent="0.25">
      <c r="C435" s="42">
        <v>431</v>
      </c>
      <c r="D435" s="67" t="str">
        <f>IF('Prod 1'!D435="","",'Prod 1'!D435)</f>
        <v/>
      </c>
      <c r="E435" s="73" t="str">
        <f>IF('Prod 1'!E435="","",'Prod 1'!E435)</f>
        <v/>
      </c>
      <c r="F435" s="74" t="str">
        <f>IF('Prod 2'!K435="","",'Prod 2'!K435)</f>
        <v/>
      </c>
      <c r="G435" s="77" t="str">
        <f>IF('Prod 1'!I435="","",'Prod 1'!I435)</f>
        <v/>
      </c>
      <c r="H435" s="63" t="str">
        <f>IF('Prod 1'!F435="","",'Prod 1'!F435)</f>
        <v/>
      </c>
      <c r="I435" s="75" t="str">
        <f>IF('Prod 3'!F435="","",'Prod 3'!F435)</f>
        <v/>
      </c>
    </row>
    <row r="436" spans="3:9" ht="30" customHeight="1" x14ac:dyDescent="0.25">
      <c r="C436" s="42">
        <v>432</v>
      </c>
      <c r="D436" s="67" t="str">
        <f>IF('Prod 1'!D436="","",'Prod 1'!D436)</f>
        <v/>
      </c>
      <c r="E436" s="73" t="str">
        <f>IF('Prod 1'!E436="","",'Prod 1'!E436)</f>
        <v/>
      </c>
      <c r="F436" s="74" t="str">
        <f>IF('Prod 2'!K436="","",'Prod 2'!K436)</f>
        <v/>
      </c>
      <c r="G436" s="77" t="str">
        <f>IF('Prod 1'!I436="","",'Prod 1'!I436)</f>
        <v/>
      </c>
      <c r="H436" s="63" t="str">
        <f>IF('Prod 1'!F436="","",'Prod 1'!F436)</f>
        <v/>
      </c>
      <c r="I436" s="75" t="str">
        <f>IF('Prod 3'!F436="","",'Prod 3'!F436)</f>
        <v/>
      </c>
    </row>
    <row r="437" spans="3:9" ht="30" customHeight="1" x14ac:dyDescent="0.25">
      <c r="C437" s="42">
        <v>433</v>
      </c>
      <c r="D437" s="67" t="str">
        <f>IF('Prod 1'!D437="","",'Prod 1'!D437)</f>
        <v/>
      </c>
      <c r="E437" s="73" t="str">
        <f>IF('Prod 1'!E437="","",'Prod 1'!E437)</f>
        <v/>
      </c>
      <c r="F437" s="74" t="str">
        <f>IF('Prod 2'!K437="","",'Prod 2'!K437)</f>
        <v/>
      </c>
      <c r="G437" s="77" t="str">
        <f>IF('Prod 1'!I437="","",'Prod 1'!I437)</f>
        <v/>
      </c>
      <c r="H437" s="63" t="str">
        <f>IF('Prod 1'!F437="","",'Prod 1'!F437)</f>
        <v/>
      </c>
      <c r="I437" s="75" t="str">
        <f>IF('Prod 3'!F437="","",'Prod 3'!F437)</f>
        <v/>
      </c>
    </row>
    <row r="438" spans="3:9" ht="30" customHeight="1" x14ac:dyDescent="0.25">
      <c r="C438" s="42">
        <v>434</v>
      </c>
      <c r="D438" s="67" t="str">
        <f>IF('Prod 1'!D438="","",'Prod 1'!D438)</f>
        <v/>
      </c>
      <c r="E438" s="73" t="str">
        <f>IF('Prod 1'!E438="","",'Prod 1'!E438)</f>
        <v/>
      </c>
      <c r="F438" s="74" t="str">
        <f>IF('Prod 2'!K438="","",'Prod 2'!K438)</f>
        <v/>
      </c>
      <c r="G438" s="77" t="str">
        <f>IF('Prod 1'!I438="","",'Prod 1'!I438)</f>
        <v/>
      </c>
      <c r="H438" s="63" t="str">
        <f>IF('Prod 1'!F438="","",'Prod 1'!F438)</f>
        <v/>
      </c>
      <c r="I438" s="75" t="str">
        <f>IF('Prod 3'!F438="","",'Prod 3'!F438)</f>
        <v/>
      </c>
    </row>
    <row r="439" spans="3:9" ht="30" customHeight="1" x14ac:dyDescent="0.25">
      <c r="C439" s="42">
        <v>435</v>
      </c>
      <c r="D439" s="67" t="str">
        <f>IF('Prod 1'!D439="","",'Prod 1'!D439)</f>
        <v/>
      </c>
      <c r="E439" s="73" t="str">
        <f>IF('Prod 1'!E439="","",'Prod 1'!E439)</f>
        <v/>
      </c>
      <c r="F439" s="74" t="str">
        <f>IF('Prod 2'!K439="","",'Prod 2'!K439)</f>
        <v/>
      </c>
      <c r="G439" s="77" t="str">
        <f>IF('Prod 1'!I439="","",'Prod 1'!I439)</f>
        <v/>
      </c>
      <c r="H439" s="63" t="str">
        <f>IF('Prod 1'!F439="","",'Prod 1'!F439)</f>
        <v/>
      </c>
      <c r="I439" s="75" t="str">
        <f>IF('Prod 3'!F439="","",'Prod 3'!F439)</f>
        <v/>
      </c>
    </row>
    <row r="440" spans="3:9" ht="30" customHeight="1" x14ac:dyDescent="0.25">
      <c r="C440" s="42">
        <v>436</v>
      </c>
      <c r="D440" s="67" t="str">
        <f>IF('Prod 1'!D440="","",'Prod 1'!D440)</f>
        <v/>
      </c>
      <c r="E440" s="73" t="str">
        <f>IF('Prod 1'!E440="","",'Prod 1'!E440)</f>
        <v/>
      </c>
      <c r="F440" s="74" t="str">
        <f>IF('Prod 2'!K440="","",'Prod 2'!K440)</f>
        <v/>
      </c>
      <c r="G440" s="77" t="str">
        <f>IF('Prod 1'!I440="","",'Prod 1'!I440)</f>
        <v/>
      </c>
      <c r="H440" s="63" t="str">
        <f>IF('Prod 1'!F440="","",'Prod 1'!F440)</f>
        <v/>
      </c>
      <c r="I440" s="75" t="str">
        <f>IF('Prod 3'!F440="","",'Prod 3'!F440)</f>
        <v/>
      </c>
    </row>
    <row r="441" spans="3:9" ht="30" customHeight="1" x14ac:dyDescent="0.25">
      <c r="C441" s="42">
        <v>437</v>
      </c>
      <c r="D441" s="67" t="str">
        <f>IF('Prod 1'!D441="","",'Prod 1'!D441)</f>
        <v/>
      </c>
      <c r="E441" s="73" t="str">
        <f>IF('Prod 1'!E441="","",'Prod 1'!E441)</f>
        <v/>
      </c>
      <c r="F441" s="74" t="str">
        <f>IF('Prod 2'!K441="","",'Prod 2'!K441)</f>
        <v/>
      </c>
      <c r="G441" s="77" t="str">
        <f>IF('Prod 1'!I441="","",'Prod 1'!I441)</f>
        <v/>
      </c>
      <c r="H441" s="63" t="str">
        <f>IF('Prod 1'!F441="","",'Prod 1'!F441)</f>
        <v/>
      </c>
      <c r="I441" s="75" t="str">
        <f>IF('Prod 3'!F441="","",'Prod 3'!F441)</f>
        <v/>
      </c>
    </row>
    <row r="442" spans="3:9" ht="30" customHeight="1" x14ac:dyDescent="0.25">
      <c r="C442" s="42">
        <v>438</v>
      </c>
      <c r="D442" s="67" t="str">
        <f>IF('Prod 1'!D442="","",'Prod 1'!D442)</f>
        <v/>
      </c>
      <c r="E442" s="73" t="str">
        <f>IF('Prod 1'!E442="","",'Prod 1'!E442)</f>
        <v/>
      </c>
      <c r="F442" s="74" t="str">
        <f>IF('Prod 2'!K442="","",'Prod 2'!K442)</f>
        <v/>
      </c>
      <c r="G442" s="77" t="str">
        <f>IF('Prod 1'!I442="","",'Prod 1'!I442)</f>
        <v/>
      </c>
      <c r="H442" s="63" t="str">
        <f>IF('Prod 1'!F442="","",'Prod 1'!F442)</f>
        <v/>
      </c>
      <c r="I442" s="75" t="str">
        <f>IF('Prod 3'!F442="","",'Prod 3'!F442)</f>
        <v/>
      </c>
    </row>
    <row r="443" spans="3:9" ht="30" customHeight="1" x14ac:dyDescent="0.25">
      <c r="C443" s="42">
        <v>439</v>
      </c>
      <c r="D443" s="67" t="str">
        <f>IF('Prod 1'!D443="","",'Prod 1'!D443)</f>
        <v/>
      </c>
      <c r="E443" s="73" t="str">
        <f>IF('Prod 1'!E443="","",'Prod 1'!E443)</f>
        <v/>
      </c>
      <c r="F443" s="74" t="str">
        <f>IF('Prod 2'!K443="","",'Prod 2'!K443)</f>
        <v/>
      </c>
      <c r="G443" s="77" t="str">
        <f>IF('Prod 1'!I443="","",'Prod 1'!I443)</f>
        <v/>
      </c>
      <c r="H443" s="63" t="str">
        <f>IF('Prod 1'!F443="","",'Prod 1'!F443)</f>
        <v/>
      </c>
      <c r="I443" s="75" t="str">
        <f>IF('Prod 3'!F443="","",'Prod 3'!F443)</f>
        <v/>
      </c>
    </row>
    <row r="444" spans="3:9" ht="30" customHeight="1" x14ac:dyDescent="0.25">
      <c r="C444" s="42">
        <v>440</v>
      </c>
      <c r="D444" s="67" t="str">
        <f>IF('Prod 1'!D444="","",'Prod 1'!D444)</f>
        <v/>
      </c>
      <c r="E444" s="73" t="str">
        <f>IF('Prod 1'!E444="","",'Prod 1'!E444)</f>
        <v/>
      </c>
      <c r="F444" s="74" t="str">
        <f>IF('Prod 2'!K444="","",'Prod 2'!K444)</f>
        <v/>
      </c>
      <c r="G444" s="77" t="str">
        <f>IF('Prod 1'!I444="","",'Prod 1'!I444)</f>
        <v/>
      </c>
      <c r="H444" s="63" t="str">
        <f>IF('Prod 1'!F444="","",'Prod 1'!F444)</f>
        <v/>
      </c>
      <c r="I444" s="75" t="str">
        <f>IF('Prod 3'!F444="","",'Prod 3'!F444)</f>
        <v/>
      </c>
    </row>
    <row r="445" spans="3:9" ht="30" customHeight="1" x14ac:dyDescent="0.25">
      <c r="C445" s="42">
        <v>441</v>
      </c>
      <c r="D445" s="67" t="str">
        <f>IF('Prod 1'!D445="","",'Prod 1'!D445)</f>
        <v/>
      </c>
      <c r="E445" s="73" t="str">
        <f>IF('Prod 1'!E445="","",'Prod 1'!E445)</f>
        <v/>
      </c>
      <c r="F445" s="74" t="str">
        <f>IF('Prod 2'!K445="","",'Prod 2'!K445)</f>
        <v/>
      </c>
      <c r="G445" s="77" t="str">
        <f>IF('Prod 1'!I445="","",'Prod 1'!I445)</f>
        <v/>
      </c>
      <c r="H445" s="63" t="str">
        <f>IF('Prod 1'!F445="","",'Prod 1'!F445)</f>
        <v/>
      </c>
      <c r="I445" s="75" t="str">
        <f>IF('Prod 3'!F445="","",'Prod 3'!F445)</f>
        <v/>
      </c>
    </row>
    <row r="446" spans="3:9" ht="30" customHeight="1" x14ac:dyDescent="0.25">
      <c r="C446" s="42">
        <v>442</v>
      </c>
      <c r="D446" s="67" t="str">
        <f>IF('Prod 1'!D446="","",'Prod 1'!D446)</f>
        <v/>
      </c>
      <c r="E446" s="73" t="str">
        <f>IF('Prod 1'!E446="","",'Prod 1'!E446)</f>
        <v/>
      </c>
      <c r="F446" s="74" t="str">
        <f>IF('Prod 2'!K446="","",'Prod 2'!K446)</f>
        <v/>
      </c>
      <c r="G446" s="77" t="str">
        <f>IF('Prod 1'!I446="","",'Prod 1'!I446)</f>
        <v/>
      </c>
      <c r="H446" s="63" t="str">
        <f>IF('Prod 1'!F446="","",'Prod 1'!F446)</f>
        <v/>
      </c>
      <c r="I446" s="75" t="str">
        <f>IF('Prod 3'!F446="","",'Prod 3'!F446)</f>
        <v/>
      </c>
    </row>
    <row r="447" spans="3:9" ht="30" customHeight="1" x14ac:dyDescent="0.25">
      <c r="C447" s="42">
        <v>443</v>
      </c>
      <c r="D447" s="67" t="str">
        <f>IF('Prod 1'!D447="","",'Prod 1'!D447)</f>
        <v/>
      </c>
      <c r="E447" s="73" t="str">
        <f>IF('Prod 1'!E447="","",'Prod 1'!E447)</f>
        <v/>
      </c>
      <c r="F447" s="74" t="str">
        <f>IF('Prod 2'!K447="","",'Prod 2'!K447)</f>
        <v/>
      </c>
      <c r="G447" s="77" t="str">
        <f>IF('Prod 1'!I447="","",'Prod 1'!I447)</f>
        <v/>
      </c>
      <c r="H447" s="63" t="str">
        <f>IF('Prod 1'!F447="","",'Prod 1'!F447)</f>
        <v/>
      </c>
      <c r="I447" s="75" t="str">
        <f>IF('Prod 3'!F447="","",'Prod 3'!F447)</f>
        <v/>
      </c>
    </row>
    <row r="448" spans="3:9" ht="30" customHeight="1" x14ac:dyDescent="0.25">
      <c r="C448" s="42">
        <v>444</v>
      </c>
      <c r="D448" s="67" t="str">
        <f>IF('Prod 1'!D448="","",'Prod 1'!D448)</f>
        <v/>
      </c>
      <c r="E448" s="73" t="str">
        <f>IF('Prod 1'!E448="","",'Prod 1'!E448)</f>
        <v/>
      </c>
      <c r="F448" s="74" t="str">
        <f>IF('Prod 2'!K448="","",'Prod 2'!K448)</f>
        <v/>
      </c>
      <c r="G448" s="77" t="str">
        <f>IF('Prod 1'!I448="","",'Prod 1'!I448)</f>
        <v/>
      </c>
      <c r="H448" s="63" t="str">
        <f>IF('Prod 1'!F448="","",'Prod 1'!F448)</f>
        <v/>
      </c>
      <c r="I448" s="75" t="str">
        <f>IF('Prod 3'!F448="","",'Prod 3'!F448)</f>
        <v/>
      </c>
    </row>
    <row r="449" spans="3:9" ht="30" customHeight="1" x14ac:dyDescent="0.25">
      <c r="C449" s="42">
        <v>445</v>
      </c>
      <c r="D449" s="67" t="str">
        <f>IF('Prod 1'!D449="","",'Prod 1'!D449)</f>
        <v/>
      </c>
      <c r="E449" s="73" t="str">
        <f>IF('Prod 1'!E449="","",'Prod 1'!E449)</f>
        <v/>
      </c>
      <c r="F449" s="74" t="str">
        <f>IF('Prod 2'!K449="","",'Prod 2'!K449)</f>
        <v/>
      </c>
      <c r="G449" s="77" t="str">
        <f>IF('Prod 1'!I449="","",'Prod 1'!I449)</f>
        <v/>
      </c>
      <c r="H449" s="63" t="str">
        <f>IF('Prod 1'!F449="","",'Prod 1'!F449)</f>
        <v/>
      </c>
      <c r="I449" s="75" t="str">
        <f>IF('Prod 3'!F449="","",'Prod 3'!F449)</f>
        <v/>
      </c>
    </row>
    <row r="450" spans="3:9" ht="30" customHeight="1" x14ac:dyDescent="0.25">
      <c r="C450" s="42">
        <v>446</v>
      </c>
      <c r="D450" s="67" t="str">
        <f>IF('Prod 1'!D450="","",'Prod 1'!D450)</f>
        <v/>
      </c>
      <c r="E450" s="73" t="str">
        <f>IF('Prod 1'!E450="","",'Prod 1'!E450)</f>
        <v/>
      </c>
      <c r="F450" s="74" t="str">
        <f>IF('Prod 2'!K450="","",'Prod 2'!K450)</f>
        <v/>
      </c>
      <c r="G450" s="77" t="str">
        <f>IF('Prod 1'!I450="","",'Prod 1'!I450)</f>
        <v/>
      </c>
      <c r="H450" s="63" t="str">
        <f>IF('Prod 1'!F450="","",'Prod 1'!F450)</f>
        <v/>
      </c>
      <c r="I450" s="75" t="str">
        <f>IF('Prod 3'!F450="","",'Prod 3'!F450)</f>
        <v/>
      </c>
    </row>
    <row r="451" spans="3:9" ht="30" customHeight="1" x14ac:dyDescent="0.25">
      <c r="C451" s="42">
        <v>447</v>
      </c>
      <c r="D451" s="67" t="str">
        <f>IF('Prod 1'!D451="","",'Prod 1'!D451)</f>
        <v/>
      </c>
      <c r="E451" s="73" t="str">
        <f>IF('Prod 1'!E451="","",'Prod 1'!E451)</f>
        <v/>
      </c>
      <c r="F451" s="74" t="str">
        <f>IF('Prod 2'!K451="","",'Prod 2'!K451)</f>
        <v/>
      </c>
      <c r="G451" s="77" t="str">
        <f>IF('Prod 1'!I451="","",'Prod 1'!I451)</f>
        <v/>
      </c>
      <c r="H451" s="63" t="str">
        <f>IF('Prod 1'!F451="","",'Prod 1'!F451)</f>
        <v/>
      </c>
      <c r="I451" s="75" t="str">
        <f>IF('Prod 3'!F451="","",'Prod 3'!F451)</f>
        <v/>
      </c>
    </row>
    <row r="452" spans="3:9" ht="30" customHeight="1" x14ac:dyDescent="0.25">
      <c r="C452" s="42">
        <v>448</v>
      </c>
      <c r="D452" s="67" t="str">
        <f>IF('Prod 1'!D452="","",'Prod 1'!D452)</f>
        <v/>
      </c>
      <c r="E452" s="73" t="str">
        <f>IF('Prod 1'!E452="","",'Prod 1'!E452)</f>
        <v/>
      </c>
      <c r="F452" s="74" t="str">
        <f>IF('Prod 2'!K452="","",'Prod 2'!K452)</f>
        <v/>
      </c>
      <c r="G452" s="77" t="str">
        <f>IF('Prod 1'!I452="","",'Prod 1'!I452)</f>
        <v/>
      </c>
      <c r="H452" s="63" t="str">
        <f>IF('Prod 1'!F452="","",'Prod 1'!F452)</f>
        <v/>
      </c>
      <c r="I452" s="75" t="str">
        <f>IF('Prod 3'!F452="","",'Prod 3'!F452)</f>
        <v/>
      </c>
    </row>
    <row r="453" spans="3:9" ht="30" customHeight="1" x14ac:dyDescent="0.25">
      <c r="C453" s="42">
        <v>449</v>
      </c>
      <c r="D453" s="67" t="str">
        <f>IF('Prod 1'!D453="","",'Prod 1'!D453)</f>
        <v/>
      </c>
      <c r="E453" s="73" t="str">
        <f>IF('Prod 1'!E453="","",'Prod 1'!E453)</f>
        <v/>
      </c>
      <c r="F453" s="74" t="str">
        <f>IF('Prod 2'!K453="","",'Prod 2'!K453)</f>
        <v/>
      </c>
      <c r="G453" s="77" t="str">
        <f>IF('Prod 1'!I453="","",'Prod 1'!I453)</f>
        <v/>
      </c>
      <c r="H453" s="63" t="str">
        <f>IF('Prod 1'!F453="","",'Prod 1'!F453)</f>
        <v/>
      </c>
      <c r="I453" s="75" t="str">
        <f>IF('Prod 3'!F453="","",'Prod 3'!F453)</f>
        <v/>
      </c>
    </row>
    <row r="454" spans="3:9" ht="30" customHeight="1" x14ac:dyDescent="0.25">
      <c r="C454" s="42">
        <v>450</v>
      </c>
      <c r="D454" s="67" t="str">
        <f>IF('Prod 1'!D454="","",'Prod 1'!D454)</f>
        <v/>
      </c>
      <c r="E454" s="73" t="str">
        <f>IF('Prod 1'!E454="","",'Prod 1'!E454)</f>
        <v/>
      </c>
      <c r="F454" s="74" t="str">
        <f>IF('Prod 2'!K454="","",'Prod 2'!K454)</f>
        <v/>
      </c>
      <c r="G454" s="77" t="str">
        <f>IF('Prod 1'!I454="","",'Prod 1'!I454)</f>
        <v/>
      </c>
      <c r="H454" s="63" t="str">
        <f>IF('Prod 1'!F454="","",'Prod 1'!F454)</f>
        <v/>
      </c>
      <c r="I454" s="75" t="str">
        <f>IF('Prod 3'!F454="","",'Prod 3'!F454)</f>
        <v/>
      </c>
    </row>
    <row r="455" spans="3:9" ht="30" customHeight="1" x14ac:dyDescent="0.25">
      <c r="C455" s="42">
        <v>451</v>
      </c>
      <c r="D455" s="67" t="str">
        <f>IF('Prod 1'!D455="","",'Prod 1'!D455)</f>
        <v/>
      </c>
      <c r="E455" s="73" t="str">
        <f>IF('Prod 1'!E455="","",'Prod 1'!E455)</f>
        <v/>
      </c>
      <c r="F455" s="74" t="str">
        <f>IF('Prod 2'!K455="","",'Prod 2'!K455)</f>
        <v/>
      </c>
      <c r="G455" s="77" t="str">
        <f>IF('Prod 1'!I455="","",'Prod 1'!I455)</f>
        <v/>
      </c>
      <c r="H455" s="63" t="str">
        <f>IF('Prod 1'!F455="","",'Prod 1'!F455)</f>
        <v/>
      </c>
      <c r="I455" s="75" t="str">
        <f>IF('Prod 3'!F455="","",'Prod 3'!F455)</f>
        <v/>
      </c>
    </row>
    <row r="456" spans="3:9" ht="30" customHeight="1" x14ac:dyDescent="0.25">
      <c r="C456" s="42">
        <v>452</v>
      </c>
      <c r="D456" s="67" t="str">
        <f>IF('Prod 1'!D456="","",'Prod 1'!D456)</f>
        <v/>
      </c>
      <c r="E456" s="73" t="str">
        <f>IF('Prod 1'!E456="","",'Prod 1'!E456)</f>
        <v/>
      </c>
      <c r="F456" s="74" t="str">
        <f>IF('Prod 2'!K456="","",'Prod 2'!K456)</f>
        <v/>
      </c>
      <c r="G456" s="77" t="str">
        <f>IF('Prod 1'!I456="","",'Prod 1'!I456)</f>
        <v/>
      </c>
      <c r="H456" s="63" t="str">
        <f>IF('Prod 1'!F456="","",'Prod 1'!F456)</f>
        <v/>
      </c>
      <c r="I456" s="75" t="str">
        <f>IF('Prod 3'!F456="","",'Prod 3'!F456)</f>
        <v/>
      </c>
    </row>
    <row r="457" spans="3:9" ht="30" customHeight="1" x14ac:dyDescent="0.25">
      <c r="C457" s="42">
        <v>453</v>
      </c>
      <c r="D457" s="67" t="str">
        <f>IF('Prod 1'!D457="","",'Prod 1'!D457)</f>
        <v/>
      </c>
      <c r="E457" s="73" t="str">
        <f>IF('Prod 1'!E457="","",'Prod 1'!E457)</f>
        <v/>
      </c>
      <c r="F457" s="74" t="str">
        <f>IF('Prod 2'!K457="","",'Prod 2'!K457)</f>
        <v/>
      </c>
      <c r="G457" s="77" t="str">
        <f>IF('Prod 1'!I457="","",'Prod 1'!I457)</f>
        <v/>
      </c>
      <c r="H457" s="63" t="str">
        <f>IF('Prod 1'!F457="","",'Prod 1'!F457)</f>
        <v/>
      </c>
      <c r="I457" s="75" t="str">
        <f>IF('Prod 3'!F457="","",'Prod 3'!F457)</f>
        <v/>
      </c>
    </row>
    <row r="458" spans="3:9" ht="30" customHeight="1" x14ac:dyDescent="0.25">
      <c r="C458" s="42">
        <v>454</v>
      </c>
      <c r="D458" s="67" t="str">
        <f>IF('Prod 1'!D458="","",'Prod 1'!D458)</f>
        <v/>
      </c>
      <c r="E458" s="73" t="str">
        <f>IF('Prod 1'!E458="","",'Prod 1'!E458)</f>
        <v/>
      </c>
      <c r="F458" s="74" t="str">
        <f>IF('Prod 2'!K458="","",'Prod 2'!K458)</f>
        <v/>
      </c>
      <c r="G458" s="77" t="str">
        <f>IF('Prod 1'!I458="","",'Prod 1'!I458)</f>
        <v/>
      </c>
      <c r="H458" s="63" t="str">
        <f>IF('Prod 1'!F458="","",'Prod 1'!F458)</f>
        <v/>
      </c>
      <c r="I458" s="75" t="str">
        <f>IF('Prod 3'!F458="","",'Prod 3'!F458)</f>
        <v/>
      </c>
    </row>
    <row r="459" spans="3:9" ht="30" customHeight="1" x14ac:dyDescent="0.25">
      <c r="C459" s="42">
        <v>455</v>
      </c>
      <c r="D459" s="67" t="str">
        <f>IF('Prod 1'!D459="","",'Prod 1'!D459)</f>
        <v/>
      </c>
      <c r="E459" s="73" t="str">
        <f>IF('Prod 1'!E459="","",'Prod 1'!E459)</f>
        <v/>
      </c>
      <c r="F459" s="74" t="str">
        <f>IF('Prod 2'!K459="","",'Prod 2'!K459)</f>
        <v/>
      </c>
      <c r="G459" s="77" t="str">
        <f>IF('Prod 1'!I459="","",'Prod 1'!I459)</f>
        <v/>
      </c>
      <c r="H459" s="63" t="str">
        <f>IF('Prod 1'!F459="","",'Prod 1'!F459)</f>
        <v/>
      </c>
      <c r="I459" s="75" t="str">
        <f>IF('Prod 3'!F459="","",'Prod 3'!F459)</f>
        <v/>
      </c>
    </row>
    <row r="460" spans="3:9" ht="30" customHeight="1" x14ac:dyDescent="0.25">
      <c r="C460" s="42">
        <v>456</v>
      </c>
      <c r="D460" s="67" t="str">
        <f>IF('Prod 1'!D460="","",'Prod 1'!D460)</f>
        <v/>
      </c>
      <c r="E460" s="73" t="str">
        <f>IF('Prod 1'!E460="","",'Prod 1'!E460)</f>
        <v/>
      </c>
      <c r="F460" s="74" t="str">
        <f>IF('Prod 2'!K460="","",'Prod 2'!K460)</f>
        <v/>
      </c>
      <c r="G460" s="77" t="str">
        <f>IF('Prod 1'!I460="","",'Prod 1'!I460)</f>
        <v/>
      </c>
      <c r="H460" s="63" t="str">
        <f>IF('Prod 1'!F460="","",'Prod 1'!F460)</f>
        <v/>
      </c>
      <c r="I460" s="75" t="str">
        <f>IF('Prod 3'!F460="","",'Prod 3'!F460)</f>
        <v/>
      </c>
    </row>
    <row r="461" spans="3:9" ht="30" customHeight="1" x14ac:dyDescent="0.25">
      <c r="C461" s="42">
        <v>457</v>
      </c>
      <c r="D461" s="67" t="str">
        <f>IF('Prod 1'!D461="","",'Prod 1'!D461)</f>
        <v/>
      </c>
      <c r="E461" s="73" t="str">
        <f>IF('Prod 1'!E461="","",'Prod 1'!E461)</f>
        <v/>
      </c>
      <c r="F461" s="74" t="str">
        <f>IF('Prod 2'!K461="","",'Prod 2'!K461)</f>
        <v/>
      </c>
      <c r="G461" s="77" t="str">
        <f>IF('Prod 1'!I461="","",'Prod 1'!I461)</f>
        <v/>
      </c>
      <c r="H461" s="63" t="str">
        <f>IF('Prod 1'!F461="","",'Prod 1'!F461)</f>
        <v/>
      </c>
      <c r="I461" s="75" t="str">
        <f>IF('Prod 3'!F461="","",'Prod 3'!F461)</f>
        <v/>
      </c>
    </row>
    <row r="462" spans="3:9" ht="30" customHeight="1" x14ac:dyDescent="0.25">
      <c r="C462" s="42">
        <v>458</v>
      </c>
      <c r="D462" s="67" t="str">
        <f>IF('Prod 1'!D462="","",'Prod 1'!D462)</f>
        <v/>
      </c>
      <c r="E462" s="73" t="str">
        <f>IF('Prod 1'!E462="","",'Prod 1'!E462)</f>
        <v/>
      </c>
      <c r="F462" s="74" t="str">
        <f>IF('Prod 2'!K462="","",'Prod 2'!K462)</f>
        <v/>
      </c>
      <c r="G462" s="77" t="str">
        <f>IF('Prod 1'!I462="","",'Prod 1'!I462)</f>
        <v/>
      </c>
      <c r="H462" s="63" t="str">
        <f>IF('Prod 1'!F462="","",'Prod 1'!F462)</f>
        <v/>
      </c>
      <c r="I462" s="75" t="str">
        <f>IF('Prod 3'!F462="","",'Prod 3'!F462)</f>
        <v/>
      </c>
    </row>
    <row r="463" spans="3:9" ht="30" customHeight="1" x14ac:dyDescent="0.25">
      <c r="C463" s="42">
        <v>459</v>
      </c>
      <c r="D463" s="67" t="str">
        <f>IF('Prod 1'!D463="","",'Prod 1'!D463)</f>
        <v/>
      </c>
      <c r="E463" s="73" t="str">
        <f>IF('Prod 1'!E463="","",'Prod 1'!E463)</f>
        <v/>
      </c>
      <c r="F463" s="74" t="str">
        <f>IF('Prod 2'!K463="","",'Prod 2'!K463)</f>
        <v/>
      </c>
      <c r="G463" s="77" t="str">
        <f>IF('Prod 1'!I463="","",'Prod 1'!I463)</f>
        <v/>
      </c>
      <c r="H463" s="63" t="str">
        <f>IF('Prod 1'!F463="","",'Prod 1'!F463)</f>
        <v/>
      </c>
      <c r="I463" s="75" t="str">
        <f>IF('Prod 3'!F463="","",'Prod 3'!F463)</f>
        <v/>
      </c>
    </row>
    <row r="464" spans="3:9" ht="30" customHeight="1" x14ac:dyDescent="0.25">
      <c r="C464" s="42">
        <v>460</v>
      </c>
      <c r="D464" s="67" t="str">
        <f>IF('Prod 1'!D464="","",'Prod 1'!D464)</f>
        <v/>
      </c>
      <c r="E464" s="73" t="str">
        <f>IF('Prod 1'!E464="","",'Prod 1'!E464)</f>
        <v/>
      </c>
      <c r="F464" s="74" t="str">
        <f>IF('Prod 2'!K464="","",'Prod 2'!K464)</f>
        <v/>
      </c>
      <c r="G464" s="77" t="str">
        <f>IF('Prod 1'!I464="","",'Prod 1'!I464)</f>
        <v/>
      </c>
      <c r="H464" s="63" t="str">
        <f>IF('Prod 1'!F464="","",'Prod 1'!F464)</f>
        <v/>
      </c>
      <c r="I464" s="75" t="str">
        <f>IF('Prod 3'!F464="","",'Prod 3'!F464)</f>
        <v/>
      </c>
    </row>
    <row r="465" spans="3:9" ht="30" customHeight="1" x14ac:dyDescent="0.25">
      <c r="C465" s="42">
        <v>461</v>
      </c>
      <c r="D465" s="67" t="str">
        <f>IF('Prod 1'!D465="","",'Prod 1'!D465)</f>
        <v/>
      </c>
      <c r="E465" s="73" t="str">
        <f>IF('Prod 1'!E465="","",'Prod 1'!E465)</f>
        <v/>
      </c>
      <c r="F465" s="74" t="str">
        <f>IF('Prod 2'!K465="","",'Prod 2'!K465)</f>
        <v/>
      </c>
      <c r="G465" s="77" t="str">
        <f>IF('Prod 1'!I465="","",'Prod 1'!I465)</f>
        <v/>
      </c>
      <c r="H465" s="63" t="str">
        <f>IF('Prod 1'!F465="","",'Prod 1'!F465)</f>
        <v/>
      </c>
      <c r="I465" s="75" t="str">
        <f>IF('Prod 3'!F465="","",'Prod 3'!F465)</f>
        <v/>
      </c>
    </row>
    <row r="466" spans="3:9" ht="30" customHeight="1" x14ac:dyDescent="0.25">
      <c r="C466" s="42">
        <v>462</v>
      </c>
      <c r="D466" s="67" t="str">
        <f>IF('Prod 1'!D466="","",'Prod 1'!D466)</f>
        <v/>
      </c>
      <c r="E466" s="73" t="str">
        <f>IF('Prod 1'!E466="","",'Prod 1'!E466)</f>
        <v/>
      </c>
      <c r="F466" s="74" t="str">
        <f>IF('Prod 2'!K466="","",'Prod 2'!K466)</f>
        <v/>
      </c>
      <c r="G466" s="77" t="str">
        <f>IF('Prod 1'!I466="","",'Prod 1'!I466)</f>
        <v/>
      </c>
      <c r="H466" s="63" t="str">
        <f>IF('Prod 1'!F466="","",'Prod 1'!F466)</f>
        <v/>
      </c>
      <c r="I466" s="75" t="str">
        <f>IF('Prod 3'!F466="","",'Prod 3'!F466)</f>
        <v/>
      </c>
    </row>
    <row r="467" spans="3:9" ht="30" customHeight="1" x14ac:dyDescent="0.25">
      <c r="C467" s="42">
        <v>463</v>
      </c>
      <c r="D467" s="67" t="str">
        <f>IF('Prod 1'!D467="","",'Prod 1'!D467)</f>
        <v/>
      </c>
      <c r="E467" s="73" t="str">
        <f>IF('Prod 1'!E467="","",'Prod 1'!E467)</f>
        <v/>
      </c>
      <c r="F467" s="74" t="str">
        <f>IF('Prod 2'!K467="","",'Prod 2'!K467)</f>
        <v/>
      </c>
      <c r="G467" s="77" t="str">
        <f>IF('Prod 1'!I467="","",'Prod 1'!I467)</f>
        <v/>
      </c>
      <c r="H467" s="63" t="str">
        <f>IF('Prod 1'!F467="","",'Prod 1'!F467)</f>
        <v/>
      </c>
      <c r="I467" s="75" t="str">
        <f>IF('Prod 3'!F467="","",'Prod 3'!F467)</f>
        <v/>
      </c>
    </row>
    <row r="468" spans="3:9" ht="30" customHeight="1" x14ac:dyDescent="0.25">
      <c r="C468" s="42">
        <v>464</v>
      </c>
      <c r="D468" s="67" t="str">
        <f>IF('Prod 1'!D468="","",'Prod 1'!D468)</f>
        <v/>
      </c>
      <c r="E468" s="73" t="str">
        <f>IF('Prod 1'!E468="","",'Prod 1'!E468)</f>
        <v/>
      </c>
      <c r="F468" s="74" t="str">
        <f>IF('Prod 2'!K468="","",'Prod 2'!K468)</f>
        <v/>
      </c>
      <c r="G468" s="77" t="str">
        <f>IF('Prod 1'!I468="","",'Prod 1'!I468)</f>
        <v/>
      </c>
      <c r="H468" s="63" t="str">
        <f>IF('Prod 1'!F468="","",'Prod 1'!F468)</f>
        <v/>
      </c>
      <c r="I468" s="75" t="str">
        <f>IF('Prod 3'!F468="","",'Prod 3'!F468)</f>
        <v/>
      </c>
    </row>
    <row r="469" spans="3:9" ht="30" customHeight="1" x14ac:dyDescent="0.25">
      <c r="C469" s="42">
        <v>465</v>
      </c>
      <c r="D469" s="67" t="str">
        <f>IF('Prod 1'!D469="","",'Prod 1'!D469)</f>
        <v/>
      </c>
      <c r="E469" s="73" t="str">
        <f>IF('Prod 1'!E469="","",'Prod 1'!E469)</f>
        <v/>
      </c>
      <c r="F469" s="74" t="str">
        <f>IF('Prod 2'!K469="","",'Prod 2'!K469)</f>
        <v/>
      </c>
      <c r="G469" s="77" t="str">
        <f>IF('Prod 1'!I469="","",'Prod 1'!I469)</f>
        <v/>
      </c>
      <c r="H469" s="63" t="str">
        <f>IF('Prod 1'!F469="","",'Prod 1'!F469)</f>
        <v/>
      </c>
      <c r="I469" s="75" t="str">
        <f>IF('Prod 3'!F469="","",'Prod 3'!F469)</f>
        <v/>
      </c>
    </row>
    <row r="470" spans="3:9" ht="30" customHeight="1" x14ac:dyDescent="0.25">
      <c r="C470" s="42">
        <v>466</v>
      </c>
      <c r="D470" s="67" t="str">
        <f>IF('Prod 1'!D470="","",'Prod 1'!D470)</f>
        <v/>
      </c>
      <c r="E470" s="73" t="str">
        <f>IF('Prod 1'!E470="","",'Prod 1'!E470)</f>
        <v/>
      </c>
      <c r="F470" s="74" t="str">
        <f>IF('Prod 2'!K470="","",'Prod 2'!K470)</f>
        <v/>
      </c>
      <c r="G470" s="77" t="str">
        <f>IF('Prod 1'!I470="","",'Prod 1'!I470)</f>
        <v/>
      </c>
      <c r="H470" s="63" t="str">
        <f>IF('Prod 1'!F470="","",'Prod 1'!F470)</f>
        <v/>
      </c>
      <c r="I470" s="75" t="str">
        <f>IF('Prod 3'!F470="","",'Prod 3'!F470)</f>
        <v/>
      </c>
    </row>
    <row r="471" spans="3:9" ht="30" customHeight="1" x14ac:dyDescent="0.25">
      <c r="C471" s="42">
        <v>467</v>
      </c>
      <c r="D471" s="67" t="str">
        <f>IF('Prod 1'!D471="","",'Prod 1'!D471)</f>
        <v/>
      </c>
      <c r="E471" s="73" t="str">
        <f>IF('Prod 1'!E471="","",'Prod 1'!E471)</f>
        <v/>
      </c>
      <c r="F471" s="74" t="str">
        <f>IF('Prod 2'!K471="","",'Prod 2'!K471)</f>
        <v/>
      </c>
      <c r="G471" s="77" t="str">
        <f>IF('Prod 1'!I471="","",'Prod 1'!I471)</f>
        <v/>
      </c>
      <c r="H471" s="63" t="str">
        <f>IF('Prod 1'!F471="","",'Prod 1'!F471)</f>
        <v/>
      </c>
      <c r="I471" s="75" t="str">
        <f>IF('Prod 3'!F471="","",'Prod 3'!F471)</f>
        <v/>
      </c>
    </row>
    <row r="472" spans="3:9" ht="30" customHeight="1" x14ac:dyDescent="0.25">
      <c r="C472" s="42">
        <v>468</v>
      </c>
      <c r="D472" s="67" t="str">
        <f>IF('Prod 1'!D472="","",'Prod 1'!D472)</f>
        <v/>
      </c>
      <c r="E472" s="73" t="str">
        <f>IF('Prod 1'!E472="","",'Prod 1'!E472)</f>
        <v/>
      </c>
      <c r="F472" s="74" t="str">
        <f>IF('Prod 2'!K472="","",'Prod 2'!K472)</f>
        <v/>
      </c>
      <c r="G472" s="77" t="str">
        <f>IF('Prod 1'!I472="","",'Prod 1'!I472)</f>
        <v/>
      </c>
      <c r="H472" s="63" t="str">
        <f>IF('Prod 1'!F472="","",'Prod 1'!F472)</f>
        <v/>
      </c>
      <c r="I472" s="75" t="str">
        <f>IF('Prod 3'!F472="","",'Prod 3'!F472)</f>
        <v/>
      </c>
    </row>
    <row r="473" spans="3:9" ht="30" customHeight="1" x14ac:dyDescent="0.25">
      <c r="C473" s="42">
        <v>469</v>
      </c>
      <c r="D473" s="67" t="str">
        <f>IF('Prod 1'!D473="","",'Prod 1'!D473)</f>
        <v/>
      </c>
      <c r="E473" s="73" t="str">
        <f>IF('Prod 1'!E473="","",'Prod 1'!E473)</f>
        <v/>
      </c>
      <c r="F473" s="74" t="str">
        <f>IF('Prod 2'!K473="","",'Prod 2'!K473)</f>
        <v/>
      </c>
      <c r="G473" s="77" t="str">
        <f>IF('Prod 1'!I473="","",'Prod 1'!I473)</f>
        <v/>
      </c>
      <c r="H473" s="63" t="str">
        <f>IF('Prod 1'!F473="","",'Prod 1'!F473)</f>
        <v/>
      </c>
      <c r="I473" s="75" t="str">
        <f>IF('Prod 3'!F473="","",'Prod 3'!F473)</f>
        <v/>
      </c>
    </row>
    <row r="474" spans="3:9" ht="30" customHeight="1" x14ac:dyDescent="0.25">
      <c r="C474" s="42">
        <v>470</v>
      </c>
      <c r="D474" s="67" t="str">
        <f>IF('Prod 1'!D474="","",'Prod 1'!D474)</f>
        <v/>
      </c>
      <c r="E474" s="73" t="str">
        <f>IF('Prod 1'!E474="","",'Prod 1'!E474)</f>
        <v/>
      </c>
      <c r="F474" s="74" t="str">
        <f>IF('Prod 2'!K474="","",'Prod 2'!K474)</f>
        <v/>
      </c>
      <c r="G474" s="77" t="str">
        <f>IF('Prod 1'!I474="","",'Prod 1'!I474)</f>
        <v/>
      </c>
      <c r="H474" s="63" t="str">
        <f>IF('Prod 1'!F474="","",'Prod 1'!F474)</f>
        <v/>
      </c>
      <c r="I474" s="75" t="str">
        <f>IF('Prod 3'!F474="","",'Prod 3'!F474)</f>
        <v/>
      </c>
    </row>
    <row r="475" spans="3:9" ht="30" customHeight="1" x14ac:dyDescent="0.25">
      <c r="C475" s="42">
        <v>471</v>
      </c>
      <c r="D475" s="67" t="str">
        <f>IF('Prod 1'!D475="","",'Prod 1'!D475)</f>
        <v/>
      </c>
      <c r="E475" s="73" t="str">
        <f>IF('Prod 1'!E475="","",'Prod 1'!E475)</f>
        <v/>
      </c>
      <c r="F475" s="74" t="str">
        <f>IF('Prod 2'!K475="","",'Prod 2'!K475)</f>
        <v/>
      </c>
      <c r="G475" s="77" t="str">
        <f>IF('Prod 1'!I475="","",'Prod 1'!I475)</f>
        <v/>
      </c>
      <c r="H475" s="63" t="str">
        <f>IF('Prod 1'!F475="","",'Prod 1'!F475)</f>
        <v/>
      </c>
      <c r="I475" s="75" t="str">
        <f>IF('Prod 3'!F475="","",'Prod 3'!F475)</f>
        <v/>
      </c>
    </row>
    <row r="476" spans="3:9" ht="30" customHeight="1" x14ac:dyDescent="0.25">
      <c r="C476" s="42">
        <v>472</v>
      </c>
      <c r="D476" s="67" t="str">
        <f>IF('Prod 1'!D476="","",'Prod 1'!D476)</f>
        <v/>
      </c>
      <c r="E476" s="73" t="str">
        <f>IF('Prod 1'!E476="","",'Prod 1'!E476)</f>
        <v/>
      </c>
      <c r="F476" s="74" t="str">
        <f>IF('Prod 2'!K476="","",'Prod 2'!K476)</f>
        <v/>
      </c>
      <c r="G476" s="77" t="str">
        <f>IF('Prod 1'!I476="","",'Prod 1'!I476)</f>
        <v/>
      </c>
      <c r="H476" s="63" t="str">
        <f>IF('Prod 1'!F476="","",'Prod 1'!F476)</f>
        <v/>
      </c>
      <c r="I476" s="75" t="str">
        <f>IF('Prod 3'!F476="","",'Prod 3'!F476)</f>
        <v/>
      </c>
    </row>
    <row r="477" spans="3:9" ht="30" customHeight="1" x14ac:dyDescent="0.25">
      <c r="C477" s="42">
        <v>473</v>
      </c>
      <c r="D477" s="67" t="str">
        <f>IF('Prod 1'!D477="","",'Prod 1'!D477)</f>
        <v/>
      </c>
      <c r="E477" s="73" t="str">
        <f>IF('Prod 1'!E477="","",'Prod 1'!E477)</f>
        <v/>
      </c>
      <c r="F477" s="74" t="str">
        <f>IF('Prod 2'!K477="","",'Prod 2'!K477)</f>
        <v/>
      </c>
      <c r="G477" s="77" t="str">
        <f>IF('Prod 1'!I477="","",'Prod 1'!I477)</f>
        <v/>
      </c>
      <c r="H477" s="63" t="str">
        <f>IF('Prod 1'!F477="","",'Prod 1'!F477)</f>
        <v/>
      </c>
      <c r="I477" s="75" t="str">
        <f>IF('Prod 3'!F477="","",'Prod 3'!F477)</f>
        <v/>
      </c>
    </row>
    <row r="478" spans="3:9" ht="30" customHeight="1" x14ac:dyDescent="0.25">
      <c r="C478" s="42">
        <v>474</v>
      </c>
      <c r="D478" s="67" t="str">
        <f>IF('Prod 1'!D478="","",'Prod 1'!D478)</f>
        <v/>
      </c>
      <c r="E478" s="73" t="str">
        <f>IF('Prod 1'!E478="","",'Prod 1'!E478)</f>
        <v/>
      </c>
      <c r="F478" s="74" t="str">
        <f>IF('Prod 2'!K478="","",'Prod 2'!K478)</f>
        <v/>
      </c>
      <c r="G478" s="77" t="str">
        <f>IF('Prod 1'!I478="","",'Prod 1'!I478)</f>
        <v/>
      </c>
      <c r="H478" s="63" t="str">
        <f>IF('Prod 1'!F478="","",'Prod 1'!F478)</f>
        <v/>
      </c>
      <c r="I478" s="75" t="str">
        <f>IF('Prod 3'!F478="","",'Prod 3'!F478)</f>
        <v/>
      </c>
    </row>
    <row r="479" spans="3:9" ht="30" customHeight="1" x14ac:dyDescent="0.25">
      <c r="C479" s="42">
        <v>475</v>
      </c>
      <c r="D479" s="67" t="str">
        <f>IF('Prod 1'!D479="","",'Prod 1'!D479)</f>
        <v/>
      </c>
      <c r="E479" s="73" t="str">
        <f>IF('Prod 1'!E479="","",'Prod 1'!E479)</f>
        <v/>
      </c>
      <c r="F479" s="74" t="str">
        <f>IF('Prod 2'!K479="","",'Prod 2'!K479)</f>
        <v/>
      </c>
      <c r="G479" s="77" t="str">
        <f>IF('Prod 1'!I479="","",'Prod 1'!I479)</f>
        <v/>
      </c>
      <c r="H479" s="63" t="str">
        <f>IF('Prod 1'!F479="","",'Prod 1'!F479)</f>
        <v/>
      </c>
      <c r="I479" s="75" t="str">
        <f>IF('Prod 3'!F479="","",'Prod 3'!F479)</f>
        <v/>
      </c>
    </row>
    <row r="480" spans="3:9" ht="30" customHeight="1" x14ac:dyDescent="0.25">
      <c r="C480" s="42">
        <v>476</v>
      </c>
      <c r="D480" s="67" t="str">
        <f>IF('Prod 1'!D480="","",'Prod 1'!D480)</f>
        <v/>
      </c>
      <c r="E480" s="73" t="str">
        <f>IF('Prod 1'!E480="","",'Prod 1'!E480)</f>
        <v/>
      </c>
      <c r="F480" s="74" t="str">
        <f>IF('Prod 2'!K480="","",'Prod 2'!K480)</f>
        <v/>
      </c>
      <c r="G480" s="77" t="str">
        <f>IF('Prod 1'!I480="","",'Prod 1'!I480)</f>
        <v/>
      </c>
      <c r="H480" s="63" t="str">
        <f>IF('Prod 1'!F480="","",'Prod 1'!F480)</f>
        <v/>
      </c>
      <c r="I480" s="75" t="str">
        <f>IF('Prod 3'!F480="","",'Prod 3'!F480)</f>
        <v/>
      </c>
    </row>
    <row r="481" spans="3:9" ht="30" customHeight="1" x14ac:dyDescent="0.25">
      <c r="C481" s="42">
        <v>477</v>
      </c>
      <c r="D481" s="67" t="str">
        <f>IF('Prod 1'!D481="","",'Prod 1'!D481)</f>
        <v/>
      </c>
      <c r="E481" s="73" t="str">
        <f>IF('Prod 1'!E481="","",'Prod 1'!E481)</f>
        <v/>
      </c>
      <c r="F481" s="74" t="str">
        <f>IF('Prod 2'!K481="","",'Prod 2'!K481)</f>
        <v/>
      </c>
      <c r="G481" s="77" t="str">
        <f>IF('Prod 1'!I481="","",'Prod 1'!I481)</f>
        <v/>
      </c>
      <c r="H481" s="63" t="str">
        <f>IF('Prod 1'!F481="","",'Prod 1'!F481)</f>
        <v/>
      </c>
      <c r="I481" s="75" t="str">
        <f>IF('Prod 3'!F481="","",'Prod 3'!F481)</f>
        <v/>
      </c>
    </row>
    <row r="482" spans="3:9" ht="30" customHeight="1" x14ac:dyDescent="0.25">
      <c r="C482" s="42">
        <v>478</v>
      </c>
      <c r="D482" s="67" t="str">
        <f>IF('Prod 1'!D482="","",'Prod 1'!D482)</f>
        <v/>
      </c>
      <c r="E482" s="73" t="str">
        <f>IF('Prod 1'!E482="","",'Prod 1'!E482)</f>
        <v/>
      </c>
      <c r="F482" s="74" t="str">
        <f>IF('Prod 2'!K482="","",'Prod 2'!K482)</f>
        <v/>
      </c>
      <c r="G482" s="77" t="str">
        <f>IF('Prod 1'!I482="","",'Prod 1'!I482)</f>
        <v/>
      </c>
      <c r="H482" s="63" t="str">
        <f>IF('Prod 1'!F482="","",'Prod 1'!F482)</f>
        <v/>
      </c>
      <c r="I482" s="75" t="str">
        <f>IF('Prod 3'!F482="","",'Prod 3'!F482)</f>
        <v/>
      </c>
    </row>
    <row r="483" spans="3:9" ht="30" customHeight="1" x14ac:dyDescent="0.25">
      <c r="C483" s="42">
        <v>479</v>
      </c>
      <c r="D483" s="67" t="str">
        <f>IF('Prod 1'!D483="","",'Prod 1'!D483)</f>
        <v/>
      </c>
      <c r="E483" s="73" t="str">
        <f>IF('Prod 1'!E483="","",'Prod 1'!E483)</f>
        <v/>
      </c>
      <c r="F483" s="74" t="str">
        <f>IF('Prod 2'!K483="","",'Prod 2'!K483)</f>
        <v/>
      </c>
      <c r="G483" s="77" t="str">
        <f>IF('Prod 1'!I483="","",'Prod 1'!I483)</f>
        <v/>
      </c>
      <c r="H483" s="63" t="str">
        <f>IF('Prod 1'!F483="","",'Prod 1'!F483)</f>
        <v/>
      </c>
      <c r="I483" s="75" t="str">
        <f>IF('Prod 3'!F483="","",'Prod 3'!F483)</f>
        <v/>
      </c>
    </row>
    <row r="484" spans="3:9" ht="30" customHeight="1" x14ac:dyDescent="0.25">
      <c r="C484" s="42">
        <v>480</v>
      </c>
      <c r="D484" s="67" t="str">
        <f>IF('Prod 1'!D484="","",'Prod 1'!D484)</f>
        <v/>
      </c>
      <c r="E484" s="73" t="str">
        <f>IF('Prod 1'!E484="","",'Prod 1'!E484)</f>
        <v/>
      </c>
      <c r="F484" s="74" t="str">
        <f>IF('Prod 2'!K484="","",'Prod 2'!K484)</f>
        <v/>
      </c>
      <c r="G484" s="77" t="str">
        <f>IF('Prod 1'!I484="","",'Prod 1'!I484)</f>
        <v/>
      </c>
      <c r="H484" s="63" t="str">
        <f>IF('Prod 1'!F484="","",'Prod 1'!F484)</f>
        <v/>
      </c>
      <c r="I484" s="75" t="str">
        <f>IF('Prod 3'!F484="","",'Prod 3'!F484)</f>
        <v/>
      </c>
    </row>
    <row r="485" spans="3:9" ht="30" customHeight="1" x14ac:dyDescent="0.25">
      <c r="C485" s="42">
        <v>481</v>
      </c>
      <c r="D485" s="67" t="str">
        <f>IF('Prod 1'!D485="","",'Prod 1'!D485)</f>
        <v/>
      </c>
      <c r="E485" s="73" t="str">
        <f>IF('Prod 1'!E485="","",'Prod 1'!E485)</f>
        <v/>
      </c>
      <c r="F485" s="74" t="str">
        <f>IF('Prod 2'!K485="","",'Prod 2'!K485)</f>
        <v/>
      </c>
      <c r="G485" s="77" t="str">
        <f>IF('Prod 1'!I485="","",'Prod 1'!I485)</f>
        <v/>
      </c>
      <c r="H485" s="63" t="str">
        <f>IF('Prod 1'!F485="","",'Prod 1'!F485)</f>
        <v/>
      </c>
      <c r="I485" s="75" t="str">
        <f>IF('Prod 3'!F485="","",'Prod 3'!F485)</f>
        <v/>
      </c>
    </row>
    <row r="486" spans="3:9" ht="30" customHeight="1" x14ac:dyDescent="0.25">
      <c r="C486" s="42">
        <v>482</v>
      </c>
      <c r="D486" s="67" t="str">
        <f>IF('Prod 1'!D486="","",'Prod 1'!D486)</f>
        <v/>
      </c>
      <c r="E486" s="73" t="str">
        <f>IF('Prod 1'!E486="","",'Prod 1'!E486)</f>
        <v/>
      </c>
      <c r="F486" s="74" t="str">
        <f>IF('Prod 2'!K486="","",'Prod 2'!K486)</f>
        <v/>
      </c>
      <c r="G486" s="77" t="str">
        <f>IF('Prod 1'!I486="","",'Prod 1'!I486)</f>
        <v/>
      </c>
      <c r="H486" s="63" t="str">
        <f>IF('Prod 1'!F486="","",'Prod 1'!F486)</f>
        <v/>
      </c>
      <c r="I486" s="75" t="str">
        <f>IF('Prod 3'!F486="","",'Prod 3'!F486)</f>
        <v/>
      </c>
    </row>
    <row r="487" spans="3:9" ht="30" customHeight="1" x14ac:dyDescent="0.25">
      <c r="C487" s="42">
        <v>483</v>
      </c>
      <c r="D487" s="67" t="str">
        <f>IF('Prod 1'!D487="","",'Prod 1'!D487)</f>
        <v/>
      </c>
      <c r="E487" s="73" t="str">
        <f>IF('Prod 1'!E487="","",'Prod 1'!E487)</f>
        <v/>
      </c>
      <c r="F487" s="74" t="str">
        <f>IF('Prod 2'!K487="","",'Prod 2'!K487)</f>
        <v/>
      </c>
      <c r="G487" s="77" t="str">
        <f>IF('Prod 1'!I487="","",'Prod 1'!I487)</f>
        <v/>
      </c>
      <c r="H487" s="63" t="str">
        <f>IF('Prod 1'!F487="","",'Prod 1'!F487)</f>
        <v/>
      </c>
      <c r="I487" s="75" t="str">
        <f>IF('Prod 3'!F487="","",'Prod 3'!F487)</f>
        <v/>
      </c>
    </row>
    <row r="488" spans="3:9" ht="30" customHeight="1" x14ac:dyDescent="0.25">
      <c r="C488" s="42">
        <v>484</v>
      </c>
      <c r="D488" s="67" t="str">
        <f>IF('Prod 1'!D488="","",'Prod 1'!D488)</f>
        <v/>
      </c>
      <c r="E488" s="73" t="str">
        <f>IF('Prod 1'!E488="","",'Prod 1'!E488)</f>
        <v/>
      </c>
      <c r="F488" s="74" t="str">
        <f>IF('Prod 2'!K488="","",'Prod 2'!K488)</f>
        <v/>
      </c>
      <c r="G488" s="77" t="str">
        <f>IF('Prod 1'!I488="","",'Prod 1'!I488)</f>
        <v/>
      </c>
      <c r="H488" s="63" t="str">
        <f>IF('Prod 1'!F488="","",'Prod 1'!F488)</f>
        <v/>
      </c>
      <c r="I488" s="75" t="str">
        <f>IF('Prod 3'!F488="","",'Prod 3'!F488)</f>
        <v/>
      </c>
    </row>
    <row r="489" spans="3:9" ht="30" customHeight="1" x14ac:dyDescent="0.25">
      <c r="C489" s="42">
        <v>485</v>
      </c>
      <c r="D489" s="67" t="str">
        <f>IF('Prod 1'!D489="","",'Prod 1'!D489)</f>
        <v/>
      </c>
      <c r="E489" s="73" t="str">
        <f>IF('Prod 1'!E489="","",'Prod 1'!E489)</f>
        <v/>
      </c>
      <c r="F489" s="74" t="str">
        <f>IF('Prod 2'!K489="","",'Prod 2'!K489)</f>
        <v/>
      </c>
      <c r="G489" s="77" t="str">
        <f>IF('Prod 1'!I489="","",'Prod 1'!I489)</f>
        <v/>
      </c>
      <c r="H489" s="63" t="str">
        <f>IF('Prod 1'!F489="","",'Prod 1'!F489)</f>
        <v/>
      </c>
      <c r="I489" s="75" t="str">
        <f>IF('Prod 3'!F489="","",'Prod 3'!F489)</f>
        <v/>
      </c>
    </row>
    <row r="490" spans="3:9" ht="30" customHeight="1" x14ac:dyDescent="0.25">
      <c r="C490" s="42">
        <v>486</v>
      </c>
      <c r="D490" s="67" t="str">
        <f>IF('Prod 1'!D490="","",'Prod 1'!D490)</f>
        <v/>
      </c>
      <c r="E490" s="73" t="str">
        <f>IF('Prod 1'!E490="","",'Prod 1'!E490)</f>
        <v/>
      </c>
      <c r="F490" s="74" t="str">
        <f>IF('Prod 2'!K490="","",'Prod 2'!K490)</f>
        <v/>
      </c>
      <c r="G490" s="77" t="str">
        <f>IF('Prod 1'!I490="","",'Prod 1'!I490)</f>
        <v/>
      </c>
      <c r="H490" s="63" t="str">
        <f>IF('Prod 1'!F490="","",'Prod 1'!F490)</f>
        <v/>
      </c>
      <c r="I490" s="75" t="str">
        <f>IF('Prod 3'!F490="","",'Prod 3'!F490)</f>
        <v/>
      </c>
    </row>
    <row r="491" spans="3:9" ht="30" customHeight="1" x14ac:dyDescent="0.25">
      <c r="C491" s="42">
        <v>487</v>
      </c>
      <c r="D491" s="67" t="str">
        <f>IF('Prod 1'!D491="","",'Prod 1'!D491)</f>
        <v/>
      </c>
      <c r="E491" s="73" t="str">
        <f>IF('Prod 1'!E491="","",'Prod 1'!E491)</f>
        <v/>
      </c>
      <c r="F491" s="74" t="str">
        <f>IF('Prod 2'!K491="","",'Prod 2'!K491)</f>
        <v/>
      </c>
      <c r="G491" s="77" t="str">
        <f>IF('Prod 1'!I491="","",'Prod 1'!I491)</f>
        <v/>
      </c>
      <c r="H491" s="63" t="str">
        <f>IF('Prod 1'!F491="","",'Prod 1'!F491)</f>
        <v/>
      </c>
      <c r="I491" s="75" t="str">
        <f>IF('Prod 3'!F491="","",'Prod 3'!F491)</f>
        <v/>
      </c>
    </row>
    <row r="492" spans="3:9" ht="30" customHeight="1" x14ac:dyDescent="0.25">
      <c r="C492" s="42">
        <v>488</v>
      </c>
      <c r="D492" s="67" t="str">
        <f>IF('Prod 1'!D492="","",'Prod 1'!D492)</f>
        <v/>
      </c>
      <c r="E492" s="73" t="str">
        <f>IF('Prod 1'!E492="","",'Prod 1'!E492)</f>
        <v/>
      </c>
      <c r="F492" s="74" t="str">
        <f>IF('Prod 2'!K492="","",'Prod 2'!K492)</f>
        <v/>
      </c>
      <c r="G492" s="77" t="str">
        <f>IF('Prod 1'!I492="","",'Prod 1'!I492)</f>
        <v/>
      </c>
      <c r="H492" s="63" t="str">
        <f>IF('Prod 1'!F492="","",'Prod 1'!F492)</f>
        <v/>
      </c>
      <c r="I492" s="75" t="str">
        <f>IF('Prod 3'!F492="","",'Prod 3'!F492)</f>
        <v/>
      </c>
    </row>
    <row r="493" spans="3:9" ht="30" customHeight="1" x14ac:dyDescent="0.25">
      <c r="C493" s="42">
        <v>489</v>
      </c>
      <c r="D493" s="67" t="str">
        <f>IF('Prod 1'!D493="","",'Prod 1'!D493)</f>
        <v/>
      </c>
      <c r="E493" s="73" t="str">
        <f>IF('Prod 1'!E493="","",'Prod 1'!E493)</f>
        <v/>
      </c>
      <c r="F493" s="74" t="str">
        <f>IF('Prod 2'!K493="","",'Prod 2'!K493)</f>
        <v/>
      </c>
      <c r="G493" s="77" t="str">
        <f>IF('Prod 1'!I493="","",'Prod 1'!I493)</f>
        <v/>
      </c>
      <c r="H493" s="63" t="str">
        <f>IF('Prod 1'!F493="","",'Prod 1'!F493)</f>
        <v/>
      </c>
      <c r="I493" s="75" t="str">
        <f>IF('Prod 3'!F493="","",'Prod 3'!F493)</f>
        <v/>
      </c>
    </row>
    <row r="494" spans="3:9" ht="30" customHeight="1" x14ac:dyDescent="0.25">
      <c r="C494" s="42">
        <v>490</v>
      </c>
      <c r="D494" s="67" t="str">
        <f>IF('Prod 1'!D494="","",'Prod 1'!D494)</f>
        <v/>
      </c>
      <c r="E494" s="73" t="str">
        <f>IF('Prod 1'!E494="","",'Prod 1'!E494)</f>
        <v/>
      </c>
      <c r="F494" s="74" t="str">
        <f>IF('Prod 2'!K494="","",'Prod 2'!K494)</f>
        <v/>
      </c>
      <c r="G494" s="77" t="str">
        <f>IF('Prod 1'!I494="","",'Prod 1'!I494)</f>
        <v/>
      </c>
      <c r="H494" s="63" t="str">
        <f>IF('Prod 1'!F494="","",'Prod 1'!F494)</f>
        <v/>
      </c>
      <c r="I494" s="75" t="str">
        <f>IF('Prod 3'!F494="","",'Prod 3'!F494)</f>
        <v/>
      </c>
    </row>
    <row r="495" spans="3:9" ht="30" customHeight="1" x14ac:dyDescent="0.25">
      <c r="C495" s="42">
        <v>491</v>
      </c>
      <c r="D495" s="67" t="str">
        <f>IF('Prod 1'!D495="","",'Prod 1'!D495)</f>
        <v/>
      </c>
      <c r="E495" s="73" t="str">
        <f>IF('Prod 1'!E495="","",'Prod 1'!E495)</f>
        <v/>
      </c>
      <c r="F495" s="74" t="str">
        <f>IF('Prod 2'!K495="","",'Prod 2'!K495)</f>
        <v/>
      </c>
      <c r="G495" s="77" t="str">
        <f>IF('Prod 1'!I495="","",'Prod 1'!I495)</f>
        <v/>
      </c>
      <c r="H495" s="63" t="str">
        <f>IF('Prod 1'!F495="","",'Prod 1'!F495)</f>
        <v/>
      </c>
      <c r="I495" s="75" t="str">
        <f>IF('Prod 3'!F495="","",'Prod 3'!F495)</f>
        <v/>
      </c>
    </row>
    <row r="496" spans="3:9" ht="30" customHeight="1" x14ac:dyDescent="0.25">
      <c r="C496" s="42">
        <v>492</v>
      </c>
      <c r="D496" s="67" t="str">
        <f>IF('Prod 1'!D496="","",'Prod 1'!D496)</f>
        <v/>
      </c>
      <c r="E496" s="73" t="str">
        <f>IF('Prod 1'!E496="","",'Prod 1'!E496)</f>
        <v/>
      </c>
      <c r="F496" s="74" t="str">
        <f>IF('Prod 2'!K496="","",'Prod 2'!K496)</f>
        <v/>
      </c>
      <c r="G496" s="77" t="str">
        <f>IF('Prod 1'!I496="","",'Prod 1'!I496)</f>
        <v/>
      </c>
      <c r="H496" s="63" t="str">
        <f>IF('Prod 1'!F496="","",'Prod 1'!F496)</f>
        <v/>
      </c>
      <c r="I496" s="75" t="str">
        <f>IF('Prod 3'!F496="","",'Prod 3'!F496)</f>
        <v/>
      </c>
    </row>
    <row r="497" spans="3:9" ht="30" customHeight="1" x14ac:dyDescent="0.25">
      <c r="C497" s="42">
        <v>493</v>
      </c>
      <c r="D497" s="67" t="str">
        <f>IF('Prod 1'!D497="","",'Prod 1'!D497)</f>
        <v/>
      </c>
      <c r="E497" s="73" t="str">
        <f>IF('Prod 1'!E497="","",'Prod 1'!E497)</f>
        <v/>
      </c>
      <c r="F497" s="74" t="str">
        <f>IF('Prod 2'!K497="","",'Prod 2'!K497)</f>
        <v/>
      </c>
      <c r="G497" s="77" t="str">
        <f>IF('Prod 1'!I497="","",'Prod 1'!I497)</f>
        <v/>
      </c>
      <c r="H497" s="63" t="str">
        <f>IF('Prod 1'!F497="","",'Prod 1'!F497)</f>
        <v/>
      </c>
      <c r="I497" s="75" t="str">
        <f>IF('Prod 3'!F497="","",'Prod 3'!F497)</f>
        <v/>
      </c>
    </row>
    <row r="498" spans="3:9" ht="30" customHeight="1" x14ac:dyDescent="0.25">
      <c r="C498" s="42">
        <v>494</v>
      </c>
      <c r="D498" s="67" t="str">
        <f>IF('Prod 1'!D498="","",'Prod 1'!D498)</f>
        <v/>
      </c>
      <c r="E498" s="73" t="str">
        <f>IF('Prod 1'!E498="","",'Prod 1'!E498)</f>
        <v/>
      </c>
      <c r="F498" s="74" t="str">
        <f>IF('Prod 2'!K498="","",'Prod 2'!K498)</f>
        <v/>
      </c>
      <c r="G498" s="77" t="str">
        <f>IF('Prod 1'!I498="","",'Prod 1'!I498)</f>
        <v/>
      </c>
      <c r="H498" s="63" t="str">
        <f>IF('Prod 1'!F498="","",'Prod 1'!F498)</f>
        <v/>
      </c>
      <c r="I498" s="75" t="str">
        <f>IF('Prod 3'!F498="","",'Prod 3'!F498)</f>
        <v/>
      </c>
    </row>
    <row r="499" spans="3:9" ht="30" customHeight="1" x14ac:dyDescent="0.25">
      <c r="C499" s="42">
        <v>495</v>
      </c>
      <c r="D499" s="67" t="str">
        <f>IF('Prod 1'!D499="","",'Prod 1'!D499)</f>
        <v/>
      </c>
      <c r="E499" s="73" t="str">
        <f>IF('Prod 1'!E499="","",'Prod 1'!E499)</f>
        <v/>
      </c>
      <c r="F499" s="74" t="str">
        <f>IF('Prod 2'!K499="","",'Prod 2'!K499)</f>
        <v/>
      </c>
      <c r="G499" s="77" t="str">
        <f>IF('Prod 1'!I499="","",'Prod 1'!I499)</f>
        <v/>
      </c>
      <c r="H499" s="63" t="str">
        <f>IF('Prod 1'!F499="","",'Prod 1'!F499)</f>
        <v/>
      </c>
      <c r="I499" s="75" t="str">
        <f>IF('Prod 3'!F499="","",'Prod 3'!F499)</f>
        <v/>
      </c>
    </row>
    <row r="500" spans="3:9" ht="30" customHeight="1" x14ac:dyDescent="0.25">
      <c r="C500" s="42">
        <v>496</v>
      </c>
      <c r="D500" s="67" t="str">
        <f>IF('Prod 1'!D500="","",'Prod 1'!D500)</f>
        <v/>
      </c>
      <c r="E500" s="73" t="str">
        <f>IF('Prod 1'!E500="","",'Prod 1'!E500)</f>
        <v/>
      </c>
      <c r="F500" s="74" t="str">
        <f>IF('Prod 2'!K500="","",'Prod 2'!K500)</f>
        <v/>
      </c>
      <c r="G500" s="77" t="str">
        <f>IF('Prod 1'!I500="","",'Prod 1'!I500)</f>
        <v/>
      </c>
      <c r="H500" s="63" t="str">
        <f>IF('Prod 1'!F500="","",'Prod 1'!F500)</f>
        <v/>
      </c>
      <c r="I500" s="75" t="str">
        <f>IF('Prod 3'!F500="","",'Prod 3'!F500)</f>
        <v/>
      </c>
    </row>
    <row r="501" spans="3:9" ht="30" customHeight="1" x14ac:dyDescent="0.25">
      <c r="C501" s="42">
        <v>497</v>
      </c>
      <c r="D501" s="67" t="str">
        <f>IF('Prod 1'!D501="","",'Prod 1'!D501)</f>
        <v/>
      </c>
      <c r="E501" s="73" t="str">
        <f>IF('Prod 1'!E501="","",'Prod 1'!E501)</f>
        <v/>
      </c>
      <c r="F501" s="74" t="str">
        <f>IF('Prod 2'!K501="","",'Prod 2'!K501)</f>
        <v/>
      </c>
      <c r="G501" s="77" t="str">
        <f>IF('Prod 1'!I501="","",'Prod 1'!I501)</f>
        <v/>
      </c>
      <c r="H501" s="63" t="str">
        <f>IF('Prod 1'!F501="","",'Prod 1'!F501)</f>
        <v/>
      </c>
      <c r="I501" s="75" t="str">
        <f>IF('Prod 3'!F501="","",'Prod 3'!F501)</f>
        <v/>
      </c>
    </row>
    <row r="502" spans="3:9" ht="30" customHeight="1" x14ac:dyDescent="0.25">
      <c r="C502" s="42">
        <v>498</v>
      </c>
      <c r="D502" s="67" t="str">
        <f>IF('Prod 1'!D502="","",'Prod 1'!D502)</f>
        <v/>
      </c>
      <c r="E502" s="73" t="str">
        <f>IF('Prod 1'!E502="","",'Prod 1'!E502)</f>
        <v/>
      </c>
      <c r="F502" s="74" t="str">
        <f>IF('Prod 2'!K502="","",'Prod 2'!K502)</f>
        <v/>
      </c>
      <c r="G502" s="77" t="str">
        <f>IF('Prod 1'!I502="","",'Prod 1'!I502)</f>
        <v/>
      </c>
      <c r="H502" s="63" t="str">
        <f>IF('Prod 1'!F502="","",'Prod 1'!F502)</f>
        <v/>
      </c>
      <c r="I502" s="75" t="str">
        <f>IF('Prod 3'!F502="","",'Prod 3'!F502)</f>
        <v/>
      </c>
    </row>
    <row r="503" spans="3:9" ht="30" customHeight="1" x14ac:dyDescent="0.25">
      <c r="C503" s="42">
        <v>499</v>
      </c>
      <c r="D503" s="67" t="str">
        <f>IF('Prod 1'!D503="","",'Prod 1'!D503)</f>
        <v/>
      </c>
      <c r="E503" s="73" t="str">
        <f>IF('Prod 1'!E503="","",'Prod 1'!E503)</f>
        <v/>
      </c>
      <c r="F503" s="74" t="str">
        <f>IF('Prod 2'!K503="","",'Prod 2'!K503)</f>
        <v/>
      </c>
      <c r="G503" s="77" t="str">
        <f>IF('Prod 1'!I503="","",'Prod 1'!I503)</f>
        <v/>
      </c>
      <c r="H503" s="63" t="str">
        <f>IF('Prod 1'!F503="","",'Prod 1'!F503)</f>
        <v/>
      </c>
      <c r="I503" s="75" t="str">
        <f>IF('Prod 3'!F503="","",'Prod 3'!F503)</f>
        <v/>
      </c>
    </row>
    <row r="504" spans="3:9" ht="30" customHeight="1" x14ac:dyDescent="0.25">
      <c r="C504" s="42">
        <v>500</v>
      </c>
      <c r="D504" s="67" t="str">
        <f>IF('Prod 1'!D504="","",'Prod 1'!D504)</f>
        <v/>
      </c>
      <c r="E504" s="73" t="str">
        <f>IF('Prod 1'!E504="","",'Prod 1'!E504)</f>
        <v/>
      </c>
      <c r="F504" s="74" t="str">
        <f>IF('Prod 2'!K504="","",'Prod 2'!K504)</f>
        <v/>
      </c>
      <c r="G504" s="77" t="str">
        <f>IF('Prod 1'!I504="","",'Prod 1'!I504)</f>
        <v/>
      </c>
      <c r="H504" s="63" t="str">
        <f>IF('Prod 1'!F504="","",'Prod 1'!F504)</f>
        <v/>
      </c>
      <c r="I504" s="75" t="str">
        <f>IF('Prod 3'!F504="","",'Prod 3'!F504)</f>
        <v/>
      </c>
    </row>
    <row r="505" spans="3:9" ht="30" customHeight="1" x14ac:dyDescent="0.25">
      <c r="C505" s="42">
        <v>501</v>
      </c>
      <c r="D505" s="67" t="str">
        <f>IF('Prod 1'!D505="","",'Prod 1'!D505)</f>
        <v/>
      </c>
      <c r="E505" s="73" t="str">
        <f>IF('Prod 1'!E505="","",'Prod 1'!E505)</f>
        <v/>
      </c>
      <c r="F505" s="74" t="str">
        <f>IF('Prod 2'!K505="","",'Prod 2'!K505)</f>
        <v/>
      </c>
      <c r="G505" s="77" t="str">
        <f>IF('Prod 1'!I505="","",'Prod 1'!I505)</f>
        <v/>
      </c>
      <c r="H505" s="63" t="str">
        <f>IF('Prod 1'!F505="","",'Prod 1'!F505)</f>
        <v/>
      </c>
      <c r="I505" s="75" t="str">
        <f>IF('Prod 3'!F505="","",'Prod 3'!F505)</f>
        <v/>
      </c>
    </row>
    <row r="506" spans="3:9" ht="30" customHeight="1" x14ac:dyDescent="0.25">
      <c r="C506" s="42">
        <v>502</v>
      </c>
      <c r="D506" s="67" t="str">
        <f>IF('Prod 1'!D506="","",'Prod 1'!D506)</f>
        <v/>
      </c>
      <c r="E506" s="73" t="str">
        <f>IF('Prod 1'!E506="","",'Prod 1'!E506)</f>
        <v/>
      </c>
      <c r="F506" s="74" t="str">
        <f>IF('Prod 2'!K506="","",'Prod 2'!K506)</f>
        <v/>
      </c>
      <c r="G506" s="77" t="str">
        <f>IF('Prod 1'!I506="","",'Prod 1'!I506)</f>
        <v/>
      </c>
      <c r="H506" s="63" t="str">
        <f>IF('Prod 1'!F506="","",'Prod 1'!F506)</f>
        <v/>
      </c>
      <c r="I506" s="75" t="str">
        <f>IF('Prod 3'!F506="","",'Prod 3'!F506)</f>
        <v/>
      </c>
    </row>
    <row r="507" spans="3:9" ht="30" customHeight="1" x14ac:dyDescent="0.25">
      <c r="C507" s="42">
        <v>503</v>
      </c>
      <c r="D507" s="67" t="str">
        <f>IF('Prod 1'!D507="","",'Prod 1'!D507)</f>
        <v/>
      </c>
      <c r="E507" s="73" t="str">
        <f>IF('Prod 1'!E507="","",'Prod 1'!E507)</f>
        <v/>
      </c>
      <c r="F507" s="74" t="str">
        <f>IF('Prod 2'!K507="","",'Prod 2'!K507)</f>
        <v/>
      </c>
      <c r="G507" s="77" t="str">
        <f>IF('Prod 1'!I507="","",'Prod 1'!I507)</f>
        <v/>
      </c>
      <c r="H507" s="63" t="str">
        <f>IF('Prod 1'!F507="","",'Prod 1'!F507)</f>
        <v/>
      </c>
      <c r="I507" s="75" t="str">
        <f>IF('Prod 3'!F507="","",'Prod 3'!F507)</f>
        <v/>
      </c>
    </row>
    <row r="508" spans="3:9" ht="30" customHeight="1" x14ac:dyDescent="0.25">
      <c r="C508" s="42">
        <v>504</v>
      </c>
      <c r="D508" s="67" t="str">
        <f>IF('Prod 1'!D508="","",'Prod 1'!D508)</f>
        <v/>
      </c>
      <c r="E508" s="73" t="str">
        <f>IF('Prod 1'!E508="","",'Prod 1'!E508)</f>
        <v/>
      </c>
      <c r="F508" s="74" t="str">
        <f>IF('Prod 2'!K508="","",'Prod 2'!K508)</f>
        <v/>
      </c>
      <c r="G508" s="77" t="str">
        <f>IF('Prod 1'!I508="","",'Prod 1'!I508)</f>
        <v/>
      </c>
      <c r="H508" s="63" t="str">
        <f>IF('Prod 1'!F508="","",'Prod 1'!F508)</f>
        <v/>
      </c>
      <c r="I508" s="75" t="str">
        <f>IF('Prod 3'!F508="","",'Prod 3'!F508)</f>
        <v/>
      </c>
    </row>
    <row r="509" spans="3:9" ht="30" customHeight="1" x14ac:dyDescent="0.25">
      <c r="C509" s="42">
        <v>505</v>
      </c>
      <c r="D509" s="67" t="str">
        <f>IF('Prod 1'!D509="","",'Prod 1'!D509)</f>
        <v/>
      </c>
      <c r="E509" s="73" t="str">
        <f>IF('Prod 1'!E509="","",'Prod 1'!E509)</f>
        <v/>
      </c>
      <c r="F509" s="74" t="str">
        <f>IF('Prod 2'!K509="","",'Prod 2'!K509)</f>
        <v/>
      </c>
      <c r="G509" s="77" t="str">
        <f>IF('Prod 1'!I509="","",'Prod 1'!I509)</f>
        <v/>
      </c>
      <c r="H509" s="63" t="str">
        <f>IF('Prod 1'!F509="","",'Prod 1'!F509)</f>
        <v/>
      </c>
      <c r="I509" s="75" t="str">
        <f>IF('Prod 3'!F509="","",'Prod 3'!F509)</f>
        <v/>
      </c>
    </row>
    <row r="510" spans="3:9" ht="30" customHeight="1" x14ac:dyDescent="0.25">
      <c r="C510" s="42">
        <v>506</v>
      </c>
      <c r="D510" s="67" t="str">
        <f>IF('Prod 1'!D510="","",'Prod 1'!D510)</f>
        <v/>
      </c>
      <c r="E510" s="73" t="str">
        <f>IF('Prod 1'!E510="","",'Prod 1'!E510)</f>
        <v/>
      </c>
      <c r="F510" s="74" t="str">
        <f>IF('Prod 2'!K510="","",'Prod 2'!K510)</f>
        <v/>
      </c>
      <c r="G510" s="77" t="str">
        <f>IF('Prod 1'!I510="","",'Prod 1'!I510)</f>
        <v/>
      </c>
      <c r="H510" s="63" t="str">
        <f>IF('Prod 1'!F510="","",'Prod 1'!F510)</f>
        <v/>
      </c>
      <c r="I510" s="75" t="str">
        <f>IF('Prod 3'!F510="","",'Prod 3'!F510)</f>
        <v/>
      </c>
    </row>
    <row r="511" spans="3:9" ht="30" customHeight="1" x14ac:dyDescent="0.25">
      <c r="C511" s="42">
        <v>507</v>
      </c>
      <c r="D511" s="67" t="str">
        <f>IF('Prod 1'!D511="","",'Prod 1'!D511)</f>
        <v/>
      </c>
      <c r="E511" s="73" t="str">
        <f>IF('Prod 1'!E511="","",'Prod 1'!E511)</f>
        <v/>
      </c>
      <c r="F511" s="74" t="str">
        <f>IF('Prod 2'!K511="","",'Prod 2'!K511)</f>
        <v/>
      </c>
      <c r="G511" s="77" t="str">
        <f>IF('Prod 1'!I511="","",'Prod 1'!I511)</f>
        <v/>
      </c>
      <c r="H511" s="63" t="str">
        <f>IF('Prod 1'!F511="","",'Prod 1'!F511)</f>
        <v/>
      </c>
      <c r="I511" s="75" t="str">
        <f>IF('Prod 3'!F511="","",'Prod 3'!F511)</f>
        <v/>
      </c>
    </row>
    <row r="512" spans="3:9" ht="30" customHeight="1" x14ac:dyDescent="0.25">
      <c r="C512" s="42">
        <v>508</v>
      </c>
      <c r="D512" s="67" t="str">
        <f>IF('Prod 1'!D512="","",'Prod 1'!D512)</f>
        <v/>
      </c>
      <c r="E512" s="73" t="str">
        <f>IF('Prod 1'!E512="","",'Prod 1'!E512)</f>
        <v/>
      </c>
      <c r="F512" s="74" t="str">
        <f>IF('Prod 2'!K512="","",'Prod 2'!K512)</f>
        <v/>
      </c>
      <c r="G512" s="77" t="str">
        <f>IF('Prod 1'!I512="","",'Prod 1'!I512)</f>
        <v/>
      </c>
      <c r="H512" s="63" t="str">
        <f>IF('Prod 1'!F512="","",'Prod 1'!F512)</f>
        <v/>
      </c>
      <c r="I512" s="75" t="str">
        <f>IF('Prod 3'!F512="","",'Prod 3'!F512)</f>
        <v/>
      </c>
    </row>
    <row r="513" spans="3:9" ht="30" customHeight="1" x14ac:dyDescent="0.25">
      <c r="C513" s="42">
        <v>509</v>
      </c>
      <c r="D513" s="67" t="str">
        <f>IF('Prod 1'!D513="","",'Prod 1'!D513)</f>
        <v/>
      </c>
      <c r="E513" s="73" t="str">
        <f>IF('Prod 1'!E513="","",'Prod 1'!E513)</f>
        <v/>
      </c>
      <c r="F513" s="74" t="str">
        <f>IF('Prod 2'!K513="","",'Prod 2'!K513)</f>
        <v/>
      </c>
      <c r="G513" s="77" t="str">
        <f>IF('Prod 1'!I513="","",'Prod 1'!I513)</f>
        <v/>
      </c>
      <c r="H513" s="63" t="str">
        <f>IF('Prod 1'!F513="","",'Prod 1'!F513)</f>
        <v/>
      </c>
      <c r="I513" s="75" t="str">
        <f>IF('Prod 3'!F513="","",'Prod 3'!F513)</f>
        <v/>
      </c>
    </row>
    <row r="514" spans="3:9" ht="30" customHeight="1" x14ac:dyDescent="0.25">
      <c r="C514" s="42">
        <v>510</v>
      </c>
      <c r="D514" s="67" t="str">
        <f>IF('Prod 1'!D514="","",'Prod 1'!D514)</f>
        <v/>
      </c>
      <c r="E514" s="73" t="str">
        <f>IF('Prod 1'!E514="","",'Prod 1'!E514)</f>
        <v/>
      </c>
      <c r="F514" s="74" t="str">
        <f>IF('Prod 2'!K514="","",'Prod 2'!K514)</f>
        <v/>
      </c>
      <c r="G514" s="77" t="str">
        <f>IF('Prod 1'!I514="","",'Prod 1'!I514)</f>
        <v/>
      </c>
      <c r="H514" s="63" t="str">
        <f>IF('Prod 1'!F514="","",'Prod 1'!F514)</f>
        <v/>
      </c>
      <c r="I514" s="75" t="str">
        <f>IF('Prod 3'!F514="","",'Prod 3'!F514)</f>
        <v/>
      </c>
    </row>
    <row r="515" spans="3:9" ht="30" customHeight="1" x14ac:dyDescent="0.25">
      <c r="C515" s="42">
        <v>511</v>
      </c>
      <c r="D515" s="67" t="str">
        <f>IF('Prod 1'!D515="","",'Prod 1'!D515)</f>
        <v/>
      </c>
      <c r="E515" s="73" t="str">
        <f>IF('Prod 1'!E515="","",'Prod 1'!E515)</f>
        <v/>
      </c>
      <c r="F515" s="74" t="str">
        <f>IF('Prod 2'!K515="","",'Prod 2'!K515)</f>
        <v/>
      </c>
      <c r="G515" s="77" t="str">
        <f>IF('Prod 1'!I515="","",'Prod 1'!I515)</f>
        <v/>
      </c>
      <c r="H515" s="63" t="str">
        <f>IF('Prod 1'!F515="","",'Prod 1'!F515)</f>
        <v/>
      </c>
      <c r="I515" s="75" t="str">
        <f>IF('Prod 3'!F515="","",'Prod 3'!F515)</f>
        <v/>
      </c>
    </row>
    <row r="516" spans="3:9" ht="30" customHeight="1" x14ac:dyDescent="0.25">
      <c r="C516" s="42">
        <v>512</v>
      </c>
      <c r="D516" s="67" t="str">
        <f>IF('Prod 1'!D516="","",'Prod 1'!D516)</f>
        <v/>
      </c>
      <c r="E516" s="73" t="str">
        <f>IF('Prod 1'!E516="","",'Prod 1'!E516)</f>
        <v/>
      </c>
      <c r="F516" s="74" t="str">
        <f>IF('Prod 2'!K516="","",'Prod 2'!K516)</f>
        <v/>
      </c>
      <c r="G516" s="77" t="str">
        <f>IF('Prod 1'!I516="","",'Prod 1'!I516)</f>
        <v/>
      </c>
      <c r="H516" s="63" t="str">
        <f>IF('Prod 1'!F516="","",'Prod 1'!F516)</f>
        <v/>
      </c>
      <c r="I516" s="75" t="str">
        <f>IF('Prod 3'!F516="","",'Prod 3'!F516)</f>
        <v/>
      </c>
    </row>
    <row r="517" spans="3:9" ht="30" customHeight="1" x14ac:dyDescent="0.25">
      <c r="C517" s="42">
        <v>513</v>
      </c>
      <c r="D517" s="67" t="str">
        <f>IF('Prod 1'!D517="","",'Prod 1'!D517)</f>
        <v/>
      </c>
      <c r="E517" s="73" t="str">
        <f>IF('Prod 1'!E517="","",'Prod 1'!E517)</f>
        <v/>
      </c>
      <c r="F517" s="74" t="str">
        <f>IF('Prod 2'!K517="","",'Prod 2'!K517)</f>
        <v/>
      </c>
      <c r="G517" s="77" t="str">
        <f>IF('Prod 1'!I517="","",'Prod 1'!I517)</f>
        <v/>
      </c>
      <c r="H517" s="63" t="str">
        <f>IF('Prod 1'!F517="","",'Prod 1'!F517)</f>
        <v/>
      </c>
      <c r="I517" s="75" t="str">
        <f>IF('Prod 3'!F517="","",'Prod 3'!F517)</f>
        <v/>
      </c>
    </row>
    <row r="518" spans="3:9" ht="30" customHeight="1" x14ac:dyDescent="0.25">
      <c r="C518" s="42">
        <v>514</v>
      </c>
      <c r="D518" s="67" t="str">
        <f>IF('Prod 1'!D518="","",'Prod 1'!D518)</f>
        <v/>
      </c>
      <c r="E518" s="73" t="str">
        <f>IF('Prod 1'!E518="","",'Prod 1'!E518)</f>
        <v/>
      </c>
      <c r="F518" s="74" t="str">
        <f>IF('Prod 2'!K518="","",'Prod 2'!K518)</f>
        <v/>
      </c>
      <c r="G518" s="77" t="str">
        <f>IF('Prod 1'!I518="","",'Prod 1'!I518)</f>
        <v/>
      </c>
      <c r="H518" s="63" t="str">
        <f>IF('Prod 1'!F518="","",'Prod 1'!F518)</f>
        <v/>
      </c>
      <c r="I518" s="75" t="str">
        <f>IF('Prod 3'!F518="","",'Prod 3'!F518)</f>
        <v/>
      </c>
    </row>
    <row r="519" spans="3:9" ht="30" customHeight="1" x14ac:dyDescent="0.25">
      <c r="C519" s="42">
        <v>515</v>
      </c>
      <c r="D519" s="67" t="str">
        <f>IF('Prod 1'!D519="","",'Prod 1'!D519)</f>
        <v/>
      </c>
      <c r="E519" s="73" t="str">
        <f>IF('Prod 1'!E519="","",'Prod 1'!E519)</f>
        <v/>
      </c>
      <c r="F519" s="74" t="str">
        <f>IF('Prod 2'!K519="","",'Prod 2'!K519)</f>
        <v/>
      </c>
      <c r="G519" s="77" t="str">
        <f>IF('Prod 1'!I519="","",'Prod 1'!I519)</f>
        <v/>
      </c>
      <c r="H519" s="63" t="str">
        <f>IF('Prod 1'!F519="","",'Prod 1'!F519)</f>
        <v/>
      </c>
      <c r="I519" s="75" t="str">
        <f>IF('Prod 3'!F519="","",'Prod 3'!F519)</f>
        <v/>
      </c>
    </row>
    <row r="520" spans="3:9" ht="30" customHeight="1" x14ac:dyDescent="0.25">
      <c r="C520" s="42">
        <v>516</v>
      </c>
      <c r="D520" s="67" t="str">
        <f>IF('Prod 1'!D520="","",'Prod 1'!D520)</f>
        <v/>
      </c>
      <c r="E520" s="73" t="str">
        <f>IF('Prod 1'!E520="","",'Prod 1'!E520)</f>
        <v/>
      </c>
      <c r="F520" s="74" t="str">
        <f>IF('Prod 2'!K520="","",'Prod 2'!K520)</f>
        <v/>
      </c>
      <c r="G520" s="77" t="str">
        <f>IF('Prod 1'!I520="","",'Prod 1'!I520)</f>
        <v/>
      </c>
      <c r="H520" s="63" t="str">
        <f>IF('Prod 1'!F520="","",'Prod 1'!F520)</f>
        <v/>
      </c>
      <c r="I520" s="75" t="str">
        <f>IF('Prod 3'!F520="","",'Prod 3'!F520)</f>
        <v/>
      </c>
    </row>
    <row r="521" spans="3:9" ht="30" customHeight="1" x14ac:dyDescent="0.25">
      <c r="C521" s="42">
        <v>517</v>
      </c>
      <c r="D521" s="67" t="str">
        <f>IF('Prod 1'!D521="","",'Prod 1'!D521)</f>
        <v/>
      </c>
      <c r="E521" s="73" t="str">
        <f>IF('Prod 1'!E521="","",'Prod 1'!E521)</f>
        <v/>
      </c>
      <c r="F521" s="74" t="str">
        <f>IF('Prod 2'!K521="","",'Prod 2'!K521)</f>
        <v/>
      </c>
      <c r="G521" s="77" t="str">
        <f>IF('Prod 1'!I521="","",'Prod 1'!I521)</f>
        <v/>
      </c>
      <c r="H521" s="63" t="str">
        <f>IF('Prod 1'!F521="","",'Prod 1'!F521)</f>
        <v/>
      </c>
      <c r="I521" s="75" t="str">
        <f>IF('Prod 3'!F521="","",'Prod 3'!F521)</f>
        <v/>
      </c>
    </row>
    <row r="522" spans="3:9" ht="30" customHeight="1" x14ac:dyDescent="0.25">
      <c r="C522" s="42">
        <v>518</v>
      </c>
      <c r="D522" s="67" t="str">
        <f>IF('Prod 1'!D522="","",'Prod 1'!D522)</f>
        <v/>
      </c>
      <c r="E522" s="73" t="str">
        <f>IF('Prod 1'!E522="","",'Prod 1'!E522)</f>
        <v/>
      </c>
      <c r="F522" s="74" t="str">
        <f>IF('Prod 2'!K522="","",'Prod 2'!K522)</f>
        <v/>
      </c>
      <c r="G522" s="77" t="str">
        <f>IF('Prod 1'!I522="","",'Prod 1'!I522)</f>
        <v/>
      </c>
      <c r="H522" s="63" t="str">
        <f>IF('Prod 1'!F522="","",'Prod 1'!F522)</f>
        <v/>
      </c>
      <c r="I522" s="75" t="str">
        <f>IF('Prod 3'!F522="","",'Prod 3'!F522)</f>
        <v/>
      </c>
    </row>
    <row r="523" spans="3:9" ht="30" customHeight="1" x14ac:dyDescent="0.25">
      <c r="C523" s="42">
        <v>519</v>
      </c>
      <c r="D523" s="67" t="str">
        <f>IF('Prod 1'!D523="","",'Prod 1'!D523)</f>
        <v/>
      </c>
      <c r="E523" s="73" t="str">
        <f>IF('Prod 1'!E523="","",'Prod 1'!E523)</f>
        <v/>
      </c>
      <c r="F523" s="74" t="str">
        <f>IF('Prod 2'!K523="","",'Prod 2'!K523)</f>
        <v/>
      </c>
      <c r="G523" s="77" t="str">
        <f>IF('Prod 1'!I523="","",'Prod 1'!I523)</f>
        <v/>
      </c>
      <c r="H523" s="63" t="str">
        <f>IF('Prod 1'!F523="","",'Prod 1'!F523)</f>
        <v/>
      </c>
      <c r="I523" s="75" t="str">
        <f>IF('Prod 3'!F523="","",'Prod 3'!F523)</f>
        <v/>
      </c>
    </row>
    <row r="524" spans="3:9" ht="30" customHeight="1" x14ac:dyDescent="0.25">
      <c r="C524" s="42">
        <v>520</v>
      </c>
      <c r="D524" s="67" t="str">
        <f>IF('Prod 1'!D524="","",'Prod 1'!D524)</f>
        <v/>
      </c>
      <c r="E524" s="73" t="str">
        <f>IF('Prod 1'!E524="","",'Prod 1'!E524)</f>
        <v/>
      </c>
      <c r="F524" s="74" t="str">
        <f>IF('Prod 2'!K524="","",'Prod 2'!K524)</f>
        <v/>
      </c>
      <c r="G524" s="77" t="str">
        <f>IF('Prod 1'!I524="","",'Prod 1'!I524)</f>
        <v/>
      </c>
      <c r="H524" s="63" t="str">
        <f>IF('Prod 1'!F524="","",'Prod 1'!F524)</f>
        <v/>
      </c>
      <c r="I524" s="75" t="str">
        <f>IF('Prod 3'!F524="","",'Prod 3'!F524)</f>
        <v/>
      </c>
    </row>
    <row r="525" spans="3:9" ht="30" customHeight="1" x14ac:dyDescent="0.25">
      <c r="C525" s="42">
        <v>521</v>
      </c>
      <c r="D525" s="67" t="str">
        <f>IF('Prod 1'!D525="","",'Prod 1'!D525)</f>
        <v/>
      </c>
      <c r="E525" s="73" t="str">
        <f>IF('Prod 1'!E525="","",'Prod 1'!E525)</f>
        <v/>
      </c>
      <c r="F525" s="74" t="str">
        <f>IF('Prod 2'!K525="","",'Prod 2'!K525)</f>
        <v/>
      </c>
      <c r="G525" s="77" t="str">
        <f>IF('Prod 1'!I525="","",'Prod 1'!I525)</f>
        <v/>
      </c>
      <c r="H525" s="63" t="str">
        <f>IF('Prod 1'!F525="","",'Prod 1'!F525)</f>
        <v/>
      </c>
      <c r="I525" s="75" t="str">
        <f>IF('Prod 3'!F525="","",'Prod 3'!F525)</f>
        <v/>
      </c>
    </row>
    <row r="526" spans="3:9" ht="30" customHeight="1" x14ac:dyDescent="0.25">
      <c r="C526" s="42">
        <v>522</v>
      </c>
      <c r="D526" s="67" t="str">
        <f>IF('Prod 1'!D526="","",'Prod 1'!D526)</f>
        <v/>
      </c>
      <c r="E526" s="73" t="str">
        <f>IF('Prod 1'!E526="","",'Prod 1'!E526)</f>
        <v/>
      </c>
      <c r="F526" s="74" t="str">
        <f>IF('Prod 2'!K526="","",'Prod 2'!K526)</f>
        <v/>
      </c>
      <c r="G526" s="77" t="str">
        <f>IF('Prod 1'!I526="","",'Prod 1'!I526)</f>
        <v/>
      </c>
      <c r="H526" s="63" t="str">
        <f>IF('Prod 1'!F526="","",'Prod 1'!F526)</f>
        <v/>
      </c>
      <c r="I526" s="75" t="str">
        <f>IF('Prod 3'!F526="","",'Prod 3'!F526)</f>
        <v/>
      </c>
    </row>
    <row r="527" spans="3:9" ht="30" customHeight="1" x14ac:dyDescent="0.25">
      <c r="C527" s="42">
        <v>523</v>
      </c>
      <c r="D527" s="67" t="str">
        <f>IF('Prod 1'!D527="","",'Prod 1'!D527)</f>
        <v/>
      </c>
      <c r="E527" s="73" t="str">
        <f>IF('Prod 1'!E527="","",'Prod 1'!E527)</f>
        <v/>
      </c>
      <c r="F527" s="74" t="str">
        <f>IF('Prod 2'!K527="","",'Prod 2'!K527)</f>
        <v/>
      </c>
      <c r="G527" s="77" t="str">
        <f>IF('Prod 1'!I527="","",'Prod 1'!I527)</f>
        <v/>
      </c>
      <c r="H527" s="63" t="str">
        <f>IF('Prod 1'!F527="","",'Prod 1'!F527)</f>
        <v/>
      </c>
      <c r="I527" s="75" t="str">
        <f>IF('Prod 3'!F527="","",'Prod 3'!F527)</f>
        <v/>
      </c>
    </row>
    <row r="528" spans="3:9" ht="30" customHeight="1" x14ac:dyDescent="0.25">
      <c r="C528" s="42">
        <v>524</v>
      </c>
      <c r="D528" s="67" t="str">
        <f>IF('Prod 1'!D528="","",'Prod 1'!D528)</f>
        <v/>
      </c>
      <c r="E528" s="73" t="str">
        <f>IF('Prod 1'!E528="","",'Prod 1'!E528)</f>
        <v/>
      </c>
      <c r="F528" s="74" t="str">
        <f>IF('Prod 2'!K528="","",'Prod 2'!K528)</f>
        <v/>
      </c>
      <c r="G528" s="77" t="str">
        <f>IF('Prod 1'!I528="","",'Prod 1'!I528)</f>
        <v/>
      </c>
      <c r="H528" s="63" t="str">
        <f>IF('Prod 1'!F528="","",'Prod 1'!F528)</f>
        <v/>
      </c>
      <c r="I528" s="75" t="str">
        <f>IF('Prod 3'!F528="","",'Prod 3'!F528)</f>
        <v/>
      </c>
    </row>
    <row r="529" spans="3:9" ht="30" customHeight="1" x14ac:dyDescent="0.25">
      <c r="C529" s="42">
        <v>525</v>
      </c>
      <c r="D529" s="67" t="str">
        <f>IF('Prod 1'!D529="","",'Prod 1'!D529)</f>
        <v/>
      </c>
      <c r="E529" s="73" t="str">
        <f>IF('Prod 1'!E529="","",'Prod 1'!E529)</f>
        <v/>
      </c>
      <c r="F529" s="74" t="str">
        <f>IF('Prod 2'!K529="","",'Prod 2'!K529)</f>
        <v/>
      </c>
      <c r="G529" s="77" t="str">
        <f>IF('Prod 1'!I529="","",'Prod 1'!I529)</f>
        <v/>
      </c>
      <c r="H529" s="63" t="str">
        <f>IF('Prod 1'!F529="","",'Prod 1'!F529)</f>
        <v/>
      </c>
      <c r="I529" s="75" t="str">
        <f>IF('Prod 3'!F529="","",'Prod 3'!F529)</f>
        <v/>
      </c>
    </row>
    <row r="530" spans="3:9" ht="30" customHeight="1" x14ac:dyDescent="0.25">
      <c r="C530" s="42">
        <v>526</v>
      </c>
      <c r="D530" s="67" t="str">
        <f>IF('Prod 1'!D530="","",'Prod 1'!D530)</f>
        <v/>
      </c>
      <c r="E530" s="73" t="str">
        <f>IF('Prod 1'!E530="","",'Prod 1'!E530)</f>
        <v/>
      </c>
      <c r="F530" s="74" t="str">
        <f>IF('Prod 2'!K530="","",'Prod 2'!K530)</f>
        <v/>
      </c>
      <c r="G530" s="77" t="str">
        <f>IF('Prod 1'!I530="","",'Prod 1'!I530)</f>
        <v/>
      </c>
      <c r="H530" s="63" t="str">
        <f>IF('Prod 1'!F530="","",'Prod 1'!F530)</f>
        <v/>
      </c>
      <c r="I530" s="75" t="str">
        <f>IF('Prod 3'!F530="","",'Prod 3'!F530)</f>
        <v/>
      </c>
    </row>
    <row r="531" spans="3:9" ht="30" customHeight="1" x14ac:dyDescent="0.25">
      <c r="C531" s="42">
        <v>527</v>
      </c>
      <c r="D531" s="67" t="str">
        <f>IF('Prod 1'!D531="","",'Prod 1'!D531)</f>
        <v/>
      </c>
      <c r="E531" s="73" t="str">
        <f>IF('Prod 1'!E531="","",'Prod 1'!E531)</f>
        <v/>
      </c>
      <c r="F531" s="74" t="str">
        <f>IF('Prod 2'!K531="","",'Prod 2'!K531)</f>
        <v/>
      </c>
      <c r="G531" s="77" t="str">
        <f>IF('Prod 1'!I531="","",'Prod 1'!I531)</f>
        <v/>
      </c>
      <c r="H531" s="63" t="str">
        <f>IF('Prod 1'!F531="","",'Prod 1'!F531)</f>
        <v/>
      </c>
      <c r="I531" s="75" t="str">
        <f>IF('Prod 3'!F531="","",'Prod 3'!F531)</f>
        <v/>
      </c>
    </row>
    <row r="532" spans="3:9" ht="30" customHeight="1" x14ac:dyDescent="0.25">
      <c r="C532" s="42">
        <v>528</v>
      </c>
      <c r="D532" s="67" t="str">
        <f>IF('Prod 1'!D532="","",'Prod 1'!D532)</f>
        <v/>
      </c>
      <c r="E532" s="73" t="str">
        <f>IF('Prod 1'!E532="","",'Prod 1'!E532)</f>
        <v/>
      </c>
      <c r="F532" s="74" t="str">
        <f>IF('Prod 2'!K532="","",'Prod 2'!K532)</f>
        <v/>
      </c>
      <c r="G532" s="77" t="str">
        <f>IF('Prod 1'!I532="","",'Prod 1'!I532)</f>
        <v/>
      </c>
      <c r="H532" s="63" t="str">
        <f>IF('Prod 1'!F532="","",'Prod 1'!F532)</f>
        <v/>
      </c>
      <c r="I532" s="75" t="str">
        <f>IF('Prod 3'!F532="","",'Prod 3'!F532)</f>
        <v/>
      </c>
    </row>
    <row r="533" spans="3:9" ht="30" customHeight="1" x14ac:dyDescent="0.25">
      <c r="C533" s="42">
        <v>529</v>
      </c>
      <c r="D533" s="67" t="str">
        <f>IF('Prod 1'!D533="","",'Prod 1'!D533)</f>
        <v/>
      </c>
      <c r="E533" s="73" t="str">
        <f>IF('Prod 1'!E533="","",'Prod 1'!E533)</f>
        <v/>
      </c>
      <c r="F533" s="74" t="str">
        <f>IF('Prod 2'!K533="","",'Prod 2'!K533)</f>
        <v/>
      </c>
      <c r="G533" s="77" t="str">
        <f>IF('Prod 1'!I533="","",'Prod 1'!I533)</f>
        <v/>
      </c>
      <c r="H533" s="63" t="str">
        <f>IF('Prod 1'!F533="","",'Prod 1'!F533)</f>
        <v/>
      </c>
      <c r="I533" s="75" t="str">
        <f>IF('Prod 3'!F533="","",'Prod 3'!F533)</f>
        <v/>
      </c>
    </row>
    <row r="534" spans="3:9" ht="30" customHeight="1" x14ac:dyDescent="0.25">
      <c r="C534" s="42">
        <v>530</v>
      </c>
      <c r="D534" s="67" t="str">
        <f>IF('Prod 1'!D534="","",'Prod 1'!D534)</f>
        <v/>
      </c>
      <c r="E534" s="73" t="str">
        <f>IF('Prod 1'!E534="","",'Prod 1'!E534)</f>
        <v/>
      </c>
      <c r="F534" s="74" t="str">
        <f>IF('Prod 2'!K534="","",'Prod 2'!K534)</f>
        <v/>
      </c>
      <c r="G534" s="77" t="str">
        <f>IF('Prod 1'!I534="","",'Prod 1'!I534)</f>
        <v/>
      </c>
      <c r="H534" s="63" t="str">
        <f>IF('Prod 1'!F534="","",'Prod 1'!F534)</f>
        <v/>
      </c>
      <c r="I534" s="75" t="str">
        <f>IF('Prod 3'!F534="","",'Prod 3'!F534)</f>
        <v/>
      </c>
    </row>
    <row r="535" spans="3:9" ht="30" customHeight="1" x14ac:dyDescent="0.25">
      <c r="C535" s="42">
        <v>531</v>
      </c>
      <c r="D535" s="67" t="str">
        <f>IF('Prod 1'!D535="","",'Prod 1'!D535)</f>
        <v/>
      </c>
      <c r="E535" s="73" t="str">
        <f>IF('Prod 1'!E535="","",'Prod 1'!E535)</f>
        <v/>
      </c>
      <c r="F535" s="74" t="str">
        <f>IF('Prod 2'!K535="","",'Prod 2'!K535)</f>
        <v/>
      </c>
      <c r="G535" s="77" t="str">
        <f>IF('Prod 1'!I535="","",'Prod 1'!I535)</f>
        <v/>
      </c>
      <c r="H535" s="63" t="str">
        <f>IF('Prod 1'!F535="","",'Prod 1'!F535)</f>
        <v/>
      </c>
      <c r="I535" s="75" t="str">
        <f>IF('Prod 3'!F535="","",'Prod 3'!F535)</f>
        <v/>
      </c>
    </row>
    <row r="536" spans="3:9" ht="30" customHeight="1" x14ac:dyDescent="0.25">
      <c r="C536" s="42">
        <v>532</v>
      </c>
      <c r="D536" s="67" t="str">
        <f>IF('Prod 1'!D536="","",'Prod 1'!D536)</f>
        <v/>
      </c>
      <c r="E536" s="73" t="str">
        <f>IF('Prod 1'!E536="","",'Prod 1'!E536)</f>
        <v/>
      </c>
      <c r="F536" s="74" t="str">
        <f>IF('Prod 2'!K536="","",'Prod 2'!K536)</f>
        <v/>
      </c>
      <c r="G536" s="77" t="str">
        <f>IF('Prod 1'!I536="","",'Prod 1'!I536)</f>
        <v/>
      </c>
      <c r="H536" s="63" t="str">
        <f>IF('Prod 1'!F536="","",'Prod 1'!F536)</f>
        <v/>
      </c>
      <c r="I536" s="75" t="str">
        <f>IF('Prod 3'!F536="","",'Prod 3'!F536)</f>
        <v/>
      </c>
    </row>
    <row r="537" spans="3:9" ht="30" customHeight="1" x14ac:dyDescent="0.25">
      <c r="C537" s="42">
        <v>533</v>
      </c>
      <c r="D537" s="67" t="str">
        <f>IF('Prod 1'!D537="","",'Prod 1'!D537)</f>
        <v/>
      </c>
      <c r="E537" s="73" t="str">
        <f>IF('Prod 1'!E537="","",'Prod 1'!E537)</f>
        <v/>
      </c>
      <c r="F537" s="74" t="str">
        <f>IF('Prod 2'!K537="","",'Prod 2'!K537)</f>
        <v/>
      </c>
      <c r="G537" s="77" t="str">
        <f>IF('Prod 1'!I537="","",'Prod 1'!I537)</f>
        <v/>
      </c>
      <c r="H537" s="63" t="str">
        <f>IF('Prod 1'!F537="","",'Prod 1'!F537)</f>
        <v/>
      </c>
      <c r="I537" s="75" t="str">
        <f>IF('Prod 3'!F537="","",'Prod 3'!F537)</f>
        <v/>
      </c>
    </row>
    <row r="538" spans="3:9" ht="30" customHeight="1" x14ac:dyDescent="0.25">
      <c r="C538" s="42">
        <v>534</v>
      </c>
      <c r="D538" s="67" t="str">
        <f>IF('Prod 1'!D538="","",'Prod 1'!D538)</f>
        <v/>
      </c>
      <c r="E538" s="73" t="str">
        <f>IF('Prod 1'!E538="","",'Prod 1'!E538)</f>
        <v/>
      </c>
      <c r="F538" s="74" t="str">
        <f>IF('Prod 2'!K538="","",'Prod 2'!K538)</f>
        <v/>
      </c>
      <c r="G538" s="77" t="str">
        <f>IF('Prod 1'!I538="","",'Prod 1'!I538)</f>
        <v/>
      </c>
      <c r="H538" s="63" t="str">
        <f>IF('Prod 1'!F538="","",'Prod 1'!F538)</f>
        <v/>
      </c>
      <c r="I538" s="75" t="str">
        <f>IF('Prod 3'!F538="","",'Prod 3'!F538)</f>
        <v/>
      </c>
    </row>
    <row r="539" spans="3:9" ht="30" customHeight="1" x14ac:dyDescent="0.25">
      <c r="C539" s="42">
        <v>535</v>
      </c>
      <c r="D539" s="67" t="str">
        <f>IF('Prod 1'!D539="","",'Prod 1'!D539)</f>
        <v/>
      </c>
      <c r="E539" s="73" t="str">
        <f>IF('Prod 1'!E539="","",'Prod 1'!E539)</f>
        <v/>
      </c>
      <c r="F539" s="74" t="str">
        <f>IF('Prod 2'!K539="","",'Prod 2'!K539)</f>
        <v/>
      </c>
      <c r="G539" s="77" t="str">
        <f>IF('Prod 1'!I539="","",'Prod 1'!I539)</f>
        <v/>
      </c>
      <c r="H539" s="63" t="str">
        <f>IF('Prod 1'!F539="","",'Prod 1'!F539)</f>
        <v/>
      </c>
      <c r="I539" s="75" t="str">
        <f>IF('Prod 3'!F539="","",'Prod 3'!F539)</f>
        <v/>
      </c>
    </row>
    <row r="540" spans="3:9" ht="30" customHeight="1" x14ac:dyDescent="0.25">
      <c r="C540" s="42">
        <v>536</v>
      </c>
      <c r="D540" s="67" t="str">
        <f>IF('Prod 1'!D540="","",'Prod 1'!D540)</f>
        <v/>
      </c>
      <c r="E540" s="73" t="str">
        <f>IF('Prod 1'!E540="","",'Prod 1'!E540)</f>
        <v/>
      </c>
      <c r="F540" s="74" t="str">
        <f>IF('Prod 2'!K540="","",'Prod 2'!K540)</f>
        <v/>
      </c>
      <c r="G540" s="77" t="str">
        <f>IF('Prod 1'!I540="","",'Prod 1'!I540)</f>
        <v/>
      </c>
      <c r="H540" s="63" t="str">
        <f>IF('Prod 1'!F540="","",'Prod 1'!F540)</f>
        <v/>
      </c>
      <c r="I540" s="75" t="str">
        <f>IF('Prod 3'!F540="","",'Prod 3'!F540)</f>
        <v/>
      </c>
    </row>
    <row r="541" spans="3:9" ht="30" customHeight="1" x14ac:dyDescent="0.25">
      <c r="C541" s="42">
        <v>537</v>
      </c>
      <c r="D541" s="67" t="str">
        <f>IF('Prod 1'!D541="","",'Prod 1'!D541)</f>
        <v/>
      </c>
      <c r="E541" s="73" t="str">
        <f>IF('Prod 1'!E541="","",'Prod 1'!E541)</f>
        <v/>
      </c>
      <c r="F541" s="74" t="str">
        <f>IF('Prod 2'!K541="","",'Prod 2'!K541)</f>
        <v/>
      </c>
      <c r="G541" s="77" t="str">
        <f>IF('Prod 1'!I541="","",'Prod 1'!I541)</f>
        <v/>
      </c>
      <c r="H541" s="63" t="str">
        <f>IF('Prod 1'!F541="","",'Prod 1'!F541)</f>
        <v/>
      </c>
      <c r="I541" s="75" t="str">
        <f>IF('Prod 3'!F541="","",'Prod 3'!F541)</f>
        <v/>
      </c>
    </row>
    <row r="542" spans="3:9" ht="30" customHeight="1" x14ac:dyDescent="0.25">
      <c r="C542" s="42">
        <v>538</v>
      </c>
      <c r="D542" s="67" t="str">
        <f>IF('Prod 1'!D542="","",'Prod 1'!D542)</f>
        <v/>
      </c>
      <c r="E542" s="73" t="str">
        <f>IF('Prod 1'!E542="","",'Prod 1'!E542)</f>
        <v/>
      </c>
      <c r="F542" s="74" t="str">
        <f>IF('Prod 2'!K542="","",'Prod 2'!K542)</f>
        <v/>
      </c>
      <c r="G542" s="77" t="str">
        <f>IF('Prod 1'!I542="","",'Prod 1'!I542)</f>
        <v/>
      </c>
      <c r="H542" s="63" t="str">
        <f>IF('Prod 1'!F542="","",'Prod 1'!F542)</f>
        <v/>
      </c>
      <c r="I542" s="75" t="str">
        <f>IF('Prod 3'!F542="","",'Prod 3'!F542)</f>
        <v/>
      </c>
    </row>
    <row r="543" spans="3:9" ht="30" customHeight="1" x14ac:dyDescent="0.25">
      <c r="C543" s="42">
        <v>539</v>
      </c>
      <c r="D543" s="67" t="str">
        <f>IF('Prod 1'!D543="","",'Prod 1'!D543)</f>
        <v/>
      </c>
      <c r="E543" s="73" t="str">
        <f>IF('Prod 1'!E543="","",'Prod 1'!E543)</f>
        <v/>
      </c>
      <c r="F543" s="74" t="str">
        <f>IF('Prod 2'!K543="","",'Prod 2'!K543)</f>
        <v/>
      </c>
      <c r="G543" s="77" t="str">
        <f>IF('Prod 1'!I543="","",'Prod 1'!I543)</f>
        <v/>
      </c>
      <c r="H543" s="63" t="str">
        <f>IF('Prod 1'!F543="","",'Prod 1'!F543)</f>
        <v/>
      </c>
      <c r="I543" s="75" t="str">
        <f>IF('Prod 3'!F543="","",'Prod 3'!F543)</f>
        <v/>
      </c>
    </row>
    <row r="544" spans="3:9" ht="30" customHeight="1" x14ac:dyDescent="0.25">
      <c r="C544" s="42">
        <v>540</v>
      </c>
      <c r="D544" s="67" t="str">
        <f>IF('Prod 1'!D544="","",'Prod 1'!D544)</f>
        <v/>
      </c>
      <c r="E544" s="73" t="str">
        <f>IF('Prod 1'!E544="","",'Prod 1'!E544)</f>
        <v/>
      </c>
      <c r="F544" s="74" t="str">
        <f>IF('Prod 2'!K544="","",'Prod 2'!K544)</f>
        <v/>
      </c>
      <c r="G544" s="77" t="str">
        <f>IF('Prod 1'!I544="","",'Prod 1'!I544)</f>
        <v/>
      </c>
      <c r="H544" s="63" t="str">
        <f>IF('Prod 1'!F544="","",'Prod 1'!F544)</f>
        <v/>
      </c>
      <c r="I544" s="75" t="str">
        <f>IF('Prod 3'!F544="","",'Prod 3'!F544)</f>
        <v/>
      </c>
    </row>
    <row r="545" spans="3:9" ht="30" customHeight="1" x14ac:dyDescent="0.25">
      <c r="C545" s="42">
        <v>541</v>
      </c>
      <c r="D545" s="67" t="str">
        <f>IF('Prod 1'!D545="","",'Prod 1'!D545)</f>
        <v/>
      </c>
      <c r="E545" s="73" t="str">
        <f>IF('Prod 1'!E545="","",'Prod 1'!E545)</f>
        <v/>
      </c>
      <c r="F545" s="74" t="str">
        <f>IF('Prod 2'!K545="","",'Prod 2'!K545)</f>
        <v/>
      </c>
      <c r="G545" s="77" t="str">
        <f>IF('Prod 1'!I545="","",'Prod 1'!I545)</f>
        <v/>
      </c>
      <c r="H545" s="63" t="str">
        <f>IF('Prod 1'!F545="","",'Prod 1'!F545)</f>
        <v/>
      </c>
      <c r="I545" s="75" t="str">
        <f>IF('Prod 3'!F545="","",'Prod 3'!F545)</f>
        <v/>
      </c>
    </row>
    <row r="546" spans="3:9" ht="30" customHeight="1" x14ac:dyDescent="0.25">
      <c r="C546" s="42">
        <v>542</v>
      </c>
      <c r="D546" s="67" t="str">
        <f>IF('Prod 1'!D546="","",'Prod 1'!D546)</f>
        <v/>
      </c>
      <c r="E546" s="73" t="str">
        <f>IF('Prod 1'!E546="","",'Prod 1'!E546)</f>
        <v/>
      </c>
      <c r="F546" s="74" t="str">
        <f>IF('Prod 2'!K546="","",'Prod 2'!K546)</f>
        <v/>
      </c>
      <c r="G546" s="77" t="str">
        <f>IF('Prod 1'!I546="","",'Prod 1'!I546)</f>
        <v/>
      </c>
      <c r="H546" s="63" t="str">
        <f>IF('Prod 1'!F546="","",'Prod 1'!F546)</f>
        <v/>
      </c>
      <c r="I546" s="75" t="str">
        <f>IF('Prod 3'!F546="","",'Prod 3'!F546)</f>
        <v/>
      </c>
    </row>
    <row r="547" spans="3:9" ht="30" customHeight="1" x14ac:dyDescent="0.25">
      <c r="C547" s="42">
        <v>543</v>
      </c>
      <c r="D547" s="67" t="str">
        <f>IF('Prod 1'!D547="","",'Prod 1'!D547)</f>
        <v/>
      </c>
      <c r="E547" s="73" t="str">
        <f>IF('Prod 1'!E547="","",'Prod 1'!E547)</f>
        <v/>
      </c>
      <c r="F547" s="74" t="str">
        <f>IF('Prod 2'!K547="","",'Prod 2'!K547)</f>
        <v/>
      </c>
      <c r="G547" s="77" t="str">
        <f>IF('Prod 1'!I547="","",'Prod 1'!I547)</f>
        <v/>
      </c>
      <c r="H547" s="63" t="str">
        <f>IF('Prod 1'!F547="","",'Prod 1'!F547)</f>
        <v/>
      </c>
      <c r="I547" s="75" t="str">
        <f>IF('Prod 3'!F547="","",'Prod 3'!F547)</f>
        <v/>
      </c>
    </row>
    <row r="548" spans="3:9" ht="30" customHeight="1" x14ac:dyDescent="0.25">
      <c r="C548" s="42">
        <v>544</v>
      </c>
      <c r="D548" s="67" t="str">
        <f>IF('Prod 1'!D548="","",'Prod 1'!D548)</f>
        <v/>
      </c>
      <c r="E548" s="73" t="str">
        <f>IF('Prod 1'!E548="","",'Prod 1'!E548)</f>
        <v/>
      </c>
      <c r="F548" s="74" t="str">
        <f>IF('Prod 2'!K548="","",'Prod 2'!K548)</f>
        <v/>
      </c>
      <c r="G548" s="77" t="str">
        <f>IF('Prod 1'!I548="","",'Prod 1'!I548)</f>
        <v/>
      </c>
      <c r="H548" s="63" t="str">
        <f>IF('Prod 1'!F548="","",'Prod 1'!F548)</f>
        <v/>
      </c>
      <c r="I548" s="75" t="str">
        <f>IF('Prod 3'!F548="","",'Prod 3'!F548)</f>
        <v/>
      </c>
    </row>
    <row r="549" spans="3:9" ht="30" customHeight="1" x14ac:dyDescent="0.25">
      <c r="C549" s="42">
        <v>545</v>
      </c>
      <c r="D549" s="67" t="str">
        <f>IF('Prod 1'!D549="","",'Prod 1'!D549)</f>
        <v/>
      </c>
      <c r="E549" s="73" t="str">
        <f>IF('Prod 1'!E549="","",'Prod 1'!E549)</f>
        <v/>
      </c>
      <c r="F549" s="74" t="str">
        <f>IF('Prod 2'!K549="","",'Prod 2'!K549)</f>
        <v/>
      </c>
      <c r="G549" s="77" t="str">
        <f>IF('Prod 1'!I549="","",'Prod 1'!I549)</f>
        <v/>
      </c>
      <c r="H549" s="63" t="str">
        <f>IF('Prod 1'!F549="","",'Prod 1'!F549)</f>
        <v/>
      </c>
      <c r="I549" s="75" t="str">
        <f>IF('Prod 3'!F549="","",'Prod 3'!F549)</f>
        <v/>
      </c>
    </row>
    <row r="550" spans="3:9" ht="30" customHeight="1" x14ac:dyDescent="0.25">
      <c r="C550" s="42">
        <v>546</v>
      </c>
      <c r="D550" s="67" t="str">
        <f>IF('Prod 1'!D550="","",'Prod 1'!D550)</f>
        <v/>
      </c>
      <c r="E550" s="73" t="str">
        <f>IF('Prod 1'!E550="","",'Prod 1'!E550)</f>
        <v/>
      </c>
      <c r="F550" s="74" t="str">
        <f>IF('Prod 2'!K550="","",'Prod 2'!K550)</f>
        <v/>
      </c>
      <c r="G550" s="77" t="str">
        <f>IF('Prod 1'!I550="","",'Prod 1'!I550)</f>
        <v/>
      </c>
      <c r="H550" s="63" t="str">
        <f>IF('Prod 1'!F550="","",'Prod 1'!F550)</f>
        <v/>
      </c>
      <c r="I550" s="75" t="str">
        <f>IF('Prod 3'!F550="","",'Prod 3'!F550)</f>
        <v/>
      </c>
    </row>
    <row r="551" spans="3:9" ht="30" customHeight="1" x14ac:dyDescent="0.25">
      <c r="C551" s="42">
        <v>547</v>
      </c>
      <c r="D551" s="67" t="str">
        <f>IF('Prod 1'!D551="","",'Prod 1'!D551)</f>
        <v/>
      </c>
      <c r="E551" s="73" t="str">
        <f>IF('Prod 1'!E551="","",'Prod 1'!E551)</f>
        <v/>
      </c>
      <c r="F551" s="74" t="str">
        <f>IF('Prod 2'!K551="","",'Prod 2'!K551)</f>
        <v/>
      </c>
      <c r="G551" s="77" t="str">
        <f>IF('Prod 1'!I551="","",'Prod 1'!I551)</f>
        <v/>
      </c>
      <c r="H551" s="63" t="str">
        <f>IF('Prod 1'!F551="","",'Prod 1'!F551)</f>
        <v/>
      </c>
      <c r="I551" s="75" t="str">
        <f>IF('Prod 3'!F551="","",'Prod 3'!F551)</f>
        <v/>
      </c>
    </row>
    <row r="552" spans="3:9" ht="30" customHeight="1" x14ac:dyDescent="0.25">
      <c r="C552" s="42">
        <v>548</v>
      </c>
      <c r="D552" s="67" t="str">
        <f>IF('Prod 1'!D552="","",'Prod 1'!D552)</f>
        <v/>
      </c>
      <c r="E552" s="73" t="str">
        <f>IF('Prod 1'!E552="","",'Prod 1'!E552)</f>
        <v/>
      </c>
      <c r="F552" s="74" t="str">
        <f>IF('Prod 2'!K552="","",'Prod 2'!K552)</f>
        <v/>
      </c>
      <c r="G552" s="77" t="str">
        <f>IF('Prod 1'!I552="","",'Prod 1'!I552)</f>
        <v/>
      </c>
      <c r="H552" s="63" t="str">
        <f>IF('Prod 1'!F552="","",'Prod 1'!F552)</f>
        <v/>
      </c>
      <c r="I552" s="75" t="str">
        <f>IF('Prod 3'!F552="","",'Prod 3'!F552)</f>
        <v/>
      </c>
    </row>
    <row r="553" spans="3:9" ht="30" customHeight="1" x14ac:dyDescent="0.25">
      <c r="C553" s="42">
        <v>549</v>
      </c>
      <c r="D553" s="67" t="str">
        <f>IF('Prod 1'!D553="","",'Prod 1'!D553)</f>
        <v/>
      </c>
      <c r="E553" s="73" t="str">
        <f>IF('Prod 1'!E553="","",'Prod 1'!E553)</f>
        <v/>
      </c>
      <c r="F553" s="74" t="str">
        <f>IF('Prod 2'!K553="","",'Prod 2'!K553)</f>
        <v/>
      </c>
      <c r="G553" s="77" t="str">
        <f>IF('Prod 1'!I553="","",'Prod 1'!I553)</f>
        <v/>
      </c>
      <c r="H553" s="63" t="str">
        <f>IF('Prod 1'!F553="","",'Prod 1'!F553)</f>
        <v/>
      </c>
      <c r="I553" s="75" t="str">
        <f>IF('Prod 3'!F553="","",'Prod 3'!F553)</f>
        <v/>
      </c>
    </row>
    <row r="554" spans="3:9" ht="30" customHeight="1" x14ac:dyDescent="0.25">
      <c r="C554" s="42">
        <v>550</v>
      </c>
      <c r="D554" s="67" t="str">
        <f>IF('Prod 1'!D554="","",'Prod 1'!D554)</f>
        <v/>
      </c>
      <c r="E554" s="73" t="str">
        <f>IF('Prod 1'!E554="","",'Prod 1'!E554)</f>
        <v/>
      </c>
      <c r="F554" s="74" t="str">
        <f>IF('Prod 2'!K554="","",'Prod 2'!K554)</f>
        <v/>
      </c>
      <c r="G554" s="77" t="str">
        <f>IF('Prod 1'!I554="","",'Prod 1'!I554)</f>
        <v/>
      </c>
      <c r="H554" s="63" t="str">
        <f>IF('Prod 1'!F554="","",'Prod 1'!F554)</f>
        <v/>
      </c>
      <c r="I554" s="75" t="str">
        <f>IF('Prod 3'!F554="","",'Prod 3'!F554)</f>
        <v/>
      </c>
    </row>
    <row r="555" spans="3:9" ht="30" customHeight="1" x14ac:dyDescent="0.25">
      <c r="C555" s="42">
        <v>551</v>
      </c>
      <c r="D555" s="67" t="str">
        <f>IF('Prod 1'!D555="","",'Prod 1'!D555)</f>
        <v/>
      </c>
      <c r="E555" s="73" t="str">
        <f>IF('Prod 1'!E555="","",'Prod 1'!E555)</f>
        <v/>
      </c>
      <c r="F555" s="74" t="str">
        <f>IF('Prod 2'!K555="","",'Prod 2'!K555)</f>
        <v/>
      </c>
      <c r="G555" s="77" t="str">
        <f>IF('Prod 1'!I555="","",'Prod 1'!I555)</f>
        <v/>
      </c>
      <c r="H555" s="63" t="str">
        <f>IF('Prod 1'!F555="","",'Prod 1'!F555)</f>
        <v/>
      </c>
      <c r="I555" s="75" t="str">
        <f>IF('Prod 3'!F555="","",'Prod 3'!F555)</f>
        <v/>
      </c>
    </row>
    <row r="556" spans="3:9" ht="30" customHeight="1" x14ac:dyDescent="0.25">
      <c r="C556" s="42">
        <v>552</v>
      </c>
      <c r="D556" s="67" t="str">
        <f>IF('Prod 1'!D556="","",'Prod 1'!D556)</f>
        <v/>
      </c>
      <c r="E556" s="73" t="str">
        <f>IF('Prod 1'!E556="","",'Prod 1'!E556)</f>
        <v/>
      </c>
      <c r="F556" s="74" t="str">
        <f>IF('Prod 2'!K556="","",'Prod 2'!K556)</f>
        <v/>
      </c>
      <c r="G556" s="77" t="str">
        <f>IF('Prod 1'!I556="","",'Prod 1'!I556)</f>
        <v/>
      </c>
      <c r="H556" s="63" t="str">
        <f>IF('Prod 1'!F556="","",'Prod 1'!F556)</f>
        <v/>
      </c>
      <c r="I556" s="75" t="str">
        <f>IF('Prod 3'!F556="","",'Prod 3'!F556)</f>
        <v/>
      </c>
    </row>
    <row r="557" spans="3:9" ht="30" customHeight="1" x14ac:dyDescent="0.25">
      <c r="C557" s="42">
        <v>553</v>
      </c>
      <c r="D557" s="67" t="str">
        <f>IF('Prod 1'!D557="","",'Prod 1'!D557)</f>
        <v/>
      </c>
      <c r="E557" s="73" t="str">
        <f>IF('Prod 1'!E557="","",'Prod 1'!E557)</f>
        <v/>
      </c>
      <c r="F557" s="74" t="str">
        <f>IF('Prod 2'!K557="","",'Prod 2'!K557)</f>
        <v/>
      </c>
      <c r="G557" s="77" t="str">
        <f>IF('Prod 1'!I557="","",'Prod 1'!I557)</f>
        <v/>
      </c>
      <c r="H557" s="63" t="str">
        <f>IF('Prod 1'!F557="","",'Prod 1'!F557)</f>
        <v/>
      </c>
      <c r="I557" s="75" t="str">
        <f>IF('Prod 3'!F557="","",'Prod 3'!F557)</f>
        <v/>
      </c>
    </row>
    <row r="558" spans="3:9" ht="30" customHeight="1" x14ac:dyDescent="0.25">
      <c r="C558" s="42">
        <v>554</v>
      </c>
      <c r="D558" s="67" t="str">
        <f>IF('Prod 1'!D558="","",'Prod 1'!D558)</f>
        <v/>
      </c>
      <c r="E558" s="73" t="str">
        <f>IF('Prod 1'!E558="","",'Prod 1'!E558)</f>
        <v/>
      </c>
      <c r="F558" s="74" t="str">
        <f>IF('Prod 2'!K558="","",'Prod 2'!K558)</f>
        <v/>
      </c>
      <c r="G558" s="77" t="str">
        <f>IF('Prod 1'!I558="","",'Prod 1'!I558)</f>
        <v/>
      </c>
      <c r="H558" s="63" t="str">
        <f>IF('Prod 1'!F558="","",'Prod 1'!F558)</f>
        <v/>
      </c>
      <c r="I558" s="75" t="str">
        <f>IF('Prod 3'!F558="","",'Prod 3'!F558)</f>
        <v/>
      </c>
    </row>
    <row r="559" spans="3:9" ht="30" customHeight="1" x14ac:dyDescent="0.25">
      <c r="C559" s="42">
        <v>555</v>
      </c>
      <c r="D559" s="67" t="str">
        <f>IF('Prod 1'!D559="","",'Prod 1'!D559)</f>
        <v/>
      </c>
      <c r="E559" s="73" t="str">
        <f>IF('Prod 1'!E559="","",'Prod 1'!E559)</f>
        <v/>
      </c>
      <c r="F559" s="74" t="str">
        <f>IF('Prod 2'!K559="","",'Prod 2'!K559)</f>
        <v/>
      </c>
      <c r="G559" s="77" t="str">
        <f>IF('Prod 1'!I559="","",'Prod 1'!I559)</f>
        <v/>
      </c>
      <c r="H559" s="63" t="str">
        <f>IF('Prod 1'!F559="","",'Prod 1'!F559)</f>
        <v/>
      </c>
      <c r="I559" s="75" t="str">
        <f>IF('Prod 3'!F559="","",'Prod 3'!F559)</f>
        <v/>
      </c>
    </row>
    <row r="560" spans="3:9" ht="30" customHeight="1" x14ac:dyDescent="0.25">
      <c r="C560" s="42">
        <v>556</v>
      </c>
      <c r="D560" s="67" t="str">
        <f>IF('Prod 1'!D560="","",'Prod 1'!D560)</f>
        <v/>
      </c>
      <c r="E560" s="73" t="str">
        <f>IF('Prod 1'!E560="","",'Prod 1'!E560)</f>
        <v/>
      </c>
      <c r="F560" s="74" t="str">
        <f>IF('Prod 2'!K560="","",'Prod 2'!K560)</f>
        <v/>
      </c>
      <c r="G560" s="77" t="str">
        <f>IF('Prod 1'!I560="","",'Prod 1'!I560)</f>
        <v/>
      </c>
      <c r="H560" s="63" t="str">
        <f>IF('Prod 1'!F560="","",'Prod 1'!F560)</f>
        <v/>
      </c>
      <c r="I560" s="75" t="str">
        <f>IF('Prod 3'!F560="","",'Prod 3'!F560)</f>
        <v/>
      </c>
    </row>
    <row r="561" spans="3:9" ht="30" customHeight="1" x14ac:dyDescent="0.25">
      <c r="C561" s="42">
        <v>557</v>
      </c>
      <c r="D561" s="67" t="str">
        <f>IF('Prod 1'!D561="","",'Prod 1'!D561)</f>
        <v/>
      </c>
      <c r="E561" s="73" t="str">
        <f>IF('Prod 1'!E561="","",'Prod 1'!E561)</f>
        <v/>
      </c>
      <c r="F561" s="74" t="str">
        <f>IF('Prod 2'!K561="","",'Prod 2'!K561)</f>
        <v/>
      </c>
      <c r="G561" s="77" t="str">
        <f>IF('Prod 1'!I561="","",'Prod 1'!I561)</f>
        <v/>
      </c>
      <c r="H561" s="63" t="str">
        <f>IF('Prod 1'!F561="","",'Prod 1'!F561)</f>
        <v/>
      </c>
      <c r="I561" s="75" t="str">
        <f>IF('Prod 3'!F561="","",'Prod 3'!F561)</f>
        <v/>
      </c>
    </row>
    <row r="562" spans="3:9" ht="30" customHeight="1" x14ac:dyDescent="0.25">
      <c r="C562" s="42">
        <v>558</v>
      </c>
      <c r="D562" s="67" t="str">
        <f>IF('Prod 1'!D562="","",'Prod 1'!D562)</f>
        <v/>
      </c>
      <c r="E562" s="73" t="str">
        <f>IF('Prod 1'!E562="","",'Prod 1'!E562)</f>
        <v/>
      </c>
      <c r="F562" s="74" t="str">
        <f>IF('Prod 2'!K562="","",'Prod 2'!K562)</f>
        <v/>
      </c>
      <c r="G562" s="77" t="str">
        <f>IF('Prod 1'!I562="","",'Prod 1'!I562)</f>
        <v/>
      </c>
      <c r="H562" s="63" t="str">
        <f>IF('Prod 1'!F562="","",'Prod 1'!F562)</f>
        <v/>
      </c>
      <c r="I562" s="75" t="str">
        <f>IF('Prod 3'!F562="","",'Prod 3'!F562)</f>
        <v/>
      </c>
    </row>
    <row r="563" spans="3:9" ht="30" customHeight="1" x14ac:dyDescent="0.25">
      <c r="C563" s="42">
        <v>559</v>
      </c>
      <c r="D563" s="67" t="str">
        <f>IF('Prod 1'!D563="","",'Prod 1'!D563)</f>
        <v/>
      </c>
      <c r="E563" s="73" t="str">
        <f>IF('Prod 1'!E563="","",'Prod 1'!E563)</f>
        <v/>
      </c>
      <c r="F563" s="74" t="str">
        <f>IF('Prod 2'!K563="","",'Prod 2'!K563)</f>
        <v/>
      </c>
      <c r="G563" s="77" t="str">
        <f>IF('Prod 1'!I563="","",'Prod 1'!I563)</f>
        <v/>
      </c>
      <c r="H563" s="63" t="str">
        <f>IF('Prod 1'!F563="","",'Prod 1'!F563)</f>
        <v/>
      </c>
      <c r="I563" s="75" t="str">
        <f>IF('Prod 3'!F563="","",'Prod 3'!F563)</f>
        <v/>
      </c>
    </row>
    <row r="564" spans="3:9" ht="30" customHeight="1" x14ac:dyDescent="0.25">
      <c r="C564" s="42">
        <v>560</v>
      </c>
      <c r="D564" s="67" t="str">
        <f>IF('Prod 1'!D564="","",'Prod 1'!D564)</f>
        <v/>
      </c>
      <c r="E564" s="73" t="str">
        <f>IF('Prod 1'!E564="","",'Prod 1'!E564)</f>
        <v/>
      </c>
      <c r="F564" s="74" t="str">
        <f>IF('Prod 2'!K564="","",'Prod 2'!K564)</f>
        <v/>
      </c>
      <c r="G564" s="77" t="str">
        <f>IF('Prod 1'!I564="","",'Prod 1'!I564)</f>
        <v/>
      </c>
      <c r="H564" s="63" t="str">
        <f>IF('Prod 1'!F564="","",'Prod 1'!F564)</f>
        <v/>
      </c>
      <c r="I564" s="75" t="str">
        <f>IF('Prod 3'!F564="","",'Prod 3'!F564)</f>
        <v/>
      </c>
    </row>
    <row r="565" spans="3:9" ht="30" customHeight="1" x14ac:dyDescent="0.25">
      <c r="C565" s="42">
        <v>561</v>
      </c>
      <c r="D565" s="67" t="str">
        <f>IF('Prod 1'!D565="","",'Prod 1'!D565)</f>
        <v/>
      </c>
      <c r="E565" s="73" t="str">
        <f>IF('Prod 1'!E565="","",'Prod 1'!E565)</f>
        <v/>
      </c>
      <c r="F565" s="74" t="str">
        <f>IF('Prod 2'!K565="","",'Prod 2'!K565)</f>
        <v/>
      </c>
      <c r="G565" s="77" t="str">
        <f>IF('Prod 1'!I565="","",'Prod 1'!I565)</f>
        <v/>
      </c>
      <c r="H565" s="63" t="str">
        <f>IF('Prod 1'!F565="","",'Prod 1'!F565)</f>
        <v/>
      </c>
      <c r="I565" s="75" t="str">
        <f>IF('Prod 3'!F565="","",'Prod 3'!F565)</f>
        <v/>
      </c>
    </row>
    <row r="566" spans="3:9" ht="30" customHeight="1" x14ac:dyDescent="0.25">
      <c r="C566" s="42">
        <v>562</v>
      </c>
      <c r="D566" s="67" t="str">
        <f>IF('Prod 1'!D566="","",'Prod 1'!D566)</f>
        <v/>
      </c>
      <c r="E566" s="73" t="str">
        <f>IF('Prod 1'!E566="","",'Prod 1'!E566)</f>
        <v/>
      </c>
      <c r="F566" s="74" t="str">
        <f>IF('Prod 2'!K566="","",'Prod 2'!K566)</f>
        <v/>
      </c>
      <c r="G566" s="77" t="str">
        <f>IF('Prod 1'!I566="","",'Prod 1'!I566)</f>
        <v/>
      </c>
      <c r="H566" s="63" t="str">
        <f>IF('Prod 1'!F566="","",'Prod 1'!F566)</f>
        <v/>
      </c>
      <c r="I566" s="75" t="str">
        <f>IF('Prod 3'!F566="","",'Prod 3'!F566)</f>
        <v/>
      </c>
    </row>
    <row r="567" spans="3:9" ht="30" customHeight="1" x14ac:dyDescent="0.25">
      <c r="C567" s="42">
        <v>563</v>
      </c>
      <c r="D567" s="67" t="str">
        <f>IF('Prod 1'!D567="","",'Prod 1'!D567)</f>
        <v/>
      </c>
      <c r="E567" s="73" t="str">
        <f>IF('Prod 1'!E567="","",'Prod 1'!E567)</f>
        <v/>
      </c>
      <c r="F567" s="74" t="str">
        <f>IF('Prod 2'!K567="","",'Prod 2'!K567)</f>
        <v/>
      </c>
      <c r="G567" s="77" t="str">
        <f>IF('Prod 1'!I567="","",'Prod 1'!I567)</f>
        <v/>
      </c>
      <c r="H567" s="63" t="str">
        <f>IF('Prod 1'!F567="","",'Prod 1'!F567)</f>
        <v/>
      </c>
      <c r="I567" s="75" t="str">
        <f>IF('Prod 3'!F567="","",'Prod 3'!F567)</f>
        <v/>
      </c>
    </row>
    <row r="568" spans="3:9" ht="30" customHeight="1" x14ac:dyDescent="0.25">
      <c r="C568" s="42">
        <v>564</v>
      </c>
      <c r="D568" s="67" t="str">
        <f>IF('Prod 1'!D568="","",'Prod 1'!D568)</f>
        <v/>
      </c>
      <c r="E568" s="73" t="str">
        <f>IF('Prod 1'!E568="","",'Prod 1'!E568)</f>
        <v/>
      </c>
      <c r="F568" s="74" t="str">
        <f>IF('Prod 2'!K568="","",'Prod 2'!K568)</f>
        <v/>
      </c>
      <c r="G568" s="77" t="str">
        <f>IF('Prod 1'!I568="","",'Prod 1'!I568)</f>
        <v/>
      </c>
      <c r="H568" s="63" t="str">
        <f>IF('Prod 1'!F568="","",'Prod 1'!F568)</f>
        <v/>
      </c>
      <c r="I568" s="75" t="str">
        <f>IF('Prod 3'!F568="","",'Prod 3'!F568)</f>
        <v/>
      </c>
    </row>
    <row r="569" spans="3:9" ht="30" customHeight="1" x14ac:dyDescent="0.25">
      <c r="C569" s="42">
        <v>565</v>
      </c>
      <c r="D569" s="67" t="str">
        <f>IF('Prod 1'!D569="","",'Prod 1'!D569)</f>
        <v/>
      </c>
      <c r="E569" s="73" t="str">
        <f>IF('Prod 1'!E569="","",'Prod 1'!E569)</f>
        <v/>
      </c>
      <c r="F569" s="74" t="str">
        <f>IF('Prod 2'!K569="","",'Prod 2'!K569)</f>
        <v/>
      </c>
      <c r="G569" s="77" t="str">
        <f>IF('Prod 1'!I569="","",'Prod 1'!I569)</f>
        <v/>
      </c>
      <c r="H569" s="63" t="str">
        <f>IF('Prod 1'!F569="","",'Prod 1'!F569)</f>
        <v/>
      </c>
      <c r="I569" s="75" t="str">
        <f>IF('Prod 3'!F569="","",'Prod 3'!F569)</f>
        <v/>
      </c>
    </row>
    <row r="570" spans="3:9" ht="30" customHeight="1" x14ac:dyDescent="0.25">
      <c r="C570" s="42">
        <v>566</v>
      </c>
      <c r="D570" s="67" t="str">
        <f>IF('Prod 1'!D570="","",'Prod 1'!D570)</f>
        <v/>
      </c>
      <c r="E570" s="73" t="str">
        <f>IF('Prod 1'!E570="","",'Prod 1'!E570)</f>
        <v/>
      </c>
      <c r="F570" s="74" t="str">
        <f>IF('Prod 2'!K570="","",'Prod 2'!K570)</f>
        <v/>
      </c>
      <c r="G570" s="77" t="str">
        <f>IF('Prod 1'!I570="","",'Prod 1'!I570)</f>
        <v/>
      </c>
      <c r="H570" s="63" t="str">
        <f>IF('Prod 1'!F570="","",'Prod 1'!F570)</f>
        <v/>
      </c>
      <c r="I570" s="75" t="str">
        <f>IF('Prod 3'!F570="","",'Prod 3'!F570)</f>
        <v/>
      </c>
    </row>
    <row r="571" spans="3:9" ht="30" customHeight="1" x14ac:dyDescent="0.25">
      <c r="C571" s="42">
        <v>567</v>
      </c>
      <c r="D571" s="67" t="str">
        <f>IF('Prod 1'!D571="","",'Prod 1'!D571)</f>
        <v/>
      </c>
      <c r="E571" s="73" t="str">
        <f>IF('Prod 1'!E571="","",'Prod 1'!E571)</f>
        <v/>
      </c>
      <c r="F571" s="74" t="str">
        <f>IF('Prod 2'!K571="","",'Prod 2'!K571)</f>
        <v/>
      </c>
      <c r="G571" s="77" t="str">
        <f>IF('Prod 1'!I571="","",'Prod 1'!I571)</f>
        <v/>
      </c>
      <c r="H571" s="63" t="str">
        <f>IF('Prod 1'!F571="","",'Prod 1'!F571)</f>
        <v/>
      </c>
      <c r="I571" s="75" t="str">
        <f>IF('Prod 3'!F571="","",'Prod 3'!F571)</f>
        <v/>
      </c>
    </row>
    <row r="572" spans="3:9" ht="30" customHeight="1" x14ac:dyDescent="0.25">
      <c r="C572" s="42">
        <v>568</v>
      </c>
      <c r="D572" s="67" t="str">
        <f>IF('Prod 1'!D572="","",'Prod 1'!D572)</f>
        <v/>
      </c>
      <c r="E572" s="73" t="str">
        <f>IF('Prod 1'!E572="","",'Prod 1'!E572)</f>
        <v/>
      </c>
      <c r="F572" s="74" t="str">
        <f>IF('Prod 2'!K572="","",'Prod 2'!K572)</f>
        <v/>
      </c>
      <c r="G572" s="77" t="str">
        <f>IF('Prod 1'!I572="","",'Prod 1'!I572)</f>
        <v/>
      </c>
      <c r="H572" s="63" t="str">
        <f>IF('Prod 1'!F572="","",'Prod 1'!F572)</f>
        <v/>
      </c>
      <c r="I572" s="75" t="str">
        <f>IF('Prod 3'!F572="","",'Prod 3'!F572)</f>
        <v/>
      </c>
    </row>
    <row r="573" spans="3:9" ht="30" customHeight="1" x14ac:dyDescent="0.25">
      <c r="C573" s="42">
        <v>569</v>
      </c>
      <c r="D573" s="67" t="str">
        <f>IF('Prod 1'!D573="","",'Prod 1'!D573)</f>
        <v/>
      </c>
      <c r="E573" s="73" t="str">
        <f>IF('Prod 1'!E573="","",'Prod 1'!E573)</f>
        <v/>
      </c>
      <c r="F573" s="74" t="str">
        <f>IF('Prod 2'!K573="","",'Prod 2'!K573)</f>
        <v/>
      </c>
      <c r="G573" s="77" t="str">
        <f>IF('Prod 1'!I573="","",'Prod 1'!I573)</f>
        <v/>
      </c>
      <c r="H573" s="63" t="str">
        <f>IF('Prod 1'!F573="","",'Prod 1'!F573)</f>
        <v/>
      </c>
      <c r="I573" s="75" t="str">
        <f>IF('Prod 3'!F573="","",'Prod 3'!F573)</f>
        <v/>
      </c>
    </row>
    <row r="574" spans="3:9" ht="30" customHeight="1" x14ac:dyDescent="0.25">
      <c r="C574" s="42">
        <v>570</v>
      </c>
      <c r="D574" s="67" t="str">
        <f>IF('Prod 1'!D574="","",'Prod 1'!D574)</f>
        <v/>
      </c>
      <c r="E574" s="73" t="str">
        <f>IF('Prod 1'!E574="","",'Prod 1'!E574)</f>
        <v/>
      </c>
      <c r="F574" s="74" t="str">
        <f>IF('Prod 2'!K574="","",'Prod 2'!K574)</f>
        <v/>
      </c>
      <c r="G574" s="77" t="str">
        <f>IF('Prod 1'!I574="","",'Prod 1'!I574)</f>
        <v/>
      </c>
      <c r="H574" s="63" t="str">
        <f>IF('Prod 1'!F574="","",'Prod 1'!F574)</f>
        <v/>
      </c>
      <c r="I574" s="75" t="str">
        <f>IF('Prod 3'!F574="","",'Prod 3'!F574)</f>
        <v/>
      </c>
    </row>
    <row r="575" spans="3:9" ht="30" customHeight="1" x14ac:dyDescent="0.25">
      <c r="C575" s="42">
        <v>571</v>
      </c>
      <c r="D575" s="67" t="str">
        <f>IF('Prod 1'!D575="","",'Prod 1'!D575)</f>
        <v/>
      </c>
      <c r="E575" s="73" t="str">
        <f>IF('Prod 1'!E575="","",'Prod 1'!E575)</f>
        <v/>
      </c>
      <c r="F575" s="74" t="str">
        <f>IF('Prod 2'!K575="","",'Prod 2'!K575)</f>
        <v/>
      </c>
      <c r="G575" s="77" t="str">
        <f>IF('Prod 1'!I575="","",'Prod 1'!I575)</f>
        <v/>
      </c>
      <c r="H575" s="63" t="str">
        <f>IF('Prod 1'!F575="","",'Prod 1'!F575)</f>
        <v/>
      </c>
      <c r="I575" s="75" t="str">
        <f>IF('Prod 3'!F575="","",'Prod 3'!F575)</f>
        <v/>
      </c>
    </row>
    <row r="576" spans="3:9" ht="30" customHeight="1" x14ac:dyDescent="0.25">
      <c r="C576" s="42">
        <v>572</v>
      </c>
      <c r="D576" s="67" t="str">
        <f>IF('Prod 1'!D576="","",'Prod 1'!D576)</f>
        <v/>
      </c>
      <c r="E576" s="73" t="str">
        <f>IF('Prod 1'!E576="","",'Prod 1'!E576)</f>
        <v/>
      </c>
      <c r="F576" s="74" t="str">
        <f>IF('Prod 2'!K576="","",'Prod 2'!K576)</f>
        <v/>
      </c>
      <c r="G576" s="77" t="str">
        <f>IF('Prod 1'!I576="","",'Prod 1'!I576)</f>
        <v/>
      </c>
      <c r="H576" s="63" t="str">
        <f>IF('Prod 1'!F576="","",'Prod 1'!F576)</f>
        <v/>
      </c>
      <c r="I576" s="75" t="str">
        <f>IF('Prod 3'!F576="","",'Prod 3'!F576)</f>
        <v/>
      </c>
    </row>
    <row r="577" spans="3:9" ht="30" customHeight="1" x14ac:dyDescent="0.25">
      <c r="C577" s="42">
        <v>573</v>
      </c>
      <c r="D577" s="67" t="str">
        <f>IF('Prod 1'!D577="","",'Prod 1'!D577)</f>
        <v/>
      </c>
      <c r="E577" s="73" t="str">
        <f>IF('Prod 1'!E577="","",'Prod 1'!E577)</f>
        <v/>
      </c>
      <c r="F577" s="74" t="str">
        <f>IF('Prod 2'!K577="","",'Prod 2'!K577)</f>
        <v/>
      </c>
      <c r="G577" s="77" t="str">
        <f>IF('Prod 1'!I577="","",'Prod 1'!I577)</f>
        <v/>
      </c>
      <c r="H577" s="63" t="str">
        <f>IF('Prod 1'!F577="","",'Prod 1'!F577)</f>
        <v/>
      </c>
      <c r="I577" s="75" t="str">
        <f>IF('Prod 3'!F577="","",'Prod 3'!F577)</f>
        <v/>
      </c>
    </row>
    <row r="578" spans="3:9" ht="30" customHeight="1" x14ac:dyDescent="0.25">
      <c r="C578" s="42">
        <v>574</v>
      </c>
      <c r="D578" s="67" t="str">
        <f>IF('Prod 1'!D578="","",'Prod 1'!D578)</f>
        <v/>
      </c>
      <c r="E578" s="73" t="str">
        <f>IF('Prod 1'!E578="","",'Prod 1'!E578)</f>
        <v/>
      </c>
      <c r="F578" s="74" t="str">
        <f>IF('Prod 2'!K578="","",'Prod 2'!K578)</f>
        <v/>
      </c>
      <c r="G578" s="77" t="str">
        <f>IF('Prod 1'!I578="","",'Prod 1'!I578)</f>
        <v/>
      </c>
      <c r="H578" s="63" t="str">
        <f>IF('Prod 1'!F578="","",'Prod 1'!F578)</f>
        <v/>
      </c>
      <c r="I578" s="75" t="str">
        <f>IF('Prod 3'!F578="","",'Prod 3'!F578)</f>
        <v/>
      </c>
    </row>
    <row r="579" spans="3:9" ht="30" customHeight="1" x14ac:dyDescent="0.25">
      <c r="C579" s="42">
        <v>575</v>
      </c>
      <c r="D579" s="67" t="str">
        <f>IF('Prod 1'!D579="","",'Prod 1'!D579)</f>
        <v/>
      </c>
      <c r="E579" s="73" t="str">
        <f>IF('Prod 1'!E579="","",'Prod 1'!E579)</f>
        <v/>
      </c>
      <c r="F579" s="74" t="str">
        <f>IF('Prod 2'!K579="","",'Prod 2'!K579)</f>
        <v/>
      </c>
      <c r="G579" s="77" t="str">
        <f>IF('Prod 1'!I579="","",'Prod 1'!I579)</f>
        <v/>
      </c>
      <c r="H579" s="63" t="str">
        <f>IF('Prod 1'!F579="","",'Prod 1'!F579)</f>
        <v/>
      </c>
      <c r="I579" s="75" t="str">
        <f>IF('Prod 3'!F579="","",'Prod 3'!F579)</f>
        <v/>
      </c>
    </row>
    <row r="580" spans="3:9" ht="30" customHeight="1" x14ac:dyDescent="0.25">
      <c r="C580" s="42">
        <v>576</v>
      </c>
      <c r="D580" s="67" t="str">
        <f>IF('Prod 1'!D580="","",'Prod 1'!D580)</f>
        <v/>
      </c>
      <c r="E580" s="73" t="str">
        <f>IF('Prod 1'!E580="","",'Prod 1'!E580)</f>
        <v/>
      </c>
      <c r="F580" s="74" t="str">
        <f>IF('Prod 2'!K580="","",'Prod 2'!K580)</f>
        <v/>
      </c>
      <c r="G580" s="77" t="str">
        <f>IF('Prod 1'!I580="","",'Prod 1'!I580)</f>
        <v/>
      </c>
      <c r="H580" s="63" t="str">
        <f>IF('Prod 1'!F580="","",'Prod 1'!F580)</f>
        <v/>
      </c>
      <c r="I580" s="75" t="str">
        <f>IF('Prod 3'!F580="","",'Prod 3'!F580)</f>
        <v/>
      </c>
    </row>
    <row r="581" spans="3:9" ht="30" customHeight="1" x14ac:dyDescent="0.25">
      <c r="C581" s="42">
        <v>577</v>
      </c>
      <c r="D581" s="67" t="str">
        <f>IF('Prod 1'!D581="","",'Prod 1'!D581)</f>
        <v/>
      </c>
      <c r="E581" s="73" t="str">
        <f>IF('Prod 1'!E581="","",'Prod 1'!E581)</f>
        <v/>
      </c>
      <c r="F581" s="74" t="str">
        <f>IF('Prod 2'!K581="","",'Prod 2'!K581)</f>
        <v/>
      </c>
      <c r="G581" s="77" t="str">
        <f>IF('Prod 1'!I581="","",'Prod 1'!I581)</f>
        <v/>
      </c>
      <c r="H581" s="63" t="str">
        <f>IF('Prod 1'!F581="","",'Prod 1'!F581)</f>
        <v/>
      </c>
      <c r="I581" s="75" t="str">
        <f>IF('Prod 3'!F581="","",'Prod 3'!F581)</f>
        <v/>
      </c>
    </row>
    <row r="582" spans="3:9" ht="30" customHeight="1" x14ac:dyDescent="0.25">
      <c r="C582" s="42">
        <v>578</v>
      </c>
      <c r="D582" s="67" t="str">
        <f>IF('Prod 1'!D582="","",'Prod 1'!D582)</f>
        <v/>
      </c>
      <c r="E582" s="73" t="str">
        <f>IF('Prod 1'!E582="","",'Prod 1'!E582)</f>
        <v/>
      </c>
      <c r="F582" s="74" t="str">
        <f>IF('Prod 2'!K582="","",'Prod 2'!K582)</f>
        <v/>
      </c>
      <c r="G582" s="77" t="str">
        <f>IF('Prod 1'!I582="","",'Prod 1'!I582)</f>
        <v/>
      </c>
      <c r="H582" s="63" t="str">
        <f>IF('Prod 1'!F582="","",'Prod 1'!F582)</f>
        <v/>
      </c>
      <c r="I582" s="75" t="str">
        <f>IF('Prod 3'!F582="","",'Prod 3'!F582)</f>
        <v/>
      </c>
    </row>
    <row r="583" spans="3:9" ht="30" customHeight="1" x14ac:dyDescent="0.25">
      <c r="C583" s="42">
        <v>579</v>
      </c>
      <c r="D583" s="67" t="str">
        <f>IF('Prod 1'!D583="","",'Prod 1'!D583)</f>
        <v/>
      </c>
      <c r="E583" s="73" t="str">
        <f>IF('Prod 1'!E583="","",'Prod 1'!E583)</f>
        <v/>
      </c>
      <c r="F583" s="74" t="str">
        <f>IF('Prod 2'!K583="","",'Prod 2'!K583)</f>
        <v/>
      </c>
      <c r="G583" s="77" t="str">
        <f>IF('Prod 1'!I583="","",'Prod 1'!I583)</f>
        <v/>
      </c>
      <c r="H583" s="63" t="str">
        <f>IF('Prod 1'!F583="","",'Prod 1'!F583)</f>
        <v/>
      </c>
      <c r="I583" s="75" t="str">
        <f>IF('Prod 3'!F583="","",'Prod 3'!F583)</f>
        <v/>
      </c>
    </row>
    <row r="584" spans="3:9" ht="30" customHeight="1" x14ac:dyDescent="0.25">
      <c r="C584" s="42">
        <v>580</v>
      </c>
      <c r="D584" s="67" t="str">
        <f>IF('Prod 1'!D584="","",'Prod 1'!D584)</f>
        <v/>
      </c>
      <c r="E584" s="73" t="str">
        <f>IF('Prod 1'!E584="","",'Prod 1'!E584)</f>
        <v/>
      </c>
      <c r="F584" s="74" t="str">
        <f>IF('Prod 2'!K584="","",'Prod 2'!K584)</f>
        <v/>
      </c>
      <c r="G584" s="77" t="str">
        <f>IF('Prod 1'!I584="","",'Prod 1'!I584)</f>
        <v/>
      </c>
      <c r="H584" s="63" t="str">
        <f>IF('Prod 1'!F584="","",'Prod 1'!F584)</f>
        <v/>
      </c>
      <c r="I584" s="75" t="str">
        <f>IF('Prod 3'!F584="","",'Prod 3'!F584)</f>
        <v/>
      </c>
    </row>
    <row r="585" spans="3:9" ht="30" customHeight="1" x14ac:dyDescent="0.25">
      <c r="C585" s="42">
        <v>581</v>
      </c>
      <c r="D585" s="67" t="str">
        <f>IF('Prod 1'!D585="","",'Prod 1'!D585)</f>
        <v/>
      </c>
      <c r="E585" s="73" t="str">
        <f>IF('Prod 1'!E585="","",'Prod 1'!E585)</f>
        <v/>
      </c>
      <c r="F585" s="74" t="str">
        <f>IF('Prod 2'!K585="","",'Prod 2'!K585)</f>
        <v/>
      </c>
      <c r="G585" s="77" t="str">
        <f>IF('Prod 1'!I585="","",'Prod 1'!I585)</f>
        <v/>
      </c>
      <c r="H585" s="63" t="str">
        <f>IF('Prod 1'!F585="","",'Prod 1'!F585)</f>
        <v/>
      </c>
      <c r="I585" s="75" t="str">
        <f>IF('Prod 3'!F585="","",'Prod 3'!F585)</f>
        <v/>
      </c>
    </row>
    <row r="586" spans="3:9" ht="30" customHeight="1" x14ac:dyDescent="0.25">
      <c r="C586" s="42">
        <v>582</v>
      </c>
      <c r="D586" s="67" t="str">
        <f>IF('Prod 1'!D586="","",'Prod 1'!D586)</f>
        <v/>
      </c>
      <c r="E586" s="73" t="str">
        <f>IF('Prod 1'!E586="","",'Prod 1'!E586)</f>
        <v/>
      </c>
      <c r="F586" s="74" t="str">
        <f>IF('Prod 2'!K586="","",'Prod 2'!K586)</f>
        <v/>
      </c>
      <c r="G586" s="77" t="str">
        <f>IF('Prod 1'!I586="","",'Prod 1'!I586)</f>
        <v/>
      </c>
      <c r="H586" s="63" t="str">
        <f>IF('Prod 1'!F586="","",'Prod 1'!F586)</f>
        <v/>
      </c>
      <c r="I586" s="75" t="str">
        <f>IF('Prod 3'!F586="","",'Prod 3'!F586)</f>
        <v/>
      </c>
    </row>
    <row r="587" spans="3:9" ht="30" customHeight="1" x14ac:dyDescent="0.25">
      <c r="C587" s="42">
        <v>583</v>
      </c>
      <c r="D587" s="67" t="str">
        <f>IF('Prod 1'!D587="","",'Prod 1'!D587)</f>
        <v/>
      </c>
      <c r="E587" s="73" t="str">
        <f>IF('Prod 1'!E587="","",'Prod 1'!E587)</f>
        <v/>
      </c>
      <c r="F587" s="74" t="str">
        <f>IF('Prod 2'!K587="","",'Prod 2'!K587)</f>
        <v/>
      </c>
      <c r="G587" s="77" t="str">
        <f>IF('Prod 1'!I587="","",'Prod 1'!I587)</f>
        <v/>
      </c>
      <c r="H587" s="63" t="str">
        <f>IF('Prod 1'!F587="","",'Prod 1'!F587)</f>
        <v/>
      </c>
      <c r="I587" s="75" t="str">
        <f>IF('Prod 3'!F587="","",'Prod 3'!F587)</f>
        <v/>
      </c>
    </row>
    <row r="588" spans="3:9" ht="30" customHeight="1" x14ac:dyDescent="0.25">
      <c r="C588" s="42">
        <v>584</v>
      </c>
      <c r="D588" s="67" t="str">
        <f>IF('Prod 1'!D588="","",'Prod 1'!D588)</f>
        <v/>
      </c>
      <c r="E588" s="73" t="str">
        <f>IF('Prod 1'!E588="","",'Prod 1'!E588)</f>
        <v/>
      </c>
      <c r="F588" s="74" t="str">
        <f>IF('Prod 2'!K588="","",'Prod 2'!K588)</f>
        <v/>
      </c>
      <c r="G588" s="77" t="str">
        <f>IF('Prod 1'!I588="","",'Prod 1'!I588)</f>
        <v/>
      </c>
      <c r="H588" s="63" t="str">
        <f>IF('Prod 1'!F588="","",'Prod 1'!F588)</f>
        <v/>
      </c>
      <c r="I588" s="75" t="str">
        <f>IF('Prod 3'!F588="","",'Prod 3'!F588)</f>
        <v/>
      </c>
    </row>
    <row r="589" spans="3:9" ht="30" customHeight="1" x14ac:dyDescent="0.25">
      <c r="C589" s="42">
        <v>585</v>
      </c>
      <c r="D589" s="67" t="str">
        <f>IF('Prod 1'!D589="","",'Prod 1'!D589)</f>
        <v/>
      </c>
      <c r="E589" s="73" t="str">
        <f>IF('Prod 1'!E589="","",'Prod 1'!E589)</f>
        <v/>
      </c>
      <c r="F589" s="74" t="str">
        <f>IF('Prod 2'!K589="","",'Prod 2'!K589)</f>
        <v/>
      </c>
      <c r="G589" s="77" t="str">
        <f>IF('Prod 1'!I589="","",'Prod 1'!I589)</f>
        <v/>
      </c>
      <c r="H589" s="63" t="str">
        <f>IF('Prod 1'!F589="","",'Prod 1'!F589)</f>
        <v/>
      </c>
      <c r="I589" s="75" t="str">
        <f>IF('Prod 3'!F589="","",'Prod 3'!F589)</f>
        <v/>
      </c>
    </row>
    <row r="590" spans="3:9" ht="30" customHeight="1" x14ac:dyDescent="0.25">
      <c r="C590" s="42">
        <v>586</v>
      </c>
      <c r="D590" s="67" t="str">
        <f>IF('Prod 1'!D590="","",'Prod 1'!D590)</f>
        <v/>
      </c>
      <c r="E590" s="73" t="str">
        <f>IF('Prod 1'!E590="","",'Prod 1'!E590)</f>
        <v/>
      </c>
      <c r="F590" s="74" t="str">
        <f>IF('Prod 2'!K590="","",'Prod 2'!K590)</f>
        <v/>
      </c>
      <c r="G590" s="77" t="str">
        <f>IF('Prod 1'!I590="","",'Prod 1'!I590)</f>
        <v/>
      </c>
      <c r="H590" s="63" t="str">
        <f>IF('Prod 1'!F590="","",'Prod 1'!F590)</f>
        <v/>
      </c>
      <c r="I590" s="75" t="str">
        <f>IF('Prod 3'!F590="","",'Prod 3'!F590)</f>
        <v/>
      </c>
    </row>
    <row r="591" spans="3:9" ht="30" customHeight="1" x14ac:dyDescent="0.25">
      <c r="C591" s="42">
        <v>587</v>
      </c>
      <c r="D591" s="67" t="str">
        <f>IF('Prod 1'!D591="","",'Prod 1'!D591)</f>
        <v/>
      </c>
      <c r="E591" s="73" t="str">
        <f>IF('Prod 1'!E591="","",'Prod 1'!E591)</f>
        <v/>
      </c>
      <c r="F591" s="74" t="str">
        <f>IF('Prod 2'!K591="","",'Prod 2'!K591)</f>
        <v/>
      </c>
      <c r="G591" s="77" t="str">
        <f>IF('Prod 1'!I591="","",'Prod 1'!I591)</f>
        <v/>
      </c>
      <c r="H591" s="63" t="str">
        <f>IF('Prod 1'!F591="","",'Prod 1'!F591)</f>
        <v/>
      </c>
      <c r="I591" s="75" t="str">
        <f>IF('Prod 3'!F591="","",'Prod 3'!F591)</f>
        <v/>
      </c>
    </row>
    <row r="592" spans="3:9" ht="30" customHeight="1" x14ac:dyDescent="0.25">
      <c r="C592" s="42">
        <v>588</v>
      </c>
      <c r="D592" s="67" t="str">
        <f>IF('Prod 1'!D592="","",'Prod 1'!D592)</f>
        <v/>
      </c>
      <c r="E592" s="73" t="str">
        <f>IF('Prod 1'!E592="","",'Prod 1'!E592)</f>
        <v/>
      </c>
      <c r="F592" s="74" t="str">
        <f>IF('Prod 2'!K592="","",'Prod 2'!K592)</f>
        <v/>
      </c>
      <c r="G592" s="77" t="str">
        <f>IF('Prod 1'!I592="","",'Prod 1'!I592)</f>
        <v/>
      </c>
      <c r="H592" s="63" t="str">
        <f>IF('Prod 1'!F592="","",'Prod 1'!F592)</f>
        <v/>
      </c>
      <c r="I592" s="75" t="str">
        <f>IF('Prod 3'!F592="","",'Prod 3'!F592)</f>
        <v/>
      </c>
    </row>
    <row r="593" spans="3:9" ht="30" customHeight="1" x14ac:dyDescent="0.25">
      <c r="C593" s="42">
        <v>589</v>
      </c>
      <c r="D593" s="67" t="str">
        <f>IF('Prod 1'!D593="","",'Prod 1'!D593)</f>
        <v/>
      </c>
      <c r="E593" s="73" t="str">
        <f>IF('Prod 1'!E593="","",'Prod 1'!E593)</f>
        <v/>
      </c>
      <c r="F593" s="74" t="str">
        <f>IF('Prod 2'!K593="","",'Prod 2'!K593)</f>
        <v/>
      </c>
      <c r="G593" s="77" t="str">
        <f>IF('Prod 1'!I593="","",'Prod 1'!I593)</f>
        <v/>
      </c>
      <c r="H593" s="63" t="str">
        <f>IF('Prod 1'!F593="","",'Prod 1'!F593)</f>
        <v/>
      </c>
      <c r="I593" s="75" t="str">
        <f>IF('Prod 3'!F593="","",'Prod 3'!F593)</f>
        <v/>
      </c>
    </row>
    <row r="594" spans="3:9" ht="30" customHeight="1" x14ac:dyDescent="0.25">
      <c r="C594" s="42">
        <v>590</v>
      </c>
      <c r="D594" s="67" t="str">
        <f>IF('Prod 1'!D594="","",'Prod 1'!D594)</f>
        <v/>
      </c>
      <c r="E594" s="73" t="str">
        <f>IF('Prod 1'!E594="","",'Prod 1'!E594)</f>
        <v/>
      </c>
      <c r="F594" s="74" t="str">
        <f>IF('Prod 2'!K594="","",'Prod 2'!K594)</f>
        <v/>
      </c>
      <c r="G594" s="77" t="str">
        <f>IF('Prod 1'!I594="","",'Prod 1'!I594)</f>
        <v/>
      </c>
      <c r="H594" s="63" t="str">
        <f>IF('Prod 1'!F594="","",'Prod 1'!F594)</f>
        <v/>
      </c>
      <c r="I594" s="75" t="str">
        <f>IF('Prod 3'!F594="","",'Prod 3'!F594)</f>
        <v/>
      </c>
    </row>
    <row r="595" spans="3:9" ht="30" customHeight="1" x14ac:dyDescent="0.25">
      <c r="C595" s="42">
        <v>591</v>
      </c>
      <c r="D595" s="67" t="str">
        <f>IF('Prod 1'!D595="","",'Prod 1'!D595)</f>
        <v/>
      </c>
      <c r="E595" s="73" t="str">
        <f>IF('Prod 1'!E595="","",'Prod 1'!E595)</f>
        <v/>
      </c>
      <c r="F595" s="74" t="str">
        <f>IF('Prod 2'!K595="","",'Prod 2'!K595)</f>
        <v/>
      </c>
      <c r="G595" s="77" t="str">
        <f>IF('Prod 1'!I595="","",'Prod 1'!I595)</f>
        <v/>
      </c>
      <c r="H595" s="63" t="str">
        <f>IF('Prod 1'!F595="","",'Prod 1'!F595)</f>
        <v/>
      </c>
      <c r="I595" s="75" t="str">
        <f>IF('Prod 3'!F595="","",'Prod 3'!F595)</f>
        <v/>
      </c>
    </row>
    <row r="596" spans="3:9" ht="30" customHeight="1" x14ac:dyDescent="0.25">
      <c r="C596" s="42">
        <v>592</v>
      </c>
      <c r="D596" s="67" t="str">
        <f>IF('Prod 1'!D596="","",'Prod 1'!D596)</f>
        <v/>
      </c>
      <c r="E596" s="73" t="str">
        <f>IF('Prod 1'!E596="","",'Prod 1'!E596)</f>
        <v/>
      </c>
      <c r="F596" s="74" t="str">
        <f>IF('Prod 2'!K596="","",'Prod 2'!K596)</f>
        <v/>
      </c>
      <c r="G596" s="77" t="str">
        <f>IF('Prod 1'!I596="","",'Prod 1'!I596)</f>
        <v/>
      </c>
      <c r="H596" s="63" t="str">
        <f>IF('Prod 1'!F596="","",'Prod 1'!F596)</f>
        <v/>
      </c>
      <c r="I596" s="75" t="str">
        <f>IF('Prod 3'!F596="","",'Prod 3'!F596)</f>
        <v/>
      </c>
    </row>
    <row r="597" spans="3:9" ht="30" customHeight="1" x14ac:dyDescent="0.25">
      <c r="C597" s="42">
        <v>593</v>
      </c>
      <c r="D597" s="67" t="str">
        <f>IF('Prod 1'!D597="","",'Prod 1'!D597)</f>
        <v/>
      </c>
      <c r="E597" s="73" t="str">
        <f>IF('Prod 1'!E597="","",'Prod 1'!E597)</f>
        <v/>
      </c>
      <c r="F597" s="74" t="str">
        <f>IF('Prod 2'!K597="","",'Prod 2'!K597)</f>
        <v/>
      </c>
      <c r="G597" s="77" t="str">
        <f>IF('Prod 1'!I597="","",'Prod 1'!I597)</f>
        <v/>
      </c>
      <c r="H597" s="63" t="str">
        <f>IF('Prod 1'!F597="","",'Prod 1'!F597)</f>
        <v/>
      </c>
      <c r="I597" s="75" t="str">
        <f>IF('Prod 3'!F597="","",'Prod 3'!F597)</f>
        <v/>
      </c>
    </row>
    <row r="598" spans="3:9" ht="30" customHeight="1" x14ac:dyDescent="0.25">
      <c r="C598" s="42">
        <v>594</v>
      </c>
      <c r="D598" s="67" t="str">
        <f>IF('Prod 1'!D598="","",'Prod 1'!D598)</f>
        <v/>
      </c>
      <c r="E598" s="73" t="str">
        <f>IF('Prod 1'!E598="","",'Prod 1'!E598)</f>
        <v/>
      </c>
      <c r="F598" s="74" t="str">
        <f>IF('Prod 2'!K598="","",'Prod 2'!K598)</f>
        <v/>
      </c>
      <c r="G598" s="77" t="str">
        <f>IF('Prod 1'!I598="","",'Prod 1'!I598)</f>
        <v/>
      </c>
      <c r="H598" s="63" t="str">
        <f>IF('Prod 1'!F598="","",'Prod 1'!F598)</f>
        <v/>
      </c>
      <c r="I598" s="75" t="str">
        <f>IF('Prod 3'!F598="","",'Prod 3'!F598)</f>
        <v/>
      </c>
    </row>
    <row r="599" spans="3:9" ht="30" customHeight="1" x14ac:dyDescent="0.25">
      <c r="C599" s="42">
        <v>595</v>
      </c>
      <c r="D599" s="67" t="str">
        <f>IF('Prod 1'!D599="","",'Prod 1'!D599)</f>
        <v/>
      </c>
      <c r="E599" s="73" t="str">
        <f>IF('Prod 1'!E599="","",'Prod 1'!E599)</f>
        <v/>
      </c>
      <c r="F599" s="74" t="str">
        <f>IF('Prod 2'!K599="","",'Prod 2'!K599)</f>
        <v/>
      </c>
      <c r="G599" s="77" t="str">
        <f>IF('Prod 1'!I599="","",'Prod 1'!I599)</f>
        <v/>
      </c>
      <c r="H599" s="63" t="str">
        <f>IF('Prod 1'!F599="","",'Prod 1'!F599)</f>
        <v/>
      </c>
      <c r="I599" s="75" t="str">
        <f>IF('Prod 3'!F599="","",'Prod 3'!F599)</f>
        <v/>
      </c>
    </row>
    <row r="600" spans="3:9" ht="30" customHeight="1" x14ac:dyDescent="0.25">
      <c r="C600" s="42">
        <v>596</v>
      </c>
      <c r="D600" s="67" t="str">
        <f>IF('Prod 1'!D600="","",'Prod 1'!D600)</f>
        <v/>
      </c>
      <c r="E600" s="73" t="str">
        <f>IF('Prod 1'!E600="","",'Prod 1'!E600)</f>
        <v/>
      </c>
      <c r="F600" s="74" t="str">
        <f>IF('Prod 2'!K600="","",'Prod 2'!K600)</f>
        <v/>
      </c>
      <c r="G600" s="77" t="str">
        <f>IF('Prod 1'!I600="","",'Prod 1'!I600)</f>
        <v/>
      </c>
      <c r="H600" s="63" t="str">
        <f>IF('Prod 1'!F600="","",'Prod 1'!F600)</f>
        <v/>
      </c>
      <c r="I600" s="75" t="str">
        <f>IF('Prod 3'!F600="","",'Prod 3'!F600)</f>
        <v/>
      </c>
    </row>
    <row r="601" spans="3:9" ht="30" customHeight="1" x14ac:dyDescent="0.25">
      <c r="C601" s="42">
        <v>597</v>
      </c>
      <c r="D601" s="67" t="str">
        <f>IF('Prod 1'!D601="","",'Prod 1'!D601)</f>
        <v/>
      </c>
      <c r="E601" s="73" t="str">
        <f>IF('Prod 1'!E601="","",'Prod 1'!E601)</f>
        <v/>
      </c>
      <c r="F601" s="74" t="str">
        <f>IF('Prod 2'!K601="","",'Prod 2'!K601)</f>
        <v/>
      </c>
      <c r="G601" s="77" t="str">
        <f>IF('Prod 1'!I601="","",'Prod 1'!I601)</f>
        <v/>
      </c>
      <c r="H601" s="63" t="str">
        <f>IF('Prod 1'!F601="","",'Prod 1'!F601)</f>
        <v/>
      </c>
      <c r="I601" s="75" t="str">
        <f>IF('Prod 3'!F601="","",'Prod 3'!F601)</f>
        <v/>
      </c>
    </row>
    <row r="602" spans="3:9" ht="30" customHeight="1" x14ac:dyDescent="0.25">
      <c r="C602" s="42">
        <v>598</v>
      </c>
      <c r="D602" s="67" t="str">
        <f>IF('Prod 1'!D602="","",'Prod 1'!D602)</f>
        <v/>
      </c>
      <c r="E602" s="73" t="str">
        <f>IF('Prod 1'!E602="","",'Prod 1'!E602)</f>
        <v/>
      </c>
      <c r="F602" s="74" t="str">
        <f>IF('Prod 2'!K602="","",'Prod 2'!K602)</f>
        <v/>
      </c>
      <c r="G602" s="77" t="str">
        <f>IF('Prod 1'!I602="","",'Prod 1'!I602)</f>
        <v/>
      </c>
      <c r="H602" s="63" t="str">
        <f>IF('Prod 1'!F602="","",'Prod 1'!F602)</f>
        <v/>
      </c>
      <c r="I602" s="75" t="str">
        <f>IF('Prod 3'!F602="","",'Prod 3'!F602)</f>
        <v/>
      </c>
    </row>
    <row r="603" spans="3:9" ht="30" customHeight="1" x14ac:dyDescent="0.25">
      <c r="C603" s="42">
        <v>599</v>
      </c>
      <c r="D603" s="67" t="str">
        <f>IF('Prod 1'!D603="","",'Prod 1'!D603)</f>
        <v/>
      </c>
      <c r="E603" s="73" t="str">
        <f>IF('Prod 1'!E603="","",'Prod 1'!E603)</f>
        <v/>
      </c>
      <c r="F603" s="74" t="str">
        <f>IF('Prod 2'!K603="","",'Prod 2'!K603)</f>
        <v/>
      </c>
      <c r="G603" s="77" t="str">
        <f>IF('Prod 1'!I603="","",'Prod 1'!I603)</f>
        <v/>
      </c>
      <c r="H603" s="63" t="str">
        <f>IF('Prod 1'!F603="","",'Prod 1'!F603)</f>
        <v/>
      </c>
      <c r="I603" s="75" t="str">
        <f>IF('Prod 3'!F603="","",'Prod 3'!F603)</f>
        <v/>
      </c>
    </row>
    <row r="604" spans="3:9" ht="30" customHeight="1" x14ac:dyDescent="0.25">
      <c r="C604" s="42">
        <v>600</v>
      </c>
      <c r="D604" s="67" t="str">
        <f>IF('Prod 1'!D604="","",'Prod 1'!D604)</f>
        <v/>
      </c>
      <c r="E604" s="73" t="str">
        <f>IF('Prod 1'!E604="","",'Prod 1'!E604)</f>
        <v/>
      </c>
      <c r="F604" s="74" t="str">
        <f>IF('Prod 2'!K604="","",'Prod 2'!K604)</f>
        <v/>
      </c>
      <c r="G604" s="77" t="str">
        <f>IF('Prod 1'!I604="","",'Prod 1'!I604)</f>
        <v/>
      </c>
      <c r="H604" s="63" t="str">
        <f>IF('Prod 1'!F604="","",'Prod 1'!F604)</f>
        <v/>
      </c>
      <c r="I604" s="75" t="str">
        <f>IF('Prod 3'!F604="","",'Prod 3'!F604)</f>
        <v/>
      </c>
    </row>
    <row r="605" spans="3:9" ht="30" customHeight="1" x14ac:dyDescent="0.25">
      <c r="C605" s="42">
        <v>601</v>
      </c>
      <c r="D605" s="67" t="str">
        <f>IF('Prod 1'!D605="","",'Prod 1'!D605)</f>
        <v/>
      </c>
      <c r="E605" s="73" t="str">
        <f>IF('Prod 1'!E605="","",'Prod 1'!E605)</f>
        <v/>
      </c>
      <c r="F605" s="74" t="str">
        <f>IF('Prod 2'!K605="","",'Prod 2'!K605)</f>
        <v/>
      </c>
      <c r="G605" s="77" t="str">
        <f>IF('Prod 1'!I605="","",'Prod 1'!I605)</f>
        <v/>
      </c>
      <c r="H605" s="63" t="str">
        <f>IF('Prod 1'!F605="","",'Prod 1'!F605)</f>
        <v/>
      </c>
      <c r="I605" s="75" t="str">
        <f>IF('Prod 3'!F605="","",'Prod 3'!F605)</f>
        <v/>
      </c>
    </row>
    <row r="606" spans="3:9" ht="30" customHeight="1" x14ac:dyDescent="0.25">
      <c r="C606" s="42">
        <v>602</v>
      </c>
      <c r="D606" s="67" t="str">
        <f>IF('Prod 1'!D606="","",'Prod 1'!D606)</f>
        <v/>
      </c>
      <c r="E606" s="73" t="str">
        <f>IF('Prod 1'!E606="","",'Prod 1'!E606)</f>
        <v/>
      </c>
      <c r="F606" s="74" t="str">
        <f>IF('Prod 2'!K606="","",'Prod 2'!K606)</f>
        <v/>
      </c>
      <c r="G606" s="77" t="str">
        <f>IF('Prod 1'!I606="","",'Prod 1'!I606)</f>
        <v/>
      </c>
      <c r="H606" s="63" t="str">
        <f>IF('Prod 1'!F606="","",'Prod 1'!F606)</f>
        <v/>
      </c>
      <c r="I606" s="75" t="str">
        <f>IF('Prod 3'!F606="","",'Prod 3'!F606)</f>
        <v/>
      </c>
    </row>
    <row r="607" spans="3:9" ht="30" customHeight="1" x14ac:dyDescent="0.25">
      <c r="C607" s="42">
        <v>603</v>
      </c>
      <c r="D607" s="67" t="str">
        <f>IF('Prod 1'!D607="","",'Prod 1'!D607)</f>
        <v/>
      </c>
      <c r="E607" s="73" t="str">
        <f>IF('Prod 1'!E607="","",'Prod 1'!E607)</f>
        <v/>
      </c>
      <c r="F607" s="74" t="str">
        <f>IF('Prod 2'!K607="","",'Prod 2'!K607)</f>
        <v/>
      </c>
      <c r="G607" s="77" t="str">
        <f>IF('Prod 1'!I607="","",'Prod 1'!I607)</f>
        <v/>
      </c>
      <c r="H607" s="63" t="str">
        <f>IF('Prod 1'!F607="","",'Prod 1'!F607)</f>
        <v/>
      </c>
      <c r="I607" s="75" t="str">
        <f>IF('Prod 3'!F607="","",'Prod 3'!F607)</f>
        <v/>
      </c>
    </row>
    <row r="608" spans="3:9" ht="30" customHeight="1" x14ac:dyDescent="0.25">
      <c r="C608" s="42">
        <v>604</v>
      </c>
      <c r="D608" s="67" t="str">
        <f>IF('Prod 1'!D608="","",'Prod 1'!D608)</f>
        <v/>
      </c>
      <c r="E608" s="73" t="str">
        <f>IF('Prod 1'!E608="","",'Prod 1'!E608)</f>
        <v/>
      </c>
      <c r="F608" s="74" t="str">
        <f>IF('Prod 2'!K608="","",'Prod 2'!K608)</f>
        <v/>
      </c>
      <c r="G608" s="77" t="str">
        <f>IF('Prod 1'!I608="","",'Prod 1'!I608)</f>
        <v/>
      </c>
      <c r="H608" s="63" t="str">
        <f>IF('Prod 1'!F608="","",'Prod 1'!F608)</f>
        <v/>
      </c>
      <c r="I608" s="75" t="str">
        <f>IF('Prod 3'!F608="","",'Prod 3'!F608)</f>
        <v/>
      </c>
    </row>
    <row r="609" spans="3:9" ht="30" customHeight="1" x14ac:dyDescent="0.25">
      <c r="C609" s="42">
        <v>605</v>
      </c>
      <c r="D609" s="67" t="str">
        <f>IF('Prod 1'!D609="","",'Prod 1'!D609)</f>
        <v/>
      </c>
      <c r="E609" s="73" t="str">
        <f>IF('Prod 1'!E609="","",'Prod 1'!E609)</f>
        <v/>
      </c>
      <c r="F609" s="74" t="str">
        <f>IF('Prod 2'!K609="","",'Prod 2'!K609)</f>
        <v/>
      </c>
      <c r="G609" s="77" t="str">
        <f>IF('Prod 1'!I609="","",'Prod 1'!I609)</f>
        <v/>
      </c>
      <c r="H609" s="63" t="str">
        <f>IF('Prod 1'!F609="","",'Prod 1'!F609)</f>
        <v/>
      </c>
      <c r="I609" s="75" t="str">
        <f>IF('Prod 3'!F609="","",'Prod 3'!F609)</f>
        <v/>
      </c>
    </row>
    <row r="610" spans="3:9" ht="30" customHeight="1" x14ac:dyDescent="0.25">
      <c r="C610" s="42">
        <v>606</v>
      </c>
      <c r="D610" s="67" t="str">
        <f>IF('Prod 1'!D610="","",'Prod 1'!D610)</f>
        <v/>
      </c>
      <c r="E610" s="73" t="str">
        <f>IF('Prod 1'!E610="","",'Prod 1'!E610)</f>
        <v/>
      </c>
      <c r="F610" s="74" t="str">
        <f>IF('Prod 2'!K610="","",'Prod 2'!K610)</f>
        <v/>
      </c>
      <c r="G610" s="77" t="str">
        <f>IF('Prod 1'!I610="","",'Prod 1'!I610)</f>
        <v/>
      </c>
      <c r="H610" s="63" t="str">
        <f>IF('Prod 1'!F610="","",'Prod 1'!F610)</f>
        <v/>
      </c>
      <c r="I610" s="75" t="str">
        <f>IF('Prod 3'!F610="","",'Prod 3'!F610)</f>
        <v/>
      </c>
    </row>
    <row r="611" spans="3:9" ht="30" customHeight="1" x14ac:dyDescent="0.25">
      <c r="C611" s="42">
        <v>607</v>
      </c>
      <c r="D611" s="67" t="str">
        <f>IF('Prod 1'!D611="","",'Prod 1'!D611)</f>
        <v/>
      </c>
      <c r="E611" s="73" t="str">
        <f>IF('Prod 1'!E611="","",'Prod 1'!E611)</f>
        <v/>
      </c>
      <c r="F611" s="74" t="str">
        <f>IF('Prod 2'!K611="","",'Prod 2'!K611)</f>
        <v/>
      </c>
      <c r="G611" s="77" t="str">
        <f>IF('Prod 1'!I611="","",'Prod 1'!I611)</f>
        <v/>
      </c>
      <c r="H611" s="63" t="str">
        <f>IF('Prod 1'!F611="","",'Prod 1'!F611)</f>
        <v/>
      </c>
      <c r="I611" s="75" t="str">
        <f>IF('Prod 3'!F611="","",'Prod 3'!F611)</f>
        <v/>
      </c>
    </row>
    <row r="612" spans="3:9" ht="30" customHeight="1" x14ac:dyDescent="0.25">
      <c r="C612" s="42">
        <v>608</v>
      </c>
      <c r="D612" s="67" t="str">
        <f>IF('Prod 1'!D612="","",'Prod 1'!D612)</f>
        <v/>
      </c>
      <c r="E612" s="73" t="str">
        <f>IF('Prod 1'!E612="","",'Prod 1'!E612)</f>
        <v/>
      </c>
      <c r="F612" s="74" t="str">
        <f>IF('Prod 2'!K612="","",'Prod 2'!K612)</f>
        <v/>
      </c>
      <c r="G612" s="77" t="str">
        <f>IF('Prod 1'!I612="","",'Prod 1'!I612)</f>
        <v/>
      </c>
      <c r="H612" s="63" t="str">
        <f>IF('Prod 1'!F612="","",'Prod 1'!F612)</f>
        <v/>
      </c>
      <c r="I612" s="75" t="str">
        <f>IF('Prod 3'!F612="","",'Prod 3'!F612)</f>
        <v/>
      </c>
    </row>
    <row r="613" spans="3:9" ht="30" customHeight="1" x14ac:dyDescent="0.25">
      <c r="C613" s="42">
        <v>609</v>
      </c>
      <c r="D613" s="67" t="str">
        <f>IF('Prod 1'!D613="","",'Prod 1'!D613)</f>
        <v/>
      </c>
      <c r="E613" s="73" t="str">
        <f>IF('Prod 1'!E613="","",'Prod 1'!E613)</f>
        <v/>
      </c>
      <c r="F613" s="74" t="str">
        <f>IF('Prod 2'!K613="","",'Prod 2'!K613)</f>
        <v/>
      </c>
      <c r="G613" s="77" t="str">
        <f>IF('Prod 1'!I613="","",'Prod 1'!I613)</f>
        <v/>
      </c>
      <c r="H613" s="63" t="str">
        <f>IF('Prod 1'!F613="","",'Prod 1'!F613)</f>
        <v/>
      </c>
      <c r="I613" s="75" t="str">
        <f>IF('Prod 3'!F613="","",'Prod 3'!F613)</f>
        <v/>
      </c>
    </row>
    <row r="614" spans="3:9" ht="30" customHeight="1" x14ac:dyDescent="0.25">
      <c r="C614" s="42">
        <v>610</v>
      </c>
      <c r="D614" s="67" t="str">
        <f>IF('Prod 1'!D614="","",'Prod 1'!D614)</f>
        <v/>
      </c>
      <c r="E614" s="73" t="str">
        <f>IF('Prod 1'!E614="","",'Prod 1'!E614)</f>
        <v/>
      </c>
      <c r="F614" s="74" t="str">
        <f>IF('Prod 2'!K614="","",'Prod 2'!K614)</f>
        <v/>
      </c>
      <c r="G614" s="77" t="str">
        <f>IF('Prod 1'!I614="","",'Prod 1'!I614)</f>
        <v/>
      </c>
      <c r="H614" s="63" t="str">
        <f>IF('Prod 1'!F614="","",'Prod 1'!F614)</f>
        <v/>
      </c>
      <c r="I614" s="75" t="str">
        <f>IF('Prod 3'!F614="","",'Prod 3'!F614)</f>
        <v/>
      </c>
    </row>
    <row r="615" spans="3:9" ht="30" customHeight="1" x14ac:dyDescent="0.25">
      <c r="C615" s="42">
        <v>611</v>
      </c>
      <c r="D615" s="67" t="str">
        <f>IF('Prod 1'!D615="","",'Prod 1'!D615)</f>
        <v/>
      </c>
      <c r="E615" s="73" t="str">
        <f>IF('Prod 1'!E615="","",'Prod 1'!E615)</f>
        <v/>
      </c>
      <c r="F615" s="74" t="str">
        <f>IF('Prod 2'!K615="","",'Prod 2'!K615)</f>
        <v/>
      </c>
      <c r="G615" s="77" t="str">
        <f>IF('Prod 1'!I615="","",'Prod 1'!I615)</f>
        <v/>
      </c>
      <c r="H615" s="63" t="str">
        <f>IF('Prod 1'!F615="","",'Prod 1'!F615)</f>
        <v/>
      </c>
      <c r="I615" s="75" t="str">
        <f>IF('Prod 3'!F615="","",'Prod 3'!F615)</f>
        <v/>
      </c>
    </row>
    <row r="616" spans="3:9" ht="30" customHeight="1" x14ac:dyDescent="0.25">
      <c r="C616" s="42">
        <v>612</v>
      </c>
      <c r="D616" s="67" t="str">
        <f>IF('Prod 1'!D616="","",'Prod 1'!D616)</f>
        <v/>
      </c>
      <c r="E616" s="73" t="str">
        <f>IF('Prod 1'!E616="","",'Prod 1'!E616)</f>
        <v/>
      </c>
      <c r="F616" s="74" t="str">
        <f>IF('Prod 2'!K616="","",'Prod 2'!K616)</f>
        <v/>
      </c>
      <c r="G616" s="77" t="str">
        <f>IF('Prod 1'!I616="","",'Prod 1'!I616)</f>
        <v/>
      </c>
      <c r="H616" s="63" t="str">
        <f>IF('Prod 1'!F616="","",'Prod 1'!F616)</f>
        <v/>
      </c>
      <c r="I616" s="75" t="str">
        <f>IF('Prod 3'!F616="","",'Prod 3'!F616)</f>
        <v/>
      </c>
    </row>
    <row r="617" spans="3:9" ht="30" customHeight="1" x14ac:dyDescent="0.25">
      <c r="C617" s="42">
        <v>613</v>
      </c>
      <c r="D617" s="67" t="str">
        <f>IF('Prod 1'!D617="","",'Prod 1'!D617)</f>
        <v/>
      </c>
      <c r="E617" s="73" t="str">
        <f>IF('Prod 1'!E617="","",'Prod 1'!E617)</f>
        <v/>
      </c>
      <c r="F617" s="74" t="str">
        <f>IF('Prod 2'!K617="","",'Prod 2'!K617)</f>
        <v/>
      </c>
      <c r="G617" s="77" t="str">
        <f>IF('Prod 1'!I617="","",'Prod 1'!I617)</f>
        <v/>
      </c>
      <c r="H617" s="63" t="str">
        <f>IF('Prod 1'!F617="","",'Prod 1'!F617)</f>
        <v/>
      </c>
      <c r="I617" s="75" t="str">
        <f>IF('Prod 3'!F617="","",'Prod 3'!F617)</f>
        <v/>
      </c>
    </row>
    <row r="618" spans="3:9" ht="30" customHeight="1" x14ac:dyDescent="0.25">
      <c r="C618" s="42">
        <v>614</v>
      </c>
      <c r="D618" s="67" t="str">
        <f>IF('Prod 1'!D618="","",'Prod 1'!D618)</f>
        <v/>
      </c>
      <c r="E618" s="73" t="str">
        <f>IF('Prod 1'!E618="","",'Prod 1'!E618)</f>
        <v/>
      </c>
      <c r="F618" s="74" t="str">
        <f>IF('Prod 2'!K618="","",'Prod 2'!K618)</f>
        <v/>
      </c>
      <c r="G618" s="77" t="str">
        <f>IF('Prod 1'!I618="","",'Prod 1'!I618)</f>
        <v/>
      </c>
      <c r="H618" s="63" t="str">
        <f>IF('Prod 1'!F618="","",'Prod 1'!F618)</f>
        <v/>
      </c>
      <c r="I618" s="75" t="str">
        <f>IF('Prod 3'!F618="","",'Prod 3'!F618)</f>
        <v/>
      </c>
    </row>
    <row r="619" spans="3:9" ht="30" customHeight="1" x14ac:dyDescent="0.25">
      <c r="C619" s="42">
        <v>615</v>
      </c>
      <c r="D619" s="67" t="str">
        <f>IF('Prod 1'!D619="","",'Prod 1'!D619)</f>
        <v/>
      </c>
      <c r="E619" s="73" t="str">
        <f>IF('Prod 1'!E619="","",'Prod 1'!E619)</f>
        <v/>
      </c>
      <c r="F619" s="74" t="str">
        <f>IF('Prod 2'!K619="","",'Prod 2'!K619)</f>
        <v/>
      </c>
      <c r="G619" s="77" t="str">
        <f>IF('Prod 1'!I619="","",'Prod 1'!I619)</f>
        <v/>
      </c>
      <c r="H619" s="63" t="str">
        <f>IF('Prod 1'!F619="","",'Prod 1'!F619)</f>
        <v/>
      </c>
      <c r="I619" s="75" t="str">
        <f>IF('Prod 3'!F619="","",'Prod 3'!F619)</f>
        <v/>
      </c>
    </row>
    <row r="620" spans="3:9" ht="30" customHeight="1" x14ac:dyDescent="0.25">
      <c r="C620" s="42">
        <v>616</v>
      </c>
      <c r="D620" s="67" t="str">
        <f>IF('Prod 1'!D620="","",'Prod 1'!D620)</f>
        <v/>
      </c>
      <c r="E620" s="73" t="str">
        <f>IF('Prod 1'!E620="","",'Prod 1'!E620)</f>
        <v/>
      </c>
      <c r="F620" s="74" t="str">
        <f>IF('Prod 2'!K620="","",'Prod 2'!K620)</f>
        <v/>
      </c>
      <c r="G620" s="77" t="str">
        <f>IF('Prod 1'!I620="","",'Prod 1'!I620)</f>
        <v/>
      </c>
      <c r="H620" s="63" t="str">
        <f>IF('Prod 1'!F620="","",'Prod 1'!F620)</f>
        <v/>
      </c>
      <c r="I620" s="75" t="str">
        <f>IF('Prod 3'!F620="","",'Prod 3'!F620)</f>
        <v/>
      </c>
    </row>
    <row r="621" spans="3:9" ht="30" customHeight="1" x14ac:dyDescent="0.25">
      <c r="C621" s="42">
        <v>617</v>
      </c>
      <c r="D621" s="67" t="str">
        <f>IF('Prod 1'!D621="","",'Prod 1'!D621)</f>
        <v/>
      </c>
      <c r="E621" s="73" t="str">
        <f>IF('Prod 1'!E621="","",'Prod 1'!E621)</f>
        <v/>
      </c>
      <c r="F621" s="74" t="str">
        <f>IF('Prod 2'!K621="","",'Prod 2'!K621)</f>
        <v/>
      </c>
      <c r="G621" s="77" t="str">
        <f>IF('Prod 1'!I621="","",'Prod 1'!I621)</f>
        <v/>
      </c>
      <c r="H621" s="63" t="str">
        <f>IF('Prod 1'!F621="","",'Prod 1'!F621)</f>
        <v/>
      </c>
      <c r="I621" s="75" t="str">
        <f>IF('Prod 3'!F621="","",'Prod 3'!F621)</f>
        <v/>
      </c>
    </row>
    <row r="622" spans="3:9" ht="30" customHeight="1" x14ac:dyDescent="0.25">
      <c r="C622" s="42">
        <v>618</v>
      </c>
      <c r="D622" s="67" t="str">
        <f>IF('Prod 1'!D622="","",'Prod 1'!D622)</f>
        <v/>
      </c>
      <c r="E622" s="73" t="str">
        <f>IF('Prod 1'!E622="","",'Prod 1'!E622)</f>
        <v/>
      </c>
      <c r="F622" s="74" t="str">
        <f>IF('Prod 2'!K622="","",'Prod 2'!K622)</f>
        <v/>
      </c>
      <c r="G622" s="77" t="str">
        <f>IF('Prod 1'!I622="","",'Prod 1'!I622)</f>
        <v/>
      </c>
      <c r="H622" s="63" t="str">
        <f>IF('Prod 1'!F622="","",'Prod 1'!F622)</f>
        <v/>
      </c>
      <c r="I622" s="75" t="str">
        <f>IF('Prod 3'!F622="","",'Prod 3'!F622)</f>
        <v/>
      </c>
    </row>
    <row r="623" spans="3:9" ht="30" customHeight="1" x14ac:dyDescent="0.25">
      <c r="C623" s="42">
        <v>619</v>
      </c>
      <c r="D623" s="67" t="str">
        <f>IF('Prod 1'!D623="","",'Prod 1'!D623)</f>
        <v/>
      </c>
      <c r="E623" s="73" t="str">
        <f>IF('Prod 1'!E623="","",'Prod 1'!E623)</f>
        <v/>
      </c>
      <c r="F623" s="74" t="str">
        <f>IF('Prod 2'!K623="","",'Prod 2'!K623)</f>
        <v/>
      </c>
      <c r="G623" s="77" t="str">
        <f>IF('Prod 1'!I623="","",'Prod 1'!I623)</f>
        <v/>
      </c>
      <c r="H623" s="63" t="str">
        <f>IF('Prod 1'!F623="","",'Prod 1'!F623)</f>
        <v/>
      </c>
      <c r="I623" s="75" t="str">
        <f>IF('Prod 3'!F623="","",'Prod 3'!F623)</f>
        <v/>
      </c>
    </row>
    <row r="624" spans="3:9" ht="30" customHeight="1" x14ac:dyDescent="0.25">
      <c r="C624" s="42">
        <v>620</v>
      </c>
      <c r="D624" s="67" t="str">
        <f>IF('Prod 1'!D624="","",'Prod 1'!D624)</f>
        <v/>
      </c>
      <c r="E624" s="73" t="str">
        <f>IF('Prod 1'!E624="","",'Prod 1'!E624)</f>
        <v/>
      </c>
      <c r="F624" s="74" t="str">
        <f>IF('Prod 2'!K624="","",'Prod 2'!K624)</f>
        <v/>
      </c>
      <c r="G624" s="77" t="str">
        <f>IF('Prod 1'!I624="","",'Prod 1'!I624)</f>
        <v/>
      </c>
      <c r="H624" s="63" t="str">
        <f>IF('Prod 1'!F624="","",'Prod 1'!F624)</f>
        <v/>
      </c>
      <c r="I624" s="75" t="str">
        <f>IF('Prod 3'!F624="","",'Prod 3'!F624)</f>
        <v/>
      </c>
    </row>
    <row r="625" spans="3:9" ht="30" customHeight="1" x14ac:dyDescent="0.25">
      <c r="C625" s="42">
        <v>621</v>
      </c>
      <c r="D625" s="67" t="str">
        <f>IF('Prod 1'!D625="","",'Prod 1'!D625)</f>
        <v/>
      </c>
      <c r="E625" s="73" t="str">
        <f>IF('Prod 1'!E625="","",'Prod 1'!E625)</f>
        <v/>
      </c>
      <c r="F625" s="74" t="str">
        <f>IF('Prod 2'!K625="","",'Prod 2'!K625)</f>
        <v/>
      </c>
      <c r="G625" s="77" t="str">
        <f>IF('Prod 1'!I625="","",'Prod 1'!I625)</f>
        <v/>
      </c>
      <c r="H625" s="63" t="str">
        <f>IF('Prod 1'!F625="","",'Prod 1'!F625)</f>
        <v/>
      </c>
      <c r="I625" s="75" t="str">
        <f>IF('Prod 3'!F625="","",'Prod 3'!F625)</f>
        <v/>
      </c>
    </row>
    <row r="626" spans="3:9" ht="30" customHeight="1" x14ac:dyDescent="0.25">
      <c r="C626" s="42">
        <v>622</v>
      </c>
      <c r="D626" s="67" t="str">
        <f>IF('Prod 1'!D626="","",'Prod 1'!D626)</f>
        <v/>
      </c>
      <c r="E626" s="73" t="str">
        <f>IF('Prod 1'!E626="","",'Prod 1'!E626)</f>
        <v/>
      </c>
      <c r="F626" s="74" t="str">
        <f>IF('Prod 2'!K626="","",'Prod 2'!K626)</f>
        <v/>
      </c>
      <c r="G626" s="77" t="str">
        <f>IF('Prod 1'!I626="","",'Prod 1'!I626)</f>
        <v/>
      </c>
      <c r="H626" s="63" t="str">
        <f>IF('Prod 1'!F626="","",'Prod 1'!F626)</f>
        <v/>
      </c>
      <c r="I626" s="75" t="str">
        <f>IF('Prod 3'!F626="","",'Prod 3'!F626)</f>
        <v/>
      </c>
    </row>
    <row r="627" spans="3:9" ht="30" customHeight="1" x14ac:dyDescent="0.25">
      <c r="C627" s="42">
        <v>623</v>
      </c>
      <c r="D627" s="67" t="str">
        <f>IF('Prod 1'!D627="","",'Prod 1'!D627)</f>
        <v/>
      </c>
      <c r="E627" s="73" t="str">
        <f>IF('Prod 1'!E627="","",'Prod 1'!E627)</f>
        <v/>
      </c>
      <c r="F627" s="74" t="str">
        <f>IF('Prod 2'!K627="","",'Prod 2'!K627)</f>
        <v/>
      </c>
      <c r="G627" s="77" t="str">
        <f>IF('Prod 1'!I627="","",'Prod 1'!I627)</f>
        <v/>
      </c>
      <c r="H627" s="63" t="str">
        <f>IF('Prod 1'!F627="","",'Prod 1'!F627)</f>
        <v/>
      </c>
      <c r="I627" s="75" t="str">
        <f>IF('Prod 3'!F627="","",'Prod 3'!F627)</f>
        <v/>
      </c>
    </row>
    <row r="628" spans="3:9" ht="30" customHeight="1" x14ac:dyDescent="0.25">
      <c r="C628" s="42">
        <v>624</v>
      </c>
      <c r="D628" s="67" t="str">
        <f>IF('Prod 1'!D628="","",'Prod 1'!D628)</f>
        <v/>
      </c>
      <c r="E628" s="73" t="str">
        <f>IF('Prod 1'!E628="","",'Prod 1'!E628)</f>
        <v/>
      </c>
      <c r="F628" s="74" t="str">
        <f>IF('Prod 2'!K628="","",'Prod 2'!K628)</f>
        <v/>
      </c>
      <c r="G628" s="77" t="str">
        <f>IF('Prod 1'!I628="","",'Prod 1'!I628)</f>
        <v/>
      </c>
      <c r="H628" s="63" t="str">
        <f>IF('Prod 1'!F628="","",'Prod 1'!F628)</f>
        <v/>
      </c>
      <c r="I628" s="75" t="str">
        <f>IF('Prod 3'!F628="","",'Prod 3'!F628)</f>
        <v/>
      </c>
    </row>
    <row r="629" spans="3:9" ht="30" customHeight="1" x14ac:dyDescent="0.25">
      <c r="C629" s="42">
        <v>625</v>
      </c>
      <c r="D629" s="67" t="str">
        <f>IF('Prod 1'!D629="","",'Prod 1'!D629)</f>
        <v/>
      </c>
      <c r="E629" s="73" t="str">
        <f>IF('Prod 1'!E629="","",'Prod 1'!E629)</f>
        <v/>
      </c>
      <c r="F629" s="74" t="str">
        <f>IF('Prod 2'!K629="","",'Prod 2'!K629)</f>
        <v/>
      </c>
      <c r="G629" s="77" t="str">
        <f>IF('Prod 1'!I629="","",'Prod 1'!I629)</f>
        <v/>
      </c>
      <c r="H629" s="63" t="str">
        <f>IF('Prod 1'!F629="","",'Prod 1'!F629)</f>
        <v/>
      </c>
      <c r="I629" s="75" t="str">
        <f>IF('Prod 3'!F629="","",'Prod 3'!F629)</f>
        <v/>
      </c>
    </row>
    <row r="630" spans="3:9" ht="30" customHeight="1" x14ac:dyDescent="0.25">
      <c r="C630" s="42">
        <v>626</v>
      </c>
      <c r="D630" s="67" t="str">
        <f>IF('Prod 1'!D630="","",'Prod 1'!D630)</f>
        <v/>
      </c>
      <c r="E630" s="73" t="str">
        <f>IF('Prod 1'!E630="","",'Prod 1'!E630)</f>
        <v/>
      </c>
      <c r="F630" s="74" t="str">
        <f>IF('Prod 2'!K630="","",'Prod 2'!K630)</f>
        <v/>
      </c>
      <c r="G630" s="77" t="str">
        <f>IF('Prod 1'!I630="","",'Prod 1'!I630)</f>
        <v/>
      </c>
      <c r="H630" s="63" t="str">
        <f>IF('Prod 1'!F630="","",'Prod 1'!F630)</f>
        <v/>
      </c>
      <c r="I630" s="75" t="str">
        <f>IF('Prod 3'!F630="","",'Prod 3'!F630)</f>
        <v/>
      </c>
    </row>
    <row r="631" spans="3:9" ht="30" customHeight="1" x14ac:dyDescent="0.25">
      <c r="C631" s="42">
        <v>627</v>
      </c>
      <c r="D631" s="67" t="str">
        <f>IF('Prod 1'!D631="","",'Prod 1'!D631)</f>
        <v/>
      </c>
      <c r="E631" s="73" t="str">
        <f>IF('Prod 1'!E631="","",'Prod 1'!E631)</f>
        <v/>
      </c>
      <c r="F631" s="74" t="str">
        <f>IF('Prod 2'!K631="","",'Prod 2'!K631)</f>
        <v/>
      </c>
      <c r="G631" s="77" t="str">
        <f>IF('Prod 1'!I631="","",'Prod 1'!I631)</f>
        <v/>
      </c>
      <c r="H631" s="63" t="str">
        <f>IF('Prod 1'!F631="","",'Prod 1'!F631)</f>
        <v/>
      </c>
      <c r="I631" s="75" t="str">
        <f>IF('Prod 3'!F631="","",'Prod 3'!F631)</f>
        <v/>
      </c>
    </row>
    <row r="632" spans="3:9" ht="30" customHeight="1" x14ac:dyDescent="0.25">
      <c r="C632" s="42">
        <v>628</v>
      </c>
      <c r="D632" s="67" t="str">
        <f>IF('Prod 1'!D632="","",'Prod 1'!D632)</f>
        <v/>
      </c>
      <c r="E632" s="73" t="str">
        <f>IF('Prod 1'!E632="","",'Prod 1'!E632)</f>
        <v/>
      </c>
      <c r="F632" s="74" t="str">
        <f>IF('Prod 2'!K632="","",'Prod 2'!K632)</f>
        <v/>
      </c>
      <c r="G632" s="77" t="str">
        <f>IF('Prod 1'!I632="","",'Prod 1'!I632)</f>
        <v/>
      </c>
      <c r="H632" s="63" t="str">
        <f>IF('Prod 1'!F632="","",'Prod 1'!F632)</f>
        <v/>
      </c>
      <c r="I632" s="75" t="str">
        <f>IF('Prod 3'!F632="","",'Prod 3'!F632)</f>
        <v/>
      </c>
    </row>
    <row r="633" spans="3:9" ht="30" customHeight="1" x14ac:dyDescent="0.25">
      <c r="C633" s="42">
        <v>629</v>
      </c>
      <c r="D633" s="67" t="str">
        <f>IF('Prod 1'!D633="","",'Prod 1'!D633)</f>
        <v/>
      </c>
      <c r="E633" s="73" t="str">
        <f>IF('Prod 1'!E633="","",'Prod 1'!E633)</f>
        <v/>
      </c>
      <c r="F633" s="74" t="str">
        <f>IF('Prod 2'!K633="","",'Prod 2'!K633)</f>
        <v/>
      </c>
      <c r="G633" s="77" t="str">
        <f>IF('Prod 1'!I633="","",'Prod 1'!I633)</f>
        <v/>
      </c>
      <c r="H633" s="63" t="str">
        <f>IF('Prod 1'!F633="","",'Prod 1'!F633)</f>
        <v/>
      </c>
      <c r="I633" s="75" t="str">
        <f>IF('Prod 3'!F633="","",'Prod 3'!F633)</f>
        <v/>
      </c>
    </row>
    <row r="634" spans="3:9" ht="30" customHeight="1" x14ac:dyDescent="0.25">
      <c r="C634" s="42">
        <v>630</v>
      </c>
      <c r="D634" s="67" t="str">
        <f>IF('Prod 1'!D634="","",'Prod 1'!D634)</f>
        <v/>
      </c>
      <c r="E634" s="73" t="str">
        <f>IF('Prod 1'!E634="","",'Prod 1'!E634)</f>
        <v/>
      </c>
      <c r="F634" s="74" t="str">
        <f>IF('Prod 2'!K634="","",'Prod 2'!K634)</f>
        <v/>
      </c>
      <c r="G634" s="77" t="str">
        <f>IF('Prod 1'!I634="","",'Prod 1'!I634)</f>
        <v/>
      </c>
      <c r="H634" s="63" t="str">
        <f>IF('Prod 1'!F634="","",'Prod 1'!F634)</f>
        <v/>
      </c>
      <c r="I634" s="75" t="str">
        <f>IF('Prod 3'!F634="","",'Prod 3'!F634)</f>
        <v/>
      </c>
    </row>
    <row r="635" spans="3:9" ht="30" customHeight="1" x14ac:dyDescent="0.25">
      <c r="C635" s="42">
        <v>631</v>
      </c>
      <c r="D635" s="67" t="str">
        <f>IF('Prod 1'!D635="","",'Prod 1'!D635)</f>
        <v/>
      </c>
      <c r="E635" s="73" t="str">
        <f>IF('Prod 1'!E635="","",'Prod 1'!E635)</f>
        <v/>
      </c>
      <c r="F635" s="74" t="str">
        <f>IF('Prod 2'!K635="","",'Prod 2'!K635)</f>
        <v/>
      </c>
      <c r="G635" s="77" t="str">
        <f>IF('Prod 1'!I635="","",'Prod 1'!I635)</f>
        <v/>
      </c>
      <c r="H635" s="63" t="str">
        <f>IF('Prod 1'!F635="","",'Prod 1'!F635)</f>
        <v/>
      </c>
      <c r="I635" s="75" t="str">
        <f>IF('Prod 3'!F635="","",'Prod 3'!F635)</f>
        <v/>
      </c>
    </row>
    <row r="636" spans="3:9" ht="30" customHeight="1" x14ac:dyDescent="0.25">
      <c r="C636" s="42">
        <v>632</v>
      </c>
      <c r="D636" s="67" t="str">
        <f>IF('Prod 1'!D636="","",'Prod 1'!D636)</f>
        <v/>
      </c>
      <c r="E636" s="73" t="str">
        <f>IF('Prod 1'!E636="","",'Prod 1'!E636)</f>
        <v/>
      </c>
      <c r="F636" s="74" t="str">
        <f>IF('Prod 2'!K636="","",'Prod 2'!K636)</f>
        <v/>
      </c>
      <c r="G636" s="77" t="str">
        <f>IF('Prod 1'!I636="","",'Prod 1'!I636)</f>
        <v/>
      </c>
      <c r="H636" s="63" t="str">
        <f>IF('Prod 1'!F636="","",'Prod 1'!F636)</f>
        <v/>
      </c>
      <c r="I636" s="75" t="str">
        <f>IF('Prod 3'!F636="","",'Prod 3'!F636)</f>
        <v/>
      </c>
    </row>
    <row r="637" spans="3:9" ht="30" customHeight="1" x14ac:dyDescent="0.25">
      <c r="C637" s="42">
        <v>633</v>
      </c>
      <c r="D637" s="67" t="str">
        <f>IF('Prod 1'!D637="","",'Prod 1'!D637)</f>
        <v/>
      </c>
      <c r="E637" s="73" t="str">
        <f>IF('Prod 1'!E637="","",'Prod 1'!E637)</f>
        <v/>
      </c>
      <c r="F637" s="74" t="str">
        <f>IF('Prod 2'!K637="","",'Prod 2'!K637)</f>
        <v/>
      </c>
      <c r="G637" s="77" t="str">
        <f>IF('Prod 1'!I637="","",'Prod 1'!I637)</f>
        <v/>
      </c>
      <c r="H637" s="63" t="str">
        <f>IF('Prod 1'!F637="","",'Prod 1'!F637)</f>
        <v/>
      </c>
      <c r="I637" s="75" t="str">
        <f>IF('Prod 3'!F637="","",'Prod 3'!F637)</f>
        <v/>
      </c>
    </row>
    <row r="638" spans="3:9" ht="30" customHeight="1" x14ac:dyDescent="0.25">
      <c r="C638" s="42">
        <v>634</v>
      </c>
      <c r="D638" s="67" t="str">
        <f>IF('Prod 1'!D638="","",'Prod 1'!D638)</f>
        <v/>
      </c>
      <c r="E638" s="73" t="str">
        <f>IF('Prod 1'!E638="","",'Prod 1'!E638)</f>
        <v/>
      </c>
      <c r="F638" s="74" t="str">
        <f>IF('Prod 2'!K638="","",'Prod 2'!K638)</f>
        <v/>
      </c>
      <c r="G638" s="77" t="str">
        <f>IF('Prod 1'!I638="","",'Prod 1'!I638)</f>
        <v/>
      </c>
      <c r="H638" s="63" t="str">
        <f>IF('Prod 1'!F638="","",'Prod 1'!F638)</f>
        <v/>
      </c>
      <c r="I638" s="75" t="str">
        <f>IF('Prod 3'!F638="","",'Prod 3'!F638)</f>
        <v/>
      </c>
    </row>
    <row r="639" spans="3:9" ht="30" customHeight="1" x14ac:dyDescent="0.25">
      <c r="C639" s="42">
        <v>635</v>
      </c>
      <c r="D639" s="67" t="str">
        <f>IF('Prod 1'!D639="","",'Prod 1'!D639)</f>
        <v/>
      </c>
      <c r="E639" s="73" t="str">
        <f>IF('Prod 1'!E639="","",'Prod 1'!E639)</f>
        <v/>
      </c>
      <c r="F639" s="74" t="str">
        <f>IF('Prod 2'!K639="","",'Prod 2'!K639)</f>
        <v/>
      </c>
      <c r="G639" s="77" t="str">
        <f>IF('Prod 1'!I639="","",'Prod 1'!I639)</f>
        <v/>
      </c>
      <c r="H639" s="63" t="str">
        <f>IF('Prod 1'!F639="","",'Prod 1'!F639)</f>
        <v/>
      </c>
      <c r="I639" s="75" t="str">
        <f>IF('Prod 3'!F639="","",'Prod 3'!F639)</f>
        <v/>
      </c>
    </row>
    <row r="640" spans="3:9" ht="30" customHeight="1" x14ac:dyDescent="0.25">
      <c r="C640" s="42">
        <v>636</v>
      </c>
      <c r="D640" s="67" t="str">
        <f>IF('Prod 1'!D640="","",'Prod 1'!D640)</f>
        <v/>
      </c>
      <c r="E640" s="73" t="str">
        <f>IF('Prod 1'!E640="","",'Prod 1'!E640)</f>
        <v/>
      </c>
      <c r="F640" s="74" t="str">
        <f>IF('Prod 2'!K640="","",'Prod 2'!K640)</f>
        <v/>
      </c>
      <c r="G640" s="77" t="str">
        <f>IF('Prod 1'!I640="","",'Prod 1'!I640)</f>
        <v/>
      </c>
      <c r="H640" s="63" t="str">
        <f>IF('Prod 1'!F640="","",'Prod 1'!F640)</f>
        <v/>
      </c>
      <c r="I640" s="75" t="str">
        <f>IF('Prod 3'!F640="","",'Prod 3'!F640)</f>
        <v/>
      </c>
    </row>
    <row r="641" spans="3:9" ht="30" customHeight="1" x14ac:dyDescent="0.25">
      <c r="C641" s="42">
        <v>637</v>
      </c>
      <c r="D641" s="67" t="str">
        <f>IF('Prod 1'!D641="","",'Prod 1'!D641)</f>
        <v/>
      </c>
      <c r="E641" s="73" t="str">
        <f>IF('Prod 1'!E641="","",'Prod 1'!E641)</f>
        <v/>
      </c>
      <c r="F641" s="74" t="str">
        <f>IF('Prod 2'!K641="","",'Prod 2'!K641)</f>
        <v/>
      </c>
      <c r="G641" s="77" t="str">
        <f>IF('Prod 1'!I641="","",'Prod 1'!I641)</f>
        <v/>
      </c>
      <c r="H641" s="63" t="str">
        <f>IF('Prod 1'!F641="","",'Prod 1'!F641)</f>
        <v/>
      </c>
      <c r="I641" s="75" t="str">
        <f>IF('Prod 3'!F641="","",'Prod 3'!F641)</f>
        <v/>
      </c>
    </row>
    <row r="642" spans="3:9" ht="30" customHeight="1" x14ac:dyDescent="0.25">
      <c r="C642" s="42">
        <v>638</v>
      </c>
      <c r="D642" s="67" t="str">
        <f>IF('Prod 1'!D642="","",'Prod 1'!D642)</f>
        <v/>
      </c>
      <c r="E642" s="73" t="str">
        <f>IF('Prod 1'!E642="","",'Prod 1'!E642)</f>
        <v/>
      </c>
      <c r="F642" s="74" t="str">
        <f>IF('Prod 2'!K642="","",'Prod 2'!K642)</f>
        <v/>
      </c>
      <c r="G642" s="77" t="str">
        <f>IF('Prod 1'!I642="","",'Prod 1'!I642)</f>
        <v/>
      </c>
      <c r="H642" s="63" t="str">
        <f>IF('Prod 1'!F642="","",'Prod 1'!F642)</f>
        <v/>
      </c>
      <c r="I642" s="75" t="str">
        <f>IF('Prod 3'!F642="","",'Prod 3'!F642)</f>
        <v/>
      </c>
    </row>
    <row r="643" spans="3:9" ht="30" customHeight="1" x14ac:dyDescent="0.25">
      <c r="C643" s="42">
        <v>639</v>
      </c>
      <c r="D643" s="67" t="str">
        <f>IF('Prod 1'!D643="","",'Prod 1'!D643)</f>
        <v/>
      </c>
      <c r="E643" s="73" t="str">
        <f>IF('Prod 1'!E643="","",'Prod 1'!E643)</f>
        <v/>
      </c>
      <c r="F643" s="74" t="str">
        <f>IF('Prod 2'!K643="","",'Prod 2'!K643)</f>
        <v/>
      </c>
      <c r="G643" s="77" t="str">
        <f>IF('Prod 1'!I643="","",'Prod 1'!I643)</f>
        <v/>
      </c>
      <c r="H643" s="63" t="str">
        <f>IF('Prod 1'!F643="","",'Prod 1'!F643)</f>
        <v/>
      </c>
      <c r="I643" s="75" t="str">
        <f>IF('Prod 3'!F643="","",'Prod 3'!F643)</f>
        <v/>
      </c>
    </row>
    <row r="644" spans="3:9" ht="30" customHeight="1" x14ac:dyDescent="0.25">
      <c r="C644" s="42">
        <v>640</v>
      </c>
      <c r="D644" s="67" t="str">
        <f>IF('Prod 1'!D644="","",'Prod 1'!D644)</f>
        <v/>
      </c>
      <c r="E644" s="73" t="str">
        <f>IF('Prod 1'!E644="","",'Prod 1'!E644)</f>
        <v/>
      </c>
      <c r="F644" s="74" t="str">
        <f>IF('Prod 2'!K644="","",'Prod 2'!K644)</f>
        <v/>
      </c>
      <c r="G644" s="77" t="str">
        <f>IF('Prod 1'!I644="","",'Prod 1'!I644)</f>
        <v/>
      </c>
      <c r="H644" s="63" t="str">
        <f>IF('Prod 1'!F644="","",'Prod 1'!F644)</f>
        <v/>
      </c>
      <c r="I644" s="75" t="str">
        <f>IF('Prod 3'!F644="","",'Prod 3'!F644)</f>
        <v/>
      </c>
    </row>
    <row r="645" spans="3:9" ht="30" customHeight="1" x14ac:dyDescent="0.25">
      <c r="C645" s="42">
        <v>641</v>
      </c>
      <c r="D645" s="67" t="str">
        <f>IF('Prod 1'!D645="","",'Prod 1'!D645)</f>
        <v/>
      </c>
      <c r="E645" s="73" t="str">
        <f>IF('Prod 1'!E645="","",'Prod 1'!E645)</f>
        <v/>
      </c>
      <c r="F645" s="74" t="str">
        <f>IF('Prod 2'!K645="","",'Prod 2'!K645)</f>
        <v/>
      </c>
      <c r="G645" s="77" t="str">
        <f>IF('Prod 1'!I645="","",'Prod 1'!I645)</f>
        <v/>
      </c>
      <c r="H645" s="63" t="str">
        <f>IF('Prod 1'!F645="","",'Prod 1'!F645)</f>
        <v/>
      </c>
      <c r="I645" s="75" t="str">
        <f>IF('Prod 3'!F645="","",'Prod 3'!F645)</f>
        <v/>
      </c>
    </row>
    <row r="646" spans="3:9" ht="30" customHeight="1" x14ac:dyDescent="0.25">
      <c r="C646" s="42">
        <v>642</v>
      </c>
      <c r="D646" s="67" t="str">
        <f>IF('Prod 1'!D646="","",'Prod 1'!D646)</f>
        <v/>
      </c>
      <c r="E646" s="73" t="str">
        <f>IF('Prod 1'!E646="","",'Prod 1'!E646)</f>
        <v/>
      </c>
      <c r="F646" s="74" t="str">
        <f>IF('Prod 2'!K646="","",'Prod 2'!K646)</f>
        <v/>
      </c>
      <c r="G646" s="77" t="str">
        <f>IF('Prod 1'!I646="","",'Prod 1'!I646)</f>
        <v/>
      </c>
      <c r="H646" s="63" t="str">
        <f>IF('Prod 1'!F646="","",'Prod 1'!F646)</f>
        <v/>
      </c>
      <c r="I646" s="75" t="str">
        <f>IF('Prod 3'!F646="","",'Prod 3'!F646)</f>
        <v/>
      </c>
    </row>
    <row r="647" spans="3:9" ht="30" customHeight="1" x14ac:dyDescent="0.25">
      <c r="C647" s="42">
        <v>643</v>
      </c>
      <c r="D647" s="67" t="str">
        <f>IF('Prod 1'!D647="","",'Prod 1'!D647)</f>
        <v/>
      </c>
      <c r="E647" s="73" t="str">
        <f>IF('Prod 1'!E647="","",'Prod 1'!E647)</f>
        <v/>
      </c>
      <c r="F647" s="74" t="str">
        <f>IF('Prod 2'!K647="","",'Prod 2'!K647)</f>
        <v/>
      </c>
      <c r="G647" s="77" t="str">
        <f>IF('Prod 1'!I647="","",'Prod 1'!I647)</f>
        <v/>
      </c>
      <c r="H647" s="63" t="str">
        <f>IF('Prod 1'!F647="","",'Prod 1'!F647)</f>
        <v/>
      </c>
      <c r="I647" s="75" t="str">
        <f>IF('Prod 3'!F647="","",'Prod 3'!F647)</f>
        <v/>
      </c>
    </row>
    <row r="648" spans="3:9" ht="30" customHeight="1" x14ac:dyDescent="0.25">
      <c r="C648" s="42">
        <v>644</v>
      </c>
      <c r="D648" s="67" t="str">
        <f>IF('Prod 1'!D648="","",'Prod 1'!D648)</f>
        <v/>
      </c>
      <c r="E648" s="73" t="str">
        <f>IF('Prod 1'!E648="","",'Prod 1'!E648)</f>
        <v/>
      </c>
      <c r="F648" s="74" t="str">
        <f>IF('Prod 2'!K648="","",'Prod 2'!K648)</f>
        <v/>
      </c>
      <c r="G648" s="77" t="str">
        <f>IF('Prod 1'!I648="","",'Prod 1'!I648)</f>
        <v/>
      </c>
      <c r="H648" s="63" t="str">
        <f>IF('Prod 1'!F648="","",'Prod 1'!F648)</f>
        <v/>
      </c>
      <c r="I648" s="75" t="str">
        <f>IF('Prod 3'!F648="","",'Prod 3'!F648)</f>
        <v/>
      </c>
    </row>
    <row r="649" spans="3:9" ht="30" customHeight="1" x14ac:dyDescent="0.25">
      <c r="C649" s="42">
        <v>645</v>
      </c>
      <c r="D649" s="67" t="str">
        <f>IF('Prod 1'!D649="","",'Prod 1'!D649)</f>
        <v/>
      </c>
      <c r="E649" s="73" t="str">
        <f>IF('Prod 1'!E649="","",'Prod 1'!E649)</f>
        <v/>
      </c>
      <c r="F649" s="74" t="str">
        <f>IF('Prod 2'!K649="","",'Prod 2'!K649)</f>
        <v/>
      </c>
      <c r="G649" s="77" t="str">
        <f>IF('Prod 1'!I649="","",'Prod 1'!I649)</f>
        <v/>
      </c>
      <c r="H649" s="63" t="str">
        <f>IF('Prod 1'!F649="","",'Prod 1'!F649)</f>
        <v/>
      </c>
      <c r="I649" s="75" t="str">
        <f>IF('Prod 3'!F649="","",'Prod 3'!F649)</f>
        <v/>
      </c>
    </row>
    <row r="650" spans="3:9" ht="30" customHeight="1" x14ac:dyDescent="0.25">
      <c r="C650" s="42">
        <v>646</v>
      </c>
      <c r="D650" s="67" t="str">
        <f>IF('Prod 1'!D650="","",'Prod 1'!D650)</f>
        <v/>
      </c>
      <c r="E650" s="73" t="str">
        <f>IF('Prod 1'!E650="","",'Prod 1'!E650)</f>
        <v/>
      </c>
      <c r="F650" s="74" t="str">
        <f>IF('Prod 2'!K650="","",'Prod 2'!K650)</f>
        <v/>
      </c>
      <c r="G650" s="77" t="str">
        <f>IF('Prod 1'!I650="","",'Prod 1'!I650)</f>
        <v/>
      </c>
      <c r="H650" s="63" t="str">
        <f>IF('Prod 1'!F650="","",'Prod 1'!F650)</f>
        <v/>
      </c>
      <c r="I650" s="75" t="str">
        <f>IF('Prod 3'!F650="","",'Prod 3'!F650)</f>
        <v/>
      </c>
    </row>
    <row r="651" spans="3:9" ht="30" customHeight="1" x14ac:dyDescent="0.25">
      <c r="C651" s="42">
        <v>647</v>
      </c>
      <c r="D651" s="67" t="str">
        <f>IF('Prod 1'!D651="","",'Prod 1'!D651)</f>
        <v/>
      </c>
      <c r="E651" s="73" t="str">
        <f>IF('Prod 1'!E651="","",'Prod 1'!E651)</f>
        <v/>
      </c>
      <c r="F651" s="74" t="str">
        <f>IF('Prod 2'!K651="","",'Prod 2'!K651)</f>
        <v/>
      </c>
      <c r="G651" s="77" t="str">
        <f>IF('Prod 1'!I651="","",'Prod 1'!I651)</f>
        <v/>
      </c>
      <c r="H651" s="63" t="str">
        <f>IF('Prod 1'!F651="","",'Prod 1'!F651)</f>
        <v/>
      </c>
      <c r="I651" s="75" t="str">
        <f>IF('Prod 3'!F651="","",'Prod 3'!F651)</f>
        <v/>
      </c>
    </row>
    <row r="652" spans="3:9" ht="30" customHeight="1" x14ac:dyDescent="0.25">
      <c r="C652" s="42">
        <v>648</v>
      </c>
      <c r="D652" s="67" t="str">
        <f>IF('Prod 1'!D652="","",'Prod 1'!D652)</f>
        <v/>
      </c>
      <c r="E652" s="73" t="str">
        <f>IF('Prod 1'!E652="","",'Prod 1'!E652)</f>
        <v/>
      </c>
      <c r="F652" s="74" t="str">
        <f>IF('Prod 2'!K652="","",'Prod 2'!K652)</f>
        <v/>
      </c>
      <c r="G652" s="77" t="str">
        <f>IF('Prod 1'!I652="","",'Prod 1'!I652)</f>
        <v/>
      </c>
      <c r="H652" s="63" t="str">
        <f>IF('Prod 1'!F652="","",'Prod 1'!F652)</f>
        <v/>
      </c>
      <c r="I652" s="75" t="str">
        <f>IF('Prod 3'!F652="","",'Prod 3'!F652)</f>
        <v/>
      </c>
    </row>
    <row r="653" spans="3:9" ht="30" customHeight="1" x14ac:dyDescent="0.25">
      <c r="C653" s="42">
        <v>649</v>
      </c>
      <c r="D653" s="67" t="str">
        <f>IF('Prod 1'!D653="","",'Prod 1'!D653)</f>
        <v/>
      </c>
      <c r="E653" s="73" t="str">
        <f>IF('Prod 1'!E653="","",'Prod 1'!E653)</f>
        <v/>
      </c>
      <c r="F653" s="74" t="str">
        <f>IF('Prod 2'!K653="","",'Prod 2'!K653)</f>
        <v/>
      </c>
      <c r="G653" s="77" t="str">
        <f>IF('Prod 1'!I653="","",'Prod 1'!I653)</f>
        <v/>
      </c>
      <c r="H653" s="63" t="str">
        <f>IF('Prod 1'!F653="","",'Prod 1'!F653)</f>
        <v/>
      </c>
      <c r="I653" s="75" t="str">
        <f>IF('Prod 3'!F653="","",'Prod 3'!F653)</f>
        <v/>
      </c>
    </row>
    <row r="654" spans="3:9" ht="30" customHeight="1" x14ac:dyDescent="0.25">
      <c r="C654" s="42">
        <v>650</v>
      </c>
      <c r="D654" s="67" t="str">
        <f>IF('Prod 1'!D654="","",'Prod 1'!D654)</f>
        <v/>
      </c>
      <c r="E654" s="73" t="str">
        <f>IF('Prod 1'!E654="","",'Prod 1'!E654)</f>
        <v/>
      </c>
      <c r="F654" s="74" t="str">
        <f>IF('Prod 2'!K654="","",'Prod 2'!K654)</f>
        <v/>
      </c>
      <c r="G654" s="77" t="str">
        <f>IF('Prod 1'!I654="","",'Prod 1'!I654)</f>
        <v/>
      </c>
      <c r="H654" s="63" t="str">
        <f>IF('Prod 1'!F654="","",'Prod 1'!F654)</f>
        <v/>
      </c>
      <c r="I654" s="75" t="str">
        <f>IF('Prod 3'!F654="","",'Prod 3'!F654)</f>
        <v/>
      </c>
    </row>
    <row r="655" spans="3:9" ht="30" customHeight="1" x14ac:dyDescent="0.25">
      <c r="C655" s="42">
        <v>651</v>
      </c>
      <c r="D655" s="67" t="str">
        <f>IF('Prod 1'!D655="","",'Prod 1'!D655)</f>
        <v/>
      </c>
      <c r="E655" s="73" t="str">
        <f>IF('Prod 1'!E655="","",'Prod 1'!E655)</f>
        <v/>
      </c>
      <c r="F655" s="74" t="str">
        <f>IF('Prod 2'!K655="","",'Prod 2'!K655)</f>
        <v/>
      </c>
      <c r="G655" s="77" t="str">
        <f>IF('Prod 1'!I655="","",'Prod 1'!I655)</f>
        <v/>
      </c>
      <c r="H655" s="63" t="str">
        <f>IF('Prod 1'!F655="","",'Prod 1'!F655)</f>
        <v/>
      </c>
      <c r="I655" s="75" t="str">
        <f>IF('Prod 3'!F655="","",'Prod 3'!F655)</f>
        <v/>
      </c>
    </row>
    <row r="656" spans="3:9" ht="30" customHeight="1" x14ac:dyDescent="0.25">
      <c r="C656" s="42">
        <v>652</v>
      </c>
      <c r="D656" s="67" t="str">
        <f>IF('Prod 1'!D656="","",'Prod 1'!D656)</f>
        <v/>
      </c>
      <c r="E656" s="73" t="str">
        <f>IF('Prod 1'!E656="","",'Prod 1'!E656)</f>
        <v/>
      </c>
      <c r="F656" s="74" t="str">
        <f>IF('Prod 2'!K656="","",'Prod 2'!K656)</f>
        <v/>
      </c>
      <c r="G656" s="77" t="str">
        <f>IF('Prod 1'!I656="","",'Prod 1'!I656)</f>
        <v/>
      </c>
      <c r="H656" s="63" t="str">
        <f>IF('Prod 1'!F656="","",'Prod 1'!F656)</f>
        <v/>
      </c>
      <c r="I656" s="75" t="str">
        <f>IF('Prod 3'!F656="","",'Prod 3'!F656)</f>
        <v/>
      </c>
    </row>
    <row r="657" spans="3:9" ht="30" customHeight="1" x14ac:dyDescent="0.25">
      <c r="C657" s="42">
        <v>653</v>
      </c>
      <c r="D657" s="67" t="str">
        <f>IF('Prod 1'!D657="","",'Prod 1'!D657)</f>
        <v/>
      </c>
      <c r="E657" s="73" t="str">
        <f>IF('Prod 1'!E657="","",'Prod 1'!E657)</f>
        <v/>
      </c>
      <c r="F657" s="74" t="str">
        <f>IF('Prod 2'!K657="","",'Prod 2'!K657)</f>
        <v/>
      </c>
      <c r="G657" s="77" t="str">
        <f>IF('Prod 1'!I657="","",'Prod 1'!I657)</f>
        <v/>
      </c>
      <c r="H657" s="63" t="str">
        <f>IF('Prod 1'!F657="","",'Prod 1'!F657)</f>
        <v/>
      </c>
      <c r="I657" s="75" t="str">
        <f>IF('Prod 3'!F657="","",'Prod 3'!F657)</f>
        <v/>
      </c>
    </row>
    <row r="658" spans="3:9" ht="30" customHeight="1" x14ac:dyDescent="0.25">
      <c r="C658" s="42">
        <v>654</v>
      </c>
      <c r="D658" s="67" t="str">
        <f>IF('Prod 1'!D658="","",'Prod 1'!D658)</f>
        <v/>
      </c>
      <c r="E658" s="73" t="str">
        <f>IF('Prod 1'!E658="","",'Prod 1'!E658)</f>
        <v/>
      </c>
      <c r="F658" s="74" t="str">
        <f>IF('Prod 2'!K658="","",'Prod 2'!K658)</f>
        <v/>
      </c>
      <c r="G658" s="77" t="str">
        <f>IF('Prod 1'!I658="","",'Prod 1'!I658)</f>
        <v/>
      </c>
      <c r="H658" s="63" t="str">
        <f>IF('Prod 1'!F658="","",'Prod 1'!F658)</f>
        <v/>
      </c>
      <c r="I658" s="75" t="str">
        <f>IF('Prod 3'!F658="","",'Prod 3'!F658)</f>
        <v/>
      </c>
    </row>
    <row r="659" spans="3:9" ht="30" customHeight="1" x14ac:dyDescent="0.25">
      <c r="C659" s="42">
        <v>655</v>
      </c>
      <c r="D659" s="67" t="str">
        <f>IF('Prod 1'!D659="","",'Prod 1'!D659)</f>
        <v/>
      </c>
      <c r="E659" s="73" t="str">
        <f>IF('Prod 1'!E659="","",'Prod 1'!E659)</f>
        <v/>
      </c>
      <c r="F659" s="74" t="str">
        <f>IF('Prod 2'!K659="","",'Prod 2'!K659)</f>
        <v/>
      </c>
      <c r="G659" s="77" t="str">
        <f>IF('Prod 1'!I659="","",'Prod 1'!I659)</f>
        <v/>
      </c>
      <c r="H659" s="63" t="str">
        <f>IF('Prod 1'!F659="","",'Prod 1'!F659)</f>
        <v/>
      </c>
      <c r="I659" s="75" t="str">
        <f>IF('Prod 3'!F659="","",'Prod 3'!F659)</f>
        <v/>
      </c>
    </row>
    <row r="660" spans="3:9" ht="30" customHeight="1" x14ac:dyDescent="0.25">
      <c r="C660" s="42">
        <v>656</v>
      </c>
      <c r="D660" s="67" t="str">
        <f>IF('Prod 1'!D660="","",'Prod 1'!D660)</f>
        <v/>
      </c>
      <c r="E660" s="73" t="str">
        <f>IF('Prod 1'!E660="","",'Prod 1'!E660)</f>
        <v/>
      </c>
      <c r="F660" s="74" t="str">
        <f>IF('Prod 2'!K660="","",'Prod 2'!K660)</f>
        <v/>
      </c>
      <c r="G660" s="77" t="str">
        <f>IF('Prod 1'!I660="","",'Prod 1'!I660)</f>
        <v/>
      </c>
      <c r="H660" s="63" t="str">
        <f>IF('Prod 1'!F660="","",'Prod 1'!F660)</f>
        <v/>
      </c>
      <c r="I660" s="75" t="str">
        <f>IF('Prod 3'!F660="","",'Prod 3'!F660)</f>
        <v/>
      </c>
    </row>
    <row r="661" spans="3:9" ht="30" customHeight="1" x14ac:dyDescent="0.25">
      <c r="C661" s="42">
        <v>657</v>
      </c>
      <c r="D661" s="67" t="str">
        <f>IF('Prod 1'!D661="","",'Prod 1'!D661)</f>
        <v/>
      </c>
      <c r="E661" s="73" t="str">
        <f>IF('Prod 1'!E661="","",'Prod 1'!E661)</f>
        <v/>
      </c>
      <c r="F661" s="74" t="str">
        <f>IF('Prod 2'!K661="","",'Prod 2'!K661)</f>
        <v/>
      </c>
      <c r="G661" s="77" t="str">
        <f>IF('Prod 1'!I661="","",'Prod 1'!I661)</f>
        <v/>
      </c>
      <c r="H661" s="63" t="str">
        <f>IF('Prod 1'!F661="","",'Prod 1'!F661)</f>
        <v/>
      </c>
      <c r="I661" s="75" t="str">
        <f>IF('Prod 3'!F661="","",'Prod 3'!F661)</f>
        <v/>
      </c>
    </row>
    <row r="662" spans="3:9" ht="30" customHeight="1" x14ac:dyDescent="0.25">
      <c r="C662" s="42">
        <v>658</v>
      </c>
      <c r="D662" s="67" t="str">
        <f>IF('Prod 1'!D662="","",'Prod 1'!D662)</f>
        <v/>
      </c>
      <c r="E662" s="73" t="str">
        <f>IF('Prod 1'!E662="","",'Prod 1'!E662)</f>
        <v/>
      </c>
      <c r="F662" s="74" t="str">
        <f>IF('Prod 2'!K662="","",'Prod 2'!K662)</f>
        <v/>
      </c>
      <c r="G662" s="77" t="str">
        <f>IF('Prod 1'!I662="","",'Prod 1'!I662)</f>
        <v/>
      </c>
      <c r="H662" s="63" t="str">
        <f>IF('Prod 1'!F662="","",'Prod 1'!F662)</f>
        <v/>
      </c>
      <c r="I662" s="75" t="str">
        <f>IF('Prod 3'!F662="","",'Prod 3'!F662)</f>
        <v/>
      </c>
    </row>
    <row r="663" spans="3:9" ht="30" customHeight="1" x14ac:dyDescent="0.25">
      <c r="C663" s="42">
        <v>659</v>
      </c>
      <c r="D663" s="67" t="str">
        <f>IF('Prod 1'!D663="","",'Prod 1'!D663)</f>
        <v/>
      </c>
      <c r="E663" s="73" t="str">
        <f>IF('Prod 1'!E663="","",'Prod 1'!E663)</f>
        <v/>
      </c>
      <c r="F663" s="74" t="str">
        <f>IF('Prod 2'!K663="","",'Prod 2'!K663)</f>
        <v/>
      </c>
      <c r="G663" s="77" t="str">
        <f>IF('Prod 1'!I663="","",'Prod 1'!I663)</f>
        <v/>
      </c>
      <c r="H663" s="63" t="str">
        <f>IF('Prod 1'!F663="","",'Prod 1'!F663)</f>
        <v/>
      </c>
      <c r="I663" s="75" t="str">
        <f>IF('Prod 3'!F663="","",'Prod 3'!F663)</f>
        <v/>
      </c>
    </row>
    <row r="664" spans="3:9" ht="30" customHeight="1" x14ac:dyDescent="0.25">
      <c r="C664" s="42">
        <v>660</v>
      </c>
      <c r="D664" s="67" t="str">
        <f>IF('Prod 1'!D664="","",'Prod 1'!D664)</f>
        <v/>
      </c>
      <c r="E664" s="73" t="str">
        <f>IF('Prod 1'!E664="","",'Prod 1'!E664)</f>
        <v/>
      </c>
      <c r="F664" s="74" t="str">
        <f>IF('Prod 2'!K664="","",'Prod 2'!K664)</f>
        <v/>
      </c>
      <c r="G664" s="77" t="str">
        <f>IF('Prod 1'!I664="","",'Prod 1'!I664)</f>
        <v/>
      </c>
      <c r="H664" s="63" t="str">
        <f>IF('Prod 1'!F664="","",'Prod 1'!F664)</f>
        <v/>
      </c>
      <c r="I664" s="75" t="str">
        <f>IF('Prod 3'!F664="","",'Prod 3'!F664)</f>
        <v/>
      </c>
    </row>
    <row r="665" spans="3:9" ht="30" customHeight="1" x14ac:dyDescent="0.25">
      <c r="C665" s="42">
        <v>661</v>
      </c>
      <c r="D665" s="67" t="str">
        <f>IF('Prod 1'!D665="","",'Prod 1'!D665)</f>
        <v/>
      </c>
      <c r="E665" s="73" t="str">
        <f>IF('Prod 1'!E665="","",'Prod 1'!E665)</f>
        <v/>
      </c>
      <c r="F665" s="74" t="str">
        <f>IF('Prod 2'!K665="","",'Prod 2'!K665)</f>
        <v/>
      </c>
      <c r="G665" s="77" t="str">
        <f>IF('Prod 1'!I665="","",'Prod 1'!I665)</f>
        <v/>
      </c>
      <c r="H665" s="63" t="str">
        <f>IF('Prod 1'!F665="","",'Prod 1'!F665)</f>
        <v/>
      </c>
      <c r="I665" s="75" t="str">
        <f>IF('Prod 3'!F665="","",'Prod 3'!F665)</f>
        <v/>
      </c>
    </row>
    <row r="666" spans="3:9" ht="30" customHeight="1" x14ac:dyDescent="0.25">
      <c r="C666" s="42">
        <v>662</v>
      </c>
      <c r="D666" s="67" t="str">
        <f>IF('Prod 1'!D666="","",'Prod 1'!D666)</f>
        <v/>
      </c>
      <c r="E666" s="73" t="str">
        <f>IF('Prod 1'!E666="","",'Prod 1'!E666)</f>
        <v/>
      </c>
      <c r="F666" s="74" t="str">
        <f>IF('Prod 2'!K666="","",'Prod 2'!K666)</f>
        <v/>
      </c>
      <c r="G666" s="77" t="str">
        <f>IF('Prod 1'!I666="","",'Prod 1'!I666)</f>
        <v/>
      </c>
      <c r="H666" s="63" t="str">
        <f>IF('Prod 1'!F666="","",'Prod 1'!F666)</f>
        <v/>
      </c>
      <c r="I666" s="75" t="str">
        <f>IF('Prod 3'!F666="","",'Prod 3'!F666)</f>
        <v/>
      </c>
    </row>
    <row r="667" spans="3:9" ht="30" customHeight="1" x14ac:dyDescent="0.25">
      <c r="C667" s="42">
        <v>663</v>
      </c>
      <c r="D667" s="67" t="str">
        <f>IF('Prod 1'!D667="","",'Prod 1'!D667)</f>
        <v/>
      </c>
      <c r="E667" s="73" t="str">
        <f>IF('Prod 1'!E667="","",'Prod 1'!E667)</f>
        <v/>
      </c>
      <c r="F667" s="74" t="str">
        <f>IF('Prod 2'!K667="","",'Prod 2'!K667)</f>
        <v/>
      </c>
      <c r="G667" s="77" t="str">
        <f>IF('Prod 1'!I667="","",'Prod 1'!I667)</f>
        <v/>
      </c>
      <c r="H667" s="63" t="str">
        <f>IF('Prod 1'!F667="","",'Prod 1'!F667)</f>
        <v/>
      </c>
      <c r="I667" s="75" t="str">
        <f>IF('Prod 3'!F667="","",'Prod 3'!F667)</f>
        <v/>
      </c>
    </row>
    <row r="668" spans="3:9" ht="30" customHeight="1" x14ac:dyDescent="0.25">
      <c r="C668" s="42">
        <v>664</v>
      </c>
      <c r="D668" s="67" t="str">
        <f>IF('Prod 1'!D668="","",'Prod 1'!D668)</f>
        <v/>
      </c>
      <c r="E668" s="73" t="str">
        <f>IF('Prod 1'!E668="","",'Prod 1'!E668)</f>
        <v/>
      </c>
      <c r="F668" s="74" t="str">
        <f>IF('Prod 2'!K668="","",'Prod 2'!K668)</f>
        <v/>
      </c>
      <c r="G668" s="77" t="str">
        <f>IF('Prod 1'!I668="","",'Prod 1'!I668)</f>
        <v/>
      </c>
      <c r="H668" s="63" t="str">
        <f>IF('Prod 1'!F668="","",'Prod 1'!F668)</f>
        <v/>
      </c>
      <c r="I668" s="75" t="str">
        <f>IF('Prod 3'!F668="","",'Prod 3'!F668)</f>
        <v/>
      </c>
    </row>
    <row r="669" spans="3:9" ht="30" customHeight="1" x14ac:dyDescent="0.25">
      <c r="C669" s="42">
        <v>665</v>
      </c>
      <c r="D669" s="67" t="str">
        <f>IF('Prod 1'!D669="","",'Prod 1'!D669)</f>
        <v/>
      </c>
      <c r="E669" s="73" t="str">
        <f>IF('Prod 1'!E669="","",'Prod 1'!E669)</f>
        <v/>
      </c>
      <c r="F669" s="74" t="str">
        <f>IF('Prod 2'!K669="","",'Prod 2'!K669)</f>
        <v/>
      </c>
      <c r="G669" s="77" t="str">
        <f>IF('Prod 1'!I669="","",'Prod 1'!I669)</f>
        <v/>
      </c>
      <c r="H669" s="63" t="str">
        <f>IF('Prod 1'!F669="","",'Prod 1'!F669)</f>
        <v/>
      </c>
      <c r="I669" s="75" t="str">
        <f>IF('Prod 3'!F669="","",'Prod 3'!F669)</f>
        <v/>
      </c>
    </row>
    <row r="670" spans="3:9" ht="30" customHeight="1" x14ac:dyDescent="0.25">
      <c r="C670" s="42">
        <v>666</v>
      </c>
      <c r="D670" s="67" t="str">
        <f>IF('Prod 1'!D670="","",'Prod 1'!D670)</f>
        <v/>
      </c>
      <c r="E670" s="73" t="str">
        <f>IF('Prod 1'!E670="","",'Prod 1'!E670)</f>
        <v/>
      </c>
      <c r="F670" s="74" t="str">
        <f>IF('Prod 2'!K670="","",'Prod 2'!K670)</f>
        <v/>
      </c>
      <c r="G670" s="77" t="str">
        <f>IF('Prod 1'!I670="","",'Prod 1'!I670)</f>
        <v/>
      </c>
      <c r="H670" s="63" t="str">
        <f>IF('Prod 1'!F670="","",'Prod 1'!F670)</f>
        <v/>
      </c>
      <c r="I670" s="75" t="str">
        <f>IF('Prod 3'!F670="","",'Prod 3'!F670)</f>
        <v/>
      </c>
    </row>
    <row r="671" spans="3:9" ht="30" customHeight="1" x14ac:dyDescent="0.25">
      <c r="C671" s="42">
        <v>667</v>
      </c>
      <c r="D671" s="67" t="str">
        <f>IF('Prod 1'!D671="","",'Prod 1'!D671)</f>
        <v/>
      </c>
      <c r="E671" s="73" t="str">
        <f>IF('Prod 1'!E671="","",'Prod 1'!E671)</f>
        <v/>
      </c>
      <c r="F671" s="74" t="str">
        <f>IF('Prod 2'!K671="","",'Prod 2'!K671)</f>
        <v/>
      </c>
      <c r="G671" s="77" t="str">
        <f>IF('Prod 1'!I671="","",'Prod 1'!I671)</f>
        <v/>
      </c>
      <c r="H671" s="63" t="str">
        <f>IF('Prod 1'!F671="","",'Prod 1'!F671)</f>
        <v/>
      </c>
      <c r="I671" s="75" t="str">
        <f>IF('Prod 3'!F671="","",'Prod 3'!F671)</f>
        <v/>
      </c>
    </row>
    <row r="672" spans="3:9" ht="30" customHeight="1" x14ac:dyDescent="0.25">
      <c r="C672" s="42">
        <v>668</v>
      </c>
      <c r="D672" s="67" t="str">
        <f>IF('Prod 1'!D672="","",'Prod 1'!D672)</f>
        <v/>
      </c>
      <c r="E672" s="73" t="str">
        <f>IF('Prod 1'!E672="","",'Prod 1'!E672)</f>
        <v/>
      </c>
      <c r="F672" s="74" t="str">
        <f>IF('Prod 2'!K672="","",'Prod 2'!K672)</f>
        <v/>
      </c>
      <c r="G672" s="77" t="str">
        <f>IF('Prod 1'!I672="","",'Prod 1'!I672)</f>
        <v/>
      </c>
      <c r="H672" s="63" t="str">
        <f>IF('Prod 1'!F672="","",'Prod 1'!F672)</f>
        <v/>
      </c>
      <c r="I672" s="75" t="str">
        <f>IF('Prod 3'!F672="","",'Prod 3'!F672)</f>
        <v/>
      </c>
    </row>
    <row r="673" spans="3:9" ht="30" customHeight="1" x14ac:dyDescent="0.25">
      <c r="C673" s="42">
        <v>669</v>
      </c>
      <c r="D673" s="67" t="str">
        <f>IF('Prod 1'!D673="","",'Prod 1'!D673)</f>
        <v/>
      </c>
      <c r="E673" s="73" t="str">
        <f>IF('Prod 1'!E673="","",'Prod 1'!E673)</f>
        <v/>
      </c>
      <c r="F673" s="74" t="str">
        <f>IF('Prod 2'!K673="","",'Prod 2'!K673)</f>
        <v/>
      </c>
      <c r="G673" s="77" t="str">
        <f>IF('Prod 1'!I673="","",'Prod 1'!I673)</f>
        <v/>
      </c>
      <c r="H673" s="63" t="str">
        <f>IF('Prod 1'!F673="","",'Prod 1'!F673)</f>
        <v/>
      </c>
      <c r="I673" s="75" t="str">
        <f>IF('Prod 3'!F673="","",'Prod 3'!F673)</f>
        <v/>
      </c>
    </row>
    <row r="674" spans="3:9" ht="30" customHeight="1" x14ac:dyDescent="0.25">
      <c r="C674" s="42">
        <v>670</v>
      </c>
      <c r="D674" s="67" t="str">
        <f>IF('Prod 1'!D674="","",'Prod 1'!D674)</f>
        <v/>
      </c>
      <c r="E674" s="73" t="str">
        <f>IF('Prod 1'!E674="","",'Prod 1'!E674)</f>
        <v/>
      </c>
      <c r="F674" s="74" t="str">
        <f>IF('Prod 2'!K674="","",'Prod 2'!K674)</f>
        <v/>
      </c>
      <c r="G674" s="77" t="str">
        <f>IF('Prod 1'!I674="","",'Prod 1'!I674)</f>
        <v/>
      </c>
      <c r="H674" s="63" t="str">
        <f>IF('Prod 1'!F674="","",'Prod 1'!F674)</f>
        <v/>
      </c>
      <c r="I674" s="75" t="str">
        <f>IF('Prod 3'!F674="","",'Prod 3'!F674)</f>
        <v/>
      </c>
    </row>
    <row r="675" spans="3:9" ht="30" customHeight="1" x14ac:dyDescent="0.25">
      <c r="C675" s="42">
        <v>671</v>
      </c>
      <c r="D675" s="67" t="str">
        <f>IF('Prod 1'!D675="","",'Prod 1'!D675)</f>
        <v/>
      </c>
      <c r="E675" s="73" t="str">
        <f>IF('Prod 1'!E675="","",'Prod 1'!E675)</f>
        <v/>
      </c>
      <c r="F675" s="74" t="str">
        <f>IF('Prod 2'!K675="","",'Prod 2'!K675)</f>
        <v/>
      </c>
      <c r="G675" s="77" t="str">
        <f>IF('Prod 1'!I675="","",'Prod 1'!I675)</f>
        <v/>
      </c>
      <c r="H675" s="63" t="str">
        <f>IF('Prod 1'!F675="","",'Prod 1'!F675)</f>
        <v/>
      </c>
      <c r="I675" s="75" t="str">
        <f>IF('Prod 3'!F675="","",'Prod 3'!F675)</f>
        <v/>
      </c>
    </row>
    <row r="676" spans="3:9" ht="30" customHeight="1" x14ac:dyDescent="0.25">
      <c r="C676" s="42">
        <v>672</v>
      </c>
      <c r="D676" s="67" t="str">
        <f>IF('Prod 1'!D676="","",'Prod 1'!D676)</f>
        <v/>
      </c>
      <c r="E676" s="73" t="str">
        <f>IF('Prod 1'!E676="","",'Prod 1'!E676)</f>
        <v/>
      </c>
      <c r="F676" s="74" t="str">
        <f>IF('Prod 2'!K676="","",'Prod 2'!K676)</f>
        <v/>
      </c>
      <c r="G676" s="77" t="str">
        <f>IF('Prod 1'!I676="","",'Prod 1'!I676)</f>
        <v/>
      </c>
      <c r="H676" s="63" t="str">
        <f>IF('Prod 1'!F676="","",'Prod 1'!F676)</f>
        <v/>
      </c>
      <c r="I676" s="75" t="str">
        <f>IF('Prod 3'!F676="","",'Prod 3'!F676)</f>
        <v/>
      </c>
    </row>
    <row r="677" spans="3:9" ht="30" customHeight="1" x14ac:dyDescent="0.25">
      <c r="C677" s="42">
        <v>673</v>
      </c>
      <c r="D677" s="67" t="str">
        <f>IF('Prod 1'!D677="","",'Prod 1'!D677)</f>
        <v/>
      </c>
      <c r="E677" s="73" t="str">
        <f>IF('Prod 1'!E677="","",'Prod 1'!E677)</f>
        <v/>
      </c>
      <c r="F677" s="74" t="str">
        <f>IF('Prod 2'!K677="","",'Prod 2'!K677)</f>
        <v/>
      </c>
      <c r="G677" s="77" t="str">
        <f>IF('Prod 1'!I677="","",'Prod 1'!I677)</f>
        <v/>
      </c>
      <c r="H677" s="63" t="str">
        <f>IF('Prod 1'!F677="","",'Prod 1'!F677)</f>
        <v/>
      </c>
      <c r="I677" s="75" t="str">
        <f>IF('Prod 3'!F677="","",'Prod 3'!F677)</f>
        <v/>
      </c>
    </row>
    <row r="678" spans="3:9" ht="30" customHeight="1" x14ac:dyDescent="0.25">
      <c r="C678" s="42">
        <v>674</v>
      </c>
      <c r="D678" s="67" t="str">
        <f>IF('Prod 1'!D678="","",'Prod 1'!D678)</f>
        <v/>
      </c>
      <c r="E678" s="73" t="str">
        <f>IF('Prod 1'!E678="","",'Prod 1'!E678)</f>
        <v/>
      </c>
      <c r="F678" s="74" t="str">
        <f>IF('Prod 2'!K678="","",'Prod 2'!K678)</f>
        <v/>
      </c>
      <c r="G678" s="77" t="str">
        <f>IF('Prod 1'!I678="","",'Prod 1'!I678)</f>
        <v/>
      </c>
      <c r="H678" s="63" t="str">
        <f>IF('Prod 1'!F678="","",'Prod 1'!F678)</f>
        <v/>
      </c>
      <c r="I678" s="75" t="str">
        <f>IF('Prod 3'!F678="","",'Prod 3'!F678)</f>
        <v/>
      </c>
    </row>
    <row r="679" spans="3:9" ht="30" customHeight="1" x14ac:dyDescent="0.25">
      <c r="C679" s="42">
        <v>675</v>
      </c>
      <c r="D679" s="67" t="str">
        <f>IF('Prod 1'!D679="","",'Prod 1'!D679)</f>
        <v/>
      </c>
      <c r="E679" s="73" t="str">
        <f>IF('Prod 1'!E679="","",'Prod 1'!E679)</f>
        <v/>
      </c>
      <c r="F679" s="74" t="str">
        <f>IF('Prod 2'!K679="","",'Prod 2'!K679)</f>
        <v/>
      </c>
      <c r="G679" s="77" t="str">
        <f>IF('Prod 1'!I679="","",'Prod 1'!I679)</f>
        <v/>
      </c>
      <c r="H679" s="63" t="str">
        <f>IF('Prod 1'!F679="","",'Prod 1'!F679)</f>
        <v/>
      </c>
      <c r="I679" s="75" t="str">
        <f>IF('Prod 3'!F679="","",'Prod 3'!F679)</f>
        <v/>
      </c>
    </row>
    <row r="680" spans="3:9" ht="30" customHeight="1" x14ac:dyDescent="0.25">
      <c r="C680" s="42">
        <v>676</v>
      </c>
      <c r="D680" s="67" t="str">
        <f>IF('Prod 1'!D680="","",'Prod 1'!D680)</f>
        <v/>
      </c>
      <c r="E680" s="73" t="str">
        <f>IF('Prod 1'!E680="","",'Prod 1'!E680)</f>
        <v/>
      </c>
      <c r="F680" s="74" t="str">
        <f>IF('Prod 2'!K680="","",'Prod 2'!K680)</f>
        <v/>
      </c>
      <c r="G680" s="77" t="str">
        <f>IF('Prod 1'!I680="","",'Prod 1'!I680)</f>
        <v/>
      </c>
      <c r="H680" s="63" t="str">
        <f>IF('Prod 1'!F680="","",'Prod 1'!F680)</f>
        <v/>
      </c>
      <c r="I680" s="75" t="str">
        <f>IF('Prod 3'!F680="","",'Prod 3'!F680)</f>
        <v/>
      </c>
    </row>
    <row r="681" spans="3:9" ht="30" customHeight="1" x14ac:dyDescent="0.25">
      <c r="C681" s="42">
        <v>677</v>
      </c>
      <c r="D681" s="67" t="str">
        <f>IF('Prod 1'!D681="","",'Prod 1'!D681)</f>
        <v/>
      </c>
      <c r="E681" s="73" t="str">
        <f>IF('Prod 1'!E681="","",'Prod 1'!E681)</f>
        <v/>
      </c>
      <c r="F681" s="74" t="str">
        <f>IF('Prod 2'!K681="","",'Prod 2'!K681)</f>
        <v/>
      </c>
      <c r="G681" s="77" t="str">
        <f>IF('Prod 1'!I681="","",'Prod 1'!I681)</f>
        <v/>
      </c>
      <c r="H681" s="63" t="str">
        <f>IF('Prod 1'!F681="","",'Prod 1'!F681)</f>
        <v/>
      </c>
      <c r="I681" s="75" t="str">
        <f>IF('Prod 3'!F681="","",'Prod 3'!F681)</f>
        <v/>
      </c>
    </row>
    <row r="682" spans="3:9" ht="30" customHeight="1" x14ac:dyDescent="0.25">
      <c r="C682" s="42">
        <v>678</v>
      </c>
      <c r="D682" s="67" t="str">
        <f>IF('Prod 1'!D682="","",'Prod 1'!D682)</f>
        <v/>
      </c>
      <c r="E682" s="73" t="str">
        <f>IF('Prod 1'!E682="","",'Prod 1'!E682)</f>
        <v/>
      </c>
      <c r="F682" s="74" t="str">
        <f>IF('Prod 2'!K682="","",'Prod 2'!K682)</f>
        <v/>
      </c>
      <c r="G682" s="77" t="str">
        <f>IF('Prod 1'!I682="","",'Prod 1'!I682)</f>
        <v/>
      </c>
      <c r="H682" s="63" t="str">
        <f>IF('Prod 1'!F682="","",'Prod 1'!F682)</f>
        <v/>
      </c>
      <c r="I682" s="75" t="str">
        <f>IF('Prod 3'!F682="","",'Prod 3'!F682)</f>
        <v/>
      </c>
    </row>
    <row r="683" spans="3:9" ht="30" customHeight="1" x14ac:dyDescent="0.25">
      <c r="C683" s="42">
        <v>679</v>
      </c>
      <c r="D683" s="67" t="str">
        <f>IF('Prod 1'!D683="","",'Prod 1'!D683)</f>
        <v/>
      </c>
      <c r="E683" s="73" t="str">
        <f>IF('Prod 1'!E683="","",'Prod 1'!E683)</f>
        <v/>
      </c>
      <c r="F683" s="74" t="str">
        <f>IF('Prod 2'!K683="","",'Prod 2'!K683)</f>
        <v/>
      </c>
      <c r="G683" s="77" t="str">
        <f>IF('Prod 1'!I683="","",'Prod 1'!I683)</f>
        <v/>
      </c>
      <c r="H683" s="63" t="str">
        <f>IF('Prod 1'!F683="","",'Prod 1'!F683)</f>
        <v/>
      </c>
      <c r="I683" s="75" t="str">
        <f>IF('Prod 3'!F683="","",'Prod 3'!F683)</f>
        <v/>
      </c>
    </row>
    <row r="684" spans="3:9" ht="30" customHeight="1" x14ac:dyDescent="0.25">
      <c r="C684" s="42">
        <v>680</v>
      </c>
      <c r="D684" s="67" t="str">
        <f>IF('Prod 1'!D684="","",'Prod 1'!D684)</f>
        <v/>
      </c>
      <c r="E684" s="73" t="str">
        <f>IF('Prod 1'!E684="","",'Prod 1'!E684)</f>
        <v/>
      </c>
      <c r="F684" s="74" t="str">
        <f>IF('Prod 2'!K684="","",'Prod 2'!K684)</f>
        <v/>
      </c>
      <c r="G684" s="77" t="str">
        <f>IF('Prod 1'!I684="","",'Prod 1'!I684)</f>
        <v/>
      </c>
      <c r="H684" s="63" t="str">
        <f>IF('Prod 1'!F684="","",'Prod 1'!F684)</f>
        <v/>
      </c>
      <c r="I684" s="75" t="str">
        <f>IF('Prod 3'!F684="","",'Prod 3'!F684)</f>
        <v/>
      </c>
    </row>
    <row r="685" spans="3:9" ht="30" customHeight="1" x14ac:dyDescent="0.25">
      <c r="C685" s="42">
        <v>681</v>
      </c>
      <c r="D685" s="67" t="str">
        <f>IF('Prod 1'!D685="","",'Prod 1'!D685)</f>
        <v/>
      </c>
      <c r="E685" s="73" t="str">
        <f>IF('Prod 1'!E685="","",'Prod 1'!E685)</f>
        <v/>
      </c>
      <c r="F685" s="74" t="str">
        <f>IF('Prod 2'!K685="","",'Prod 2'!K685)</f>
        <v/>
      </c>
      <c r="G685" s="77" t="str">
        <f>IF('Prod 1'!I685="","",'Prod 1'!I685)</f>
        <v/>
      </c>
      <c r="H685" s="63" t="str">
        <f>IF('Prod 1'!F685="","",'Prod 1'!F685)</f>
        <v/>
      </c>
      <c r="I685" s="75" t="str">
        <f>IF('Prod 3'!F685="","",'Prod 3'!F685)</f>
        <v/>
      </c>
    </row>
    <row r="686" spans="3:9" ht="30" customHeight="1" x14ac:dyDescent="0.25">
      <c r="C686" s="42">
        <v>682</v>
      </c>
      <c r="D686" s="67" t="str">
        <f>IF('Prod 1'!D686="","",'Prod 1'!D686)</f>
        <v/>
      </c>
      <c r="E686" s="73" t="str">
        <f>IF('Prod 1'!E686="","",'Prod 1'!E686)</f>
        <v/>
      </c>
      <c r="F686" s="74" t="str">
        <f>IF('Prod 2'!K686="","",'Prod 2'!K686)</f>
        <v/>
      </c>
      <c r="G686" s="77" t="str">
        <f>IF('Prod 1'!I686="","",'Prod 1'!I686)</f>
        <v/>
      </c>
      <c r="H686" s="63" t="str">
        <f>IF('Prod 1'!F686="","",'Prod 1'!F686)</f>
        <v/>
      </c>
      <c r="I686" s="75" t="str">
        <f>IF('Prod 3'!F686="","",'Prod 3'!F686)</f>
        <v/>
      </c>
    </row>
    <row r="687" spans="3:9" ht="30" customHeight="1" x14ac:dyDescent="0.25">
      <c r="C687" s="42">
        <v>683</v>
      </c>
      <c r="D687" s="67" t="str">
        <f>IF('Prod 1'!D687="","",'Prod 1'!D687)</f>
        <v/>
      </c>
      <c r="E687" s="73" t="str">
        <f>IF('Prod 1'!E687="","",'Prod 1'!E687)</f>
        <v/>
      </c>
      <c r="F687" s="74" t="str">
        <f>IF('Prod 2'!K687="","",'Prod 2'!K687)</f>
        <v/>
      </c>
      <c r="G687" s="77" t="str">
        <f>IF('Prod 1'!I687="","",'Prod 1'!I687)</f>
        <v/>
      </c>
      <c r="H687" s="63" t="str">
        <f>IF('Prod 1'!F687="","",'Prod 1'!F687)</f>
        <v/>
      </c>
      <c r="I687" s="75" t="str">
        <f>IF('Prod 3'!F687="","",'Prod 3'!F687)</f>
        <v/>
      </c>
    </row>
    <row r="688" spans="3:9" ht="30" customHeight="1" x14ac:dyDescent="0.25">
      <c r="C688" s="42">
        <v>684</v>
      </c>
      <c r="D688" s="67" t="str">
        <f>IF('Prod 1'!D688="","",'Prod 1'!D688)</f>
        <v/>
      </c>
      <c r="E688" s="73" t="str">
        <f>IF('Prod 1'!E688="","",'Prod 1'!E688)</f>
        <v/>
      </c>
      <c r="F688" s="74" t="str">
        <f>IF('Prod 2'!K688="","",'Prod 2'!K688)</f>
        <v/>
      </c>
      <c r="G688" s="77" t="str">
        <f>IF('Prod 1'!I688="","",'Prod 1'!I688)</f>
        <v/>
      </c>
      <c r="H688" s="63" t="str">
        <f>IF('Prod 1'!F688="","",'Prod 1'!F688)</f>
        <v/>
      </c>
      <c r="I688" s="75" t="str">
        <f>IF('Prod 3'!F688="","",'Prod 3'!F688)</f>
        <v/>
      </c>
    </row>
    <row r="689" spans="3:9" ht="30" customHeight="1" x14ac:dyDescent="0.25">
      <c r="C689" s="42">
        <v>685</v>
      </c>
      <c r="D689" s="67" t="str">
        <f>IF('Prod 1'!D689="","",'Prod 1'!D689)</f>
        <v/>
      </c>
      <c r="E689" s="73" t="str">
        <f>IF('Prod 1'!E689="","",'Prod 1'!E689)</f>
        <v/>
      </c>
      <c r="F689" s="74" t="str">
        <f>IF('Prod 2'!K689="","",'Prod 2'!K689)</f>
        <v/>
      </c>
      <c r="G689" s="77" t="str">
        <f>IF('Prod 1'!I689="","",'Prod 1'!I689)</f>
        <v/>
      </c>
      <c r="H689" s="63" t="str">
        <f>IF('Prod 1'!F689="","",'Prod 1'!F689)</f>
        <v/>
      </c>
      <c r="I689" s="75" t="str">
        <f>IF('Prod 3'!F689="","",'Prod 3'!F689)</f>
        <v/>
      </c>
    </row>
    <row r="690" spans="3:9" ht="30" customHeight="1" x14ac:dyDescent="0.25">
      <c r="C690" s="42">
        <v>686</v>
      </c>
      <c r="D690" s="67" t="str">
        <f>IF('Prod 1'!D690="","",'Prod 1'!D690)</f>
        <v/>
      </c>
      <c r="E690" s="73" t="str">
        <f>IF('Prod 1'!E690="","",'Prod 1'!E690)</f>
        <v/>
      </c>
      <c r="F690" s="74" t="str">
        <f>IF('Prod 2'!K690="","",'Prod 2'!K690)</f>
        <v/>
      </c>
      <c r="G690" s="77" t="str">
        <f>IF('Prod 1'!I690="","",'Prod 1'!I690)</f>
        <v/>
      </c>
      <c r="H690" s="63" t="str">
        <f>IF('Prod 1'!F690="","",'Prod 1'!F690)</f>
        <v/>
      </c>
      <c r="I690" s="75" t="str">
        <f>IF('Prod 3'!F690="","",'Prod 3'!F690)</f>
        <v/>
      </c>
    </row>
    <row r="691" spans="3:9" ht="30" customHeight="1" x14ac:dyDescent="0.25">
      <c r="C691" s="42">
        <v>687</v>
      </c>
      <c r="D691" s="67" t="str">
        <f>IF('Prod 1'!D691="","",'Prod 1'!D691)</f>
        <v/>
      </c>
      <c r="E691" s="73" t="str">
        <f>IF('Prod 1'!E691="","",'Prod 1'!E691)</f>
        <v/>
      </c>
      <c r="F691" s="74" t="str">
        <f>IF('Prod 2'!K691="","",'Prod 2'!K691)</f>
        <v/>
      </c>
      <c r="G691" s="77" t="str">
        <f>IF('Prod 1'!I691="","",'Prod 1'!I691)</f>
        <v/>
      </c>
      <c r="H691" s="63" t="str">
        <f>IF('Prod 1'!F691="","",'Prod 1'!F691)</f>
        <v/>
      </c>
      <c r="I691" s="75" t="str">
        <f>IF('Prod 3'!F691="","",'Prod 3'!F691)</f>
        <v/>
      </c>
    </row>
    <row r="692" spans="3:9" ht="30" customHeight="1" x14ac:dyDescent="0.25">
      <c r="C692" s="42">
        <v>688</v>
      </c>
      <c r="D692" s="67" t="str">
        <f>IF('Prod 1'!D692="","",'Prod 1'!D692)</f>
        <v/>
      </c>
      <c r="E692" s="73" t="str">
        <f>IF('Prod 1'!E692="","",'Prod 1'!E692)</f>
        <v/>
      </c>
      <c r="F692" s="74" t="str">
        <f>IF('Prod 2'!K692="","",'Prod 2'!K692)</f>
        <v/>
      </c>
      <c r="G692" s="77" t="str">
        <f>IF('Prod 1'!I692="","",'Prod 1'!I692)</f>
        <v/>
      </c>
      <c r="H692" s="63" t="str">
        <f>IF('Prod 1'!F692="","",'Prod 1'!F692)</f>
        <v/>
      </c>
      <c r="I692" s="75" t="str">
        <f>IF('Prod 3'!F692="","",'Prod 3'!F692)</f>
        <v/>
      </c>
    </row>
    <row r="693" spans="3:9" ht="30" customHeight="1" x14ac:dyDescent="0.25">
      <c r="C693" s="42">
        <v>689</v>
      </c>
      <c r="D693" s="67" t="str">
        <f>IF('Prod 1'!D693="","",'Prod 1'!D693)</f>
        <v/>
      </c>
      <c r="E693" s="73" t="str">
        <f>IF('Prod 1'!E693="","",'Prod 1'!E693)</f>
        <v/>
      </c>
      <c r="F693" s="74" t="str">
        <f>IF('Prod 2'!K693="","",'Prod 2'!K693)</f>
        <v/>
      </c>
      <c r="G693" s="77" t="str">
        <f>IF('Prod 1'!I693="","",'Prod 1'!I693)</f>
        <v/>
      </c>
      <c r="H693" s="63" t="str">
        <f>IF('Prod 1'!F693="","",'Prod 1'!F693)</f>
        <v/>
      </c>
      <c r="I693" s="75" t="str">
        <f>IF('Prod 3'!F693="","",'Prod 3'!F693)</f>
        <v/>
      </c>
    </row>
    <row r="694" spans="3:9" ht="30" customHeight="1" x14ac:dyDescent="0.25">
      <c r="C694" s="42">
        <v>690</v>
      </c>
      <c r="D694" s="67" t="str">
        <f>IF('Prod 1'!D694="","",'Prod 1'!D694)</f>
        <v/>
      </c>
      <c r="E694" s="73" t="str">
        <f>IF('Prod 1'!E694="","",'Prod 1'!E694)</f>
        <v/>
      </c>
      <c r="F694" s="74" t="str">
        <f>IF('Prod 2'!K694="","",'Prod 2'!K694)</f>
        <v/>
      </c>
      <c r="G694" s="77" t="str">
        <f>IF('Prod 1'!I694="","",'Prod 1'!I694)</f>
        <v/>
      </c>
      <c r="H694" s="63" t="str">
        <f>IF('Prod 1'!F694="","",'Prod 1'!F694)</f>
        <v/>
      </c>
      <c r="I694" s="75" t="str">
        <f>IF('Prod 3'!F694="","",'Prod 3'!F694)</f>
        <v/>
      </c>
    </row>
    <row r="695" spans="3:9" ht="30" customHeight="1" x14ac:dyDescent="0.25">
      <c r="C695" s="42">
        <v>691</v>
      </c>
      <c r="D695" s="67" t="str">
        <f>IF('Prod 1'!D695="","",'Prod 1'!D695)</f>
        <v/>
      </c>
      <c r="E695" s="73" t="str">
        <f>IF('Prod 1'!E695="","",'Prod 1'!E695)</f>
        <v/>
      </c>
      <c r="F695" s="74" t="str">
        <f>IF('Prod 2'!K695="","",'Prod 2'!K695)</f>
        <v/>
      </c>
      <c r="G695" s="77" t="str">
        <f>IF('Prod 1'!I695="","",'Prod 1'!I695)</f>
        <v/>
      </c>
      <c r="H695" s="63" t="str">
        <f>IF('Prod 1'!F695="","",'Prod 1'!F695)</f>
        <v/>
      </c>
      <c r="I695" s="75" t="str">
        <f>IF('Prod 3'!F695="","",'Prod 3'!F695)</f>
        <v/>
      </c>
    </row>
    <row r="696" spans="3:9" ht="30" customHeight="1" x14ac:dyDescent="0.25">
      <c r="C696" s="42">
        <v>692</v>
      </c>
      <c r="D696" s="67" t="str">
        <f>IF('Prod 1'!D696="","",'Prod 1'!D696)</f>
        <v/>
      </c>
      <c r="E696" s="73" t="str">
        <f>IF('Prod 1'!E696="","",'Prod 1'!E696)</f>
        <v/>
      </c>
      <c r="F696" s="74" t="str">
        <f>IF('Prod 2'!K696="","",'Prod 2'!K696)</f>
        <v/>
      </c>
      <c r="G696" s="77" t="str">
        <f>IF('Prod 1'!I696="","",'Prod 1'!I696)</f>
        <v/>
      </c>
      <c r="H696" s="63" t="str">
        <f>IF('Prod 1'!F696="","",'Prod 1'!F696)</f>
        <v/>
      </c>
      <c r="I696" s="75" t="str">
        <f>IF('Prod 3'!F696="","",'Prod 3'!F696)</f>
        <v/>
      </c>
    </row>
    <row r="697" spans="3:9" ht="30" customHeight="1" x14ac:dyDescent="0.25">
      <c r="C697" s="42">
        <v>693</v>
      </c>
      <c r="D697" s="67" t="str">
        <f>IF('Prod 1'!D697="","",'Prod 1'!D697)</f>
        <v/>
      </c>
      <c r="E697" s="73" t="str">
        <f>IF('Prod 1'!E697="","",'Prod 1'!E697)</f>
        <v/>
      </c>
      <c r="F697" s="74" t="str">
        <f>IF('Prod 2'!K697="","",'Prod 2'!K697)</f>
        <v/>
      </c>
      <c r="G697" s="77" t="str">
        <f>IF('Prod 1'!I697="","",'Prod 1'!I697)</f>
        <v/>
      </c>
      <c r="H697" s="63" t="str">
        <f>IF('Prod 1'!F697="","",'Prod 1'!F697)</f>
        <v/>
      </c>
      <c r="I697" s="75" t="str">
        <f>IF('Prod 3'!F697="","",'Prod 3'!F697)</f>
        <v/>
      </c>
    </row>
    <row r="698" spans="3:9" ht="30" customHeight="1" x14ac:dyDescent="0.25">
      <c r="C698" s="42">
        <v>694</v>
      </c>
      <c r="D698" s="67" t="str">
        <f>IF('Prod 1'!D698="","",'Prod 1'!D698)</f>
        <v/>
      </c>
      <c r="E698" s="73" t="str">
        <f>IF('Prod 1'!E698="","",'Prod 1'!E698)</f>
        <v/>
      </c>
      <c r="F698" s="74" t="str">
        <f>IF('Prod 2'!K698="","",'Prod 2'!K698)</f>
        <v/>
      </c>
      <c r="G698" s="77" t="str">
        <f>IF('Prod 1'!I698="","",'Prod 1'!I698)</f>
        <v/>
      </c>
      <c r="H698" s="63" t="str">
        <f>IF('Prod 1'!F698="","",'Prod 1'!F698)</f>
        <v/>
      </c>
      <c r="I698" s="75" t="str">
        <f>IF('Prod 3'!F698="","",'Prod 3'!F698)</f>
        <v/>
      </c>
    </row>
    <row r="699" spans="3:9" ht="30" customHeight="1" x14ac:dyDescent="0.25">
      <c r="C699" s="42">
        <v>695</v>
      </c>
      <c r="D699" s="67" t="str">
        <f>IF('Prod 1'!D699="","",'Prod 1'!D699)</f>
        <v/>
      </c>
      <c r="E699" s="73" t="str">
        <f>IF('Prod 1'!E699="","",'Prod 1'!E699)</f>
        <v/>
      </c>
      <c r="F699" s="74" t="str">
        <f>IF('Prod 2'!K699="","",'Prod 2'!K699)</f>
        <v/>
      </c>
      <c r="G699" s="77" t="str">
        <f>IF('Prod 1'!I699="","",'Prod 1'!I699)</f>
        <v/>
      </c>
      <c r="H699" s="63" t="str">
        <f>IF('Prod 1'!F699="","",'Prod 1'!F699)</f>
        <v/>
      </c>
      <c r="I699" s="75" t="str">
        <f>IF('Prod 3'!F699="","",'Prod 3'!F699)</f>
        <v/>
      </c>
    </row>
    <row r="700" spans="3:9" ht="30" customHeight="1" x14ac:dyDescent="0.25">
      <c r="C700" s="42">
        <v>696</v>
      </c>
      <c r="D700" s="67" t="str">
        <f>IF('Prod 1'!D700="","",'Prod 1'!D700)</f>
        <v/>
      </c>
      <c r="E700" s="73" t="str">
        <f>IF('Prod 1'!E700="","",'Prod 1'!E700)</f>
        <v/>
      </c>
      <c r="F700" s="74" t="str">
        <f>IF('Prod 2'!K700="","",'Prod 2'!K700)</f>
        <v/>
      </c>
      <c r="G700" s="77" t="str">
        <f>IF('Prod 1'!I700="","",'Prod 1'!I700)</f>
        <v/>
      </c>
      <c r="H700" s="63" t="str">
        <f>IF('Prod 1'!F700="","",'Prod 1'!F700)</f>
        <v/>
      </c>
      <c r="I700" s="75" t="str">
        <f>IF('Prod 3'!F700="","",'Prod 3'!F700)</f>
        <v/>
      </c>
    </row>
    <row r="701" spans="3:9" ht="30" customHeight="1" x14ac:dyDescent="0.25">
      <c r="C701" s="42">
        <v>697</v>
      </c>
      <c r="D701" s="67" t="str">
        <f>IF('Prod 1'!D701="","",'Prod 1'!D701)</f>
        <v/>
      </c>
      <c r="E701" s="73" t="str">
        <f>IF('Prod 1'!E701="","",'Prod 1'!E701)</f>
        <v/>
      </c>
      <c r="F701" s="74" t="str">
        <f>IF('Prod 2'!K701="","",'Prod 2'!K701)</f>
        <v/>
      </c>
      <c r="G701" s="77" t="str">
        <f>IF('Prod 1'!I701="","",'Prod 1'!I701)</f>
        <v/>
      </c>
      <c r="H701" s="63" t="str">
        <f>IF('Prod 1'!F701="","",'Prod 1'!F701)</f>
        <v/>
      </c>
      <c r="I701" s="75" t="str">
        <f>IF('Prod 3'!F701="","",'Prod 3'!F701)</f>
        <v/>
      </c>
    </row>
    <row r="702" spans="3:9" ht="30" customHeight="1" x14ac:dyDescent="0.25">
      <c r="C702" s="42">
        <v>698</v>
      </c>
      <c r="D702" s="67" t="str">
        <f>IF('Prod 1'!D702="","",'Prod 1'!D702)</f>
        <v/>
      </c>
      <c r="E702" s="73" t="str">
        <f>IF('Prod 1'!E702="","",'Prod 1'!E702)</f>
        <v/>
      </c>
      <c r="F702" s="74" t="str">
        <f>IF('Prod 2'!K702="","",'Prod 2'!K702)</f>
        <v/>
      </c>
      <c r="G702" s="77" t="str">
        <f>IF('Prod 1'!I702="","",'Prod 1'!I702)</f>
        <v/>
      </c>
      <c r="H702" s="63" t="str">
        <f>IF('Prod 1'!F702="","",'Prod 1'!F702)</f>
        <v/>
      </c>
      <c r="I702" s="75" t="str">
        <f>IF('Prod 3'!F702="","",'Prod 3'!F702)</f>
        <v/>
      </c>
    </row>
    <row r="703" spans="3:9" ht="30" customHeight="1" x14ac:dyDescent="0.25">
      <c r="C703" s="42">
        <v>699</v>
      </c>
      <c r="D703" s="67" t="str">
        <f>IF('Prod 1'!D703="","",'Prod 1'!D703)</f>
        <v/>
      </c>
      <c r="E703" s="73" t="str">
        <f>IF('Prod 1'!E703="","",'Prod 1'!E703)</f>
        <v/>
      </c>
      <c r="F703" s="74" t="str">
        <f>IF('Prod 2'!K703="","",'Prod 2'!K703)</f>
        <v/>
      </c>
      <c r="G703" s="77" t="str">
        <f>IF('Prod 1'!I703="","",'Prod 1'!I703)</f>
        <v/>
      </c>
      <c r="H703" s="63" t="str">
        <f>IF('Prod 1'!F703="","",'Prod 1'!F703)</f>
        <v/>
      </c>
      <c r="I703" s="75" t="str">
        <f>IF('Prod 3'!F703="","",'Prod 3'!F703)</f>
        <v/>
      </c>
    </row>
    <row r="704" spans="3:9" ht="30" customHeight="1" x14ac:dyDescent="0.25">
      <c r="C704" s="42">
        <v>700</v>
      </c>
      <c r="D704" s="67" t="str">
        <f>IF('Prod 1'!D704="","",'Prod 1'!D704)</f>
        <v/>
      </c>
      <c r="E704" s="73" t="str">
        <f>IF('Prod 1'!E704="","",'Prod 1'!E704)</f>
        <v/>
      </c>
      <c r="F704" s="74" t="str">
        <f>IF('Prod 2'!K704="","",'Prod 2'!K704)</f>
        <v/>
      </c>
      <c r="G704" s="77" t="str">
        <f>IF('Prod 1'!I704="","",'Prod 1'!I704)</f>
        <v/>
      </c>
      <c r="H704" s="63" t="str">
        <f>IF('Prod 1'!F704="","",'Prod 1'!F704)</f>
        <v/>
      </c>
      <c r="I704" s="75" t="str">
        <f>IF('Prod 3'!F704="","",'Prod 3'!F704)</f>
        <v/>
      </c>
    </row>
    <row r="705" spans="3:9" ht="30" customHeight="1" x14ac:dyDescent="0.25">
      <c r="C705" s="42">
        <v>701</v>
      </c>
      <c r="D705" s="67" t="str">
        <f>IF('Prod 1'!D705="","",'Prod 1'!D705)</f>
        <v/>
      </c>
      <c r="E705" s="73" t="str">
        <f>IF('Prod 1'!E705="","",'Prod 1'!E705)</f>
        <v/>
      </c>
      <c r="F705" s="74" t="str">
        <f>IF('Prod 2'!K705="","",'Prod 2'!K705)</f>
        <v/>
      </c>
      <c r="G705" s="77" t="str">
        <f>IF('Prod 1'!I705="","",'Prod 1'!I705)</f>
        <v/>
      </c>
      <c r="H705" s="63" t="str">
        <f>IF('Prod 1'!F705="","",'Prod 1'!F705)</f>
        <v/>
      </c>
      <c r="I705" s="75" t="str">
        <f>IF('Prod 3'!F705="","",'Prod 3'!F705)</f>
        <v/>
      </c>
    </row>
    <row r="706" spans="3:9" ht="30" customHeight="1" x14ac:dyDescent="0.25">
      <c r="C706" s="42">
        <v>702</v>
      </c>
      <c r="D706" s="67" t="str">
        <f>IF('Prod 1'!D706="","",'Prod 1'!D706)</f>
        <v/>
      </c>
      <c r="E706" s="73" t="str">
        <f>IF('Prod 1'!E706="","",'Prod 1'!E706)</f>
        <v/>
      </c>
      <c r="F706" s="74" t="str">
        <f>IF('Prod 2'!K706="","",'Prod 2'!K706)</f>
        <v/>
      </c>
      <c r="G706" s="77" t="str">
        <f>IF('Prod 1'!I706="","",'Prod 1'!I706)</f>
        <v/>
      </c>
      <c r="H706" s="63" t="str">
        <f>IF('Prod 1'!F706="","",'Prod 1'!F706)</f>
        <v/>
      </c>
      <c r="I706" s="75" t="str">
        <f>IF('Prod 3'!F706="","",'Prod 3'!F706)</f>
        <v/>
      </c>
    </row>
    <row r="707" spans="3:9" ht="30" customHeight="1" x14ac:dyDescent="0.25">
      <c r="C707" s="42">
        <v>703</v>
      </c>
      <c r="D707" s="67" t="str">
        <f>IF('Prod 1'!D707="","",'Prod 1'!D707)</f>
        <v/>
      </c>
      <c r="E707" s="73" t="str">
        <f>IF('Prod 1'!E707="","",'Prod 1'!E707)</f>
        <v/>
      </c>
      <c r="F707" s="74" t="str">
        <f>IF('Prod 2'!K707="","",'Prod 2'!K707)</f>
        <v/>
      </c>
      <c r="G707" s="77" t="str">
        <f>IF('Prod 1'!I707="","",'Prod 1'!I707)</f>
        <v/>
      </c>
      <c r="H707" s="63" t="str">
        <f>IF('Prod 1'!F707="","",'Prod 1'!F707)</f>
        <v/>
      </c>
      <c r="I707" s="75" t="str">
        <f>IF('Prod 3'!F707="","",'Prod 3'!F707)</f>
        <v/>
      </c>
    </row>
    <row r="708" spans="3:9" ht="30" customHeight="1" x14ac:dyDescent="0.25">
      <c r="C708" s="42">
        <v>704</v>
      </c>
      <c r="D708" s="67" t="str">
        <f>IF('Prod 1'!D708="","",'Prod 1'!D708)</f>
        <v/>
      </c>
      <c r="E708" s="73" t="str">
        <f>IF('Prod 1'!E708="","",'Prod 1'!E708)</f>
        <v/>
      </c>
      <c r="F708" s="74" t="str">
        <f>IF('Prod 2'!K708="","",'Prod 2'!K708)</f>
        <v/>
      </c>
      <c r="G708" s="77" t="str">
        <f>IF('Prod 1'!I708="","",'Prod 1'!I708)</f>
        <v/>
      </c>
      <c r="H708" s="63" t="str">
        <f>IF('Prod 1'!F708="","",'Prod 1'!F708)</f>
        <v/>
      </c>
      <c r="I708" s="75" t="str">
        <f>IF('Prod 3'!F708="","",'Prod 3'!F708)</f>
        <v/>
      </c>
    </row>
    <row r="709" spans="3:9" ht="30" customHeight="1" x14ac:dyDescent="0.25">
      <c r="C709" s="42">
        <v>705</v>
      </c>
      <c r="D709" s="67" t="str">
        <f>IF('Prod 1'!D709="","",'Prod 1'!D709)</f>
        <v/>
      </c>
      <c r="E709" s="73" t="str">
        <f>IF('Prod 1'!E709="","",'Prod 1'!E709)</f>
        <v/>
      </c>
      <c r="F709" s="74" t="str">
        <f>IF('Prod 2'!K709="","",'Prod 2'!K709)</f>
        <v/>
      </c>
      <c r="G709" s="77" t="str">
        <f>IF('Prod 1'!I709="","",'Prod 1'!I709)</f>
        <v/>
      </c>
      <c r="H709" s="63" t="str">
        <f>IF('Prod 1'!F709="","",'Prod 1'!F709)</f>
        <v/>
      </c>
      <c r="I709" s="75" t="str">
        <f>IF('Prod 3'!F709="","",'Prod 3'!F709)</f>
        <v/>
      </c>
    </row>
    <row r="710" spans="3:9" ht="30" customHeight="1" x14ac:dyDescent="0.25">
      <c r="C710" s="42">
        <v>706</v>
      </c>
      <c r="D710" s="67" t="str">
        <f>IF('Prod 1'!D710="","",'Prod 1'!D710)</f>
        <v/>
      </c>
      <c r="E710" s="73" t="str">
        <f>IF('Prod 1'!E710="","",'Prod 1'!E710)</f>
        <v/>
      </c>
      <c r="F710" s="74" t="str">
        <f>IF('Prod 2'!K710="","",'Prod 2'!K710)</f>
        <v/>
      </c>
      <c r="G710" s="77" t="str">
        <f>IF('Prod 1'!I710="","",'Prod 1'!I710)</f>
        <v/>
      </c>
      <c r="H710" s="63" t="str">
        <f>IF('Prod 1'!F710="","",'Prod 1'!F710)</f>
        <v/>
      </c>
      <c r="I710" s="75" t="str">
        <f>IF('Prod 3'!F710="","",'Prod 3'!F710)</f>
        <v/>
      </c>
    </row>
    <row r="711" spans="3:9" ht="30" customHeight="1" x14ac:dyDescent="0.25">
      <c r="C711" s="42">
        <v>707</v>
      </c>
      <c r="D711" s="67" t="str">
        <f>IF('Prod 1'!D711="","",'Prod 1'!D711)</f>
        <v/>
      </c>
      <c r="E711" s="73" t="str">
        <f>IF('Prod 1'!E711="","",'Prod 1'!E711)</f>
        <v/>
      </c>
      <c r="F711" s="74" t="str">
        <f>IF('Prod 2'!K711="","",'Prod 2'!K711)</f>
        <v/>
      </c>
      <c r="G711" s="77" t="str">
        <f>IF('Prod 1'!I711="","",'Prod 1'!I711)</f>
        <v/>
      </c>
      <c r="H711" s="63" t="str">
        <f>IF('Prod 1'!F711="","",'Prod 1'!F711)</f>
        <v/>
      </c>
      <c r="I711" s="75" t="str">
        <f>IF('Prod 3'!F711="","",'Prod 3'!F711)</f>
        <v/>
      </c>
    </row>
    <row r="712" spans="3:9" ht="30" customHeight="1" x14ac:dyDescent="0.25">
      <c r="C712" s="42">
        <v>708</v>
      </c>
      <c r="D712" s="67" t="str">
        <f>IF('Prod 1'!D712="","",'Prod 1'!D712)</f>
        <v/>
      </c>
      <c r="E712" s="73" t="str">
        <f>IF('Prod 1'!E712="","",'Prod 1'!E712)</f>
        <v/>
      </c>
      <c r="F712" s="74" t="str">
        <f>IF('Prod 2'!K712="","",'Prod 2'!K712)</f>
        <v/>
      </c>
      <c r="G712" s="77" t="str">
        <f>IF('Prod 1'!I712="","",'Prod 1'!I712)</f>
        <v/>
      </c>
      <c r="H712" s="63" t="str">
        <f>IF('Prod 1'!F712="","",'Prod 1'!F712)</f>
        <v/>
      </c>
      <c r="I712" s="75" t="str">
        <f>IF('Prod 3'!F712="","",'Prod 3'!F712)</f>
        <v/>
      </c>
    </row>
    <row r="713" spans="3:9" ht="30" customHeight="1" x14ac:dyDescent="0.25">
      <c r="C713" s="42">
        <v>709</v>
      </c>
      <c r="D713" s="67" t="str">
        <f>IF('Prod 1'!D713="","",'Prod 1'!D713)</f>
        <v/>
      </c>
      <c r="E713" s="73" t="str">
        <f>IF('Prod 1'!E713="","",'Prod 1'!E713)</f>
        <v/>
      </c>
      <c r="F713" s="74" t="str">
        <f>IF('Prod 2'!K713="","",'Prod 2'!K713)</f>
        <v/>
      </c>
      <c r="G713" s="77" t="str">
        <f>IF('Prod 1'!I713="","",'Prod 1'!I713)</f>
        <v/>
      </c>
      <c r="H713" s="63" t="str">
        <f>IF('Prod 1'!F713="","",'Prod 1'!F713)</f>
        <v/>
      </c>
      <c r="I713" s="75" t="str">
        <f>IF('Prod 3'!F713="","",'Prod 3'!F713)</f>
        <v/>
      </c>
    </row>
    <row r="714" spans="3:9" ht="30" customHeight="1" x14ac:dyDescent="0.25">
      <c r="C714" s="42">
        <v>710</v>
      </c>
      <c r="D714" s="67" t="str">
        <f>IF('Prod 1'!D714="","",'Prod 1'!D714)</f>
        <v/>
      </c>
      <c r="E714" s="73" t="str">
        <f>IF('Prod 1'!E714="","",'Prod 1'!E714)</f>
        <v/>
      </c>
      <c r="F714" s="74" t="str">
        <f>IF('Prod 2'!K714="","",'Prod 2'!K714)</f>
        <v/>
      </c>
      <c r="G714" s="77" t="str">
        <f>IF('Prod 1'!I714="","",'Prod 1'!I714)</f>
        <v/>
      </c>
      <c r="H714" s="63" t="str">
        <f>IF('Prod 1'!F714="","",'Prod 1'!F714)</f>
        <v/>
      </c>
      <c r="I714" s="75" t="str">
        <f>IF('Prod 3'!F714="","",'Prod 3'!F714)</f>
        <v/>
      </c>
    </row>
    <row r="715" spans="3:9" ht="30" customHeight="1" x14ac:dyDescent="0.25">
      <c r="C715" s="42">
        <v>711</v>
      </c>
      <c r="D715" s="67" t="str">
        <f>IF('Prod 1'!D715="","",'Prod 1'!D715)</f>
        <v/>
      </c>
      <c r="E715" s="73" t="str">
        <f>IF('Prod 1'!E715="","",'Prod 1'!E715)</f>
        <v/>
      </c>
      <c r="F715" s="74" t="str">
        <f>IF('Prod 2'!K715="","",'Prod 2'!K715)</f>
        <v/>
      </c>
      <c r="G715" s="77" t="str">
        <f>IF('Prod 1'!I715="","",'Prod 1'!I715)</f>
        <v/>
      </c>
      <c r="H715" s="63" t="str">
        <f>IF('Prod 1'!F715="","",'Prod 1'!F715)</f>
        <v/>
      </c>
      <c r="I715" s="75" t="str">
        <f>IF('Prod 3'!F715="","",'Prod 3'!F715)</f>
        <v/>
      </c>
    </row>
    <row r="716" spans="3:9" ht="30" customHeight="1" x14ac:dyDescent="0.25">
      <c r="C716" s="42">
        <v>712</v>
      </c>
      <c r="D716" s="67" t="str">
        <f>IF('Prod 1'!D716="","",'Prod 1'!D716)</f>
        <v/>
      </c>
      <c r="E716" s="73" t="str">
        <f>IF('Prod 1'!E716="","",'Prod 1'!E716)</f>
        <v/>
      </c>
      <c r="F716" s="74" t="str">
        <f>IF('Prod 2'!K716="","",'Prod 2'!K716)</f>
        <v/>
      </c>
      <c r="G716" s="77" t="str">
        <f>IF('Prod 1'!I716="","",'Prod 1'!I716)</f>
        <v/>
      </c>
      <c r="H716" s="63" t="str">
        <f>IF('Prod 1'!F716="","",'Prod 1'!F716)</f>
        <v/>
      </c>
      <c r="I716" s="75" t="str">
        <f>IF('Prod 3'!F716="","",'Prod 3'!F716)</f>
        <v/>
      </c>
    </row>
    <row r="717" spans="3:9" ht="30" customHeight="1" x14ac:dyDescent="0.25">
      <c r="C717" s="42">
        <v>713</v>
      </c>
      <c r="D717" s="67" t="str">
        <f>IF('Prod 1'!D717="","",'Prod 1'!D717)</f>
        <v/>
      </c>
      <c r="E717" s="73" t="str">
        <f>IF('Prod 1'!E717="","",'Prod 1'!E717)</f>
        <v/>
      </c>
      <c r="F717" s="74" t="str">
        <f>IF('Prod 2'!K717="","",'Prod 2'!K717)</f>
        <v/>
      </c>
      <c r="G717" s="77" t="str">
        <f>IF('Prod 1'!I717="","",'Prod 1'!I717)</f>
        <v/>
      </c>
      <c r="H717" s="63" t="str">
        <f>IF('Prod 1'!F717="","",'Prod 1'!F717)</f>
        <v/>
      </c>
      <c r="I717" s="75" t="str">
        <f>IF('Prod 3'!F717="","",'Prod 3'!F717)</f>
        <v/>
      </c>
    </row>
    <row r="718" spans="3:9" ht="30" customHeight="1" x14ac:dyDescent="0.25">
      <c r="C718" s="42">
        <v>714</v>
      </c>
      <c r="D718" s="67" t="str">
        <f>IF('Prod 1'!D718="","",'Prod 1'!D718)</f>
        <v/>
      </c>
      <c r="E718" s="73" t="str">
        <f>IF('Prod 1'!E718="","",'Prod 1'!E718)</f>
        <v/>
      </c>
      <c r="F718" s="74" t="str">
        <f>IF('Prod 2'!K718="","",'Prod 2'!K718)</f>
        <v/>
      </c>
      <c r="G718" s="77" t="str">
        <f>IF('Prod 1'!I718="","",'Prod 1'!I718)</f>
        <v/>
      </c>
      <c r="H718" s="63" t="str">
        <f>IF('Prod 1'!F718="","",'Prod 1'!F718)</f>
        <v/>
      </c>
      <c r="I718" s="75" t="str">
        <f>IF('Prod 3'!F718="","",'Prod 3'!F718)</f>
        <v/>
      </c>
    </row>
    <row r="719" spans="3:9" ht="30" customHeight="1" x14ac:dyDescent="0.25">
      <c r="C719" s="42">
        <v>715</v>
      </c>
      <c r="D719" s="67" t="str">
        <f>IF('Prod 1'!D719="","",'Prod 1'!D719)</f>
        <v/>
      </c>
      <c r="E719" s="73" t="str">
        <f>IF('Prod 1'!E719="","",'Prod 1'!E719)</f>
        <v/>
      </c>
      <c r="F719" s="74" t="str">
        <f>IF('Prod 2'!K719="","",'Prod 2'!K719)</f>
        <v/>
      </c>
      <c r="G719" s="77" t="str">
        <f>IF('Prod 1'!I719="","",'Prod 1'!I719)</f>
        <v/>
      </c>
      <c r="H719" s="63" t="str">
        <f>IF('Prod 1'!F719="","",'Prod 1'!F719)</f>
        <v/>
      </c>
      <c r="I719" s="75" t="str">
        <f>IF('Prod 3'!F719="","",'Prod 3'!F719)</f>
        <v/>
      </c>
    </row>
    <row r="720" spans="3:9" ht="30" customHeight="1" x14ac:dyDescent="0.25">
      <c r="C720" s="42">
        <v>716</v>
      </c>
      <c r="D720" s="67" t="str">
        <f>IF('Prod 1'!D720="","",'Prod 1'!D720)</f>
        <v/>
      </c>
      <c r="E720" s="73" t="str">
        <f>IF('Prod 1'!E720="","",'Prod 1'!E720)</f>
        <v/>
      </c>
      <c r="F720" s="74" t="str">
        <f>IF('Prod 2'!K720="","",'Prod 2'!K720)</f>
        <v/>
      </c>
      <c r="G720" s="77" t="str">
        <f>IF('Prod 1'!I720="","",'Prod 1'!I720)</f>
        <v/>
      </c>
      <c r="H720" s="63" t="str">
        <f>IF('Prod 1'!F720="","",'Prod 1'!F720)</f>
        <v/>
      </c>
      <c r="I720" s="75" t="str">
        <f>IF('Prod 3'!F720="","",'Prod 3'!F720)</f>
        <v/>
      </c>
    </row>
    <row r="721" spans="3:9" ht="30" customHeight="1" x14ac:dyDescent="0.25">
      <c r="C721" s="42">
        <v>717</v>
      </c>
      <c r="D721" s="67" t="str">
        <f>IF('Prod 1'!D721="","",'Prod 1'!D721)</f>
        <v/>
      </c>
      <c r="E721" s="73" t="str">
        <f>IF('Prod 1'!E721="","",'Prod 1'!E721)</f>
        <v/>
      </c>
      <c r="F721" s="74" t="str">
        <f>IF('Prod 2'!K721="","",'Prod 2'!K721)</f>
        <v/>
      </c>
      <c r="G721" s="77" t="str">
        <f>IF('Prod 1'!I721="","",'Prod 1'!I721)</f>
        <v/>
      </c>
      <c r="H721" s="63" t="str">
        <f>IF('Prod 1'!F721="","",'Prod 1'!F721)</f>
        <v/>
      </c>
      <c r="I721" s="75" t="str">
        <f>IF('Prod 3'!F721="","",'Prod 3'!F721)</f>
        <v/>
      </c>
    </row>
    <row r="722" spans="3:9" ht="30" customHeight="1" x14ac:dyDescent="0.25">
      <c r="C722" s="42">
        <v>718</v>
      </c>
      <c r="D722" s="67" t="str">
        <f>IF('Prod 1'!D722="","",'Prod 1'!D722)</f>
        <v/>
      </c>
      <c r="E722" s="73" t="str">
        <f>IF('Prod 1'!E722="","",'Prod 1'!E722)</f>
        <v/>
      </c>
      <c r="F722" s="74" t="str">
        <f>IF('Prod 2'!K722="","",'Prod 2'!K722)</f>
        <v/>
      </c>
      <c r="G722" s="77" t="str">
        <f>IF('Prod 1'!I722="","",'Prod 1'!I722)</f>
        <v/>
      </c>
      <c r="H722" s="63" t="str">
        <f>IF('Prod 1'!F722="","",'Prod 1'!F722)</f>
        <v/>
      </c>
      <c r="I722" s="75" t="str">
        <f>IF('Prod 3'!F722="","",'Prod 3'!F722)</f>
        <v/>
      </c>
    </row>
    <row r="723" spans="3:9" ht="30" customHeight="1" x14ac:dyDescent="0.25">
      <c r="C723" s="42">
        <v>719</v>
      </c>
      <c r="D723" s="67" t="str">
        <f>IF('Prod 1'!D723="","",'Prod 1'!D723)</f>
        <v/>
      </c>
      <c r="E723" s="73" t="str">
        <f>IF('Prod 1'!E723="","",'Prod 1'!E723)</f>
        <v/>
      </c>
      <c r="F723" s="74" t="str">
        <f>IF('Prod 2'!K723="","",'Prod 2'!K723)</f>
        <v/>
      </c>
      <c r="G723" s="77" t="str">
        <f>IF('Prod 1'!I723="","",'Prod 1'!I723)</f>
        <v/>
      </c>
      <c r="H723" s="63" t="str">
        <f>IF('Prod 1'!F723="","",'Prod 1'!F723)</f>
        <v/>
      </c>
      <c r="I723" s="75" t="str">
        <f>IF('Prod 3'!F723="","",'Prod 3'!F723)</f>
        <v/>
      </c>
    </row>
    <row r="724" spans="3:9" ht="30" customHeight="1" x14ac:dyDescent="0.25">
      <c r="C724" s="42">
        <v>720</v>
      </c>
      <c r="D724" s="67" t="str">
        <f>IF('Prod 1'!D724="","",'Prod 1'!D724)</f>
        <v/>
      </c>
      <c r="E724" s="73" t="str">
        <f>IF('Prod 1'!E724="","",'Prod 1'!E724)</f>
        <v/>
      </c>
      <c r="F724" s="74" t="str">
        <f>IF('Prod 2'!K724="","",'Prod 2'!K724)</f>
        <v/>
      </c>
      <c r="G724" s="77" t="str">
        <f>IF('Prod 1'!I724="","",'Prod 1'!I724)</f>
        <v/>
      </c>
      <c r="H724" s="63" t="str">
        <f>IF('Prod 1'!F724="","",'Prod 1'!F724)</f>
        <v/>
      </c>
      <c r="I724" s="75" t="str">
        <f>IF('Prod 3'!F724="","",'Prod 3'!F724)</f>
        <v/>
      </c>
    </row>
    <row r="725" spans="3:9" ht="30" customHeight="1" x14ac:dyDescent="0.25">
      <c r="C725" s="42">
        <v>721</v>
      </c>
      <c r="D725" s="67" t="str">
        <f>IF('Prod 1'!D725="","",'Prod 1'!D725)</f>
        <v/>
      </c>
      <c r="E725" s="73" t="str">
        <f>IF('Prod 1'!E725="","",'Prod 1'!E725)</f>
        <v/>
      </c>
      <c r="F725" s="74" t="str">
        <f>IF('Prod 2'!K725="","",'Prod 2'!K725)</f>
        <v/>
      </c>
      <c r="G725" s="77" t="str">
        <f>IF('Prod 1'!I725="","",'Prod 1'!I725)</f>
        <v/>
      </c>
      <c r="H725" s="63" t="str">
        <f>IF('Prod 1'!F725="","",'Prod 1'!F725)</f>
        <v/>
      </c>
      <c r="I725" s="75" t="str">
        <f>IF('Prod 3'!F725="","",'Prod 3'!F725)</f>
        <v/>
      </c>
    </row>
    <row r="726" spans="3:9" ht="30" customHeight="1" x14ac:dyDescent="0.25">
      <c r="C726" s="42">
        <v>722</v>
      </c>
      <c r="D726" s="67" t="str">
        <f>IF('Prod 1'!D726="","",'Prod 1'!D726)</f>
        <v/>
      </c>
      <c r="E726" s="73" t="str">
        <f>IF('Prod 1'!E726="","",'Prod 1'!E726)</f>
        <v/>
      </c>
      <c r="F726" s="74" t="str">
        <f>IF('Prod 2'!K726="","",'Prod 2'!K726)</f>
        <v/>
      </c>
      <c r="G726" s="77" t="str">
        <f>IF('Prod 1'!I726="","",'Prod 1'!I726)</f>
        <v/>
      </c>
      <c r="H726" s="63" t="str">
        <f>IF('Prod 1'!F726="","",'Prod 1'!F726)</f>
        <v/>
      </c>
      <c r="I726" s="75" t="str">
        <f>IF('Prod 3'!F726="","",'Prod 3'!F726)</f>
        <v/>
      </c>
    </row>
    <row r="727" spans="3:9" ht="30" customHeight="1" x14ac:dyDescent="0.25">
      <c r="C727" s="42">
        <v>723</v>
      </c>
      <c r="D727" s="67" t="str">
        <f>IF('Prod 1'!D727="","",'Prod 1'!D727)</f>
        <v/>
      </c>
      <c r="E727" s="73" t="str">
        <f>IF('Prod 1'!E727="","",'Prod 1'!E727)</f>
        <v/>
      </c>
      <c r="F727" s="74" t="str">
        <f>IF('Prod 2'!K727="","",'Prod 2'!K727)</f>
        <v/>
      </c>
      <c r="G727" s="77" t="str">
        <f>IF('Prod 1'!I727="","",'Prod 1'!I727)</f>
        <v/>
      </c>
      <c r="H727" s="63" t="str">
        <f>IF('Prod 1'!F727="","",'Prod 1'!F727)</f>
        <v/>
      </c>
      <c r="I727" s="75" t="str">
        <f>IF('Prod 3'!F727="","",'Prod 3'!F727)</f>
        <v/>
      </c>
    </row>
    <row r="728" spans="3:9" ht="30" customHeight="1" x14ac:dyDescent="0.25">
      <c r="C728" s="42">
        <v>724</v>
      </c>
      <c r="D728" s="67" t="str">
        <f>IF('Prod 1'!D728="","",'Prod 1'!D728)</f>
        <v/>
      </c>
      <c r="E728" s="73" t="str">
        <f>IF('Prod 1'!E728="","",'Prod 1'!E728)</f>
        <v/>
      </c>
      <c r="F728" s="74" t="str">
        <f>IF('Prod 2'!K728="","",'Prod 2'!K728)</f>
        <v/>
      </c>
      <c r="G728" s="77" t="str">
        <f>IF('Prod 1'!I728="","",'Prod 1'!I728)</f>
        <v/>
      </c>
      <c r="H728" s="63" t="str">
        <f>IF('Prod 1'!F728="","",'Prod 1'!F728)</f>
        <v/>
      </c>
      <c r="I728" s="75" t="str">
        <f>IF('Prod 3'!F728="","",'Prod 3'!F728)</f>
        <v/>
      </c>
    </row>
    <row r="729" spans="3:9" ht="30" customHeight="1" x14ac:dyDescent="0.25">
      <c r="C729" s="42">
        <v>725</v>
      </c>
      <c r="D729" s="67" t="str">
        <f>IF('Prod 1'!D729="","",'Prod 1'!D729)</f>
        <v/>
      </c>
      <c r="E729" s="73" t="str">
        <f>IF('Prod 1'!E729="","",'Prod 1'!E729)</f>
        <v/>
      </c>
      <c r="F729" s="74" t="str">
        <f>IF('Prod 2'!K729="","",'Prod 2'!K729)</f>
        <v/>
      </c>
      <c r="G729" s="77" t="str">
        <f>IF('Prod 1'!I729="","",'Prod 1'!I729)</f>
        <v/>
      </c>
      <c r="H729" s="63" t="str">
        <f>IF('Prod 1'!F729="","",'Prod 1'!F729)</f>
        <v/>
      </c>
      <c r="I729" s="75" t="str">
        <f>IF('Prod 3'!F729="","",'Prod 3'!F729)</f>
        <v/>
      </c>
    </row>
    <row r="730" spans="3:9" ht="30" customHeight="1" x14ac:dyDescent="0.25">
      <c r="C730" s="42">
        <v>726</v>
      </c>
      <c r="D730" s="67" t="str">
        <f>IF('Prod 1'!D730="","",'Prod 1'!D730)</f>
        <v/>
      </c>
      <c r="E730" s="73" t="str">
        <f>IF('Prod 1'!E730="","",'Prod 1'!E730)</f>
        <v/>
      </c>
      <c r="F730" s="74" t="str">
        <f>IF('Prod 2'!K730="","",'Prod 2'!K730)</f>
        <v/>
      </c>
      <c r="G730" s="77" t="str">
        <f>IF('Prod 1'!I730="","",'Prod 1'!I730)</f>
        <v/>
      </c>
      <c r="H730" s="63" t="str">
        <f>IF('Prod 1'!F730="","",'Prod 1'!F730)</f>
        <v/>
      </c>
      <c r="I730" s="75" t="str">
        <f>IF('Prod 3'!F730="","",'Prod 3'!F730)</f>
        <v/>
      </c>
    </row>
    <row r="731" spans="3:9" ht="30" customHeight="1" x14ac:dyDescent="0.25">
      <c r="C731" s="42">
        <v>727</v>
      </c>
      <c r="D731" s="67" t="str">
        <f>IF('Prod 1'!D731="","",'Prod 1'!D731)</f>
        <v/>
      </c>
      <c r="E731" s="73" t="str">
        <f>IF('Prod 1'!E731="","",'Prod 1'!E731)</f>
        <v/>
      </c>
      <c r="F731" s="74" t="str">
        <f>IF('Prod 2'!K731="","",'Prod 2'!K731)</f>
        <v/>
      </c>
      <c r="G731" s="77" t="str">
        <f>IF('Prod 1'!I731="","",'Prod 1'!I731)</f>
        <v/>
      </c>
      <c r="H731" s="63" t="str">
        <f>IF('Prod 1'!F731="","",'Prod 1'!F731)</f>
        <v/>
      </c>
      <c r="I731" s="75" t="str">
        <f>IF('Prod 3'!F731="","",'Prod 3'!F731)</f>
        <v/>
      </c>
    </row>
    <row r="732" spans="3:9" ht="30" customHeight="1" x14ac:dyDescent="0.25">
      <c r="C732" s="42">
        <v>728</v>
      </c>
      <c r="D732" s="67" t="str">
        <f>IF('Prod 1'!D732="","",'Prod 1'!D732)</f>
        <v/>
      </c>
      <c r="E732" s="73" t="str">
        <f>IF('Prod 1'!E732="","",'Prod 1'!E732)</f>
        <v/>
      </c>
      <c r="F732" s="74" t="str">
        <f>IF('Prod 2'!K732="","",'Prod 2'!K732)</f>
        <v/>
      </c>
      <c r="G732" s="77" t="str">
        <f>IF('Prod 1'!I732="","",'Prod 1'!I732)</f>
        <v/>
      </c>
      <c r="H732" s="63" t="str">
        <f>IF('Prod 1'!F732="","",'Prod 1'!F732)</f>
        <v/>
      </c>
      <c r="I732" s="75" t="str">
        <f>IF('Prod 3'!F732="","",'Prod 3'!F732)</f>
        <v/>
      </c>
    </row>
    <row r="733" spans="3:9" ht="30" customHeight="1" x14ac:dyDescent="0.25">
      <c r="C733" s="42">
        <v>729</v>
      </c>
      <c r="D733" s="67" t="str">
        <f>IF('Prod 1'!D733="","",'Prod 1'!D733)</f>
        <v/>
      </c>
      <c r="E733" s="73" t="str">
        <f>IF('Prod 1'!E733="","",'Prod 1'!E733)</f>
        <v/>
      </c>
      <c r="F733" s="74" t="str">
        <f>IF('Prod 2'!K733="","",'Prod 2'!K733)</f>
        <v/>
      </c>
      <c r="G733" s="77" t="str">
        <f>IF('Prod 1'!I733="","",'Prod 1'!I733)</f>
        <v/>
      </c>
      <c r="H733" s="63" t="str">
        <f>IF('Prod 1'!F733="","",'Prod 1'!F733)</f>
        <v/>
      </c>
      <c r="I733" s="75" t="str">
        <f>IF('Prod 3'!F733="","",'Prod 3'!F733)</f>
        <v/>
      </c>
    </row>
    <row r="734" spans="3:9" ht="30" customHeight="1" x14ac:dyDescent="0.25">
      <c r="C734" s="42">
        <v>730</v>
      </c>
      <c r="D734" s="67" t="str">
        <f>IF('Prod 1'!D734="","",'Prod 1'!D734)</f>
        <v/>
      </c>
      <c r="E734" s="73" t="str">
        <f>IF('Prod 1'!E734="","",'Prod 1'!E734)</f>
        <v/>
      </c>
      <c r="F734" s="74" t="str">
        <f>IF('Prod 2'!K734="","",'Prod 2'!K734)</f>
        <v/>
      </c>
      <c r="G734" s="77" t="str">
        <f>IF('Prod 1'!I734="","",'Prod 1'!I734)</f>
        <v/>
      </c>
      <c r="H734" s="63" t="str">
        <f>IF('Prod 1'!F734="","",'Prod 1'!F734)</f>
        <v/>
      </c>
      <c r="I734" s="75" t="str">
        <f>IF('Prod 3'!F734="","",'Prod 3'!F734)</f>
        <v/>
      </c>
    </row>
    <row r="735" spans="3:9" ht="30" customHeight="1" x14ac:dyDescent="0.25">
      <c r="C735" s="42">
        <v>731</v>
      </c>
      <c r="D735" s="67" t="str">
        <f>IF('Prod 1'!D735="","",'Prod 1'!D735)</f>
        <v/>
      </c>
      <c r="E735" s="73" t="str">
        <f>IF('Prod 1'!E735="","",'Prod 1'!E735)</f>
        <v/>
      </c>
      <c r="F735" s="74" t="str">
        <f>IF('Prod 2'!K735="","",'Prod 2'!K735)</f>
        <v/>
      </c>
      <c r="G735" s="77" t="str">
        <f>IF('Prod 1'!I735="","",'Prod 1'!I735)</f>
        <v/>
      </c>
      <c r="H735" s="63" t="str">
        <f>IF('Prod 1'!F735="","",'Prod 1'!F735)</f>
        <v/>
      </c>
      <c r="I735" s="75" t="str">
        <f>IF('Prod 3'!F735="","",'Prod 3'!F735)</f>
        <v/>
      </c>
    </row>
    <row r="736" spans="3:9" ht="30" customHeight="1" x14ac:dyDescent="0.25">
      <c r="C736" s="42">
        <v>732</v>
      </c>
      <c r="D736" s="67" t="str">
        <f>IF('Prod 1'!D736="","",'Prod 1'!D736)</f>
        <v/>
      </c>
      <c r="E736" s="73" t="str">
        <f>IF('Prod 1'!E736="","",'Prod 1'!E736)</f>
        <v/>
      </c>
      <c r="F736" s="74" t="str">
        <f>IF('Prod 2'!K736="","",'Prod 2'!K736)</f>
        <v/>
      </c>
      <c r="G736" s="77" t="str">
        <f>IF('Prod 1'!I736="","",'Prod 1'!I736)</f>
        <v/>
      </c>
      <c r="H736" s="63" t="str">
        <f>IF('Prod 1'!F736="","",'Prod 1'!F736)</f>
        <v/>
      </c>
      <c r="I736" s="75" t="str">
        <f>IF('Prod 3'!F736="","",'Prod 3'!F736)</f>
        <v/>
      </c>
    </row>
    <row r="737" spans="3:9" ht="30" customHeight="1" x14ac:dyDescent="0.25">
      <c r="C737" s="42">
        <v>733</v>
      </c>
      <c r="D737" s="67" t="str">
        <f>IF('Prod 1'!D737="","",'Prod 1'!D737)</f>
        <v/>
      </c>
      <c r="E737" s="73" t="str">
        <f>IF('Prod 1'!E737="","",'Prod 1'!E737)</f>
        <v/>
      </c>
      <c r="F737" s="74" t="str">
        <f>IF('Prod 2'!K737="","",'Prod 2'!K737)</f>
        <v/>
      </c>
      <c r="G737" s="77" t="str">
        <f>IF('Prod 1'!I737="","",'Prod 1'!I737)</f>
        <v/>
      </c>
      <c r="H737" s="63" t="str">
        <f>IF('Prod 1'!F737="","",'Prod 1'!F737)</f>
        <v/>
      </c>
      <c r="I737" s="75" t="str">
        <f>IF('Prod 3'!F737="","",'Prod 3'!F737)</f>
        <v/>
      </c>
    </row>
    <row r="738" spans="3:9" ht="30" customHeight="1" x14ac:dyDescent="0.25">
      <c r="C738" s="42">
        <v>734</v>
      </c>
      <c r="D738" s="67" t="str">
        <f>IF('Prod 1'!D738="","",'Prod 1'!D738)</f>
        <v/>
      </c>
      <c r="E738" s="73" t="str">
        <f>IF('Prod 1'!E738="","",'Prod 1'!E738)</f>
        <v/>
      </c>
      <c r="F738" s="74" t="str">
        <f>IF('Prod 2'!K738="","",'Prod 2'!K738)</f>
        <v/>
      </c>
      <c r="G738" s="77" t="str">
        <f>IF('Prod 1'!I738="","",'Prod 1'!I738)</f>
        <v/>
      </c>
      <c r="H738" s="63" t="str">
        <f>IF('Prod 1'!F738="","",'Prod 1'!F738)</f>
        <v/>
      </c>
      <c r="I738" s="75" t="str">
        <f>IF('Prod 3'!F738="","",'Prod 3'!F738)</f>
        <v/>
      </c>
    </row>
    <row r="739" spans="3:9" ht="30" customHeight="1" x14ac:dyDescent="0.25">
      <c r="C739" s="42">
        <v>735</v>
      </c>
      <c r="D739" s="67" t="str">
        <f>IF('Prod 1'!D739="","",'Prod 1'!D739)</f>
        <v/>
      </c>
      <c r="E739" s="73" t="str">
        <f>IF('Prod 1'!E739="","",'Prod 1'!E739)</f>
        <v/>
      </c>
      <c r="F739" s="74" t="str">
        <f>IF('Prod 2'!K739="","",'Prod 2'!K739)</f>
        <v/>
      </c>
      <c r="G739" s="77" t="str">
        <f>IF('Prod 1'!I739="","",'Prod 1'!I739)</f>
        <v/>
      </c>
      <c r="H739" s="63" t="str">
        <f>IF('Prod 1'!F739="","",'Prod 1'!F739)</f>
        <v/>
      </c>
      <c r="I739" s="75" t="str">
        <f>IF('Prod 3'!F739="","",'Prod 3'!F739)</f>
        <v/>
      </c>
    </row>
    <row r="740" spans="3:9" ht="30" customHeight="1" x14ac:dyDescent="0.25">
      <c r="C740" s="42">
        <v>736</v>
      </c>
      <c r="D740" s="67" t="str">
        <f>IF('Prod 1'!D740="","",'Prod 1'!D740)</f>
        <v/>
      </c>
      <c r="E740" s="73" t="str">
        <f>IF('Prod 1'!E740="","",'Prod 1'!E740)</f>
        <v/>
      </c>
      <c r="F740" s="74" t="str">
        <f>IF('Prod 2'!K740="","",'Prod 2'!K740)</f>
        <v/>
      </c>
      <c r="G740" s="77" t="str">
        <f>IF('Prod 1'!I740="","",'Prod 1'!I740)</f>
        <v/>
      </c>
      <c r="H740" s="63" t="str">
        <f>IF('Prod 1'!F740="","",'Prod 1'!F740)</f>
        <v/>
      </c>
      <c r="I740" s="75" t="str">
        <f>IF('Prod 3'!F740="","",'Prod 3'!F740)</f>
        <v/>
      </c>
    </row>
    <row r="741" spans="3:9" ht="30" customHeight="1" x14ac:dyDescent="0.25">
      <c r="C741" s="42">
        <v>737</v>
      </c>
      <c r="D741" s="67" t="str">
        <f>IF('Prod 1'!D741="","",'Prod 1'!D741)</f>
        <v/>
      </c>
      <c r="E741" s="73" t="str">
        <f>IF('Prod 1'!E741="","",'Prod 1'!E741)</f>
        <v/>
      </c>
      <c r="F741" s="74" t="str">
        <f>IF('Prod 2'!K741="","",'Prod 2'!K741)</f>
        <v/>
      </c>
      <c r="G741" s="77" t="str">
        <f>IF('Prod 1'!I741="","",'Prod 1'!I741)</f>
        <v/>
      </c>
      <c r="H741" s="63" t="str">
        <f>IF('Prod 1'!F741="","",'Prod 1'!F741)</f>
        <v/>
      </c>
      <c r="I741" s="75" t="str">
        <f>IF('Prod 3'!F741="","",'Prod 3'!F741)</f>
        <v/>
      </c>
    </row>
    <row r="742" spans="3:9" ht="30" customHeight="1" x14ac:dyDescent="0.25">
      <c r="C742" s="42">
        <v>738</v>
      </c>
      <c r="D742" s="67" t="str">
        <f>IF('Prod 1'!D742="","",'Prod 1'!D742)</f>
        <v/>
      </c>
      <c r="E742" s="73" t="str">
        <f>IF('Prod 1'!E742="","",'Prod 1'!E742)</f>
        <v/>
      </c>
      <c r="F742" s="74" t="str">
        <f>IF('Prod 2'!K742="","",'Prod 2'!K742)</f>
        <v/>
      </c>
      <c r="G742" s="77" t="str">
        <f>IF('Prod 1'!I742="","",'Prod 1'!I742)</f>
        <v/>
      </c>
      <c r="H742" s="63" t="str">
        <f>IF('Prod 1'!F742="","",'Prod 1'!F742)</f>
        <v/>
      </c>
      <c r="I742" s="75" t="str">
        <f>IF('Prod 3'!F742="","",'Prod 3'!F742)</f>
        <v/>
      </c>
    </row>
    <row r="743" spans="3:9" ht="30" customHeight="1" x14ac:dyDescent="0.25">
      <c r="C743" s="42">
        <v>739</v>
      </c>
      <c r="D743" s="67" t="str">
        <f>IF('Prod 1'!D743="","",'Prod 1'!D743)</f>
        <v/>
      </c>
      <c r="E743" s="73" t="str">
        <f>IF('Prod 1'!E743="","",'Prod 1'!E743)</f>
        <v/>
      </c>
      <c r="F743" s="74" t="str">
        <f>IF('Prod 2'!K743="","",'Prod 2'!K743)</f>
        <v/>
      </c>
      <c r="G743" s="77" t="str">
        <f>IF('Prod 1'!I743="","",'Prod 1'!I743)</f>
        <v/>
      </c>
      <c r="H743" s="63" t="str">
        <f>IF('Prod 1'!F743="","",'Prod 1'!F743)</f>
        <v/>
      </c>
      <c r="I743" s="75" t="str">
        <f>IF('Prod 3'!F743="","",'Prod 3'!F743)</f>
        <v/>
      </c>
    </row>
    <row r="744" spans="3:9" ht="30" customHeight="1" x14ac:dyDescent="0.25">
      <c r="C744" s="42">
        <v>740</v>
      </c>
      <c r="D744" s="67" t="str">
        <f>IF('Prod 1'!D744="","",'Prod 1'!D744)</f>
        <v/>
      </c>
      <c r="E744" s="73" t="str">
        <f>IF('Prod 1'!E744="","",'Prod 1'!E744)</f>
        <v/>
      </c>
      <c r="F744" s="74" t="str">
        <f>IF('Prod 2'!K744="","",'Prod 2'!K744)</f>
        <v/>
      </c>
      <c r="G744" s="77" t="str">
        <f>IF('Prod 1'!I744="","",'Prod 1'!I744)</f>
        <v/>
      </c>
      <c r="H744" s="63" t="str">
        <f>IF('Prod 1'!F744="","",'Prod 1'!F744)</f>
        <v/>
      </c>
      <c r="I744" s="75" t="str">
        <f>IF('Prod 3'!F744="","",'Prod 3'!F744)</f>
        <v/>
      </c>
    </row>
    <row r="745" spans="3:9" ht="30" customHeight="1" x14ac:dyDescent="0.25">
      <c r="C745" s="42">
        <v>741</v>
      </c>
      <c r="D745" s="67" t="str">
        <f>IF('Prod 1'!D745="","",'Prod 1'!D745)</f>
        <v/>
      </c>
      <c r="E745" s="73" t="str">
        <f>IF('Prod 1'!E745="","",'Prod 1'!E745)</f>
        <v/>
      </c>
      <c r="F745" s="74" t="str">
        <f>IF('Prod 2'!K745="","",'Prod 2'!K745)</f>
        <v/>
      </c>
      <c r="G745" s="77" t="str">
        <f>IF('Prod 1'!I745="","",'Prod 1'!I745)</f>
        <v/>
      </c>
      <c r="H745" s="63" t="str">
        <f>IF('Prod 1'!F745="","",'Prod 1'!F745)</f>
        <v/>
      </c>
      <c r="I745" s="75" t="str">
        <f>IF('Prod 3'!F745="","",'Prod 3'!F745)</f>
        <v/>
      </c>
    </row>
    <row r="746" spans="3:9" ht="30" customHeight="1" x14ac:dyDescent="0.25">
      <c r="C746" s="42">
        <v>742</v>
      </c>
      <c r="D746" s="67" t="str">
        <f>IF('Prod 1'!D746="","",'Prod 1'!D746)</f>
        <v/>
      </c>
      <c r="E746" s="73" t="str">
        <f>IF('Prod 1'!E746="","",'Prod 1'!E746)</f>
        <v/>
      </c>
      <c r="F746" s="74" t="str">
        <f>IF('Prod 2'!K746="","",'Prod 2'!K746)</f>
        <v/>
      </c>
      <c r="G746" s="77" t="str">
        <f>IF('Prod 1'!I746="","",'Prod 1'!I746)</f>
        <v/>
      </c>
      <c r="H746" s="63" t="str">
        <f>IF('Prod 1'!F746="","",'Prod 1'!F746)</f>
        <v/>
      </c>
      <c r="I746" s="75" t="str">
        <f>IF('Prod 3'!F746="","",'Prod 3'!F746)</f>
        <v/>
      </c>
    </row>
    <row r="747" spans="3:9" ht="30" customHeight="1" x14ac:dyDescent="0.25">
      <c r="C747" s="42">
        <v>743</v>
      </c>
      <c r="D747" s="67" t="str">
        <f>IF('Prod 1'!D747="","",'Prod 1'!D747)</f>
        <v/>
      </c>
      <c r="E747" s="73" t="str">
        <f>IF('Prod 1'!E747="","",'Prod 1'!E747)</f>
        <v/>
      </c>
      <c r="F747" s="74" t="str">
        <f>IF('Prod 2'!K747="","",'Prod 2'!K747)</f>
        <v/>
      </c>
      <c r="G747" s="77" t="str">
        <f>IF('Prod 1'!I747="","",'Prod 1'!I747)</f>
        <v/>
      </c>
      <c r="H747" s="63" t="str">
        <f>IF('Prod 1'!F747="","",'Prod 1'!F747)</f>
        <v/>
      </c>
      <c r="I747" s="75" t="str">
        <f>IF('Prod 3'!F747="","",'Prod 3'!F747)</f>
        <v/>
      </c>
    </row>
    <row r="748" spans="3:9" ht="30" customHeight="1" x14ac:dyDescent="0.25">
      <c r="C748" s="42">
        <v>744</v>
      </c>
      <c r="D748" s="67" t="str">
        <f>IF('Prod 1'!D748="","",'Prod 1'!D748)</f>
        <v/>
      </c>
      <c r="E748" s="73" t="str">
        <f>IF('Prod 1'!E748="","",'Prod 1'!E748)</f>
        <v/>
      </c>
      <c r="F748" s="74" t="str">
        <f>IF('Prod 2'!K748="","",'Prod 2'!K748)</f>
        <v/>
      </c>
      <c r="G748" s="77" t="str">
        <f>IF('Prod 1'!I748="","",'Prod 1'!I748)</f>
        <v/>
      </c>
      <c r="H748" s="63" t="str">
        <f>IF('Prod 1'!F748="","",'Prod 1'!F748)</f>
        <v/>
      </c>
      <c r="I748" s="75" t="str">
        <f>IF('Prod 3'!F748="","",'Prod 3'!F748)</f>
        <v/>
      </c>
    </row>
    <row r="749" spans="3:9" ht="30" customHeight="1" x14ac:dyDescent="0.25">
      <c r="C749" s="42">
        <v>745</v>
      </c>
      <c r="D749" s="67" t="str">
        <f>IF('Prod 1'!D749="","",'Prod 1'!D749)</f>
        <v/>
      </c>
      <c r="E749" s="73" t="str">
        <f>IF('Prod 1'!E749="","",'Prod 1'!E749)</f>
        <v/>
      </c>
      <c r="F749" s="74" t="str">
        <f>IF('Prod 2'!K749="","",'Prod 2'!K749)</f>
        <v/>
      </c>
      <c r="G749" s="77" t="str">
        <f>IF('Prod 1'!I749="","",'Prod 1'!I749)</f>
        <v/>
      </c>
      <c r="H749" s="63" t="str">
        <f>IF('Prod 1'!F749="","",'Prod 1'!F749)</f>
        <v/>
      </c>
      <c r="I749" s="75" t="str">
        <f>IF('Prod 3'!F749="","",'Prod 3'!F749)</f>
        <v/>
      </c>
    </row>
    <row r="750" spans="3:9" ht="30" customHeight="1" x14ac:dyDescent="0.25">
      <c r="C750" s="42">
        <v>746</v>
      </c>
      <c r="D750" s="67" t="str">
        <f>IF('Prod 1'!D750="","",'Prod 1'!D750)</f>
        <v/>
      </c>
      <c r="E750" s="73" t="str">
        <f>IF('Prod 1'!E750="","",'Prod 1'!E750)</f>
        <v/>
      </c>
      <c r="F750" s="74" t="str">
        <f>IF('Prod 2'!K750="","",'Prod 2'!K750)</f>
        <v/>
      </c>
      <c r="G750" s="77" t="str">
        <f>IF('Prod 1'!I750="","",'Prod 1'!I750)</f>
        <v/>
      </c>
      <c r="H750" s="63" t="str">
        <f>IF('Prod 1'!F750="","",'Prod 1'!F750)</f>
        <v/>
      </c>
      <c r="I750" s="75" t="str">
        <f>IF('Prod 3'!F750="","",'Prod 3'!F750)</f>
        <v/>
      </c>
    </row>
    <row r="751" spans="3:9" ht="30" customHeight="1" x14ac:dyDescent="0.25">
      <c r="C751" s="42">
        <v>747</v>
      </c>
      <c r="D751" s="67" t="str">
        <f>IF('Prod 1'!D751="","",'Prod 1'!D751)</f>
        <v/>
      </c>
      <c r="E751" s="73" t="str">
        <f>IF('Prod 1'!E751="","",'Prod 1'!E751)</f>
        <v/>
      </c>
      <c r="F751" s="74" t="str">
        <f>IF('Prod 2'!K751="","",'Prod 2'!K751)</f>
        <v/>
      </c>
      <c r="G751" s="77" t="str">
        <f>IF('Prod 1'!I751="","",'Prod 1'!I751)</f>
        <v/>
      </c>
      <c r="H751" s="63" t="str">
        <f>IF('Prod 1'!F751="","",'Prod 1'!F751)</f>
        <v/>
      </c>
      <c r="I751" s="75" t="str">
        <f>IF('Prod 3'!F751="","",'Prod 3'!F751)</f>
        <v/>
      </c>
    </row>
    <row r="752" spans="3:9" ht="30" customHeight="1" x14ac:dyDescent="0.25">
      <c r="C752" s="42">
        <v>748</v>
      </c>
      <c r="D752" s="67" t="str">
        <f>IF('Prod 1'!D752="","",'Prod 1'!D752)</f>
        <v/>
      </c>
      <c r="E752" s="73" t="str">
        <f>IF('Prod 1'!E752="","",'Prod 1'!E752)</f>
        <v/>
      </c>
      <c r="F752" s="74" t="str">
        <f>IF('Prod 2'!K752="","",'Prod 2'!K752)</f>
        <v/>
      </c>
      <c r="G752" s="77" t="str">
        <f>IF('Prod 1'!I752="","",'Prod 1'!I752)</f>
        <v/>
      </c>
      <c r="H752" s="63" t="str">
        <f>IF('Prod 1'!F752="","",'Prod 1'!F752)</f>
        <v/>
      </c>
      <c r="I752" s="75" t="str">
        <f>IF('Prod 3'!F752="","",'Prod 3'!F752)</f>
        <v/>
      </c>
    </row>
    <row r="753" spans="3:9" ht="30" customHeight="1" x14ac:dyDescent="0.25">
      <c r="C753" s="42">
        <v>749</v>
      </c>
      <c r="D753" s="67" t="str">
        <f>IF('Prod 1'!D753="","",'Prod 1'!D753)</f>
        <v/>
      </c>
      <c r="E753" s="73" t="str">
        <f>IF('Prod 1'!E753="","",'Prod 1'!E753)</f>
        <v/>
      </c>
      <c r="F753" s="74" t="str">
        <f>IF('Prod 2'!K753="","",'Prod 2'!K753)</f>
        <v/>
      </c>
      <c r="G753" s="77" t="str">
        <f>IF('Prod 1'!I753="","",'Prod 1'!I753)</f>
        <v/>
      </c>
      <c r="H753" s="63" t="str">
        <f>IF('Prod 1'!F753="","",'Prod 1'!F753)</f>
        <v/>
      </c>
      <c r="I753" s="75" t="str">
        <f>IF('Prod 3'!F753="","",'Prod 3'!F753)</f>
        <v/>
      </c>
    </row>
    <row r="754" spans="3:9" ht="30" customHeight="1" x14ac:dyDescent="0.25">
      <c r="C754" s="42">
        <v>750</v>
      </c>
      <c r="D754" s="67" t="str">
        <f>IF('Prod 1'!D754="","",'Prod 1'!D754)</f>
        <v/>
      </c>
      <c r="E754" s="73" t="str">
        <f>IF('Prod 1'!E754="","",'Prod 1'!E754)</f>
        <v/>
      </c>
      <c r="F754" s="74" t="str">
        <f>IF('Prod 2'!K754="","",'Prod 2'!K754)</f>
        <v/>
      </c>
      <c r="G754" s="77" t="str">
        <f>IF('Prod 1'!I754="","",'Prod 1'!I754)</f>
        <v/>
      </c>
      <c r="H754" s="63" t="str">
        <f>IF('Prod 1'!F754="","",'Prod 1'!F754)</f>
        <v/>
      </c>
      <c r="I754" s="75" t="str">
        <f>IF('Prod 3'!F754="","",'Prod 3'!F754)</f>
        <v/>
      </c>
    </row>
    <row r="755" spans="3:9" ht="30" customHeight="1" x14ac:dyDescent="0.25">
      <c r="C755" s="42">
        <v>751</v>
      </c>
      <c r="D755" s="67" t="str">
        <f>IF('Prod 1'!D755="","",'Prod 1'!D755)</f>
        <v/>
      </c>
      <c r="E755" s="73" t="str">
        <f>IF('Prod 1'!E755="","",'Prod 1'!E755)</f>
        <v/>
      </c>
      <c r="F755" s="74" t="str">
        <f>IF('Prod 2'!K755="","",'Prod 2'!K755)</f>
        <v/>
      </c>
      <c r="G755" s="77" t="str">
        <f>IF('Prod 1'!I755="","",'Prod 1'!I755)</f>
        <v/>
      </c>
      <c r="H755" s="63" t="str">
        <f>IF('Prod 1'!F755="","",'Prod 1'!F755)</f>
        <v/>
      </c>
      <c r="I755" s="75" t="str">
        <f>IF('Prod 3'!F755="","",'Prod 3'!F755)</f>
        <v/>
      </c>
    </row>
    <row r="756" spans="3:9" ht="30" customHeight="1" x14ac:dyDescent="0.25">
      <c r="C756" s="42">
        <v>752</v>
      </c>
      <c r="D756" s="67" t="str">
        <f>IF('Prod 1'!D756="","",'Prod 1'!D756)</f>
        <v/>
      </c>
      <c r="E756" s="73" t="str">
        <f>IF('Prod 1'!E756="","",'Prod 1'!E756)</f>
        <v/>
      </c>
      <c r="F756" s="74" t="str">
        <f>IF('Prod 2'!K756="","",'Prod 2'!K756)</f>
        <v/>
      </c>
      <c r="G756" s="77" t="str">
        <f>IF('Prod 1'!I756="","",'Prod 1'!I756)</f>
        <v/>
      </c>
      <c r="H756" s="63" t="str">
        <f>IF('Prod 1'!F756="","",'Prod 1'!F756)</f>
        <v/>
      </c>
      <c r="I756" s="75" t="str">
        <f>IF('Prod 3'!F756="","",'Prod 3'!F756)</f>
        <v/>
      </c>
    </row>
    <row r="757" spans="3:9" ht="30" customHeight="1" x14ac:dyDescent="0.25">
      <c r="C757" s="42">
        <v>753</v>
      </c>
      <c r="D757" s="67" t="str">
        <f>IF('Prod 1'!D757="","",'Prod 1'!D757)</f>
        <v/>
      </c>
      <c r="E757" s="73" t="str">
        <f>IF('Prod 1'!E757="","",'Prod 1'!E757)</f>
        <v/>
      </c>
      <c r="F757" s="74" t="str">
        <f>IF('Prod 2'!K757="","",'Prod 2'!K757)</f>
        <v/>
      </c>
      <c r="G757" s="77" t="str">
        <f>IF('Prod 1'!I757="","",'Prod 1'!I757)</f>
        <v/>
      </c>
      <c r="H757" s="63" t="str">
        <f>IF('Prod 1'!F757="","",'Prod 1'!F757)</f>
        <v/>
      </c>
      <c r="I757" s="75" t="str">
        <f>IF('Prod 3'!F757="","",'Prod 3'!F757)</f>
        <v/>
      </c>
    </row>
    <row r="758" spans="3:9" ht="30" customHeight="1" x14ac:dyDescent="0.25">
      <c r="C758" s="42">
        <v>754</v>
      </c>
      <c r="D758" s="67" t="str">
        <f>IF('Prod 1'!D758="","",'Prod 1'!D758)</f>
        <v/>
      </c>
      <c r="E758" s="73" t="str">
        <f>IF('Prod 1'!E758="","",'Prod 1'!E758)</f>
        <v/>
      </c>
      <c r="F758" s="74" t="str">
        <f>IF('Prod 2'!K758="","",'Prod 2'!K758)</f>
        <v/>
      </c>
      <c r="G758" s="77" t="str">
        <f>IF('Prod 1'!I758="","",'Prod 1'!I758)</f>
        <v/>
      </c>
      <c r="H758" s="63" t="str">
        <f>IF('Prod 1'!F758="","",'Prod 1'!F758)</f>
        <v/>
      </c>
      <c r="I758" s="75" t="str">
        <f>IF('Prod 3'!F758="","",'Prod 3'!F758)</f>
        <v/>
      </c>
    </row>
    <row r="759" spans="3:9" ht="30" customHeight="1" x14ac:dyDescent="0.25">
      <c r="C759" s="42">
        <v>755</v>
      </c>
      <c r="D759" s="67" t="str">
        <f>IF('Prod 1'!D759="","",'Prod 1'!D759)</f>
        <v/>
      </c>
      <c r="E759" s="73" t="str">
        <f>IF('Prod 1'!E759="","",'Prod 1'!E759)</f>
        <v/>
      </c>
      <c r="F759" s="74" t="str">
        <f>IF('Prod 2'!K759="","",'Prod 2'!K759)</f>
        <v/>
      </c>
      <c r="G759" s="77" t="str">
        <f>IF('Prod 1'!I759="","",'Prod 1'!I759)</f>
        <v/>
      </c>
      <c r="H759" s="63" t="str">
        <f>IF('Prod 1'!F759="","",'Prod 1'!F759)</f>
        <v/>
      </c>
      <c r="I759" s="75" t="str">
        <f>IF('Prod 3'!F759="","",'Prod 3'!F759)</f>
        <v/>
      </c>
    </row>
    <row r="760" spans="3:9" ht="30" customHeight="1" x14ac:dyDescent="0.25">
      <c r="C760" s="42">
        <v>756</v>
      </c>
      <c r="D760" s="67" t="str">
        <f>IF('Prod 1'!D760="","",'Prod 1'!D760)</f>
        <v/>
      </c>
      <c r="E760" s="73" t="str">
        <f>IF('Prod 1'!E760="","",'Prod 1'!E760)</f>
        <v/>
      </c>
      <c r="F760" s="74" t="str">
        <f>IF('Prod 2'!K760="","",'Prod 2'!K760)</f>
        <v/>
      </c>
      <c r="G760" s="77" t="str">
        <f>IF('Prod 1'!I760="","",'Prod 1'!I760)</f>
        <v/>
      </c>
      <c r="H760" s="63" t="str">
        <f>IF('Prod 1'!F760="","",'Prod 1'!F760)</f>
        <v/>
      </c>
      <c r="I760" s="75" t="str">
        <f>IF('Prod 3'!F760="","",'Prod 3'!F760)</f>
        <v/>
      </c>
    </row>
    <row r="761" spans="3:9" ht="30" customHeight="1" x14ac:dyDescent="0.25">
      <c r="C761" s="42">
        <v>757</v>
      </c>
      <c r="D761" s="67" t="str">
        <f>IF('Prod 1'!D761="","",'Prod 1'!D761)</f>
        <v/>
      </c>
      <c r="E761" s="73" t="str">
        <f>IF('Prod 1'!E761="","",'Prod 1'!E761)</f>
        <v/>
      </c>
      <c r="F761" s="74" t="str">
        <f>IF('Prod 2'!K761="","",'Prod 2'!K761)</f>
        <v/>
      </c>
      <c r="G761" s="77" t="str">
        <f>IF('Prod 1'!I761="","",'Prod 1'!I761)</f>
        <v/>
      </c>
      <c r="H761" s="63" t="str">
        <f>IF('Prod 1'!F761="","",'Prod 1'!F761)</f>
        <v/>
      </c>
      <c r="I761" s="75" t="str">
        <f>IF('Prod 3'!F761="","",'Prod 3'!F761)</f>
        <v/>
      </c>
    </row>
    <row r="762" spans="3:9" ht="30" customHeight="1" x14ac:dyDescent="0.25">
      <c r="C762" s="42">
        <v>758</v>
      </c>
      <c r="D762" s="67" t="str">
        <f>IF('Prod 1'!D762="","",'Prod 1'!D762)</f>
        <v/>
      </c>
      <c r="E762" s="73" t="str">
        <f>IF('Prod 1'!E762="","",'Prod 1'!E762)</f>
        <v/>
      </c>
      <c r="F762" s="74" t="str">
        <f>IF('Prod 2'!K762="","",'Prod 2'!K762)</f>
        <v/>
      </c>
      <c r="G762" s="77" t="str">
        <f>IF('Prod 1'!I762="","",'Prod 1'!I762)</f>
        <v/>
      </c>
      <c r="H762" s="63" t="str">
        <f>IF('Prod 1'!F762="","",'Prod 1'!F762)</f>
        <v/>
      </c>
      <c r="I762" s="75" t="str">
        <f>IF('Prod 3'!F762="","",'Prod 3'!F762)</f>
        <v/>
      </c>
    </row>
    <row r="763" spans="3:9" ht="30" customHeight="1" x14ac:dyDescent="0.25">
      <c r="C763" s="42">
        <v>759</v>
      </c>
      <c r="D763" s="67" t="str">
        <f>IF('Prod 1'!D763="","",'Prod 1'!D763)</f>
        <v/>
      </c>
      <c r="E763" s="73" t="str">
        <f>IF('Prod 1'!E763="","",'Prod 1'!E763)</f>
        <v/>
      </c>
      <c r="F763" s="74" t="str">
        <f>IF('Prod 2'!K763="","",'Prod 2'!K763)</f>
        <v/>
      </c>
      <c r="G763" s="77" t="str">
        <f>IF('Prod 1'!I763="","",'Prod 1'!I763)</f>
        <v/>
      </c>
      <c r="H763" s="63" t="str">
        <f>IF('Prod 1'!F763="","",'Prod 1'!F763)</f>
        <v/>
      </c>
      <c r="I763" s="75" t="str">
        <f>IF('Prod 3'!F763="","",'Prod 3'!F763)</f>
        <v/>
      </c>
    </row>
    <row r="764" spans="3:9" ht="30" customHeight="1" x14ac:dyDescent="0.25">
      <c r="C764" s="42">
        <v>760</v>
      </c>
      <c r="D764" s="67" t="str">
        <f>IF('Prod 1'!D764="","",'Prod 1'!D764)</f>
        <v/>
      </c>
      <c r="E764" s="73" t="str">
        <f>IF('Prod 1'!E764="","",'Prod 1'!E764)</f>
        <v/>
      </c>
      <c r="F764" s="74" t="str">
        <f>IF('Prod 2'!K764="","",'Prod 2'!K764)</f>
        <v/>
      </c>
      <c r="G764" s="77" t="str">
        <f>IF('Prod 1'!I764="","",'Prod 1'!I764)</f>
        <v/>
      </c>
      <c r="H764" s="63" t="str">
        <f>IF('Prod 1'!F764="","",'Prod 1'!F764)</f>
        <v/>
      </c>
      <c r="I764" s="75" t="str">
        <f>IF('Prod 3'!F764="","",'Prod 3'!F764)</f>
        <v/>
      </c>
    </row>
    <row r="765" spans="3:9" ht="30" customHeight="1" x14ac:dyDescent="0.25">
      <c r="C765" s="42">
        <v>761</v>
      </c>
      <c r="D765" s="67" t="str">
        <f>IF('Prod 1'!D765="","",'Prod 1'!D765)</f>
        <v/>
      </c>
      <c r="E765" s="73" t="str">
        <f>IF('Prod 1'!E765="","",'Prod 1'!E765)</f>
        <v/>
      </c>
      <c r="F765" s="74" t="str">
        <f>IF('Prod 2'!K765="","",'Prod 2'!K765)</f>
        <v/>
      </c>
      <c r="G765" s="77" t="str">
        <f>IF('Prod 1'!I765="","",'Prod 1'!I765)</f>
        <v/>
      </c>
      <c r="H765" s="63" t="str">
        <f>IF('Prod 1'!F765="","",'Prod 1'!F765)</f>
        <v/>
      </c>
      <c r="I765" s="75" t="str">
        <f>IF('Prod 3'!F765="","",'Prod 3'!F765)</f>
        <v/>
      </c>
    </row>
    <row r="766" spans="3:9" ht="30" customHeight="1" x14ac:dyDescent="0.25">
      <c r="C766" s="42">
        <v>762</v>
      </c>
      <c r="D766" s="67" t="str">
        <f>IF('Prod 1'!D766="","",'Prod 1'!D766)</f>
        <v/>
      </c>
      <c r="E766" s="73" t="str">
        <f>IF('Prod 1'!E766="","",'Prod 1'!E766)</f>
        <v/>
      </c>
      <c r="F766" s="74" t="str">
        <f>IF('Prod 2'!K766="","",'Prod 2'!K766)</f>
        <v/>
      </c>
      <c r="G766" s="77" t="str">
        <f>IF('Prod 1'!I766="","",'Prod 1'!I766)</f>
        <v/>
      </c>
      <c r="H766" s="63" t="str">
        <f>IF('Prod 1'!F766="","",'Prod 1'!F766)</f>
        <v/>
      </c>
      <c r="I766" s="75" t="str">
        <f>IF('Prod 3'!F766="","",'Prod 3'!F766)</f>
        <v/>
      </c>
    </row>
    <row r="767" spans="3:9" ht="30" customHeight="1" x14ac:dyDescent="0.25">
      <c r="C767" s="42">
        <v>763</v>
      </c>
      <c r="D767" s="67" t="str">
        <f>IF('Prod 1'!D767="","",'Prod 1'!D767)</f>
        <v/>
      </c>
      <c r="E767" s="73" t="str">
        <f>IF('Prod 1'!E767="","",'Prod 1'!E767)</f>
        <v/>
      </c>
      <c r="F767" s="74" t="str">
        <f>IF('Prod 2'!K767="","",'Prod 2'!K767)</f>
        <v/>
      </c>
      <c r="G767" s="77" t="str">
        <f>IF('Prod 1'!I767="","",'Prod 1'!I767)</f>
        <v/>
      </c>
      <c r="H767" s="63" t="str">
        <f>IF('Prod 1'!F767="","",'Prod 1'!F767)</f>
        <v/>
      </c>
      <c r="I767" s="75" t="str">
        <f>IF('Prod 3'!F767="","",'Prod 3'!F767)</f>
        <v/>
      </c>
    </row>
    <row r="768" spans="3:9" ht="30" customHeight="1" x14ac:dyDescent="0.25">
      <c r="C768" s="42">
        <v>764</v>
      </c>
      <c r="D768" s="67" t="str">
        <f>IF('Prod 1'!D768="","",'Prod 1'!D768)</f>
        <v/>
      </c>
      <c r="E768" s="73" t="str">
        <f>IF('Prod 1'!E768="","",'Prod 1'!E768)</f>
        <v/>
      </c>
      <c r="F768" s="74" t="str">
        <f>IF('Prod 2'!K768="","",'Prod 2'!K768)</f>
        <v/>
      </c>
      <c r="G768" s="77" t="str">
        <f>IF('Prod 1'!I768="","",'Prod 1'!I768)</f>
        <v/>
      </c>
      <c r="H768" s="63" t="str">
        <f>IF('Prod 1'!F768="","",'Prod 1'!F768)</f>
        <v/>
      </c>
      <c r="I768" s="75" t="str">
        <f>IF('Prod 3'!F768="","",'Prod 3'!F768)</f>
        <v/>
      </c>
    </row>
    <row r="769" spans="3:9" ht="30" customHeight="1" x14ac:dyDescent="0.25">
      <c r="C769" s="42">
        <v>765</v>
      </c>
      <c r="D769" s="67" t="str">
        <f>IF('Prod 1'!D769="","",'Prod 1'!D769)</f>
        <v/>
      </c>
      <c r="E769" s="73" t="str">
        <f>IF('Prod 1'!E769="","",'Prod 1'!E769)</f>
        <v/>
      </c>
      <c r="F769" s="74" t="str">
        <f>IF('Prod 2'!K769="","",'Prod 2'!K769)</f>
        <v/>
      </c>
      <c r="G769" s="77" t="str">
        <f>IF('Prod 1'!I769="","",'Prod 1'!I769)</f>
        <v/>
      </c>
      <c r="H769" s="63" t="str">
        <f>IF('Prod 1'!F769="","",'Prod 1'!F769)</f>
        <v/>
      </c>
      <c r="I769" s="75" t="str">
        <f>IF('Prod 3'!F769="","",'Prod 3'!F769)</f>
        <v/>
      </c>
    </row>
    <row r="770" spans="3:9" ht="30" customHeight="1" x14ac:dyDescent="0.25">
      <c r="C770" s="42">
        <v>766</v>
      </c>
      <c r="D770" s="67" t="str">
        <f>IF('Prod 1'!D770="","",'Prod 1'!D770)</f>
        <v/>
      </c>
      <c r="E770" s="73" t="str">
        <f>IF('Prod 1'!E770="","",'Prod 1'!E770)</f>
        <v/>
      </c>
      <c r="F770" s="74" t="str">
        <f>IF('Prod 2'!K770="","",'Prod 2'!K770)</f>
        <v/>
      </c>
      <c r="G770" s="77" t="str">
        <f>IF('Prod 1'!I770="","",'Prod 1'!I770)</f>
        <v/>
      </c>
      <c r="H770" s="63" t="str">
        <f>IF('Prod 1'!F770="","",'Prod 1'!F770)</f>
        <v/>
      </c>
      <c r="I770" s="75" t="str">
        <f>IF('Prod 3'!F770="","",'Prod 3'!F770)</f>
        <v/>
      </c>
    </row>
    <row r="771" spans="3:9" ht="30" customHeight="1" x14ac:dyDescent="0.25">
      <c r="C771" s="42">
        <v>767</v>
      </c>
      <c r="D771" s="67" t="str">
        <f>IF('Prod 1'!D771="","",'Prod 1'!D771)</f>
        <v/>
      </c>
      <c r="E771" s="73" t="str">
        <f>IF('Prod 1'!E771="","",'Prod 1'!E771)</f>
        <v/>
      </c>
      <c r="F771" s="74" t="str">
        <f>IF('Prod 2'!K771="","",'Prod 2'!K771)</f>
        <v/>
      </c>
      <c r="G771" s="77" t="str">
        <f>IF('Prod 1'!I771="","",'Prod 1'!I771)</f>
        <v/>
      </c>
      <c r="H771" s="63" t="str">
        <f>IF('Prod 1'!F771="","",'Prod 1'!F771)</f>
        <v/>
      </c>
      <c r="I771" s="75" t="str">
        <f>IF('Prod 3'!F771="","",'Prod 3'!F771)</f>
        <v/>
      </c>
    </row>
    <row r="772" spans="3:9" ht="30" customHeight="1" x14ac:dyDescent="0.25">
      <c r="C772" s="42">
        <v>768</v>
      </c>
      <c r="D772" s="67" t="str">
        <f>IF('Prod 1'!D772="","",'Prod 1'!D772)</f>
        <v/>
      </c>
      <c r="E772" s="73" t="str">
        <f>IF('Prod 1'!E772="","",'Prod 1'!E772)</f>
        <v/>
      </c>
      <c r="F772" s="74" t="str">
        <f>IF('Prod 2'!K772="","",'Prod 2'!K772)</f>
        <v/>
      </c>
      <c r="G772" s="77" t="str">
        <f>IF('Prod 1'!I772="","",'Prod 1'!I772)</f>
        <v/>
      </c>
      <c r="H772" s="63" t="str">
        <f>IF('Prod 1'!F772="","",'Prod 1'!F772)</f>
        <v/>
      </c>
      <c r="I772" s="75" t="str">
        <f>IF('Prod 3'!F772="","",'Prod 3'!F772)</f>
        <v/>
      </c>
    </row>
    <row r="773" spans="3:9" ht="30" customHeight="1" x14ac:dyDescent="0.25">
      <c r="C773" s="42">
        <v>769</v>
      </c>
      <c r="D773" s="67" t="str">
        <f>IF('Prod 1'!D773="","",'Prod 1'!D773)</f>
        <v/>
      </c>
      <c r="E773" s="73" t="str">
        <f>IF('Prod 1'!E773="","",'Prod 1'!E773)</f>
        <v/>
      </c>
      <c r="F773" s="74" t="str">
        <f>IF('Prod 2'!K773="","",'Prod 2'!K773)</f>
        <v/>
      </c>
      <c r="G773" s="77" t="str">
        <f>IF('Prod 1'!I773="","",'Prod 1'!I773)</f>
        <v/>
      </c>
      <c r="H773" s="63" t="str">
        <f>IF('Prod 1'!F773="","",'Prod 1'!F773)</f>
        <v/>
      </c>
      <c r="I773" s="75" t="str">
        <f>IF('Prod 3'!F773="","",'Prod 3'!F773)</f>
        <v/>
      </c>
    </row>
    <row r="774" spans="3:9" ht="30" customHeight="1" x14ac:dyDescent="0.25">
      <c r="C774" s="42">
        <v>770</v>
      </c>
      <c r="D774" s="67" t="str">
        <f>IF('Prod 1'!D774="","",'Prod 1'!D774)</f>
        <v/>
      </c>
      <c r="E774" s="73" t="str">
        <f>IF('Prod 1'!E774="","",'Prod 1'!E774)</f>
        <v/>
      </c>
      <c r="F774" s="74" t="str">
        <f>IF('Prod 2'!K774="","",'Prod 2'!K774)</f>
        <v/>
      </c>
      <c r="G774" s="77" t="str">
        <f>IF('Prod 1'!I774="","",'Prod 1'!I774)</f>
        <v/>
      </c>
      <c r="H774" s="63" t="str">
        <f>IF('Prod 1'!F774="","",'Prod 1'!F774)</f>
        <v/>
      </c>
      <c r="I774" s="75" t="str">
        <f>IF('Prod 3'!F774="","",'Prod 3'!F774)</f>
        <v/>
      </c>
    </row>
    <row r="775" spans="3:9" ht="30" customHeight="1" x14ac:dyDescent="0.25">
      <c r="C775" s="42">
        <v>771</v>
      </c>
      <c r="D775" s="67" t="str">
        <f>IF('Prod 1'!D775="","",'Prod 1'!D775)</f>
        <v/>
      </c>
      <c r="E775" s="73" t="str">
        <f>IF('Prod 1'!E775="","",'Prod 1'!E775)</f>
        <v/>
      </c>
      <c r="F775" s="74" t="str">
        <f>IF('Prod 2'!K775="","",'Prod 2'!K775)</f>
        <v/>
      </c>
      <c r="G775" s="77" t="str">
        <f>IF('Prod 1'!I775="","",'Prod 1'!I775)</f>
        <v/>
      </c>
      <c r="H775" s="63" t="str">
        <f>IF('Prod 1'!F775="","",'Prod 1'!F775)</f>
        <v/>
      </c>
      <c r="I775" s="75" t="str">
        <f>IF('Prod 3'!F775="","",'Prod 3'!F775)</f>
        <v/>
      </c>
    </row>
    <row r="776" spans="3:9" ht="30" customHeight="1" x14ac:dyDescent="0.25">
      <c r="C776" s="42">
        <v>772</v>
      </c>
      <c r="D776" s="67" t="str">
        <f>IF('Prod 1'!D776="","",'Prod 1'!D776)</f>
        <v/>
      </c>
      <c r="E776" s="73" t="str">
        <f>IF('Prod 1'!E776="","",'Prod 1'!E776)</f>
        <v/>
      </c>
      <c r="F776" s="74" t="str">
        <f>IF('Prod 2'!K776="","",'Prod 2'!K776)</f>
        <v/>
      </c>
      <c r="G776" s="77" t="str">
        <f>IF('Prod 1'!I776="","",'Prod 1'!I776)</f>
        <v/>
      </c>
      <c r="H776" s="63" t="str">
        <f>IF('Prod 1'!F776="","",'Prod 1'!F776)</f>
        <v/>
      </c>
      <c r="I776" s="75" t="str">
        <f>IF('Prod 3'!F776="","",'Prod 3'!F776)</f>
        <v/>
      </c>
    </row>
    <row r="777" spans="3:9" ht="30" customHeight="1" x14ac:dyDescent="0.25">
      <c r="C777" s="42">
        <v>773</v>
      </c>
      <c r="D777" s="67" t="str">
        <f>IF('Prod 1'!D777="","",'Prod 1'!D777)</f>
        <v/>
      </c>
      <c r="E777" s="73" t="str">
        <f>IF('Prod 1'!E777="","",'Prod 1'!E777)</f>
        <v/>
      </c>
      <c r="F777" s="74" t="str">
        <f>IF('Prod 2'!K777="","",'Prod 2'!K777)</f>
        <v/>
      </c>
      <c r="G777" s="77" t="str">
        <f>IF('Prod 1'!I777="","",'Prod 1'!I777)</f>
        <v/>
      </c>
      <c r="H777" s="63" t="str">
        <f>IF('Prod 1'!F777="","",'Prod 1'!F777)</f>
        <v/>
      </c>
      <c r="I777" s="75" t="str">
        <f>IF('Prod 3'!F777="","",'Prod 3'!F777)</f>
        <v/>
      </c>
    </row>
    <row r="778" spans="3:9" ht="30" customHeight="1" x14ac:dyDescent="0.25">
      <c r="C778" s="42">
        <v>774</v>
      </c>
      <c r="D778" s="67" t="str">
        <f>IF('Prod 1'!D778="","",'Prod 1'!D778)</f>
        <v/>
      </c>
      <c r="E778" s="73" t="str">
        <f>IF('Prod 1'!E778="","",'Prod 1'!E778)</f>
        <v/>
      </c>
      <c r="F778" s="74" t="str">
        <f>IF('Prod 2'!K778="","",'Prod 2'!K778)</f>
        <v/>
      </c>
      <c r="G778" s="77" t="str">
        <f>IF('Prod 1'!I778="","",'Prod 1'!I778)</f>
        <v/>
      </c>
      <c r="H778" s="63" t="str">
        <f>IF('Prod 1'!F778="","",'Prod 1'!F778)</f>
        <v/>
      </c>
      <c r="I778" s="75" t="str">
        <f>IF('Prod 3'!F778="","",'Prod 3'!F778)</f>
        <v/>
      </c>
    </row>
    <row r="779" spans="3:9" ht="30" customHeight="1" x14ac:dyDescent="0.25">
      <c r="C779" s="42">
        <v>775</v>
      </c>
      <c r="D779" s="67" t="str">
        <f>IF('Prod 1'!D779="","",'Prod 1'!D779)</f>
        <v/>
      </c>
      <c r="E779" s="73" t="str">
        <f>IF('Prod 1'!E779="","",'Prod 1'!E779)</f>
        <v/>
      </c>
      <c r="F779" s="74" t="str">
        <f>IF('Prod 2'!K779="","",'Prod 2'!K779)</f>
        <v/>
      </c>
      <c r="G779" s="77" t="str">
        <f>IF('Prod 1'!I779="","",'Prod 1'!I779)</f>
        <v/>
      </c>
      <c r="H779" s="63" t="str">
        <f>IF('Prod 1'!F779="","",'Prod 1'!F779)</f>
        <v/>
      </c>
      <c r="I779" s="75" t="str">
        <f>IF('Prod 3'!F779="","",'Prod 3'!F779)</f>
        <v/>
      </c>
    </row>
    <row r="780" spans="3:9" ht="30" customHeight="1" x14ac:dyDescent="0.25">
      <c r="C780" s="42">
        <v>776</v>
      </c>
      <c r="D780" s="67" t="str">
        <f>IF('Prod 1'!D780="","",'Prod 1'!D780)</f>
        <v/>
      </c>
      <c r="E780" s="73" t="str">
        <f>IF('Prod 1'!E780="","",'Prod 1'!E780)</f>
        <v/>
      </c>
      <c r="F780" s="74" t="str">
        <f>IF('Prod 2'!K780="","",'Prod 2'!K780)</f>
        <v/>
      </c>
      <c r="G780" s="77" t="str">
        <f>IF('Prod 1'!I780="","",'Prod 1'!I780)</f>
        <v/>
      </c>
      <c r="H780" s="63" t="str">
        <f>IF('Prod 1'!F780="","",'Prod 1'!F780)</f>
        <v/>
      </c>
      <c r="I780" s="75" t="str">
        <f>IF('Prod 3'!F780="","",'Prod 3'!F780)</f>
        <v/>
      </c>
    </row>
    <row r="781" spans="3:9" ht="30" customHeight="1" x14ac:dyDescent="0.25">
      <c r="C781" s="42">
        <v>777</v>
      </c>
      <c r="D781" s="67" t="str">
        <f>IF('Prod 1'!D781="","",'Prod 1'!D781)</f>
        <v/>
      </c>
      <c r="E781" s="73" t="str">
        <f>IF('Prod 1'!E781="","",'Prod 1'!E781)</f>
        <v/>
      </c>
      <c r="F781" s="74" t="str">
        <f>IF('Prod 2'!K781="","",'Prod 2'!K781)</f>
        <v/>
      </c>
      <c r="G781" s="77" t="str">
        <f>IF('Prod 1'!I781="","",'Prod 1'!I781)</f>
        <v/>
      </c>
      <c r="H781" s="63" t="str">
        <f>IF('Prod 1'!F781="","",'Prod 1'!F781)</f>
        <v/>
      </c>
      <c r="I781" s="75" t="str">
        <f>IF('Prod 3'!F781="","",'Prod 3'!F781)</f>
        <v/>
      </c>
    </row>
    <row r="782" spans="3:9" ht="30" customHeight="1" x14ac:dyDescent="0.25">
      <c r="C782" s="42">
        <v>778</v>
      </c>
      <c r="D782" s="67" t="str">
        <f>IF('Prod 1'!D782="","",'Prod 1'!D782)</f>
        <v/>
      </c>
      <c r="E782" s="73" t="str">
        <f>IF('Prod 1'!E782="","",'Prod 1'!E782)</f>
        <v/>
      </c>
      <c r="F782" s="74" t="str">
        <f>IF('Prod 2'!K782="","",'Prod 2'!K782)</f>
        <v/>
      </c>
      <c r="G782" s="77" t="str">
        <f>IF('Prod 1'!I782="","",'Prod 1'!I782)</f>
        <v/>
      </c>
      <c r="H782" s="63" t="str">
        <f>IF('Prod 1'!F782="","",'Prod 1'!F782)</f>
        <v/>
      </c>
      <c r="I782" s="75" t="str">
        <f>IF('Prod 3'!F782="","",'Prod 3'!F782)</f>
        <v/>
      </c>
    </row>
    <row r="783" spans="3:9" ht="30" customHeight="1" x14ac:dyDescent="0.25">
      <c r="C783" s="42">
        <v>779</v>
      </c>
      <c r="D783" s="67" t="str">
        <f>IF('Prod 1'!D783="","",'Prod 1'!D783)</f>
        <v/>
      </c>
      <c r="E783" s="73" t="str">
        <f>IF('Prod 1'!E783="","",'Prod 1'!E783)</f>
        <v/>
      </c>
      <c r="F783" s="74" t="str">
        <f>IF('Prod 2'!K783="","",'Prod 2'!K783)</f>
        <v/>
      </c>
      <c r="G783" s="77" t="str">
        <f>IF('Prod 1'!I783="","",'Prod 1'!I783)</f>
        <v/>
      </c>
      <c r="H783" s="63" t="str">
        <f>IF('Prod 1'!F783="","",'Prod 1'!F783)</f>
        <v/>
      </c>
      <c r="I783" s="75" t="str">
        <f>IF('Prod 3'!F783="","",'Prod 3'!F783)</f>
        <v/>
      </c>
    </row>
    <row r="784" spans="3:9" ht="30" customHeight="1" x14ac:dyDescent="0.25">
      <c r="C784" s="42">
        <v>780</v>
      </c>
      <c r="D784" s="67" t="str">
        <f>IF('Prod 1'!D784="","",'Prod 1'!D784)</f>
        <v/>
      </c>
      <c r="E784" s="73" t="str">
        <f>IF('Prod 1'!E784="","",'Prod 1'!E784)</f>
        <v/>
      </c>
      <c r="F784" s="74" t="str">
        <f>IF('Prod 2'!K784="","",'Prod 2'!K784)</f>
        <v/>
      </c>
      <c r="G784" s="77" t="str">
        <f>IF('Prod 1'!I784="","",'Prod 1'!I784)</f>
        <v/>
      </c>
      <c r="H784" s="63" t="str">
        <f>IF('Prod 1'!F784="","",'Prod 1'!F784)</f>
        <v/>
      </c>
      <c r="I784" s="75" t="str">
        <f>IF('Prod 3'!F784="","",'Prod 3'!F784)</f>
        <v/>
      </c>
    </row>
    <row r="785" spans="3:9" ht="30" customHeight="1" x14ac:dyDescent="0.25">
      <c r="C785" s="42">
        <v>781</v>
      </c>
      <c r="D785" s="67" t="str">
        <f>IF('Prod 1'!D785="","",'Prod 1'!D785)</f>
        <v/>
      </c>
      <c r="E785" s="73" t="str">
        <f>IF('Prod 1'!E785="","",'Prod 1'!E785)</f>
        <v/>
      </c>
      <c r="F785" s="74" t="str">
        <f>IF('Prod 2'!K785="","",'Prod 2'!K785)</f>
        <v/>
      </c>
      <c r="G785" s="77" t="str">
        <f>IF('Prod 1'!I785="","",'Prod 1'!I785)</f>
        <v/>
      </c>
      <c r="H785" s="63" t="str">
        <f>IF('Prod 1'!F785="","",'Prod 1'!F785)</f>
        <v/>
      </c>
      <c r="I785" s="75" t="str">
        <f>IF('Prod 3'!F785="","",'Prod 3'!F785)</f>
        <v/>
      </c>
    </row>
    <row r="786" spans="3:9" ht="30" customHeight="1" x14ac:dyDescent="0.25">
      <c r="C786" s="42">
        <v>782</v>
      </c>
      <c r="D786" s="67" t="str">
        <f>IF('Prod 1'!D786="","",'Prod 1'!D786)</f>
        <v/>
      </c>
      <c r="E786" s="73" t="str">
        <f>IF('Prod 1'!E786="","",'Prod 1'!E786)</f>
        <v/>
      </c>
      <c r="F786" s="74" t="str">
        <f>IF('Prod 2'!K786="","",'Prod 2'!K786)</f>
        <v/>
      </c>
      <c r="G786" s="77" t="str">
        <f>IF('Prod 1'!I786="","",'Prod 1'!I786)</f>
        <v/>
      </c>
      <c r="H786" s="63" t="str">
        <f>IF('Prod 1'!F786="","",'Prod 1'!F786)</f>
        <v/>
      </c>
      <c r="I786" s="75" t="str">
        <f>IF('Prod 3'!F786="","",'Prod 3'!F786)</f>
        <v/>
      </c>
    </row>
    <row r="787" spans="3:9" ht="30" customHeight="1" x14ac:dyDescent="0.25">
      <c r="C787" s="42">
        <v>783</v>
      </c>
      <c r="D787" s="67" t="str">
        <f>IF('Prod 1'!D787="","",'Prod 1'!D787)</f>
        <v/>
      </c>
      <c r="E787" s="73" t="str">
        <f>IF('Prod 1'!E787="","",'Prod 1'!E787)</f>
        <v/>
      </c>
      <c r="F787" s="74" t="str">
        <f>IF('Prod 2'!K787="","",'Prod 2'!K787)</f>
        <v/>
      </c>
      <c r="G787" s="77" t="str">
        <f>IF('Prod 1'!I787="","",'Prod 1'!I787)</f>
        <v/>
      </c>
      <c r="H787" s="63" t="str">
        <f>IF('Prod 1'!F787="","",'Prod 1'!F787)</f>
        <v/>
      </c>
      <c r="I787" s="75" t="str">
        <f>IF('Prod 3'!F787="","",'Prod 3'!F787)</f>
        <v/>
      </c>
    </row>
    <row r="788" spans="3:9" ht="30" customHeight="1" x14ac:dyDescent="0.25">
      <c r="C788" s="42">
        <v>784</v>
      </c>
      <c r="D788" s="67" t="str">
        <f>IF('Prod 1'!D788="","",'Prod 1'!D788)</f>
        <v/>
      </c>
      <c r="E788" s="73" t="str">
        <f>IF('Prod 1'!E788="","",'Prod 1'!E788)</f>
        <v/>
      </c>
      <c r="F788" s="74" t="str">
        <f>IF('Prod 2'!K788="","",'Prod 2'!K788)</f>
        <v/>
      </c>
      <c r="G788" s="77" t="str">
        <f>IF('Prod 1'!I788="","",'Prod 1'!I788)</f>
        <v/>
      </c>
      <c r="H788" s="63" t="str">
        <f>IF('Prod 1'!F788="","",'Prod 1'!F788)</f>
        <v/>
      </c>
      <c r="I788" s="75" t="str">
        <f>IF('Prod 3'!F788="","",'Prod 3'!F788)</f>
        <v/>
      </c>
    </row>
    <row r="789" spans="3:9" ht="30" customHeight="1" x14ac:dyDescent="0.25">
      <c r="C789" s="42">
        <v>785</v>
      </c>
      <c r="D789" s="67" t="str">
        <f>IF('Prod 1'!D789="","",'Prod 1'!D789)</f>
        <v/>
      </c>
      <c r="E789" s="73" t="str">
        <f>IF('Prod 1'!E789="","",'Prod 1'!E789)</f>
        <v/>
      </c>
      <c r="F789" s="74" t="str">
        <f>IF('Prod 2'!K789="","",'Prod 2'!K789)</f>
        <v/>
      </c>
      <c r="G789" s="77" t="str">
        <f>IF('Prod 1'!I789="","",'Prod 1'!I789)</f>
        <v/>
      </c>
      <c r="H789" s="63" t="str">
        <f>IF('Prod 1'!F789="","",'Prod 1'!F789)</f>
        <v/>
      </c>
      <c r="I789" s="75" t="str">
        <f>IF('Prod 3'!F789="","",'Prod 3'!F789)</f>
        <v/>
      </c>
    </row>
    <row r="790" spans="3:9" ht="30" customHeight="1" x14ac:dyDescent="0.25">
      <c r="C790" s="42">
        <v>786</v>
      </c>
      <c r="D790" s="67" t="str">
        <f>IF('Prod 1'!D790="","",'Prod 1'!D790)</f>
        <v/>
      </c>
      <c r="E790" s="73" t="str">
        <f>IF('Prod 1'!E790="","",'Prod 1'!E790)</f>
        <v/>
      </c>
      <c r="F790" s="74" t="str">
        <f>IF('Prod 2'!K790="","",'Prod 2'!K790)</f>
        <v/>
      </c>
      <c r="G790" s="77" t="str">
        <f>IF('Prod 1'!I790="","",'Prod 1'!I790)</f>
        <v/>
      </c>
      <c r="H790" s="63" t="str">
        <f>IF('Prod 1'!F790="","",'Prod 1'!F790)</f>
        <v/>
      </c>
      <c r="I790" s="75" t="str">
        <f>IF('Prod 3'!F790="","",'Prod 3'!F790)</f>
        <v/>
      </c>
    </row>
    <row r="791" spans="3:9" ht="30" customHeight="1" x14ac:dyDescent="0.25">
      <c r="C791" s="42">
        <v>787</v>
      </c>
      <c r="D791" s="67" t="str">
        <f>IF('Prod 1'!D791="","",'Prod 1'!D791)</f>
        <v/>
      </c>
      <c r="E791" s="73" t="str">
        <f>IF('Prod 1'!E791="","",'Prod 1'!E791)</f>
        <v/>
      </c>
      <c r="F791" s="74" t="str">
        <f>IF('Prod 2'!K791="","",'Prod 2'!K791)</f>
        <v/>
      </c>
      <c r="G791" s="77" t="str">
        <f>IF('Prod 1'!I791="","",'Prod 1'!I791)</f>
        <v/>
      </c>
      <c r="H791" s="63" t="str">
        <f>IF('Prod 1'!F791="","",'Prod 1'!F791)</f>
        <v/>
      </c>
      <c r="I791" s="75" t="str">
        <f>IF('Prod 3'!F791="","",'Prod 3'!F791)</f>
        <v/>
      </c>
    </row>
    <row r="792" spans="3:9" ht="30" customHeight="1" x14ac:dyDescent="0.25">
      <c r="C792" s="42">
        <v>788</v>
      </c>
      <c r="D792" s="67" t="str">
        <f>IF('Prod 1'!D792="","",'Prod 1'!D792)</f>
        <v/>
      </c>
      <c r="E792" s="73" t="str">
        <f>IF('Prod 1'!E792="","",'Prod 1'!E792)</f>
        <v/>
      </c>
      <c r="F792" s="74" t="str">
        <f>IF('Prod 2'!K792="","",'Prod 2'!K792)</f>
        <v/>
      </c>
      <c r="G792" s="77" t="str">
        <f>IF('Prod 1'!I792="","",'Prod 1'!I792)</f>
        <v/>
      </c>
      <c r="H792" s="63" t="str">
        <f>IF('Prod 1'!F792="","",'Prod 1'!F792)</f>
        <v/>
      </c>
      <c r="I792" s="75" t="str">
        <f>IF('Prod 3'!F792="","",'Prod 3'!F792)</f>
        <v/>
      </c>
    </row>
    <row r="793" spans="3:9" ht="30" customHeight="1" x14ac:dyDescent="0.25">
      <c r="C793" s="42">
        <v>789</v>
      </c>
      <c r="D793" s="67" t="str">
        <f>IF('Prod 1'!D793="","",'Prod 1'!D793)</f>
        <v/>
      </c>
      <c r="E793" s="73" t="str">
        <f>IF('Prod 1'!E793="","",'Prod 1'!E793)</f>
        <v/>
      </c>
      <c r="F793" s="74" t="str">
        <f>IF('Prod 2'!K793="","",'Prod 2'!K793)</f>
        <v/>
      </c>
      <c r="G793" s="77" t="str">
        <f>IF('Prod 1'!I793="","",'Prod 1'!I793)</f>
        <v/>
      </c>
      <c r="H793" s="63" t="str">
        <f>IF('Prod 1'!F793="","",'Prod 1'!F793)</f>
        <v/>
      </c>
      <c r="I793" s="75" t="str">
        <f>IF('Prod 3'!F793="","",'Prod 3'!F793)</f>
        <v/>
      </c>
    </row>
    <row r="794" spans="3:9" ht="30" customHeight="1" x14ac:dyDescent="0.25">
      <c r="C794" s="42">
        <v>790</v>
      </c>
      <c r="D794" s="67" t="str">
        <f>IF('Prod 1'!D794="","",'Prod 1'!D794)</f>
        <v/>
      </c>
      <c r="E794" s="73" t="str">
        <f>IF('Prod 1'!E794="","",'Prod 1'!E794)</f>
        <v/>
      </c>
      <c r="F794" s="74" t="str">
        <f>IF('Prod 2'!K794="","",'Prod 2'!K794)</f>
        <v/>
      </c>
      <c r="G794" s="77" t="str">
        <f>IF('Prod 1'!I794="","",'Prod 1'!I794)</f>
        <v/>
      </c>
      <c r="H794" s="63" t="str">
        <f>IF('Prod 1'!F794="","",'Prod 1'!F794)</f>
        <v/>
      </c>
      <c r="I794" s="75" t="str">
        <f>IF('Prod 3'!F794="","",'Prod 3'!F794)</f>
        <v/>
      </c>
    </row>
    <row r="795" spans="3:9" ht="30" customHeight="1" x14ac:dyDescent="0.25">
      <c r="C795" s="42">
        <v>791</v>
      </c>
      <c r="D795" s="67" t="str">
        <f>IF('Prod 1'!D795="","",'Prod 1'!D795)</f>
        <v/>
      </c>
      <c r="E795" s="73" t="str">
        <f>IF('Prod 1'!E795="","",'Prod 1'!E795)</f>
        <v/>
      </c>
      <c r="F795" s="74" t="str">
        <f>IF('Prod 2'!K795="","",'Prod 2'!K795)</f>
        <v/>
      </c>
      <c r="G795" s="77" t="str">
        <f>IF('Prod 1'!I795="","",'Prod 1'!I795)</f>
        <v/>
      </c>
      <c r="H795" s="63" t="str">
        <f>IF('Prod 1'!F795="","",'Prod 1'!F795)</f>
        <v/>
      </c>
      <c r="I795" s="75" t="str">
        <f>IF('Prod 3'!F795="","",'Prod 3'!F795)</f>
        <v/>
      </c>
    </row>
    <row r="796" spans="3:9" ht="30" customHeight="1" x14ac:dyDescent="0.25">
      <c r="C796" s="42">
        <v>792</v>
      </c>
      <c r="D796" s="67" t="str">
        <f>IF('Prod 1'!D796="","",'Prod 1'!D796)</f>
        <v/>
      </c>
      <c r="E796" s="73" t="str">
        <f>IF('Prod 1'!E796="","",'Prod 1'!E796)</f>
        <v/>
      </c>
      <c r="F796" s="74" t="str">
        <f>IF('Prod 2'!K796="","",'Prod 2'!K796)</f>
        <v/>
      </c>
      <c r="G796" s="77" t="str">
        <f>IF('Prod 1'!I796="","",'Prod 1'!I796)</f>
        <v/>
      </c>
      <c r="H796" s="63" t="str">
        <f>IF('Prod 1'!F796="","",'Prod 1'!F796)</f>
        <v/>
      </c>
      <c r="I796" s="75" t="str">
        <f>IF('Prod 3'!F796="","",'Prod 3'!F796)</f>
        <v/>
      </c>
    </row>
    <row r="797" spans="3:9" ht="30" customHeight="1" x14ac:dyDescent="0.25">
      <c r="C797" s="42">
        <v>793</v>
      </c>
      <c r="D797" s="67" t="str">
        <f>IF('Prod 1'!D797="","",'Prod 1'!D797)</f>
        <v/>
      </c>
      <c r="E797" s="73" t="str">
        <f>IF('Prod 1'!E797="","",'Prod 1'!E797)</f>
        <v/>
      </c>
      <c r="F797" s="74" t="str">
        <f>IF('Prod 2'!K797="","",'Prod 2'!K797)</f>
        <v/>
      </c>
      <c r="G797" s="77" t="str">
        <f>IF('Prod 1'!I797="","",'Prod 1'!I797)</f>
        <v/>
      </c>
      <c r="H797" s="63" t="str">
        <f>IF('Prod 1'!F797="","",'Prod 1'!F797)</f>
        <v/>
      </c>
      <c r="I797" s="75" t="str">
        <f>IF('Prod 3'!F797="","",'Prod 3'!F797)</f>
        <v/>
      </c>
    </row>
    <row r="798" spans="3:9" ht="30" customHeight="1" x14ac:dyDescent="0.25">
      <c r="C798" s="42">
        <v>794</v>
      </c>
      <c r="D798" s="67" t="str">
        <f>IF('Prod 1'!D798="","",'Prod 1'!D798)</f>
        <v/>
      </c>
      <c r="E798" s="73" t="str">
        <f>IF('Prod 1'!E798="","",'Prod 1'!E798)</f>
        <v/>
      </c>
      <c r="F798" s="74" t="str">
        <f>IF('Prod 2'!K798="","",'Prod 2'!K798)</f>
        <v/>
      </c>
      <c r="G798" s="77" t="str">
        <f>IF('Prod 1'!I798="","",'Prod 1'!I798)</f>
        <v/>
      </c>
      <c r="H798" s="63" t="str">
        <f>IF('Prod 1'!F798="","",'Prod 1'!F798)</f>
        <v/>
      </c>
      <c r="I798" s="75" t="str">
        <f>IF('Prod 3'!F798="","",'Prod 3'!F798)</f>
        <v/>
      </c>
    </row>
    <row r="799" spans="3:9" ht="30" customHeight="1" x14ac:dyDescent="0.25">
      <c r="C799" s="42">
        <v>795</v>
      </c>
      <c r="D799" s="67" t="str">
        <f>IF('Prod 1'!D799="","",'Prod 1'!D799)</f>
        <v/>
      </c>
      <c r="E799" s="73" t="str">
        <f>IF('Prod 1'!E799="","",'Prod 1'!E799)</f>
        <v/>
      </c>
      <c r="F799" s="74" t="str">
        <f>IF('Prod 2'!K799="","",'Prod 2'!K799)</f>
        <v/>
      </c>
      <c r="G799" s="77" t="str">
        <f>IF('Prod 1'!I799="","",'Prod 1'!I799)</f>
        <v/>
      </c>
      <c r="H799" s="63" t="str">
        <f>IF('Prod 1'!F799="","",'Prod 1'!F799)</f>
        <v/>
      </c>
      <c r="I799" s="75" t="str">
        <f>IF('Prod 3'!F799="","",'Prod 3'!F799)</f>
        <v/>
      </c>
    </row>
    <row r="800" spans="3:9" ht="30" customHeight="1" x14ac:dyDescent="0.25">
      <c r="C800" s="42">
        <v>796</v>
      </c>
      <c r="D800" s="67" t="str">
        <f>IF('Prod 1'!D800="","",'Prod 1'!D800)</f>
        <v/>
      </c>
      <c r="E800" s="73" t="str">
        <f>IF('Prod 1'!E800="","",'Prod 1'!E800)</f>
        <v/>
      </c>
      <c r="F800" s="74" t="str">
        <f>IF('Prod 2'!K800="","",'Prod 2'!K800)</f>
        <v/>
      </c>
      <c r="G800" s="77" t="str">
        <f>IF('Prod 1'!I800="","",'Prod 1'!I800)</f>
        <v/>
      </c>
      <c r="H800" s="63" t="str">
        <f>IF('Prod 1'!F800="","",'Prod 1'!F800)</f>
        <v/>
      </c>
      <c r="I800" s="75" t="str">
        <f>IF('Prod 3'!F800="","",'Prod 3'!F800)</f>
        <v/>
      </c>
    </row>
    <row r="801" spans="3:9" ht="30" customHeight="1" x14ac:dyDescent="0.25">
      <c r="C801" s="42">
        <v>797</v>
      </c>
      <c r="D801" s="67" t="str">
        <f>IF('Prod 1'!D801="","",'Prod 1'!D801)</f>
        <v/>
      </c>
      <c r="E801" s="73" t="str">
        <f>IF('Prod 1'!E801="","",'Prod 1'!E801)</f>
        <v/>
      </c>
      <c r="F801" s="74" t="str">
        <f>IF('Prod 2'!K801="","",'Prod 2'!K801)</f>
        <v/>
      </c>
      <c r="G801" s="77" t="str">
        <f>IF('Prod 1'!I801="","",'Prod 1'!I801)</f>
        <v/>
      </c>
      <c r="H801" s="63" t="str">
        <f>IF('Prod 1'!F801="","",'Prod 1'!F801)</f>
        <v/>
      </c>
      <c r="I801" s="75" t="str">
        <f>IF('Prod 3'!F801="","",'Prod 3'!F801)</f>
        <v/>
      </c>
    </row>
    <row r="802" spans="3:9" ht="30" customHeight="1" x14ac:dyDescent="0.25">
      <c r="C802" s="42">
        <v>798</v>
      </c>
      <c r="D802" s="67" t="str">
        <f>IF('Prod 1'!D802="","",'Prod 1'!D802)</f>
        <v/>
      </c>
      <c r="E802" s="73" t="str">
        <f>IF('Prod 1'!E802="","",'Prod 1'!E802)</f>
        <v/>
      </c>
      <c r="F802" s="74" t="str">
        <f>IF('Prod 2'!K802="","",'Prod 2'!K802)</f>
        <v/>
      </c>
      <c r="G802" s="77" t="str">
        <f>IF('Prod 1'!I802="","",'Prod 1'!I802)</f>
        <v/>
      </c>
      <c r="H802" s="63" t="str">
        <f>IF('Prod 1'!F802="","",'Prod 1'!F802)</f>
        <v/>
      </c>
      <c r="I802" s="75" t="str">
        <f>IF('Prod 3'!F802="","",'Prod 3'!F802)</f>
        <v/>
      </c>
    </row>
    <row r="803" spans="3:9" ht="30" customHeight="1" x14ac:dyDescent="0.25">
      <c r="C803" s="42">
        <v>799</v>
      </c>
      <c r="D803" s="67" t="str">
        <f>IF('Prod 1'!D803="","",'Prod 1'!D803)</f>
        <v/>
      </c>
      <c r="E803" s="73" t="str">
        <f>IF('Prod 1'!E803="","",'Prod 1'!E803)</f>
        <v/>
      </c>
      <c r="F803" s="74" t="str">
        <f>IF('Prod 2'!K803="","",'Prod 2'!K803)</f>
        <v/>
      </c>
      <c r="G803" s="77" t="str">
        <f>IF('Prod 1'!I803="","",'Prod 1'!I803)</f>
        <v/>
      </c>
      <c r="H803" s="63" t="str">
        <f>IF('Prod 1'!F803="","",'Prod 1'!F803)</f>
        <v/>
      </c>
      <c r="I803" s="75" t="str">
        <f>IF('Prod 3'!F803="","",'Prod 3'!F803)</f>
        <v/>
      </c>
    </row>
    <row r="804" spans="3:9" ht="30" customHeight="1" x14ac:dyDescent="0.25">
      <c r="C804" s="42">
        <v>800</v>
      </c>
      <c r="D804" s="67" t="str">
        <f>IF('Prod 1'!D804="","",'Prod 1'!D804)</f>
        <v/>
      </c>
      <c r="E804" s="73" t="str">
        <f>IF('Prod 1'!E804="","",'Prod 1'!E804)</f>
        <v/>
      </c>
      <c r="F804" s="74" t="str">
        <f>IF('Prod 2'!K804="","",'Prod 2'!K804)</f>
        <v/>
      </c>
      <c r="G804" s="77" t="str">
        <f>IF('Prod 1'!I804="","",'Prod 1'!I804)</f>
        <v/>
      </c>
      <c r="H804" s="63" t="str">
        <f>IF('Prod 1'!F804="","",'Prod 1'!F804)</f>
        <v/>
      </c>
      <c r="I804" s="75" t="str">
        <f>IF('Prod 3'!F804="","",'Prod 3'!F804)</f>
        <v/>
      </c>
    </row>
    <row r="805" spans="3:9" ht="30" customHeight="1" x14ac:dyDescent="0.25">
      <c r="C805" s="42">
        <v>801</v>
      </c>
      <c r="D805" s="67" t="str">
        <f>IF('Prod 1'!D805="","",'Prod 1'!D805)</f>
        <v/>
      </c>
      <c r="E805" s="73" t="str">
        <f>IF('Prod 1'!E805="","",'Prod 1'!E805)</f>
        <v/>
      </c>
      <c r="F805" s="74" t="str">
        <f>IF('Prod 2'!K805="","",'Prod 2'!K805)</f>
        <v/>
      </c>
      <c r="G805" s="77" t="str">
        <f>IF('Prod 1'!I805="","",'Prod 1'!I805)</f>
        <v/>
      </c>
      <c r="H805" s="63" t="str">
        <f>IF('Prod 1'!F805="","",'Prod 1'!F805)</f>
        <v/>
      </c>
      <c r="I805" s="75" t="str">
        <f>IF('Prod 3'!F805="","",'Prod 3'!F805)</f>
        <v/>
      </c>
    </row>
    <row r="806" spans="3:9" ht="30" customHeight="1" x14ac:dyDescent="0.25">
      <c r="C806" s="42">
        <v>802</v>
      </c>
      <c r="D806" s="67" t="str">
        <f>IF('Prod 1'!D806="","",'Prod 1'!D806)</f>
        <v/>
      </c>
      <c r="E806" s="73" t="str">
        <f>IF('Prod 1'!E806="","",'Prod 1'!E806)</f>
        <v/>
      </c>
      <c r="F806" s="74" t="str">
        <f>IF('Prod 2'!K806="","",'Prod 2'!K806)</f>
        <v/>
      </c>
      <c r="G806" s="77" t="str">
        <f>IF('Prod 1'!I806="","",'Prod 1'!I806)</f>
        <v/>
      </c>
      <c r="H806" s="63" t="str">
        <f>IF('Prod 1'!F806="","",'Prod 1'!F806)</f>
        <v/>
      </c>
      <c r="I806" s="75" t="str">
        <f>IF('Prod 3'!F806="","",'Prod 3'!F806)</f>
        <v/>
      </c>
    </row>
    <row r="807" spans="3:9" ht="30" customHeight="1" x14ac:dyDescent="0.25">
      <c r="C807" s="42">
        <v>803</v>
      </c>
      <c r="D807" s="67" t="str">
        <f>IF('Prod 1'!D807="","",'Prod 1'!D807)</f>
        <v/>
      </c>
      <c r="E807" s="73" t="str">
        <f>IF('Prod 1'!E807="","",'Prod 1'!E807)</f>
        <v/>
      </c>
      <c r="F807" s="74" t="str">
        <f>IF('Prod 2'!K807="","",'Prod 2'!K807)</f>
        <v/>
      </c>
      <c r="G807" s="77" t="str">
        <f>IF('Prod 1'!I807="","",'Prod 1'!I807)</f>
        <v/>
      </c>
      <c r="H807" s="63" t="str">
        <f>IF('Prod 1'!F807="","",'Prod 1'!F807)</f>
        <v/>
      </c>
      <c r="I807" s="75" t="str">
        <f>IF('Prod 3'!F807="","",'Prod 3'!F807)</f>
        <v/>
      </c>
    </row>
    <row r="808" spans="3:9" ht="30" customHeight="1" x14ac:dyDescent="0.25">
      <c r="C808" s="42">
        <v>804</v>
      </c>
      <c r="D808" s="67" t="str">
        <f>IF('Prod 1'!D808="","",'Prod 1'!D808)</f>
        <v/>
      </c>
      <c r="E808" s="73" t="str">
        <f>IF('Prod 1'!E808="","",'Prod 1'!E808)</f>
        <v/>
      </c>
      <c r="F808" s="74" t="str">
        <f>IF('Prod 2'!K808="","",'Prod 2'!K808)</f>
        <v/>
      </c>
      <c r="G808" s="77" t="str">
        <f>IF('Prod 1'!I808="","",'Prod 1'!I808)</f>
        <v/>
      </c>
      <c r="H808" s="63" t="str">
        <f>IF('Prod 1'!F808="","",'Prod 1'!F808)</f>
        <v/>
      </c>
      <c r="I808" s="75" t="str">
        <f>IF('Prod 3'!F808="","",'Prod 3'!F808)</f>
        <v/>
      </c>
    </row>
    <row r="809" spans="3:9" ht="30" customHeight="1" x14ac:dyDescent="0.25">
      <c r="C809" s="42">
        <v>805</v>
      </c>
      <c r="D809" s="67" t="str">
        <f>IF('Prod 1'!D809="","",'Prod 1'!D809)</f>
        <v/>
      </c>
      <c r="E809" s="73" t="str">
        <f>IF('Prod 1'!E809="","",'Prod 1'!E809)</f>
        <v/>
      </c>
      <c r="F809" s="74" t="str">
        <f>IF('Prod 2'!K809="","",'Prod 2'!K809)</f>
        <v/>
      </c>
      <c r="G809" s="77" t="str">
        <f>IF('Prod 1'!I809="","",'Prod 1'!I809)</f>
        <v/>
      </c>
      <c r="H809" s="63" t="str">
        <f>IF('Prod 1'!F809="","",'Prod 1'!F809)</f>
        <v/>
      </c>
      <c r="I809" s="75" t="str">
        <f>IF('Prod 3'!F809="","",'Prod 3'!F809)</f>
        <v/>
      </c>
    </row>
    <row r="810" spans="3:9" ht="30" customHeight="1" x14ac:dyDescent="0.25">
      <c r="C810" s="42">
        <v>806</v>
      </c>
      <c r="D810" s="67" t="str">
        <f>IF('Prod 1'!D810="","",'Prod 1'!D810)</f>
        <v/>
      </c>
      <c r="E810" s="73" t="str">
        <f>IF('Prod 1'!E810="","",'Prod 1'!E810)</f>
        <v/>
      </c>
      <c r="F810" s="74" t="str">
        <f>IF('Prod 2'!K810="","",'Prod 2'!K810)</f>
        <v/>
      </c>
      <c r="G810" s="77" t="str">
        <f>IF('Prod 1'!I810="","",'Prod 1'!I810)</f>
        <v/>
      </c>
      <c r="H810" s="63" t="str">
        <f>IF('Prod 1'!F810="","",'Prod 1'!F810)</f>
        <v/>
      </c>
      <c r="I810" s="75" t="str">
        <f>IF('Prod 3'!F810="","",'Prod 3'!F810)</f>
        <v/>
      </c>
    </row>
    <row r="811" spans="3:9" ht="30" customHeight="1" x14ac:dyDescent="0.25">
      <c r="C811" s="42">
        <v>807</v>
      </c>
      <c r="D811" s="67" t="str">
        <f>IF('Prod 1'!D811="","",'Prod 1'!D811)</f>
        <v/>
      </c>
      <c r="E811" s="73" t="str">
        <f>IF('Prod 1'!E811="","",'Prod 1'!E811)</f>
        <v/>
      </c>
      <c r="F811" s="74" t="str">
        <f>IF('Prod 2'!K811="","",'Prod 2'!K811)</f>
        <v/>
      </c>
      <c r="G811" s="77" t="str">
        <f>IF('Prod 1'!I811="","",'Prod 1'!I811)</f>
        <v/>
      </c>
      <c r="H811" s="63" t="str">
        <f>IF('Prod 1'!F811="","",'Prod 1'!F811)</f>
        <v/>
      </c>
      <c r="I811" s="75" t="str">
        <f>IF('Prod 3'!F811="","",'Prod 3'!F811)</f>
        <v/>
      </c>
    </row>
    <row r="812" spans="3:9" ht="30" customHeight="1" x14ac:dyDescent="0.25">
      <c r="C812" s="42">
        <v>808</v>
      </c>
      <c r="D812" s="67" t="str">
        <f>IF('Prod 1'!D812="","",'Prod 1'!D812)</f>
        <v/>
      </c>
      <c r="E812" s="73" t="str">
        <f>IF('Prod 1'!E812="","",'Prod 1'!E812)</f>
        <v/>
      </c>
      <c r="F812" s="74" t="str">
        <f>IF('Prod 2'!K812="","",'Prod 2'!K812)</f>
        <v/>
      </c>
      <c r="G812" s="77" t="str">
        <f>IF('Prod 1'!I812="","",'Prod 1'!I812)</f>
        <v/>
      </c>
      <c r="H812" s="63" t="str">
        <f>IF('Prod 1'!F812="","",'Prod 1'!F812)</f>
        <v/>
      </c>
      <c r="I812" s="75" t="str">
        <f>IF('Prod 3'!F812="","",'Prod 3'!F812)</f>
        <v/>
      </c>
    </row>
    <row r="813" spans="3:9" ht="30" customHeight="1" x14ac:dyDescent="0.25">
      <c r="C813" s="42">
        <v>809</v>
      </c>
      <c r="D813" s="67" t="str">
        <f>IF('Prod 1'!D813="","",'Prod 1'!D813)</f>
        <v/>
      </c>
      <c r="E813" s="73" t="str">
        <f>IF('Prod 1'!E813="","",'Prod 1'!E813)</f>
        <v/>
      </c>
      <c r="F813" s="74" t="str">
        <f>IF('Prod 2'!K813="","",'Prod 2'!K813)</f>
        <v/>
      </c>
      <c r="G813" s="77" t="str">
        <f>IF('Prod 1'!I813="","",'Prod 1'!I813)</f>
        <v/>
      </c>
      <c r="H813" s="63" t="str">
        <f>IF('Prod 1'!F813="","",'Prod 1'!F813)</f>
        <v/>
      </c>
      <c r="I813" s="75" t="str">
        <f>IF('Prod 3'!F813="","",'Prod 3'!F813)</f>
        <v/>
      </c>
    </row>
    <row r="814" spans="3:9" ht="30" customHeight="1" x14ac:dyDescent="0.25">
      <c r="C814" s="42">
        <v>810</v>
      </c>
      <c r="D814" s="67" t="str">
        <f>IF('Prod 1'!D814="","",'Prod 1'!D814)</f>
        <v/>
      </c>
      <c r="E814" s="73" t="str">
        <f>IF('Prod 1'!E814="","",'Prod 1'!E814)</f>
        <v/>
      </c>
      <c r="F814" s="74" t="str">
        <f>IF('Prod 2'!K814="","",'Prod 2'!K814)</f>
        <v/>
      </c>
      <c r="G814" s="77" t="str">
        <f>IF('Prod 1'!I814="","",'Prod 1'!I814)</f>
        <v/>
      </c>
      <c r="H814" s="63" t="str">
        <f>IF('Prod 1'!F814="","",'Prod 1'!F814)</f>
        <v/>
      </c>
      <c r="I814" s="75" t="str">
        <f>IF('Prod 3'!F814="","",'Prod 3'!F814)</f>
        <v/>
      </c>
    </row>
    <row r="815" spans="3:9" ht="30" customHeight="1" x14ac:dyDescent="0.25">
      <c r="C815" s="42">
        <v>811</v>
      </c>
      <c r="D815" s="67" t="str">
        <f>IF('Prod 1'!D815="","",'Prod 1'!D815)</f>
        <v/>
      </c>
      <c r="E815" s="73" t="str">
        <f>IF('Prod 1'!E815="","",'Prod 1'!E815)</f>
        <v/>
      </c>
      <c r="F815" s="74" t="str">
        <f>IF('Prod 2'!K815="","",'Prod 2'!K815)</f>
        <v/>
      </c>
      <c r="G815" s="77" t="str">
        <f>IF('Prod 1'!I815="","",'Prod 1'!I815)</f>
        <v/>
      </c>
      <c r="H815" s="63" t="str">
        <f>IF('Prod 1'!F815="","",'Prod 1'!F815)</f>
        <v/>
      </c>
      <c r="I815" s="75" t="str">
        <f>IF('Prod 3'!F815="","",'Prod 3'!F815)</f>
        <v/>
      </c>
    </row>
    <row r="816" spans="3:9" ht="30" customHeight="1" x14ac:dyDescent="0.25">
      <c r="C816" s="42">
        <v>812</v>
      </c>
      <c r="D816" s="67" t="str">
        <f>IF('Prod 1'!D816="","",'Prod 1'!D816)</f>
        <v/>
      </c>
      <c r="E816" s="73" t="str">
        <f>IF('Prod 1'!E816="","",'Prod 1'!E816)</f>
        <v/>
      </c>
      <c r="F816" s="74" t="str">
        <f>IF('Prod 2'!K816="","",'Prod 2'!K816)</f>
        <v/>
      </c>
      <c r="G816" s="77" t="str">
        <f>IF('Prod 1'!I816="","",'Prod 1'!I816)</f>
        <v/>
      </c>
      <c r="H816" s="63" t="str">
        <f>IF('Prod 1'!F816="","",'Prod 1'!F816)</f>
        <v/>
      </c>
      <c r="I816" s="75" t="str">
        <f>IF('Prod 3'!F816="","",'Prod 3'!F816)</f>
        <v/>
      </c>
    </row>
    <row r="817" spans="3:9" ht="30" customHeight="1" x14ac:dyDescent="0.25">
      <c r="C817" s="42">
        <v>813</v>
      </c>
      <c r="D817" s="67" t="str">
        <f>IF('Prod 1'!D817="","",'Prod 1'!D817)</f>
        <v/>
      </c>
      <c r="E817" s="73" t="str">
        <f>IF('Prod 1'!E817="","",'Prod 1'!E817)</f>
        <v/>
      </c>
      <c r="F817" s="74" t="str">
        <f>IF('Prod 2'!K817="","",'Prod 2'!K817)</f>
        <v/>
      </c>
      <c r="G817" s="77" t="str">
        <f>IF('Prod 1'!I817="","",'Prod 1'!I817)</f>
        <v/>
      </c>
      <c r="H817" s="63" t="str">
        <f>IF('Prod 1'!F817="","",'Prod 1'!F817)</f>
        <v/>
      </c>
      <c r="I817" s="75" t="str">
        <f>IF('Prod 3'!F817="","",'Prod 3'!F817)</f>
        <v/>
      </c>
    </row>
    <row r="818" spans="3:9" ht="30" customHeight="1" x14ac:dyDescent="0.25">
      <c r="C818" s="42">
        <v>814</v>
      </c>
      <c r="D818" s="67" t="str">
        <f>IF('Prod 1'!D818="","",'Prod 1'!D818)</f>
        <v/>
      </c>
      <c r="E818" s="73" t="str">
        <f>IF('Prod 1'!E818="","",'Prod 1'!E818)</f>
        <v/>
      </c>
      <c r="F818" s="74" t="str">
        <f>IF('Prod 2'!K818="","",'Prod 2'!K818)</f>
        <v/>
      </c>
      <c r="G818" s="77" t="str">
        <f>IF('Prod 1'!I818="","",'Prod 1'!I818)</f>
        <v/>
      </c>
      <c r="H818" s="63" t="str">
        <f>IF('Prod 1'!F818="","",'Prod 1'!F818)</f>
        <v/>
      </c>
      <c r="I818" s="75" t="str">
        <f>IF('Prod 3'!F818="","",'Prod 3'!F818)</f>
        <v/>
      </c>
    </row>
    <row r="819" spans="3:9" ht="30" customHeight="1" x14ac:dyDescent="0.25">
      <c r="C819" s="42">
        <v>815</v>
      </c>
      <c r="D819" s="67" t="str">
        <f>IF('Prod 1'!D819="","",'Prod 1'!D819)</f>
        <v/>
      </c>
      <c r="E819" s="73" t="str">
        <f>IF('Prod 1'!E819="","",'Prod 1'!E819)</f>
        <v/>
      </c>
      <c r="F819" s="74" t="str">
        <f>IF('Prod 2'!K819="","",'Prod 2'!K819)</f>
        <v/>
      </c>
      <c r="G819" s="77" t="str">
        <f>IF('Prod 1'!I819="","",'Prod 1'!I819)</f>
        <v/>
      </c>
      <c r="H819" s="63" t="str">
        <f>IF('Prod 1'!F819="","",'Prod 1'!F819)</f>
        <v/>
      </c>
      <c r="I819" s="75" t="str">
        <f>IF('Prod 3'!F819="","",'Prod 3'!F819)</f>
        <v/>
      </c>
    </row>
    <row r="820" spans="3:9" ht="30" customHeight="1" x14ac:dyDescent="0.25">
      <c r="C820" s="42">
        <v>816</v>
      </c>
      <c r="D820" s="67" t="str">
        <f>IF('Prod 1'!D820="","",'Prod 1'!D820)</f>
        <v/>
      </c>
      <c r="E820" s="73" t="str">
        <f>IF('Prod 1'!E820="","",'Prod 1'!E820)</f>
        <v/>
      </c>
      <c r="F820" s="74" t="str">
        <f>IF('Prod 2'!K820="","",'Prod 2'!K820)</f>
        <v/>
      </c>
      <c r="G820" s="77" t="str">
        <f>IF('Prod 1'!I820="","",'Prod 1'!I820)</f>
        <v/>
      </c>
      <c r="H820" s="63" t="str">
        <f>IF('Prod 1'!F820="","",'Prod 1'!F820)</f>
        <v/>
      </c>
      <c r="I820" s="75" t="str">
        <f>IF('Prod 3'!F820="","",'Prod 3'!F820)</f>
        <v/>
      </c>
    </row>
    <row r="821" spans="3:9" ht="30" customHeight="1" x14ac:dyDescent="0.25">
      <c r="C821" s="42">
        <v>817</v>
      </c>
      <c r="D821" s="67" t="str">
        <f>IF('Prod 1'!D821="","",'Prod 1'!D821)</f>
        <v/>
      </c>
      <c r="E821" s="73" t="str">
        <f>IF('Prod 1'!E821="","",'Prod 1'!E821)</f>
        <v/>
      </c>
      <c r="F821" s="74" t="str">
        <f>IF('Prod 2'!K821="","",'Prod 2'!K821)</f>
        <v/>
      </c>
      <c r="G821" s="77" t="str">
        <f>IF('Prod 1'!I821="","",'Prod 1'!I821)</f>
        <v/>
      </c>
      <c r="H821" s="63" t="str">
        <f>IF('Prod 1'!F821="","",'Prod 1'!F821)</f>
        <v/>
      </c>
      <c r="I821" s="75" t="str">
        <f>IF('Prod 3'!F821="","",'Prod 3'!F821)</f>
        <v/>
      </c>
    </row>
    <row r="822" spans="3:9" ht="30" customHeight="1" x14ac:dyDescent="0.25">
      <c r="C822" s="42">
        <v>818</v>
      </c>
      <c r="D822" s="67" t="str">
        <f>IF('Prod 1'!D822="","",'Prod 1'!D822)</f>
        <v/>
      </c>
      <c r="E822" s="73" t="str">
        <f>IF('Prod 1'!E822="","",'Prod 1'!E822)</f>
        <v/>
      </c>
      <c r="F822" s="74" t="str">
        <f>IF('Prod 2'!K822="","",'Prod 2'!K822)</f>
        <v/>
      </c>
      <c r="G822" s="77" t="str">
        <f>IF('Prod 1'!I822="","",'Prod 1'!I822)</f>
        <v/>
      </c>
      <c r="H822" s="63" t="str">
        <f>IF('Prod 1'!F822="","",'Prod 1'!F822)</f>
        <v/>
      </c>
      <c r="I822" s="75" t="str">
        <f>IF('Prod 3'!F822="","",'Prod 3'!F822)</f>
        <v/>
      </c>
    </row>
    <row r="823" spans="3:9" ht="30" customHeight="1" x14ac:dyDescent="0.25">
      <c r="C823" s="42">
        <v>819</v>
      </c>
      <c r="D823" s="67" t="str">
        <f>IF('Prod 1'!D823="","",'Prod 1'!D823)</f>
        <v/>
      </c>
      <c r="E823" s="73" t="str">
        <f>IF('Prod 1'!E823="","",'Prod 1'!E823)</f>
        <v/>
      </c>
      <c r="F823" s="74" t="str">
        <f>IF('Prod 2'!K823="","",'Prod 2'!K823)</f>
        <v/>
      </c>
      <c r="G823" s="77" t="str">
        <f>IF('Prod 1'!I823="","",'Prod 1'!I823)</f>
        <v/>
      </c>
      <c r="H823" s="63" t="str">
        <f>IF('Prod 1'!F823="","",'Prod 1'!F823)</f>
        <v/>
      </c>
      <c r="I823" s="75" t="str">
        <f>IF('Prod 3'!F823="","",'Prod 3'!F823)</f>
        <v/>
      </c>
    </row>
    <row r="824" spans="3:9" ht="30" customHeight="1" x14ac:dyDescent="0.25">
      <c r="C824" s="42">
        <v>820</v>
      </c>
      <c r="D824" s="67" t="str">
        <f>IF('Prod 1'!D824="","",'Prod 1'!D824)</f>
        <v/>
      </c>
      <c r="E824" s="73" t="str">
        <f>IF('Prod 1'!E824="","",'Prod 1'!E824)</f>
        <v/>
      </c>
      <c r="F824" s="74" t="str">
        <f>IF('Prod 2'!K824="","",'Prod 2'!K824)</f>
        <v/>
      </c>
      <c r="G824" s="77" t="str">
        <f>IF('Prod 1'!I824="","",'Prod 1'!I824)</f>
        <v/>
      </c>
      <c r="H824" s="63" t="str">
        <f>IF('Prod 1'!F824="","",'Prod 1'!F824)</f>
        <v/>
      </c>
      <c r="I824" s="75" t="str">
        <f>IF('Prod 3'!F824="","",'Prod 3'!F824)</f>
        <v/>
      </c>
    </row>
    <row r="825" spans="3:9" ht="30" customHeight="1" x14ac:dyDescent="0.25">
      <c r="C825" s="42">
        <v>821</v>
      </c>
      <c r="D825" s="67" t="str">
        <f>IF('Prod 1'!D825="","",'Prod 1'!D825)</f>
        <v/>
      </c>
      <c r="E825" s="73" t="str">
        <f>IF('Prod 1'!E825="","",'Prod 1'!E825)</f>
        <v/>
      </c>
      <c r="F825" s="74" t="str">
        <f>IF('Prod 2'!K825="","",'Prod 2'!K825)</f>
        <v/>
      </c>
      <c r="G825" s="77" t="str">
        <f>IF('Prod 1'!I825="","",'Prod 1'!I825)</f>
        <v/>
      </c>
      <c r="H825" s="63" t="str">
        <f>IF('Prod 1'!F825="","",'Prod 1'!F825)</f>
        <v/>
      </c>
      <c r="I825" s="75" t="str">
        <f>IF('Prod 3'!F825="","",'Prod 3'!F825)</f>
        <v/>
      </c>
    </row>
    <row r="826" spans="3:9" ht="30" customHeight="1" x14ac:dyDescent="0.25">
      <c r="C826" s="42">
        <v>822</v>
      </c>
      <c r="D826" s="67" t="str">
        <f>IF('Prod 1'!D826="","",'Prod 1'!D826)</f>
        <v/>
      </c>
      <c r="E826" s="73" t="str">
        <f>IF('Prod 1'!E826="","",'Prod 1'!E826)</f>
        <v/>
      </c>
      <c r="F826" s="74" t="str">
        <f>IF('Prod 2'!K826="","",'Prod 2'!K826)</f>
        <v/>
      </c>
      <c r="G826" s="77" t="str">
        <f>IF('Prod 1'!I826="","",'Prod 1'!I826)</f>
        <v/>
      </c>
      <c r="H826" s="63" t="str">
        <f>IF('Prod 1'!F826="","",'Prod 1'!F826)</f>
        <v/>
      </c>
      <c r="I826" s="75" t="str">
        <f>IF('Prod 3'!F826="","",'Prod 3'!F826)</f>
        <v/>
      </c>
    </row>
    <row r="827" spans="3:9" ht="30" customHeight="1" x14ac:dyDescent="0.25">
      <c r="C827" s="42">
        <v>823</v>
      </c>
      <c r="D827" s="67" t="str">
        <f>IF('Prod 1'!D827="","",'Prod 1'!D827)</f>
        <v/>
      </c>
      <c r="E827" s="73" t="str">
        <f>IF('Prod 1'!E827="","",'Prod 1'!E827)</f>
        <v/>
      </c>
      <c r="F827" s="74" t="str">
        <f>IF('Prod 2'!K827="","",'Prod 2'!K827)</f>
        <v/>
      </c>
      <c r="G827" s="77" t="str">
        <f>IF('Prod 1'!I827="","",'Prod 1'!I827)</f>
        <v/>
      </c>
      <c r="H827" s="63" t="str">
        <f>IF('Prod 1'!F827="","",'Prod 1'!F827)</f>
        <v/>
      </c>
      <c r="I827" s="75" t="str">
        <f>IF('Prod 3'!F827="","",'Prod 3'!F827)</f>
        <v/>
      </c>
    </row>
    <row r="828" spans="3:9" ht="30" customHeight="1" x14ac:dyDescent="0.25">
      <c r="C828" s="42">
        <v>824</v>
      </c>
      <c r="D828" s="67" t="str">
        <f>IF('Prod 1'!D828="","",'Prod 1'!D828)</f>
        <v/>
      </c>
      <c r="E828" s="73" t="str">
        <f>IF('Prod 1'!E828="","",'Prod 1'!E828)</f>
        <v/>
      </c>
      <c r="F828" s="74" t="str">
        <f>IF('Prod 2'!K828="","",'Prod 2'!K828)</f>
        <v/>
      </c>
      <c r="G828" s="77" t="str">
        <f>IF('Prod 1'!I828="","",'Prod 1'!I828)</f>
        <v/>
      </c>
      <c r="H828" s="63" t="str">
        <f>IF('Prod 1'!F828="","",'Prod 1'!F828)</f>
        <v/>
      </c>
      <c r="I828" s="75" t="str">
        <f>IF('Prod 3'!F828="","",'Prod 3'!F828)</f>
        <v/>
      </c>
    </row>
    <row r="829" spans="3:9" ht="30" customHeight="1" x14ac:dyDescent="0.25">
      <c r="C829" s="42">
        <v>825</v>
      </c>
      <c r="D829" s="67" t="str">
        <f>IF('Prod 1'!D829="","",'Prod 1'!D829)</f>
        <v/>
      </c>
      <c r="E829" s="73" t="str">
        <f>IF('Prod 1'!E829="","",'Prod 1'!E829)</f>
        <v/>
      </c>
      <c r="F829" s="74" t="str">
        <f>IF('Prod 2'!K829="","",'Prod 2'!K829)</f>
        <v/>
      </c>
      <c r="G829" s="77" t="str">
        <f>IF('Prod 1'!I829="","",'Prod 1'!I829)</f>
        <v/>
      </c>
      <c r="H829" s="63" t="str">
        <f>IF('Prod 1'!F829="","",'Prod 1'!F829)</f>
        <v/>
      </c>
      <c r="I829" s="75" t="str">
        <f>IF('Prod 3'!F829="","",'Prod 3'!F829)</f>
        <v/>
      </c>
    </row>
    <row r="830" spans="3:9" ht="30" customHeight="1" x14ac:dyDescent="0.25">
      <c r="C830" s="42">
        <v>826</v>
      </c>
      <c r="D830" s="67" t="str">
        <f>IF('Prod 1'!D830="","",'Prod 1'!D830)</f>
        <v/>
      </c>
      <c r="E830" s="73" t="str">
        <f>IF('Prod 1'!E830="","",'Prod 1'!E830)</f>
        <v/>
      </c>
      <c r="F830" s="74" t="str">
        <f>IF('Prod 2'!K830="","",'Prod 2'!K830)</f>
        <v/>
      </c>
      <c r="G830" s="77" t="str">
        <f>IF('Prod 1'!I830="","",'Prod 1'!I830)</f>
        <v/>
      </c>
      <c r="H830" s="63" t="str">
        <f>IF('Prod 1'!F830="","",'Prod 1'!F830)</f>
        <v/>
      </c>
      <c r="I830" s="75" t="str">
        <f>IF('Prod 3'!F830="","",'Prod 3'!F830)</f>
        <v/>
      </c>
    </row>
    <row r="831" spans="3:9" ht="30" customHeight="1" x14ac:dyDescent="0.25">
      <c r="C831" s="42">
        <v>827</v>
      </c>
      <c r="D831" s="67" t="str">
        <f>IF('Prod 1'!D831="","",'Prod 1'!D831)</f>
        <v/>
      </c>
      <c r="E831" s="73" t="str">
        <f>IF('Prod 1'!E831="","",'Prod 1'!E831)</f>
        <v/>
      </c>
      <c r="F831" s="74" t="str">
        <f>IF('Prod 2'!K831="","",'Prod 2'!K831)</f>
        <v/>
      </c>
      <c r="G831" s="77" t="str">
        <f>IF('Prod 1'!I831="","",'Prod 1'!I831)</f>
        <v/>
      </c>
      <c r="H831" s="63" t="str">
        <f>IF('Prod 1'!F831="","",'Prod 1'!F831)</f>
        <v/>
      </c>
      <c r="I831" s="75" t="str">
        <f>IF('Prod 3'!F831="","",'Prod 3'!F831)</f>
        <v/>
      </c>
    </row>
    <row r="832" spans="3:9" ht="30" customHeight="1" x14ac:dyDescent="0.25">
      <c r="C832" s="42">
        <v>828</v>
      </c>
      <c r="D832" s="67" t="str">
        <f>IF('Prod 1'!D832="","",'Prod 1'!D832)</f>
        <v/>
      </c>
      <c r="E832" s="73" t="str">
        <f>IF('Prod 1'!E832="","",'Prod 1'!E832)</f>
        <v/>
      </c>
      <c r="F832" s="74" t="str">
        <f>IF('Prod 2'!K832="","",'Prod 2'!K832)</f>
        <v/>
      </c>
      <c r="G832" s="77" t="str">
        <f>IF('Prod 1'!I832="","",'Prod 1'!I832)</f>
        <v/>
      </c>
      <c r="H832" s="63" t="str">
        <f>IF('Prod 1'!F832="","",'Prod 1'!F832)</f>
        <v/>
      </c>
      <c r="I832" s="75" t="str">
        <f>IF('Prod 3'!F832="","",'Prod 3'!F832)</f>
        <v/>
      </c>
    </row>
    <row r="833" spans="3:9" ht="30" customHeight="1" x14ac:dyDescent="0.25">
      <c r="C833" s="42">
        <v>829</v>
      </c>
      <c r="D833" s="67" t="str">
        <f>IF('Prod 1'!D833="","",'Prod 1'!D833)</f>
        <v/>
      </c>
      <c r="E833" s="73" t="str">
        <f>IF('Prod 1'!E833="","",'Prod 1'!E833)</f>
        <v/>
      </c>
      <c r="F833" s="74" t="str">
        <f>IF('Prod 2'!K833="","",'Prod 2'!K833)</f>
        <v/>
      </c>
      <c r="G833" s="77" t="str">
        <f>IF('Prod 1'!I833="","",'Prod 1'!I833)</f>
        <v/>
      </c>
      <c r="H833" s="63" t="str">
        <f>IF('Prod 1'!F833="","",'Prod 1'!F833)</f>
        <v/>
      </c>
      <c r="I833" s="75" t="str">
        <f>IF('Prod 3'!F833="","",'Prod 3'!F833)</f>
        <v/>
      </c>
    </row>
    <row r="834" spans="3:9" ht="30" customHeight="1" x14ac:dyDescent="0.25">
      <c r="C834" s="42">
        <v>830</v>
      </c>
      <c r="D834" s="67" t="str">
        <f>IF('Prod 1'!D834="","",'Prod 1'!D834)</f>
        <v/>
      </c>
      <c r="E834" s="73" t="str">
        <f>IF('Prod 1'!E834="","",'Prod 1'!E834)</f>
        <v/>
      </c>
      <c r="F834" s="74" t="str">
        <f>IF('Prod 2'!K834="","",'Prod 2'!K834)</f>
        <v/>
      </c>
      <c r="G834" s="77" t="str">
        <f>IF('Prod 1'!I834="","",'Prod 1'!I834)</f>
        <v/>
      </c>
      <c r="H834" s="63" t="str">
        <f>IF('Prod 1'!F834="","",'Prod 1'!F834)</f>
        <v/>
      </c>
      <c r="I834" s="75" t="str">
        <f>IF('Prod 3'!F834="","",'Prod 3'!F834)</f>
        <v/>
      </c>
    </row>
    <row r="835" spans="3:9" ht="30" customHeight="1" x14ac:dyDescent="0.25">
      <c r="C835" s="42">
        <v>831</v>
      </c>
      <c r="D835" s="67" t="str">
        <f>IF('Prod 1'!D835="","",'Prod 1'!D835)</f>
        <v/>
      </c>
      <c r="E835" s="73" t="str">
        <f>IF('Prod 1'!E835="","",'Prod 1'!E835)</f>
        <v/>
      </c>
      <c r="F835" s="74" t="str">
        <f>IF('Prod 2'!K835="","",'Prod 2'!K835)</f>
        <v/>
      </c>
      <c r="G835" s="77" t="str">
        <f>IF('Prod 1'!I835="","",'Prod 1'!I835)</f>
        <v/>
      </c>
      <c r="H835" s="63" t="str">
        <f>IF('Prod 1'!F835="","",'Prod 1'!F835)</f>
        <v/>
      </c>
      <c r="I835" s="75" t="str">
        <f>IF('Prod 3'!F835="","",'Prod 3'!F835)</f>
        <v/>
      </c>
    </row>
    <row r="836" spans="3:9" ht="30" customHeight="1" x14ac:dyDescent="0.25">
      <c r="C836" s="42">
        <v>832</v>
      </c>
      <c r="D836" s="67" t="str">
        <f>IF('Prod 1'!D836="","",'Prod 1'!D836)</f>
        <v/>
      </c>
      <c r="E836" s="73" t="str">
        <f>IF('Prod 1'!E836="","",'Prod 1'!E836)</f>
        <v/>
      </c>
      <c r="F836" s="74" t="str">
        <f>IF('Prod 2'!K836="","",'Prod 2'!K836)</f>
        <v/>
      </c>
      <c r="G836" s="77" t="str">
        <f>IF('Prod 1'!I836="","",'Prod 1'!I836)</f>
        <v/>
      </c>
      <c r="H836" s="63" t="str">
        <f>IF('Prod 1'!F836="","",'Prod 1'!F836)</f>
        <v/>
      </c>
      <c r="I836" s="75" t="str">
        <f>IF('Prod 3'!F836="","",'Prod 3'!F836)</f>
        <v/>
      </c>
    </row>
    <row r="837" spans="3:9" ht="30" customHeight="1" x14ac:dyDescent="0.25">
      <c r="C837" s="42">
        <v>833</v>
      </c>
      <c r="D837" s="67" t="str">
        <f>IF('Prod 1'!D837="","",'Prod 1'!D837)</f>
        <v/>
      </c>
      <c r="E837" s="73" t="str">
        <f>IF('Prod 1'!E837="","",'Prod 1'!E837)</f>
        <v/>
      </c>
      <c r="F837" s="74" t="str">
        <f>IF('Prod 2'!K837="","",'Prod 2'!K837)</f>
        <v/>
      </c>
      <c r="G837" s="77" t="str">
        <f>IF('Prod 1'!I837="","",'Prod 1'!I837)</f>
        <v/>
      </c>
      <c r="H837" s="63" t="str">
        <f>IF('Prod 1'!F837="","",'Prod 1'!F837)</f>
        <v/>
      </c>
      <c r="I837" s="75" t="str">
        <f>IF('Prod 3'!F837="","",'Prod 3'!F837)</f>
        <v/>
      </c>
    </row>
    <row r="838" spans="3:9" ht="30" customHeight="1" x14ac:dyDescent="0.25">
      <c r="C838" s="42">
        <v>834</v>
      </c>
      <c r="D838" s="67" t="str">
        <f>IF('Prod 1'!D838="","",'Prod 1'!D838)</f>
        <v/>
      </c>
      <c r="E838" s="73" t="str">
        <f>IF('Prod 1'!E838="","",'Prod 1'!E838)</f>
        <v/>
      </c>
      <c r="F838" s="74" t="str">
        <f>IF('Prod 2'!K838="","",'Prod 2'!K838)</f>
        <v/>
      </c>
      <c r="G838" s="77" t="str">
        <f>IF('Prod 1'!I838="","",'Prod 1'!I838)</f>
        <v/>
      </c>
      <c r="H838" s="63" t="str">
        <f>IF('Prod 1'!F838="","",'Prod 1'!F838)</f>
        <v/>
      </c>
      <c r="I838" s="75" t="str">
        <f>IF('Prod 3'!F838="","",'Prod 3'!F838)</f>
        <v/>
      </c>
    </row>
    <row r="839" spans="3:9" ht="30" customHeight="1" x14ac:dyDescent="0.25">
      <c r="C839" s="42">
        <v>835</v>
      </c>
      <c r="D839" s="67" t="str">
        <f>IF('Prod 1'!D839="","",'Prod 1'!D839)</f>
        <v/>
      </c>
      <c r="E839" s="73" t="str">
        <f>IF('Prod 1'!E839="","",'Prod 1'!E839)</f>
        <v/>
      </c>
      <c r="F839" s="74" t="str">
        <f>IF('Prod 2'!K839="","",'Prod 2'!K839)</f>
        <v/>
      </c>
      <c r="G839" s="77" t="str">
        <f>IF('Prod 1'!I839="","",'Prod 1'!I839)</f>
        <v/>
      </c>
      <c r="H839" s="63" t="str">
        <f>IF('Prod 1'!F839="","",'Prod 1'!F839)</f>
        <v/>
      </c>
      <c r="I839" s="75" t="str">
        <f>IF('Prod 3'!F839="","",'Prod 3'!F839)</f>
        <v/>
      </c>
    </row>
    <row r="840" spans="3:9" ht="30" customHeight="1" x14ac:dyDescent="0.25">
      <c r="C840" s="42">
        <v>836</v>
      </c>
      <c r="D840" s="67" t="str">
        <f>IF('Prod 1'!D840="","",'Prod 1'!D840)</f>
        <v/>
      </c>
      <c r="E840" s="73" t="str">
        <f>IF('Prod 1'!E840="","",'Prod 1'!E840)</f>
        <v/>
      </c>
      <c r="F840" s="74" t="str">
        <f>IF('Prod 2'!K840="","",'Prod 2'!K840)</f>
        <v/>
      </c>
      <c r="G840" s="77" t="str">
        <f>IF('Prod 1'!I840="","",'Prod 1'!I840)</f>
        <v/>
      </c>
      <c r="H840" s="63" t="str">
        <f>IF('Prod 1'!F840="","",'Prod 1'!F840)</f>
        <v/>
      </c>
      <c r="I840" s="75" t="str">
        <f>IF('Prod 3'!F840="","",'Prod 3'!F840)</f>
        <v/>
      </c>
    </row>
    <row r="841" spans="3:9" ht="30" customHeight="1" x14ac:dyDescent="0.25">
      <c r="C841" s="42">
        <v>837</v>
      </c>
      <c r="D841" s="67" t="str">
        <f>IF('Prod 1'!D841="","",'Prod 1'!D841)</f>
        <v/>
      </c>
      <c r="E841" s="73" t="str">
        <f>IF('Prod 1'!E841="","",'Prod 1'!E841)</f>
        <v/>
      </c>
      <c r="F841" s="74" t="str">
        <f>IF('Prod 2'!K841="","",'Prod 2'!K841)</f>
        <v/>
      </c>
      <c r="G841" s="77" t="str">
        <f>IF('Prod 1'!I841="","",'Prod 1'!I841)</f>
        <v/>
      </c>
      <c r="H841" s="63" t="str">
        <f>IF('Prod 1'!F841="","",'Prod 1'!F841)</f>
        <v/>
      </c>
      <c r="I841" s="75" t="str">
        <f>IF('Prod 3'!F841="","",'Prod 3'!F841)</f>
        <v/>
      </c>
    </row>
    <row r="842" spans="3:9" ht="30" customHeight="1" x14ac:dyDescent="0.25">
      <c r="C842" s="42">
        <v>838</v>
      </c>
      <c r="D842" s="67" t="str">
        <f>IF('Prod 1'!D842="","",'Prod 1'!D842)</f>
        <v/>
      </c>
      <c r="E842" s="73" t="str">
        <f>IF('Prod 1'!E842="","",'Prod 1'!E842)</f>
        <v/>
      </c>
      <c r="F842" s="74" t="str">
        <f>IF('Prod 2'!K842="","",'Prod 2'!K842)</f>
        <v/>
      </c>
      <c r="G842" s="77" t="str">
        <f>IF('Prod 1'!I842="","",'Prod 1'!I842)</f>
        <v/>
      </c>
      <c r="H842" s="63" t="str">
        <f>IF('Prod 1'!F842="","",'Prod 1'!F842)</f>
        <v/>
      </c>
      <c r="I842" s="75" t="str">
        <f>IF('Prod 3'!F842="","",'Prod 3'!F842)</f>
        <v/>
      </c>
    </row>
    <row r="843" spans="3:9" ht="30" customHeight="1" x14ac:dyDescent="0.25">
      <c r="C843" s="42">
        <v>839</v>
      </c>
      <c r="D843" s="67" t="str">
        <f>IF('Prod 1'!D843="","",'Prod 1'!D843)</f>
        <v/>
      </c>
      <c r="E843" s="73" t="str">
        <f>IF('Prod 1'!E843="","",'Prod 1'!E843)</f>
        <v/>
      </c>
      <c r="F843" s="74" t="str">
        <f>IF('Prod 2'!K843="","",'Prod 2'!K843)</f>
        <v/>
      </c>
      <c r="G843" s="77" t="str">
        <f>IF('Prod 1'!I843="","",'Prod 1'!I843)</f>
        <v/>
      </c>
      <c r="H843" s="63" t="str">
        <f>IF('Prod 1'!F843="","",'Prod 1'!F843)</f>
        <v/>
      </c>
      <c r="I843" s="75" t="str">
        <f>IF('Prod 3'!F843="","",'Prod 3'!F843)</f>
        <v/>
      </c>
    </row>
    <row r="844" spans="3:9" ht="30" customHeight="1" x14ac:dyDescent="0.25">
      <c r="C844" s="42">
        <v>840</v>
      </c>
      <c r="D844" s="67" t="str">
        <f>IF('Prod 1'!D844="","",'Prod 1'!D844)</f>
        <v/>
      </c>
      <c r="E844" s="73" t="str">
        <f>IF('Prod 1'!E844="","",'Prod 1'!E844)</f>
        <v/>
      </c>
      <c r="F844" s="74" t="str">
        <f>IF('Prod 2'!K844="","",'Prod 2'!K844)</f>
        <v/>
      </c>
      <c r="G844" s="77" t="str">
        <f>IF('Prod 1'!I844="","",'Prod 1'!I844)</f>
        <v/>
      </c>
      <c r="H844" s="63" t="str">
        <f>IF('Prod 1'!F844="","",'Prod 1'!F844)</f>
        <v/>
      </c>
      <c r="I844" s="75" t="str">
        <f>IF('Prod 3'!F844="","",'Prod 3'!F844)</f>
        <v/>
      </c>
    </row>
    <row r="845" spans="3:9" ht="30" customHeight="1" x14ac:dyDescent="0.25">
      <c r="C845" s="42">
        <v>841</v>
      </c>
      <c r="D845" s="67" t="str">
        <f>IF('Prod 1'!D845="","",'Prod 1'!D845)</f>
        <v/>
      </c>
      <c r="E845" s="73" t="str">
        <f>IF('Prod 1'!E845="","",'Prod 1'!E845)</f>
        <v/>
      </c>
      <c r="F845" s="74" t="str">
        <f>IF('Prod 2'!K845="","",'Prod 2'!K845)</f>
        <v/>
      </c>
      <c r="G845" s="77" t="str">
        <f>IF('Prod 1'!I845="","",'Prod 1'!I845)</f>
        <v/>
      </c>
      <c r="H845" s="63" t="str">
        <f>IF('Prod 1'!F845="","",'Prod 1'!F845)</f>
        <v/>
      </c>
      <c r="I845" s="75" t="str">
        <f>IF('Prod 3'!F845="","",'Prod 3'!F845)</f>
        <v/>
      </c>
    </row>
    <row r="846" spans="3:9" ht="30" customHeight="1" x14ac:dyDescent="0.25">
      <c r="C846" s="42">
        <v>842</v>
      </c>
      <c r="D846" s="67" t="str">
        <f>IF('Prod 1'!D846="","",'Prod 1'!D846)</f>
        <v/>
      </c>
      <c r="E846" s="73" t="str">
        <f>IF('Prod 1'!E846="","",'Prod 1'!E846)</f>
        <v/>
      </c>
      <c r="F846" s="74" t="str">
        <f>IF('Prod 2'!K846="","",'Prod 2'!K846)</f>
        <v/>
      </c>
      <c r="G846" s="77" t="str">
        <f>IF('Prod 1'!I846="","",'Prod 1'!I846)</f>
        <v/>
      </c>
      <c r="H846" s="63" t="str">
        <f>IF('Prod 1'!F846="","",'Prod 1'!F846)</f>
        <v/>
      </c>
      <c r="I846" s="75" t="str">
        <f>IF('Prod 3'!F846="","",'Prod 3'!F846)</f>
        <v/>
      </c>
    </row>
    <row r="847" spans="3:9" ht="30" customHeight="1" x14ac:dyDescent="0.25">
      <c r="C847" s="42">
        <v>843</v>
      </c>
      <c r="D847" s="67" t="str">
        <f>IF('Prod 1'!D847="","",'Prod 1'!D847)</f>
        <v/>
      </c>
      <c r="E847" s="73" t="str">
        <f>IF('Prod 1'!E847="","",'Prod 1'!E847)</f>
        <v/>
      </c>
      <c r="F847" s="74" t="str">
        <f>IF('Prod 2'!K847="","",'Prod 2'!K847)</f>
        <v/>
      </c>
      <c r="G847" s="77" t="str">
        <f>IF('Prod 1'!I847="","",'Prod 1'!I847)</f>
        <v/>
      </c>
      <c r="H847" s="63" t="str">
        <f>IF('Prod 1'!F847="","",'Prod 1'!F847)</f>
        <v/>
      </c>
      <c r="I847" s="75" t="str">
        <f>IF('Prod 3'!F847="","",'Prod 3'!F847)</f>
        <v/>
      </c>
    </row>
    <row r="848" spans="3:9" ht="30" customHeight="1" x14ac:dyDescent="0.25">
      <c r="C848" s="42">
        <v>844</v>
      </c>
      <c r="D848" s="67" t="str">
        <f>IF('Prod 1'!D848="","",'Prod 1'!D848)</f>
        <v/>
      </c>
      <c r="E848" s="73" t="str">
        <f>IF('Prod 1'!E848="","",'Prod 1'!E848)</f>
        <v/>
      </c>
      <c r="F848" s="74" t="str">
        <f>IF('Prod 2'!K848="","",'Prod 2'!K848)</f>
        <v/>
      </c>
      <c r="G848" s="77" t="str">
        <f>IF('Prod 1'!I848="","",'Prod 1'!I848)</f>
        <v/>
      </c>
      <c r="H848" s="63" t="str">
        <f>IF('Prod 1'!F848="","",'Prod 1'!F848)</f>
        <v/>
      </c>
      <c r="I848" s="75" t="str">
        <f>IF('Prod 3'!F848="","",'Prod 3'!F848)</f>
        <v/>
      </c>
    </row>
    <row r="849" spans="3:9" ht="30" customHeight="1" x14ac:dyDescent="0.25">
      <c r="C849" s="42">
        <v>845</v>
      </c>
      <c r="D849" s="67" t="str">
        <f>IF('Prod 1'!D849="","",'Prod 1'!D849)</f>
        <v/>
      </c>
      <c r="E849" s="73" t="str">
        <f>IF('Prod 1'!E849="","",'Prod 1'!E849)</f>
        <v/>
      </c>
      <c r="F849" s="74" t="str">
        <f>IF('Prod 2'!K849="","",'Prod 2'!K849)</f>
        <v/>
      </c>
      <c r="G849" s="77" t="str">
        <f>IF('Prod 1'!I849="","",'Prod 1'!I849)</f>
        <v/>
      </c>
      <c r="H849" s="63" t="str">
        <f>IF('Prod 1'!F849="","",'Prod 1'!F849)</f>
        <v/>
      </c>
      <c r="I849" s="75" t="str">
        <f>IF('Prod 3'!F849="","",'Prod 3'!F849)</f>
        <v/>
      </c>
    </row>
    <row r="850" spans="3:9" ht="30" customHeight="1" x14ac:dyDescent="0.25">
      <c r="C850" s="42">
        <v>846</v>
      </c>
      <c r="D850" s="67" t="str">
        <f>IF('Prod 1'!D850="","",'Prod 1'!D850)</f>
        <v/>
      </c>
      <c r="E850" s="73" t="str">
        <f>IF('Prod 1'!E850="","",'Prod 1'!E850)</f>
        <v/>
      </c>
      <c r="F850" s="74" t="str">
        <f>IF('Prod 2'!K850="","",'Prod 2'!K850)</f>
        <v/>
      </c>
      <c r="G850" s="77" t="str">
        <f>IF('Prod 1'!I850="","",'Prod 1'!I850)</f>
        <v/>
      </c>
      <c r="H850" s="63" t="str">
        <f>IF('Prod 1'!F850="","",'Prod 1'!F850)</f>
        <v/>
      </c>
      <c r="I850" s="75" t="str">
        <f>IF('Prod 3'!F850="","",'Prod 3'!F850)</f>
        <v/>
      </c>
    </row>
    <row r="851" spans="3:9" ht="30" customHeight="1" x14ac:dyDescent="0.25">
      <c r="C851" s="42">
        <v>847</v>
      </c>
      <c r="D851" s="67" t="str">
        <f>IF('Prod 1'!D851="","",'Prod 1'!D851)</f>
        <v/>
      </c>
      <c r="E851" s="73" t="str">
        <f>IF('Prod 1'!E851="","",'Prod 1'!E851)</f>
        <v/>
      </c>
      <c r="F851" s="74" t="str">
        <f>IF('Prod 2'!K851="","",'Prod 2'!K851)</f>
        <v/>
      </c>
      <c r="G851" s="77" t="str">
        <f>IF('Prod 1'!I851="","",'Prod 1'!I851)</f>
        <v/>
      </c>
      <c r="H851" s="63" t="str">
        <f>IF('Prod 1'!F851="","",'Prod 1'!F851)</f>
        <v/>
      </c>
      <c r="I851" s="75" t="str">
        <f>IF('Prod 3'!F851="","",'Prod 3'!F851)</f>
        <v/>
      </c>
    </row>
    <row r="852" spans="3:9" ht="30" customHeight="1" x14ac:dyDescent="0.25">
      <c r="C852" s="42">
        <v>848</v>
      </c>
      <c r="D852" s="67" t="str">
        <f>IF('Prod 1'!D852="","",'Prod 1'!D852)</f>
        <v/>
      </c>
      <c r="E852" s="73" t="str">
        <f>IF('Prod 1'!E852="","",'Prod 1'!E852)</f>
        <v/>
      </c>
      <c r="F852" s="74" t="str">
        <f>IF('Prod 2'!K852="","",'Prod 2'!K852)</f>
        <v/>
      </c>
      <c r="G852" s="77" t="str">
        <f>IF('Prod 1'!I852="","",'Prod 1'!I852)</f>
        <v/>
      </c>
      <c r="H852" s="63" t="str">
        <f>IF('Prod 1'!F852="","",'Prod 1'!F852)</f>
        <v/>
      </c>
      <c r="I852" s="75" t="str">
        <f>IF('Prod 3'!F852="","",'Prod 3'!F852)</f>
        <v/>
      </c>
    </row>
    <row r="853" spans="3:9" ht="30" customHeight="1" x14ac:dyDescent="0.25">
      <c r="C853" s="42">
        <v>849</v>
      </c>
      <c r="D853" s="67" t="str">
        <f>IF('Prod 1'!D853="","",'Prod 1'!D853)</f>
        <v/>
      </c>
      <c r="E853" s="73" t="str">
        <f>IF('Prod 1'!E853="","",'Prod 1'!E853)</f>
        <v/>
      </c>
      <c r="F853" s="74" t="str">
        <f>IF('Prod 2'!K853="","",'Prod 2'!K853)</f>
        <v/>
      </c>
      <c r="G853" s="77" t="str">
        <f>IF('Prod 1'!I853="","",'Prod 1'!I853)</f>
        <v/>
      </c>
      <c r="H853" s="63" t="str">
        <f>IF('Prod 1'!F853="","",'Prod 1'!F853)</f>
        <v/>
      </c>
      <c r="I853" s="75" t="str">
        <f>IF('Prod 3'!F853="","",'Prod 3'!F853)</f>
        <v/>
      </c>
    </row>
    <row r="854" spans="3:9" ht="30" customHeight="1" x14ac:dyDescent="0.25">
      <c r="C854" s="42">
        <v>850</v>
      </c>
      <c r="D854" s="67" t="str">
        <f>IF('Prod 1'!D854="","",'Prod 1'!D854)</f>
        <v/>
      </c>
      <c r="E854" s="73" t="str">
        <f>IF('Prod 1'!E854="","",'Prod 1'!E854)</f>
        <v/>
      </c>
      <c r="F854" s="74" t="str">
        <f>IF('Prod 2'!K854="","",'Prod 2'!K854)</f>
        <v/>
      </c>
      <c r="G854" s="77" t="str">
        <f>IF('Prod 1'!I854="","",'Prod 1'!I854)</f>
        <v/>
      </c>
      <c r="H854" s="63" t="str">
        <f>IF('Prod 1'!F854="","",'Prod 1'!F854)</f>
        <v/>
      </c>
      <c r="I854" s="75" t="str">
        <f>IF('Prod 3'!F854="","",'Prod 3'!F854)</f>
        <v/>
      </c>
    </row>
    <row r="855" spans="3:9" ht="30" customHeight="1" x14ac:dyDescent="0.25">
      <c r="C855" s="42">
        <v>851</v>
      </c>
      <c r="D855" s="67" t="str">
        <f>IF('Prod 1'!D855="","",'Prod 1'!D855)</f>
        <v/>
      </c>
      <c r="E855" s="73" t="str">
        <f>IF('Prod 1'!E855="","",'Prod 1'!E855)</f>
        <v/>
      </c>
      <c r="F855" s="74" t="str">
        <f>IF('Prod 2'!K855="","",'Prod 2'!K855)</f>
        <v/>
      </c>
      <c r="G855" s="77" t="str">
        <f>IF('Prod 1'!I855="","",'Prod 1'!I855)</f>
        <v/>
      </c>
      <c r="H855" s="63" t="str">
        <f>IF('Prod 1'!F855="","",'Prod 1'!F855)</f>
        <v/>
      </c>
      <c r="I855" s="75" t="str">
        <f>IF('Prod 3'!F855="","",'Prod 3'!F855)</f>
        <v/>
      </c>
    </row>
    <row r="856" spans="3:9" ht="30" customHeight="1" x14ac:dyDescent="0.25">
      <c r="C856" s="42">
        <v>852</v>
      </c>
      <c r="D856" s="67" t="str">
        <f>IF('Prod 1'!D856="","",'Prod 1'!D856)</f>
        <v/>
      </c>
      <c r="E856" s="73" t="str">
        <f>IF('Prod 1'!E856="","",'Prod 1'!E856)</f>
        <v/>
      </c>
      <c r="F856" s="74" t="str">
        <f>IF('Prod 2'!K856="","",'Prod 2'!K856)</f>
        <v/>
      </c>
      <c r="G856" s="77" t="str">
        <f>IF('Prod 1'!I856="","",'Prod 1'!I856)</f>
        <v/>
      </c>
      <c r="H856" s="63" t="str">
        <f>IF('Prod 1'!F856="","",'Prod 1'!F856)</f>
        <v/>
      </c>
      <c r="I856" s="75" t="str">
        <f>IF('Prod 3'!F856="","",'Prod 3'!F856)</f>
        <v/>
      </c>
    </row>
    <row r="857" spans="3:9" ht="30" customHeight="1" x14ac:dyDescent="0.25">
      <c r="C857" s="42">
        <v>853</v>
      </c>
      <c r="D857" s="67" t="str">
        <f>IF('Prod 1'!D857="","",'Prod 1'!D857)</f>
        <v/>
      </c>
      <c r="E857" s="73" t="str">
        <f>IF('Prod 1'!E857="","",'Prod 1'!E857)</f>
        <v/>
      </c>
      <c r="F857" s="74" t="str">
        <f>IF('Prod 2'!K857="","",'Prod 2'!K857)</f>
        <v/>
      </c>
      <c r="G857" s="77" t="str">
        <f>IF('Prod 1'!I857="","",'Prod 1'!I857)</f>
        <v/>
      </c>
      <c r="H857" s="63" t="str">
        <f>IF('Prod 1'!F857="","",'Prod 1'!F857)</f>
        <v/>
      </c>
      <c r="I857" s="75" t="str">
        <f>IF('Prod 3'!F857="","",'Prod 3'!F857)</f>
        <v/>
      </c>
    </row>
    <row r="858" spans="3:9" ht="30" customHeight="1" x14ac:dyDescent="0.25">
      <c r="C858" s="42">
        <v>854</v>
      </c>
      <c r="D858" s="67" t="str">
        <f>IF('Prod 1'!D858="","",'Prod 1'!D858)</f>
        <v/>
      </c>
      <c r="E858" s="73" t="str">
        <f>IF('Prod 1'!E858="","",'Prod 1'!E858)</f>
        <v/>
      </c>
      <c r="F858" s="74" t="str">
        <f>IF('Prod 2'!K858="","",'Prod 2'!K858)</f>
        <v/>
      </c>
      <c r="G858" s="77" t="str">
        <f>IF('Prod 1'!I858="","",'Prod 1'!I858)</f>
        <v/>
      </c>
      <c r="H858" s="63" t="str">
        <f>IF('Prod 1'!F858="","",'Prod 1'!F858)</f>
        <v/>
      </c>
      <c r="I858" s="75" t="str">
        <f>IF('Prod 3'!F858="","",'Prod 3'!F858)</f>
        <v/>
      </c>
    </row>
    <row r="859" spans="3:9" ht="30" customHeight="1" x14ac:dyDescent="0.25">
      <c r="C859" s="42">
        <v>855</v>
      </c>
      <c r="D859" s="67" t="str">
        <f>IF('Prod 1'!D859="","",'Prod 1'!D859)</f>
        <v/>
      </c>
      <c r="E859" s="73" t="str">
        <f>IF('Prod 1'!E859="","",'Prod 1'!E859)</f>
        <v/>
      </c>
      <c r="F859" s="74" t="str">
        <f>IF('Prod 2'!K859="","",'Prod 2'!K859)</f>
        <v/>
      </c>
      <c r="G859" s="77" t="str">
        <f>IF('Prod 1'!I859="","",'Prod 1'!I859)</f>
        <v/>
      </c>
      <c r="H859" s="63" t="str">
        <f>IF('Prod 1'!F859="","",'Prod 1'!F859)</f>
        <v/>
      </c>
      <c r="I859" s="75" t="str">
        <f>IF('Prod 3'!F859="","",'Prod 3'!F859)</f>
        <v/>
      </c>
    </row>
    <row r="860" spans="3:9" ht="30" customHeight="1" x14ac:dyDescent="0.25">
      <c r="C860" s="42">
        <v>856</v>
      </c>
      <c r="D860" s="67" t="str">
        <f>IF('Prod 1'!D860="","",'Prod 1'!D860)</f>
        <v/>
      </c>
      <c r="E860" s="73" t="str">
        <f>IF('Prod 1'!E860="","",'Prod 1'!E860)</f>
        <v/>
      </c>
      <c r="F860" s="74" t="str">
        <f>IF('Prod 2'!K860="","",'Prod 2'!K860)</f>
        <v/>
      </c>
      <c r="G860" s="77" t="str">
        <f>IF('Prod 1'!I860="","",'Prod 1'!I860)</f>
        <v/>
      </c>
      <c r="H860" s="63" t="str">
        <f>IF('Prod 1'!F860="","",'Prod 1'!F860)</f>
        <v/>
      </c>
      <c r="I860" s="75" t="str">
        <f>IF('Prod 3'!F860="","",'Prod 3'!F860)</f>
        <v/>
      </c>
    </row>
    <row r="861" spans="3:9" ht="30" customHeight="1" x14ac:dyDescent="0.25">
      <c r="C861" s="42">
        <v>857</v>
      </c>
      <c r="D861" s="67" t="str">
        <f>IF('Prod 1'!D861="","",'Prod 1'!D861)</f>
        <v/>
      </c>
      <c r="E861" s="73" t="str">
        <f>IF('Prod 1'!E861="","",'Prod 1'!E861)</f>
        <v/>
      </c>
      <c r="F861" s="74" t="str">
        <f>IF('Prod 2'!K861="","",'Prod 2'!K861)</f>
        <v/>
      </c>
      <c r="G861" s="77" t="str">
        <f>IF('Prod 1'!I861="","",'Prod 1'!I861)</f>
        <v/>
      </c>
      <c r="H861" s="63" t="str">
        <f>IF('Prod 1'!F861="","",'Prod 1'!F861)</f>
        <v/>
      </c>
      <c r="I861" s="75" t="str">
        <f>IF('Prod 3'!F861="","",'Prod 3'!F861)</f>
        <v/>
      </c>
    </row>
    <row r="862" spans="3:9" ht="30" customHeight="1" x14ac:dyDescent="0.25">
      <c r="C862" s="42">
        <v>858</v>
      </c>
      <c r="D862" s="67" t="str">
        <f>IF('Prod 1'!D862="","",'Prod 1'!D862)</f>
        <v/>
      </c>
      <c r="E862" s="73" t="str">
        <f>IF('Prod 1'!E862="","",'Prod 1'!E862)</f>
        <v/>
      </c>
      <c r="F862" s="74" t="str">
        <f>IF('Prod 2'!K862="","",'Prod 2'!K862)</f>
        <v/>
      </c>
      <c r="G862" s="77" t="str">
        <f>IF('Prod 1'!I862="","",'Prod 1'!I862)</f>
        <v/>
      </c>
      <c r="H862" s="63" t="str">
        <f>IF('Prod 1'!F862="","",'Prod 1'!F862)</f>
        <v/>
      </c>
      <c r="I862" s="75" t="str">
        <f>IF('Prod 3'!F862="","",'Prod 3'!F862)</f>
        <v/>
      </c>
    </row>
    <row r="863" spans="3:9" ht="30" customHeight="1" x14ac:dyDescent="0.25">
      <c r="C863" s="42">
        <v>859</v>
      </c>
      <c r="D863" s="67" t="str">
        <f>IF('Prod 1'!D863="","",'Prod 1'!D863)</f>
        <v/>
      </c>
      <c r="E863" s="73" t="str">
        <f>IF('Prod 1'!E863="","",'Prod 1'!E863)</f>
        <v/>
      </c>
      <c r="F863" s="74" t="str">
        <f>IF('Prod 2'!K863="","",'Prod 2'!K863)</f>
        <v/>
      </c>
      <c r="G863" s="77" t="str">
        <f>IF('Prod 1'!I863="","",'Prod 1'!I863)</f>
        <v/>
      </c>
      <c r="H863" s="63" t="str">
        <f>IF('Prod 1'!F863="","",'Prod 1'!F863)</f>
        <v/>
      </c>
      <c r="I863" s="75" t="str">
        <f>IF('Prod 3'!F863="","",'Prod 3'!F863)</f>
        <v/>
      </c>
    </row>
    <row r="864" spans="3:9" ht="30" customHeight="1" x14ac:dyDescent="0.25">
      <c r="C864" s="42">
        <v>860</v>
      </c>
      <c r="D864" s="67" t="str">
        <f>IF('Prod 1'!D864="","",'Prod 1'!D864)</f>
        <v/>
      </c>
      <c r="E864" s="73" t="str">
        <f>IF('Prod 1'!E864="","",'Prod 1'!E864)</f>
        <v/>
      </c>
      <c r="F864" s="74" t="str">
        <f>IF('Prod 2'!K864="","",'Prod 2'!K864)</f>
        <v/>
      </c>
      <c r="G864" s="77" t="str">
        <f>IF('Prod 1'!I864="","",'Prod 1'!I864)</f>
        <v/>
      </c>
      <c r="H864" s="63" t="str">
        <f>IF('Prod 1'!F864="","",'Prod 1'!F864)</f>
        <v/>
      </c>
      <c r="I864" s="75" t="str">
        <f>IF('Prod 3'!F864="","",'Prod 3'!F864)</f>
        <v/>
      </c>
    </row>
    <row r="865" spans="3:9" ht="30" customHeight="1" x14ac:dyDescent="0.25">
      <c r="C865" s="42">
        <v>861</v>
      </c>
      <c r="D865" s="67" t="str">
        <f>IF('Prod 1'!D865="","",'Prod 1'!D865)</f>
        <v/>
      </c>
      <c r="E865" s="73" t="str">
        <f>IF('Prod 1'!E865="","",'Prod 1'!E865)</f>
        <v/>
      </c>
      <c r="F865" s="74" t="str">
        <f>IF('Prod 2'!K865="","",'Prod 2'!K865)</f>
        <v/>
      </c>
      <c r="G865" s="77" t="str">
        <f>IF('Prod 1'!I865="","",'Prod 1'!I865)</f>
        <v/>
      </c>
      <c r="H865" s="63" t="str">
        <f>IF('Prod 1'!F865="","",'Prod 1'!F865)</f>
        <v/>
      </c>
      <c r="I865" s="75" t="str">
        <f>IF('Prod 3'!F865="","",'Prod 3'!F865)</f>
        <v/>
      </c>
    </row>
    <row r="866" spans="3:9" ht="30" customHeight="1" x14ac:dyDescent="0.25">
      <c r="C866" s="42">
        <v>862</v>
      </c>
      <c r="D866" s="67" t="str">
        <f>IF('Prod 1'!D866="","",'Prod 1'!D866)</f>
        <v/>
      </c>
      <c r="E866" s="73" t="str">
        <f>IF('Prod 1'!E866="","",'Prod 1'!E866)</f>
        <v/>
      </c>
      <c r="F866" s="74" t="str">
        <f>IF('Prod 2'!K866="","",'Prod 2'!K866)</f>
        <v/>
      </c>
      <c r="G866" s="77" t="str">
        <f>IF('Prod 1'!I866="","",'Prod 1'!I866)</f>
        <v/>
      </c>
      <c r="H866" s="63" t="str">
        <f>IF('Prod 1'!F866="","",'Prod 1'!F866)</f>
        <v/>
      </c>
      <c r="I866" s="75" t="str">
        <f>IF('Prod 3'!F866="","",'Prod 3'!F866)</f>
        <v/>
      </c>
    </row>
    <row r="867" spans="3:9" ht="30" customHeight="1" x14ac:dyDescent="0.25">
      <c r="C867" s="42">
        <v>863</v>
      </c>
      <c r="D867" s="67" t="str">
        <f>IF('Prod 1'!D867="","",'Prod 1'!D867)</f>
        <v/>
      </c>
      <c r="E867" s="73" t="str">
        <f>IF('Prod 1'!E867="","",'Prod 1'!E867)</f>
        <v/>
      </c>
      <c r="F867" s="74" t="str">
        <f>IF('Prod 2'!K867="","",'Prod 2'!K867)</f>
        <v/>
      </c>
      <c r="G867" s="77" t="str">
        <f>IF('Prod 1'!I867="","",'Prod 1'!I867)</f>
        <v/>
      </c>
      <c r="H867" s="63" t="str">
        <f>IF('Prod 1'!F867="","",'Prod 1'!F867)</f>
        <v/>
      </c>
      <c r="I867" s="75" t="str">
        <f>IF('Prod 3'!F867="","",'Prod 3'!F867)</f>
        <v/>
      </c>
    </row>
    <row r="868" spans="3:9" ht="30" customHeight="1" x14ac:dyDescent="0.25">
      <c r="C868" s="42">
        <v>864</v>
      </c>
      <c r="D868" s="67" t="str">
        <f>IF('Prod 1'!D868="","",'Prod 1'!D868)</f>
        <v/>
      </c>
      <c r="E868" s="73" t="str">
        <f>IF('Prod 1'!E868="","",'Prod 1'!E868)</f>
        <v/>
      </c>
      <c r="F868" s="74" t="str">
        <f>IF('Prod 2'!K868="","",'Prod 2'!K868)</f>
        <v/>
      </c>
      <c r="G868" s="77" t="str">
        <f>IF('Prod 1'!I868="","",'Prod 1'!I868)</f>
        <v/>
      </c>
      <c r="H868" s="63" t="str">
        <f>IF('Prod 1'!F868="","",'Prod 1'!F868)</f>
        <v/>
      </c>
      <c r="I868" s="75" t="str">
        <f>IF('Prod 3'!F868="","",'Prod 3'!F868)</f>
        <v/>
      </c>
    </row>
    <row r="869" spans="3:9" ht="30" customHeight="1" x14ac:dyDescent="0.25">
      <c r="C869" s="42">
        <v>865</v>
      </c>
      <c r="D869" s="67" t="str">
        <f>IF('Prod 1'!D869="","",'Prod 1'!D869)</f>
        <v/>
      </c>
      <c r="E869" s="73" t="str">
        <f>IF('Prod 1'!E869="","",'Prod 1'!E869)</f>
        <v/>
      </c>
      <c r="F869" s="74" t="str">
        <f>IF('Prod 2'!K869="","",'Prod 2'!K869)</f>
        <v/>
      </c>
      <c r="G869" s="77" t="str">
        <f>IF('Prod 1'!I869="","",'Prod 1'!I869)</f>
        <v/>
      </c>
      <c r="H869" s="63" t="str">
        <f>IF('Prod 1'!F869="","",'Prod 1'!F869)</f>
        <v/>
      </c>
      <c r="I869" s="75" t="str">
        <f>IF('Prod 3'!F869="","",'Prod 3'!F869)</f>
        <v/>
      </c>
    </row>
    <row r="870" spans="3:9" ht="30" customHeight="1" x14ac:dyDescent="0.25">
      <c r="C870" s="42">
        <v>866</v>
      </c>
      <c r="D870" s="67" t="str">
        <f>IF('Prod 1'!D870="","",'Prod 1'!D870)</f>
        <v/>
      </c>
      <c r="E870" s="73" t="str">
        <f>IF('Prod 1'!E870="","",'Prod 1'!E870)</f>
        <v/>
      </c>
      <c r="F870" s="74" t="str">
        <f>IF('Prod 2'!K870="","",'Prod 2'!K870)</f>
        <v/>
      </c>
      <c r="G870" s="77" t="str">
        <f>IF('Prod 1'!I870="","",'Prod 1'!I870)</f>
        <v/>
      </c>
      <c r="H870" s="63" t="str">
        <f>IF('Prod 1'!F870="","",'Prod 1'!F870)</f>
        <v/>
      </c>
      <c r="I870" s="75" t="str">
        <f>IF('Prod 3'!F870="","",'Prod 3'!F870)</f>
        <v/>
      </c>
    </row>
    <row r="871" spans="3:9" ht="30" customHeight="1" x14ac:dyDescent="0.25">
      <c r="C871" s="42">
        <v>867</v>
      </c>
      <c r="D871" s="67" t="str">
        <f>IF('Prod 1'!D871="","",'Prod 1'!D871)</f>
        <v/>
      </c>
      <c r="E871" s="73" t="str">
        <f>IF('Prod 1'!E871="","",'Prod 1'!E871)</f>
        <v/>
      </c>
      <c r="F871" s="74" t="str">
        <f>IF('Prod 2'!K871="","",'Prod 2'!K871)</f>
        <v/>
      </c>
      <c r="G871" s="77" t="str">
        <f>IF('Prod 1'!I871="","",'Prod 1'!I871)</f>
        <v/>
      </c>
      <c r="H871" s="63" t="str">
        <f>IF('Prod 1'!F871="","",'Prod 1'!F871)</f>
        <v/>
      </c>
      <c r="I871" s="75" t="str">
        <f>IF('Prod 3'!F871="","",'Prod 3'!F871)</f>
        <v/>
      </c>
    </row>
    <row r="872" spans="3:9" ht="30" customHeight="1" x14ac:dyDescent="0.25">
      <c r="C872" s="42">
        <v>868</v>
      </c>
      <c r="D872" s="67" t="str">
        <f>IF('Prod 1'!D872="","",'Prod 1'!D872)</f>
        <v/>
      </c>
      <c r="E872" s="73" t="str">
        <f>IF('Prod 1'!E872="","",'Prod 1'!E872)</f>
        <v/>
      </c>
      <c r="F872" s="74" t="str">
        <f>IF('Prod 2'!K872="","",'Prod 2'!K872)</f>
        <v/>
      </c>
      <c r="G872" s="77" t="str">
        <f>IF('Prod 1'!I872="","",'Prod 1'!I872)</f>
        <v/>
      </c>
      <c r="H872" s="63" t="str">
        <f>IF('Prod 1'!F872="","",'Prod 1'!F872)</f>
        <v/>
      </c>
      <c r="I872" s="75" t="str">
        <f>IF('Prod 3'!F872="","",'Prod 3'!F872)</f>
        <v/>
      </c>
    </row>
    <row r="873" spans="3:9" ht="30" customHeight="1" x14ac:dyDescent="0.25">
      <c r="C873" s="42">
        <v>869</v>
      </c>
      <c r="D873" s="67" t="str">
        <f>IF('Prod 1'!D873="","",'Prod 1'!D873)</f>
        <v/>
      </c>
      <c r="E873" s="73" t="str">
        <f>IF('Prod 1'!E873="","",'Prod 1'!E873)</f>
        <v/>
      </c>
      <c r="F873" s="74" t="str">
        <f>IF('Prod 2'!K873="","",'Prod 2'!K873)</f>
        <v/>
      </c>
      <c r="G873" s="77" t="str">
        <f>IF('Prod 1'!I873="","",'Prod 1'!I873)</f>
        <v/>
      </c>
      <c r="H873" s="63" t="str">
        <f>IF('Prod 1'!F873="","",'Prod 1'!F873)</f>
        <v/>
      </c>
      <c r="I873" s="75" t="str">
        <f>IF('Prod 3'!F873="","",'Prod 3'!F873)</f>
        <v/>
      </c>
    </row>
    <row r="874" spans="3:9" ht="30" customHeight="1" x14ac:dyDescent="0.25">
      <c r="C874" s="42">
        <v>870</v>
      </c>
      <c r="D874" s="67" t="str">
        <f>IF('Prod 1'!D874="","",'Prod 1'!D874)</f>
        <v/>
      </c>
      <c r="E874" s="73" t="str">
        <f>IF('Prod 1'!E874="","",'Prod 1'!E874)</f>
        <v/>
      </c>
      <c r="F874" s="74" t="str">
        <f>IF('Prod 2'!K874="","",'Prod 2'!K874)</f>
        <v/>
      </c>
      <c r="G874" s="77" t="str">
        <f>IF('Prod 1'!I874="","",'Prod 1'!I874)</f>
        <v/>
      </c>
      <c r="H874" s="63" t="str">
        <f>IF('Prod 1'!F874="","",'Prod 1'!F874)</f>
        <v/>
      </c>
      <c r="I874" s="75" t="str">
        <f>IF('Prod 3'!F874="","",'Prod 3'!F874)</f>
        <v/>
      </c>
    </row>
    <row r="875" spans="3:9" ht="30" customHeight="1" x14ac:dyDescent="0.25">
      <c r="C875" s="42">
        <v>871</v>
      </c>
      <c r="D875" s="67" t="str">
        <f>IF('Prod 1'!D875="","",'Prod 1'!D875)</f>
        <v/>
      </c>
      <c r="E875" s="73" t="str">
        <f>IF('Prod 1'!E875="","",'Prod 1'!E875)</f>
        <v/>
      </c>
      <c r="F875" s="74" t="str">
        <f>IF('Prod 2'!K875="","",'Prod 2'!K875)</f>
        <v/>
      </c>
      <c r="G875" s="77" t="str">
        <f>IF('Prod 1'!I875="","",'Prod 1'!I875)</f>
        <v/>
      </c>
      <c r="H875" s="63" t="str">
        <f>IF('Prod 1'!F875="","",'Prod 1'!F875)</f>
        <v/>
      </c>
      <c r="I875" s="75" t="str">
        <f>IF('Prod 3'!F875="","",'Prod 3'!F875)</f>
        <v/>
      </c>
    </row>
    <row r="876" spans="3:9" ht="30" customHeight="1" x14ac:dyDescent="0.25">
      <c r="C876" s="42">
        <v>872</v>
      </c>
      <c r="D876" s="67" t="str">
        <f>IF('Prod 1'!D876="","",'Prod 1'!D876)</f>
        <v/>
      </c>
      <c r="E876" s="73" t="str">
        <f>IF('Prod 1'!E876="","",'Prod 1'!E876)</f>
        <v/>
      </c>
      <c r="F876" s="74" t="str">
        <f>IF('Prod 2'!K876="","",'Prod 2'!K876)</f>
        <v/>
      </c>
      <c r="G876" s="77" t="str">
        <f>IF('Prod 1'!I876="","",'Prod 1'!I876)</f>
        <v/>
      </c>
      <c r="H876" s="63" t="str">
        <f>IF('Prod 1'!F876="","",'Prod 1'!F876)</f>
        <v/>
      </c>
      <c r="I876" s="75" t="str">
        <f>IF('Prod 3'!F876="","",'Prod 3'!F876)</f>
        <v/>
      </c>
    </row>
    <row r="877" spans="3:9" ht="30" customHeight="1" x14ac:dyDescent="0.25">
      <c r="C877" s="42">
        <v>873</v>
      </c>
      <c r="D877" s="67" t="str">
        <f>IF('Prod 1'!D877="","",'Prod 1'!D877)</f>
        <v/>
      </c>
      <c r="E877" s="73" t="str">
        <f>IF('Prod 1'!E877="","",'Prod 1'!E877)</f>
        <v/>
      </c>
      <c r="F877" s="74" t="str">
        <f>IF('Prod 2'!K877="","",'Prod 2'!K877)</f>
        <v/>
      </c>
      <c r="G877" s="77" t="str">
        <f>IF('Prod 1'!I877="","",'Prod 1'!I877)</f>
        <v/>
      </c>
      <c r="H877" s="63" t="str">
        <f>IF('Prod 1'!F877="","",'Prod 1'!F877)</f>
        <v/>
      </c>
      <c r="I877" s="75" t="str">
        <f>IF('Prod 3'!F877="","",'Prod 3'!F877)</f>
        <v/>
      </c>
    </row>
    <row r="878" spans="3:9" ht="30" customHeight="1" x14ac:dyDescent="0.25">
      <c r="C878" s="42">
        <v>874</v>
      </c>
      <c r="D878" s="67" t="str">
        <f>IF('Prod 1'!D878="","",'Prod 1'!D878)</f>
        <v/>
      </c>
      <c r="E878" s="73" t="str">
        <f>IF('Prod 1'!E878="","",'Prod 1'!E878)</f>
        <v/>
      </c>
      <c r="F878" s="74" t="str">
        <f>IF('Prod 2'!K878="","",'Prod 2'!K878)</f>
        <v/>
      </c>
      <c r="G878" s="77" t="str">
        <f>IF('Prod 1'!I878="","",'Prod 1'!I878)</f>
        <v/>
      </c>
      <c r="H878" s="63" t="str">
        <f>IF('Prod 1'!F878="","",'Prod 1'!F878)</f>
        <v/>
      </c>
      <c r="I878" s="75" t="str">
        <f>IF('Prod 3'!F878="","",'Prod 3'!F878)</f>
        <v/>
      </c>
    </row>
    <row r="879" spans="3:9" ht="30" customHeight="1" x14ac:dyDescent="0.25">
      <c r="C879" s="42">
        <v>875</v>
      </c>
      <c r="D879" s="67" t="str">
        <f>IF('Prod 1'!D879="","",'Prod 1'!D879)</f>
        <v/>
      </c>
      <c r="E879" s="73" t="str">
        <f>IF('Prod 1'!E879="","",'Prod 1'!E879)</f>
        <v/>
      </c>
      <c r="F879" s="74" t="str">
        <f>IF('Prod 2'!K879="","",'Prod 2'!K879)</f>
        <v/>
      </c>
      <c r="G879" s="77" t="str">
        <f>IF('Prod 1'!I879="","",'Prod 1'!I879)</f>
        <v/>
      </c>
      <c r="H879" s="63" t="str">
        <f>IF('Prod 1'!F879="","",'Prod 1'!F879)</f>
        <v/>
      </c>
      <c r="I879" s="75" t="str">
        <f>IF('Prod 3'!F879="","",'Prod 3'!F879)</f>
        <v/>
      </c>
    </row>
    <row r="880" spans="3:9" ht="30" customHeight="1" x14ac:dyDescent="0.25">
      <c r="C880" s="42">
        <v>876</v>
      </c>
      <c r="D880" s="67" t="str">
        <f>IF('Prod 1'!D880="","",'Prod 1'!D880)</f>
        <v/>
      </c>
      <c r="E880" s="73" t="str">
        <f>IF('Prod 1'!E880="","",'Prod 1'!E880)</f>
        <v/>
      </c>
      <c r="F880" s="74" t="str">
        <f>IF('Prod 2'!K880="","",'Prod 2'!K880)</f>
        <v/>
      </c>
      <c r="G880" s="77" t="str">
        <f>IF('Prod 1'!I880="","",'Prod 1'!I880)</f>
        <v/>
      </c>
      <c r="H880" s="63" t="str">
        <f>IF('Prod 1'!F880="","",'Prod 1'!F880)</f>
        <v/>
      </c>
      <c r="I880" s="75" t="str">
        <f>IF('Prod 3'!F880="","",'Prod 3'!F880)</f>
        <v/>
      </c>
    </row>
    <row r="881" spans="3:9" ht="30" customHeight="1" x14ac:dyDescent="0.25">
      <c r="C881" s="42">
        <v>877</v>
      </c>
      <c r="D881" s="67" t="str">
        <f>IF('Prod 1'!D881="","",'Prod 1'!D881)</f>
        <v/>
      </c>
      <c r="E881" s="73" t="str">
        <f>IF('Prod 1'!E881="","",'Prod 1'!E881)</f>
        <v/>
      </c>
      <c r="F881" s="74" t="str">
        <f>IF('Prod 2'!K881="","",'Prod 2'!K881)</f>
        <v/>
      </c>
      <c r="G881" s="77" t="str">
        <f>IF('Prod 1'!I881="","",'Prod 1'!I881)</f>
        <v/>
      </c>
      <c r="H881" s="63" t="str">
        <f>IF('Prod 1'!F881="","",'Prod 1'!F881)</f>
        <v/>
      </c>
      <c r="I881" s="75" t="str">
        <f>IF('Prod 3'!F881="","",'Prod 3'!F881)</f>
        <v/>
      </c>
    </row>
    <row r="882" spans="3:9" ht="30" customHeight="1" x14ac:dyDescent="0.25">
      <c r="C882" s="42">
        <v>878</v>
      </c>
      <c r="D882" s="67" t="str">
        <f>IF('Prod 1'!D882="","",'Prod 1'!D882)</f>
        <v/>
      </c>
      <c r="E882" s="73" t="str">
        <f>IF('Prod 1'!E882="","",'Prod 1'!E882)</f>
        <v/>
      </c>
      <c r="F882" s="74" t="str">
        <f>IF('Prod 2'!K882="","",'Prod 2'!K882)</f>
        <v/>
      </c>
      <c r="G882" s="77" t="str">
        <f>IF('Prod 1'!I882="","",'Prod 1'!I882)</f>
        <v/>
      </c>
      <c r="H882" s="63" t="str">
        <f>IF('Prod 1'!F882="","",'Prod 1'!F882)</f>
        <v/>
      </c>
      <c r="I882" s="75" t="str">
        <f>IF('Prod 3'!F882="","",'Prod 3'!F882)</f>
        <v/>
      </c>
    </row>
    <row r="883" spans="3:9" ht="30" customHeight="1" x14ac:dyDescent="0.25">
      <c r="C883" s="42">
        <v>879</v>
      </c>
      <c r="D883" s="67" t="str">
        <f>IF('Prod 1'!D883="","",'Prod 1'!D883)</f>
        <v/>
      </c>
      <c r="E883" s="73" t="str">
        <f>IF('Prod 1'!E883="","",'Prod 1'!E883)</f>
        <v/>
      </c>
      <c r="F883" s="74" t="str">
        <f>IF('Prod 2'!K883="","",'Prod 2'!K883)</f>
        <v/>
      </c>
      <c r="G883" s="77" t="str">
        <f>IF('Prod 1'!I883="","",'Prod 1'!I883)</f>
        <v/>
      </c>
      <c r="H883" s="63" t="str">
        <f>IF('Prod 1'!F883="","",'Prod 1'!F883)</f>
        <v/>
      </c>
      <c r="I883" s="75" t="str">
        <f>IF('Prod 3'!F883="","",'Prod 3'!F883)</f>
        <v/>
      </c>
    </row>
    <row r="884" spans="3:9" ht="30" customHeight="1" x14ac:dyDescent="0.25">
      <c r="C884" s="42">
        <v>880</v>
      </c>
      <c r="D884" s="67" t="str">
        <f>IF('Prod 1'!D884="","",'Prod 1'!D884)</f>
        <v/>
      </c>
      <c r="E884" s="73" t="str">
        <f>IF('Prod 1'!E884="","",'Prod 1'!E884)</f>
        <v/>
      </c>
      <c r="F884" s="74" t="str">
        <f>IF('Prod 2'!K884="","",'Prod 2'!K884)</f>
        <v/>
      </c>
      <c r="G884" s="77" t="str">
        <f>IF('Prod 1'!I884="","",'Prod 1'!I884)</f>
        <v/>
      </c>
      <c r="H884" s="63" t="str">
        <f>IF('Prod 1'!F884="","",'Prod 1'!F884)</f>
        <v/>
      </c>
      <c r="I884" s="75" t="str">
        <f>IF('Prod 3'!F884="","",'Prod 3'!F884)</f>
        <v/>
      </c>
    </row>
    <row r="885" spans="3:9" ht="30" customHeight="1" x14ac:dyDescent="0.25">
      <c r="C885" s="42">
        <v>881</v>
      </c>
      <c r="D885" s="67" t="str">
        <f>IF('Prod 1'!D885="","",'Prod 1'!D885)</f>
        <v/>
      </c>
      <c r="E885" s="73" t="str">
        <f>IF('Prod 1'!E885="","",'Prod 1'!E885)</f>
        <v/>
      </c>
      <c r="F885" s="74" t="str">
        <f>IF('Prod 2'!K885="","",'Prod 2'!K885)</f>
        <v/>
      </c>
      <c r="G885" s="77" t="str">
        <f>IF('Prod 1'!I885="","",'Prod 1'!I885)</f>
        <v/>
      </c>
      <c r="H885" s="63" t="str">
        <f>IF('Prod 1'!F885="","",'Prod 1'!F885)</f>
        <v/>
      </c>
      <c r="I885" s="75" t="str">
        <f>IF('Prod 3'!F885="","",'Prod 3'!F885)</f>
        <v/>
      </c>
    </row>
    <row r="886" spans="3:9" ht="30" customHeight="1" x14ac:dyDescent="0.25">
      <c r="C886" s="42">
        <v>882</v>
      </c>
      <c r="D886" s="67" t="str">
        <f>IF('Prod 1'!D886="","",'Prod 1'!D886)</f>
        <v/>
      </c>
      <c r="E886" s="73" t="str">
        <f>IF('Prod 1'!E886="","",'Prod 1'!E886)</f>
        <v/>
      </c>
      <c r="F886" s="74" t="str">
        <f>IF('Prod 2'!K886="","",'Prod 2'!K886)</f>
        <v/>
      </c>
      <c r="G886" s="77" t="str">
        <f>IF('Prod 1'!I886="","",'Prod 1'!I886)</f>
        <v/>
      </c>
      <c r="H886" s="63" t="str">
        <f>IF('Prod 1'!F886="","",'Prod 1'!F886)</f>
        <v/>
      </c>
      <c r="I886" s="75" t="str">
        <f>IF('Prod 3'!F886="","",'Prod 3'!F886)</f>
        <v/>
      </c>
    </row>
    <row r="887" spans="3:9" ht="30" customHeight="1" x14ac:dyDescent="0.25">
      <c r="C887" s="42">
        <v>883</v>
      </c>
      <c r="D887" s="67" t="str">
        <f>IF('Prod 1'!D887="","",'Prod 1'!D887)</f>
        <v/>
      </c>
      <c r="E887" s="73" t="str">
        <f>IF('Prod 1'!E887="","",'Prod 1'!E887)</f>
        <v/>
      </c>
      <c r="F887" s="74" t="str">
        <f>IF('Prod 2'!K887="","",'Prod 2'!K887)</f>
        <v/>
      </c>
      <c r="G887" s="77" t="str">
        <f>IF('Prod 1'!I887="","",'Prod 1'!I887)</f>
        <v/>
      </c>
      <c r="H887" s="63" t="str">
        <f>IF('Prod 1'!F887="","",'Prod 1'!F887)</f>
        <v/>
      </c>
      <c r="I887" s="75" t="str">
        <f>IF('Prod 3'!F887="","",'Prod 3'!F887)</f>
        <v/>
      </c>
    </row>
    <row r="888" spans="3:9" ht="30" customHeight="1" x14ac:dyDescent="0.25">
      <c r="C888" s="42">
        <v>884</v>
      </c>
      <c r="D888" s="67" t="str">
        <f>IF('Prod 1'!D888="","",'Prod 1'!D888)</f>
        <v/>
      </c>
      <c r="E888" s="73" t="str">
        <f>IF('Prod 1'!E888="","",'Prod 1'!E888)</f>
        <v/>
      </c>
      <c r="F888" s="74" t="str">
        <f>IF('Prod 2'!K888="","",'Prod 2'!K888)</f>
        <v/>
      </c>
      <c r="G888" s="77" t="str">
        <f>IF('Prod 1'!I888="","",'Prod 1'!I888)</f>
        <v/>
      </c>
      <c r="H888" s="63" t="str">
        <f>IF('Prod 1'!F888="","",'Prod 1'!F888)</f>
        <v/>
      </c>
      <c r="I888" s="75" t="str">
        <f>IF('Prod 3'!F888="","",'Prod 3'!F888)</f>
        <v/>
      </c>
    </row>
    <row r="889" spans="3:9" ht="30" customHeight="1" x14ac:dyDescent="0.25">
      <c r="C889" s="42">
        <v>885</v>
      </c>
      <c r="D889" s="67" t="str">
        <f>IF('Prod 1'!D889="","",'Prod 1'!D889)</f>
        <v/>
      </c>
      <c r="E889" s="73" t="str">
        <f>IF('Prod 1'!E889="","",'Prod 1'!E889)</f>
        <v/>
      </c>
      <c r="F889" s="74" t="str">
        <f>IF('Prod 2'!K889="","",'Prod 2'!K889)</f>
        <v/>
      </c>
      <c r="G889" s="77" t="str">
        <f>IF('Prod 1'!I889="","",'Prod 1'!I889)</f>
        <v/>
      </c>
      <c r="H889" s="63" t="str">
        <f>IF('Prod 1'!F889="","",'Prod 1'!F889)</f>
        <v/>
      </c>
      <c r="I889" s="75" t="str">
        <f>IF('Prod 3'!F889="","",'Prod 3'!F889)</f>
        <v/>
      </c>
    </row>
    <row r="890" spans="3:9" ht="30" customHeight="1" x14ac:dyDescent="0.25">
      <c r="C890" s="42">
        <v>886</v>
      </c>
      <c r="D890" s="67" t="str">
        <f>IF('Prod 1'!D890="","",'Prod 1'!D890)</f>
        <v/>
      </c>
      <c r="E890" s="73" t="str">
        <f>IF('Prod 1'!E890="","",'Prod 1'!E890)</f>
        <v/>
      </c>
      <c r="F890" s="74" t="str">
        <f>IF('Prod 2'!K890="","",'Prod 2'!K890)</f>
        <v/>
      </c>
      <c r="G890" s="77" t="str">
        <f>IF('Prod 1'!I890="","",'Prod 1'!I890)</f>
        <v/>
      </c>
      <c r="H890" s="63" t="str">
        <f>IF('Prod 1'!F890="","",'Prod 1'!F890)</f>
        <v/>
      </c>
      <c r="I890" s="75" t="str">
        <f>IF('Prod 3'!F890="","",'Prod 3'!F890)</f>
        <v/>
      </c>
    </row>
    <row r="891" spans="3:9" ht="30" customHeight="1" x14ac:dyDescent="0.25">
      <c r="C891" s="42">
        <v>887</v>
      </c>
      <c r="D891" s="67" t="str">
        <f>IF('Prod 1'!D891="","",'Prod 1'!D891)</f>
        <v/>
      </c>
      <c r="E891" s="73" t="str">
        <f>IF('Prod 1'!E891="","",'Prod 1'!E891)</f>
        <v/>
      </c>
      <c r="F891" s="74" t="str">
        <f>IF('Prod 2'!K891="","",'Prod 2'!K891)</f>
        <v/>
      </c>
      <c r="G891" s="77" t="str">
        <f>IF('Prod 1'!I891="","",'Prod 1'!I891)</f>
        <v/>
      </c>
      <c r="H891" s="63" t="str">
        <f>IF('Prod 1'!F891="","",'Prod 1'!F891)</f>
        <v/>
      </c>
      <c r="I891" s="75" t="str">
        <f>IF('Prod 3'!F891="","",'Prod 3'!F891)</f>
        <v/>
      </c>
    </row>
    <row r="892" spans="3:9" ht="30" customHeight="1" x14ac:dyDescent="0.25">
      <c r="C892" s="42">
        <v>888</v>
      </c>
      <c r="D892" s="67" t="str">
        <f>IF('Prod 1'!D892="","",'Prod 1'!D892)</f>
        <v/>
      </c>
      <c r="E892" s="73" t="str">
        <f>IF('Prod 1'!E892="","",'Prod 1'!E892)</f>
        <v/>
      </c>
      <c r="F892" s="74" t="str">
        <f>IF('Prod 2'!K892="","",'Prod 2'!K892)</f>
        <v/>
      </c>
      <c r="G892" s="77" t="str">
        <f>IF('Prod 1'!I892="","",'Prod 1'!I892)</f>
        <v/>
      </c>
      <c r="H892" s="63" t="str">
        <f>IF('Prod 1'!F892="","",'Prod 1'!F892)</f>
        <v/>
      </c>
      <c r="I892" s="75" t="str">
        <f>IF('Prod 3'!F892="","",'Prod 3'!F892)</f>
        <v/>
      </c>
    </row>
    <row r="893" spans="3:9" ht="30" customHeight="1" x14ac:dyDescent="0.25">
      <c r="C893" s="42">
        <v>889</v>
      </c>
      <c r="D893" s="67" t="str">
        <f>IF('Prod 1'!D893="","",'Prod 1'!D893)</f>
        <v/>
      </c>
      <c r="E893" s="73" t="str">
        <f>IF('Prod 1'!E893="","",'Prod 1'!E893)</f>
        <v/>
      </c>
      <c r="F893" s="74" t="str">
        <f>IF('Prod 2'!K893="","",'Prod 2'!K893)</f>
        <v/>
      </c>
      <c r="G893" s="77" t="str">
        <f>IF('Prod 1'!I893="","",'Prod 1'!I893)</f>
        <v/>
      </c>
      <c r="H893" s="63" t="str">
        <f>IF('Prod 1'!F893="","",'Prod 1'!F893)</f>
        <v/>
      </c>
      <c r="I893" s="75" t="str">
        <f>IF('Prod 3'!F893="","",'Prod 3'!F893)</f>
        <v/>
      </c>
    </row>
    <row r="894" spans="3:9" ht="30" customHeight="1" x14ac:dyDescent="0.25">
      <c r="C894" s="42">
        <v>890</v>
      </c>
      <c r="D894" s="67" t="str">
        <f>IF('Prod 1'!D894="","",'Prod 1'!D894)</f>
        <v/>
      </c>
      <c r="E894" s="73" t="str">
        <f>IF('Prod 1'!E894="","",'Prod 1'!E894)</f>
        <v/>
      </c>
      <c r="F894" s="74" t="str">
        <f>IF('Prod 2'!K894="","",'Prod 2'!K894)</f>
        <v/>
      </c>
      <c r="G894" s="77" t="str">
        <f>IF('Prod 1'!I894="","",'Prod 1'!I894)</f>
        <v/>
      </c>
      <c r="H894" s="63" t="str">
        <f>IF('Prod 1'!F894="","",'Prod 1'!F894)</f>
        <v/>
      </c>
      <c r="I894" s="75" t="str">
        <f>IF('Prod 3'!F894="","",'Prod 3'!F894)</f>
        <v/>
      </c>
    </row>
    <row r="895" spans="3:9" ht="30" customHeight="1" x14ac:dyDescent="0.25">
      <c r="C895" s="42">
        <v>891</v>
      </c>
      <c r="D895" s="67" t="str">
        <f>IF('Prod 1'!D895="","",'Prod 1'!D895)</f>
        <v/>
      </c>
      <c r="E895" s="73" t="str">
        <f>IF('Prod 1'!E895="","",'Prod 1'!E895)</f>
        <v/>
      </c>
      <c r="F895" s="74" t="str">
        <f>IF('Prod 2'!K895="","",'Prod 2'!K895)</f>
        <v/>
      </c>
      <c r="G895" s="77" t="str">
        <f>IF('Prod 1'!I895="","",'Prod 1'!I895)</f>
        <v/>
      </c>
      <c r="H895" s="63" t="str">
        <f>IF('Prod 1'!F895="","",'Prod 1'!F895)</f>
        <v/>
      </c>
      <c r="I895" s="75" t="str">
        <f>IF('Prod 3'!F895="","",'Prod 3'!F895)</f>
        <v/>
      </c>
    </row>
    <row r="896" spans="3:9" ht="30" customHeight="1" x14ac:dyDescent="0.25">
      <c r="C896" s="42">
        <v>892</v>
      </c>
      <c r="D896" s="67" t="str">
        <f>IF('Prod 1'!D896="","",'Prod 1'!D896)</f>
        <v/>
      </c>
      <c r="E896" s="73" t="str">
        <f>IF('Prod 1'!E896="","",'Prod 1'!E896)</f>
        <v/>
      </c>
      <c r="F896" s="74" t="str">
        <f>IF('Prod 2'!K896="","",'Prod 2'!K896)</f>
        <v/>
      </c>
      <c r="G896" s="77" t="str">
        <f>IF('Prod 1'!I896="","",'Prod 1'!I896)</f>
        <v/>
      </c>
      <c r="H896" s="63" t="str">
        <f>IF('Prod 1'!F896="","",'Prod 1'!F896)</f>
        <v/>
      </c>
      <c r="I896" s="75" t="str">
        <f>IF('Prod 3'!F896="","",'Prod 3'!F896)</f>
        <v/>
      </c>
    </row>
    <row r="897" spans="3:9" ht="30" customHeight="1" x14ac:dyDescent="0.25">
      <c r="C897" s="42">
        <v>893</v>
      </c>
      <c r="D897" s="67" t="str">
        <f>IF('Prod 1'!D897="","",'Prod 1'!D897)</f>
        <v/>
      </c>
      <c r="E897" s="73" t="str">
        <f>IF('Prod 1'!E897="","",'Prod 1'!E897)</f>
        <v/>
      </c>
      <c r="F897" s="74" t="str">
        <f>IF('Prod 2'!K897="","",'Prod 2'!K897)</f>
        <v/>
      </c>
      <c r="G897" s="77" t="str">
        <f>IF('Prod 1'!I897="","",'Prod 1'!I897)</f>
        <v/>
      </c>
      <c r="H897" s="63" t="str">
        <f>IF('Prod 1'!F897="","",'Prod 1'!F897)</f>
        <v/>
      </c>
      <c r="I897" s="75" t="str">
        <f>IF('Prod 3'!F897="","",'Prod 3'!F897)</f>
        <v/>
      </c>
    </row>
    <row r="898" spans="3:9" ht="30" customHeight="1" x14ac:dyDescent="0.25">
      <c r="C898" s="42">
        <v>894</v>
      </c>
      <c r="D898" s="67" t="str">
        <f>IF('Prod 1'!D898="","",'Prod 1'!D898)</f>
        <v/>
      </c>
      <c r="E898" s="73" t="str">
        <f>IF('Prod 1'!E898="","",'Prod 1'!E898)</f>
        <v/>
      </c>
      <c r="F898" s="74" t="str">
        <f>IF('Prod 2'!K898="","",'Prod 2'!K898)</f>
        <v/>
      </c>
      <c r="G898" s="77" t="str">
        <f>IF('Prod 1'!I898="","",'Prod 1'!I898)</f>
        <v/>
      </c>
      <c r="H898" s="63" t="str">
        <f>IF('Prod 1'!F898="","",'Prod 1'!F898)</f>
        <v/>
      </c>
      <c r="I898" s="75" t="str">
        <f>IF('Prod 3'!F898="","",'Prod 3'!F898)</f>
        <v/>
      </c>
    </row>
    <row r="899" spans="3:9" ht="30" customHeight="1" x14ac:dyDescent="0.25">
      <c r="C899" s="42">
        <v>895</v>
      </c>
      <c r="D899" s="67" t="str">
        <f>IF('Prod 1'!D899="","",'Prod 1'!D899)</f>
        <v/>
      </c>
      <c r="E899" s="73" t="str">
        <f>IF('Prod 1'!E899="","",'Prod 1'!E899)</f>
        <v/>
      </c>
      <c r="F899" s="74" t="str">
        <f>IF('Prod 2'!K899="","",'Prod 2'!K899)</f>
        <v/>
      </c>
      <c r="G899" s="77" t="str">
        <f>IF('Prod 1'!I899="","",'Prod 1'!I899)</f>
        <v/>
      </c>
      <c r="H899" s="63" t="str">
        <f>IF('Prod 1'!F899="","",'Prod 1'!F899)</f>
        <v/>
      </c>
      <c r="I899" s="75" t="str">
        <f>IF('Prod 3'!F899="","",'Prod 3'!F899)</f>
        <v/>
      </c>
    </row>
    <row r="900" spans="3:9" ht="30" customHeight="1" x14ac:dyDescent="0.25">
      <c r="C900" s="42">
        <v>896</v>
      </c>
      <c r="D900" s="67" t="str">
        <f>IF('Prod 1'!D900="","",'Prod 1'!D900)</f>
        <v/>
      </c>
      <c r="E900" s="73" t="str">
        <f>IF('Prod 1'!E900="","",'Prod 1'!E900)</f>
        <v/>
      </c>
      <c r="F900" s="74" t="str">
        <f>IF('Prod 2'!K900="","",'Prod 2'!K900)</f>
        <v/>
      </c>
      <c r="G900" s="77" t="str">
        <f>IF('Prod 1'!I900="","",'Prod 1'!I900)</f>
        <v/>
      </c>
      <c r="H900" s="63" t="str">
        <f>IF('Prod 1'!F900="","",'Prod 1'!F900)</f>
        <v/>
      </c>
      <c r="I900" s="75" t="str">
        <f>IF('Prod 3'!F900="","",'Prod 3'!F900)</f>
        <v/>
      </c>
    </row>
    <row r="901" spans="3:9" ht="30" customHeight="1" x14ac:dyDescent="0.25">
      <c r="C901" s="42">
        <v>897</v>
      </c>
      <c r="D901" s="67" t="str">
        <f>IF('Prod 1'!D901="","",'Prod 1'!D901)</f>
        <v/>
      </c>
      <c r="E901" s="73" t="str">
        <f>IF('Prod 1'!E901="","",'Prod 1'!E901)</f>
        <v/>
      </c>
      <c r="F901" s="74" t="str">
        <f>IF('Prod 2'!K901="","",'Prod 2'!K901)</f>
        <v/>
      </c>
      <c r="G901" s="77" t="str">
        <f>IF('Prod 1'!I901="","",'Prod 1'!I901)</f>
        <v/>
      </c>
      <c r="H901" s="63" t="str">
        <f>IF('Prod 1'!F901="","",'Prod 1'!F901)</f>
        <v/>
      </c>
      <c r="I901" s="75" t="str">
        <f>IF('Prod 3'!F901="","",'Prod 3'!F901)</f>
        <v/>
      </c>
    </row>
    <row r="902" spans="3:9" ht="30" customHeight="1" x14ac:dyDescent="0.25">
      <c r="C902" s="42">
        <v>898</v>
      </c>
      <c r="D902" s="67" t="str">
        <f>IF('Prod 1'!D902="","",'Prod 1'!D902)</f>
        <v/>
      </c>
      <c r="E902" s="73" t="str">
        <f>IF('Prod 1'!E902="","",'Prod 1'!E902)</f>
        <v/>
      </c>
      <c r="F902" s="74" t="str">
        <f>IF('Prod 2'!K902="","",'Prod 2'!K902)</f>
        <v/>
      </c>
      <c r="G902" s="77" t="str">
        <f>IF('Prod 1'!I902="","",'Prod 1'!I902)</f>
        <v/>
      </c>
      <c r="H902" s="63" t="str">
        <f>IF('Prod 1'!F902="","",'Prod 1'!F902)</f>
        <v/>
      </c>
      <c r="I902" s="75" t="str">
        <f>IF('Prod 3'!F902="","",'Prod 3'!F902)</f>
        <v/>
      </c>
    </row>
    <row r="903" spans="3:9" ht="30" customHeight="1" x14ac:dyDescent="0.25">
      <c r="C903" s="42">
        <v>899</v>
      </c>
      <c r="D903" s="67" t="str">
        <f>IF('Prod 1'!D903="","",'Prod 1'!D903)</f>
        <v/>
      </c>
      <c r="E903" s="73" t="str">
        <f>IF('Prod 1'!E903="","",'Prod 1'!E903)</f>
        <v/>
      </c>
      <c r="F903" s="74" t="str">
        <f>IF('Prod 2'!K903="","",'Prod 2'!K903)</f>
        <v/>
      </c>
      <c r="G903" s="77" t="str">
        <f>IF('Prod 1'!I903="","",'Prod 1'!I903)</f>
        <v/>
      </c>
      <c r="H903" s="63" t="str">
        <f>IF('Prod 1'!F903="","",'Prod 1'!F903)</f>
        <v/>
      </c>
      <c r="I903" s="75" t="str">
        <f>IF('Prod 3'!F903="","",'Prod 3'!F903)</f>
        <v/>
      </c>
    </row>
    <row r="904" spans="3:9" ht="30" customHeight="1" x14ac:dyDescent="0.25">
      <c r="C904" s="42">
        <v>900</v>
      </c>
      <c r="D904" s="67" t="str">
        <f>IF('Prod 1'!D904="","",'Prod 1'!D904)</f>
        <v/>
      </c>
      <c r="E904" s="73" t="str">
        <f>IF('Prod 1'!E904="","",'Prod 1'!E904)</f>
        <v/>
      </c>
      <c r="F904" s="74" t="str">
        <f>IF('Prod 2'!K904="","",'Prod 2'!K904)</f>
        <v/>
      </c>
      <c r="G904" s="77" t="str">
        <f>IF('Prod 1'!I904="","",'Prod 1'!I904)</f>
        <v/>
      </c>
      <c r="H904" s="63" t="str">
        <f>IF('Prod 1'!F904="","",'Prod 1'!F904)</f>
        <v/>
      </c>
      <c r="I904" s="75" t="str">
        <f>IF('Prod 3'!F904="","",'Prod 3'!F904)</f>
        <v/>
      </c>
    </row>
    <row r="905" spans="3:9" ht="30" customHeight="1" x14ac:dyDescent="0.25">
      <c r="C905" s="42">
        <v>901</v>
      </c>
      <c r="D905" s="67" t="str">
        <f>IF('Prod 1'!D905="","",'Prod 1'!D905)</f>
        <v/>
      </c>
      <c r="E905" s="73" t="str">
        <f>IF('Prod 1'!E905="","",'Prod 1'!E905)</f>
        <v/>
      </c>
      <c r="F905" s="74" t="str">
        <f>IF('Prod 2'!K905="","",'Prod 2'!K905)</f>
        <v/>
      </c>
      <c r="G905" s="77" t="str">
        <f>IF('Prod 1'!I905="","",'Prod 1'!I905)</f>
        <v/>
      </c>
      <c r="H905" s="63" t="str">
        <f>IF('Prod 1'!F905="","",'Prod 1'!F905)</f>
        <v/>
      </c>
      <c r="I905" s="75" t="str">
        <f>IF('Prod 3'!F905="","",'Prod 3'!F905)</f>
        <v/>
      </c>
    </row>
    <row r="906" spans="3:9" ht="30" customHeight="1" x14ac:dyDescent="0.25">
      <c r="C906" s="42">
        <v>902</v>
      </c>
      <c r="D906" s="67" t="str">
        <f>IF('Prod 1'!D906="","",'Prod 1'!D906)</f>
        <v/>
      </c>
      <c r="E906" s="73" t="str">
        <f>IF('Prod 1'!E906="","",'Prod 1'!E906)</f>
        <v/>
      </c>
      <c r="F906" s="74" t="str">
        <f>IF('Prod 2'!K906="","",'Prod 2'!K906)</f>
        <v/>
      </c>
      <c r="G906" s="77" t="str">
        <f>IF('Prod 1'!I906="","",'Prod 1'!I906)</f>
        <v/>
      </c>
      <c r="H906" s="63" t="str">
        <f>IF('Prod 1'!F906="","",'Prod 1'!F906)</f>
        <v/>
      </c>
      <c r="I906" s="75" t="str">
        <f>IF('Prod 3'!F906="","",'Prod 3'!F906)</f>
        <v/>
      </c>
    </row>
    <row r="907" spans="3:9" ht="30" customHeight="1" x14ac:dyDescent="0.25">
      <c r="C907" s="42">
        <v>903</v>
      </c>
      <c r="D907" s="67" t="str">
        <f>IF('Prod 1'!D907="","",'Prod 1'!D907)</f>
        <v/>
      </c>
      <c r="E907" s="73" t="str">
        <f>IF('Prod 1'!E907="","",'Prod 1'!E907)</f>
        <v/>
      </c>
      <c r="F907" s="74" t="str">
        <f>IF('Prod 2'!K907="","",'Prod 2'!K907)</f>
        <v/>
      </c>
      <c r="G907" s="77" t="str">
        <f>IF('Prod 1'!I907="","",'Prod 1'!I907)</f>
        <v/>
      </c>
      <c r="H907" s="63" t="str">
        <f>IF('Prod 1'!F907="","",'Prod 1'!F907)</f>
        <v/>
      </c>
      <c r="I907" s="75" t="str">
        <f>IF('Prod 3'!F907="","",'Prod 3'!F907)</f>
        <v/>
      </c>
    </row>
    <row r="908" spans="3:9" ht="30" customHeight="1" x14ac:dyDescent="0.25">
      <c r="C908" s="42">
        <v>904</v>
      </c>
      <c r="D908" s="67" t="str">
        <f>IF('Prod 1'!D908="","",'Prod 1'!D908)</f>
        <v/>
      </c>
      <c r="E908" s="73" t="str">
        <f>IF('Prod 1'!E908="","",'Prod 1'!E908)</f>
        <v/>
      </c>
      <c r="F908" s="74" t="str">
        <f>IF('Prod 2'!K908="","",'Prod 2'!K908)</f>
        <v/>
      </c>
      <c r="G908" s="77" t="str">
        <f>IF('Prod 1'!I908="","",'Prod 1'!I908)</f>
        <v/>
      </c>
      <c r="H908" s="63" t="str">
        <f>IF('Prod 1'!F908="","",'Prod 1'!F908)</f>
        <v/>
      </c>
      <c r="I908" s="75" t="str">
        <f>IF('Prod 3'!F908="","",'Prod 3'!F908)</f>
        <v/>
      </c>
    </row>
    <row r="909" spans="3:9" ht="30" customHeight="1" x14ac:dyDescent="0.25">
      <c r="C909" s="42">
        <v>905</v>
      </c>
      <c r="D909" s="67" t="str">
        <f>IF('Prod 1'!D909="","",'Prod 1'!D909)</f>
        <v/>
      </c>
      <c r="E909" s="73" t="str">
        <f>IF('Prod 1'!E909="","",'Prod 1'!E909)</f>
        <v/>
      </c>
      <c r="F909" s="74" t="str">
        <f>IF('Prod 2'!K909="","",'Prod 2'!K909)</f>
        <v/>
      </c>
      <c r="G909" s="77" t="str">
        <f>IF('Prod 1'!I909="","",'Prod 1'!I909)</f>
        <v/>
      </c>
      <c r="H909" s="63" t="str">
        <f>IF('Prod 1'!F909="","",'Prod 1'!F909)</f>
        <v/>
      </c>
      <c r="I909" s="75" t="str">
        <f>IF('Prod 3'!F909="","",'Prod 3'!F909)</f>
        <v/>
      </c>
    </row>
    <row r="910" spans="3:9" ht="30" customHeight="1" x14ac:dyDescent="0.25">
      <c r="C910" s="42">
        <v>906</v>
      </c>
      <c r="D910" s="67" t="str">
        <f>IF('Prod 1'!D910="","",'Prod 1'!D910)</f>
        <v/>
      </c>
      <c r="E910" s="73" t="str">
        <f>IF('Prod 1'!E910="","",'Prod 1'!E910)</f>
        <v/>
      </c>
      <c r="F910" s="74" t="str">
        <f>IF('Prod 2'!K910="","",'Prod 2'!K910)</f>
        <v/>
      </c>
      <c r="G910" s="77" t="str">
        <f>IF('Prod 1'!I910="","",'Prod 1'!I910)</f>
        <v/>
      </c>
      <c r="H910" s="63" t="str">
        <f>IF('Prod 1'!F910="","",'Prod 1'!F910)</f>
        <v/>
      </c>
      <c r="I910" s="75" t="str">
        <f>IF('Prod 3'!F910="","",'Prod 3'!F910)</f>
        <v/>
      </c>
    </row>
    <row r="911" spans="3:9" ht="30" customHeight="1" x14ac:dyDescent="0.25">
      <c r="C911" s="42">
        <v>907</v>
      </c>
      <c r="D911" s="67" t="str">
        <f>IF('Prod 1'!D911="","",'Prod 1'!D911)</f>
        <v/>
      </c>
      <c r="E911" s="73" t="str">
        <f>IF('Prod 1'!E911="","",'Prod 1'!E911)</f>
        <v/>
      </c>
      <c r="F911" s="74" t="str">
        <f>IF('Prod 2'!K911="","",'Prod 2'!K911)</f>
        <v/>
      </c>
      <c r="G911" s="77" t="str">
        <f>IF('Prod 1'!I911="","",'Prod 1'!I911)</f>
        <v/>
      </c>
      <c r="H911" s="63" t="str">
        <f>IF('Prod 1'!F911="","",'Prod 1'!F911)</f>
        <v/>
      </c>
      <c r="I911" s="75" t="str">
        <f>IF('Prod 3'!F911="","",'Prod 3'!F911)</f>
        <v/>
      </c>
    </row>
    <row r="912" spans="3:9" ht="30" customHeight="1" x14ac:dyDescent="0.25">
      <c r="C912" s="42">
        <v>908</v>
      </c>
      <c r="D912" s="67" t="str">
        <f>IF('Prod 1'!D912="","",'Prod 1'!D912)</f>
        <v/>
      </c>
      <c r="E912" s="73" t="str">
        <f>IF('Prod 1'!E912="","",'Prod 1'!E912)</f>
        <v/>
      </c>
      <c r="F912" s="74" t="str">
        <f>IF('Prod 2'!K912="","",'Prod 2'!K912)</f>
        <v/>
      </c>
      <c r="G912" s="77" t="str">
        <f>IF('Prod 1'!I912="","",'Prod 1'!I912)</f>
        <v/>
      </c>
      <c r="H912" s="63" t="str">
        <f>IF('Prod 1'!F912="","",'Prod 1'!F912)</f>
        <v/>
      </c>
      <c r="I912" s="75" t="str">
        <f>IF('Prod 3'!F912="","",'Prod 3'!F912)</f>
        <v/>
      </c>
    </row>
    <row r="913" spans="3:9" ht="30" customHeight="1" x14ac:dyDescent="0.25">
      <c r="C913" s="42">
        <v>909</v>
      </c>
      <c r="D913" s="67" t="str">
        <f>IF('Prod 1'!D913="","",'Prod 1'!D913)</f>
        <v/>
      </c>
      <c r="E913" s="73" t="str">
        <f>IF('Prod 1'!E913="","",'Prod 1'!E913)</f>
        <v/>
      </c>
      <c r="F913" s="74" t="str">
        <f>IF('Prod 2'!K913="","",'Prod 2'!K913)</f>
        <v/>
      </c>
      <c r="G913" s="77" t="str">
        <f>IF('Prod 1'!I913="","",'Prod 1'!I913)</f>
        <v/>
      </c>
      <c r="H913" s="63" t="str">
        <f>IF('Prod 1'!F913="","",'Prod 1'!F913)</f>
        <v/>
      </c>
      <c r="I913" s="75" t="str">
        <f>IF('Prod 3'!F913="","",'Prod 3'!F913)</f>
        <v/>
      </c>
    </row>
    <row r="914" spans="3:9" ht="30" customHeight="1" x14ac:dyDescent="0.25">
      <c r="C914" s="42">
        <v>910</v>
      </c>
      <c r="D914" s="67" t="str">
        <f>IF('Prod 1'!D914="","",'Prod 1'!D914)</f>
        <v/>
      </c>
      <c r="E914" s="73" t="str">
        <f>IF('Prod 1'!E914="","",'Prod 1'!E914)</f>
        <v/>
      </c>
      <c r="F914" s="74" t="str">
        <f>IF('Prod 2'!K914="","",'Prod 2'!K914)</f>
        <v/>
      </c>
      <c r="G914" s="77" t="str">
        <f>IF('Prod 1'!I914="","",'Prod 1'!I914)</f>
        <v/>
      </c>
      <c r="H914" s="63" t="str">
        <f>IF('Prod 1'!F914="","",'Prod 1'!F914)</f>
        <v/>
      </c>
      <c r="I914" s="75" t="str">
        <f>IF('Prod 3'!F914="","",'Prod 3'!F914)</f>
        <v/>
      </c>
    </row>
    <row r="915" spans="3:9" ht="30" customHeight="1" x14ac:dyDescent="0.25">
      <c r="C915" s="42">
        <v>911</v>
      </c>
      <c r="D915" s="67" t="str">
        <f>IF('Prod 1'!D915="","",'Prod 1'!D915)</f>
        <v/>
      </c>
      <c r="E915" s="73" t="str">
        <f>IF('Prod 1'!E915="","",'Prod 1'!E915)</f>
        <v/>
      </c>
      <c r="F915" s="74" t="str">
        <f>IF('Prod 2'!K915="","",'Prod 2'!K915)</f>
        <v/>
      </c>
      <c r="G915" s="77" t="str">
        <f>IF('Prod 1'!I915="","",'Prod 1'!I915)</f>
        <v/>
      </c>
      <c r="H915" s="63" t="str">
        <f>IF('Prod 1'!F915="","",'Prod 1'!F915)</f>
        <v/>
      </c>
      <c r="I915" s="75" t="str">
        <f>IF('Prod 3'!F915="","",'Prod 3'!F915)</f>
        <v/>
      </c>
    </row>
    <row r="916" spans="3:9" ht="30" customHeight="1" x14ac:dyDescent="0.25">
      <c r="C916" s="42">
        <v>912</v>
      </c>
      <c r="D916" s="67" t="str">
        <f>IF('Prod 1'!D916="","",'Prod 1'!D916)</f>
        <v/>
      </c>
      <c r="E916" s="73" t="str">
        <f>IF('Prod 1'!E916="","",'Prod 1'!E916)</f>
        <v/>
      </c>
      <c r="F916" s="74" t="str">
        <f>IF('Prod 2'!K916="","",'Prod 2'!K916)</f>
        <v/>
      </c>
      <c r="G916" s="77" t="str">
        <f>IF('Prod 1'!I916="","",'Prod 1'!I916)</f>
        <v/>
      </c>
      <c r="H916" s="63" t="str">
        <f>IF('Prod 1'!F916="","",'Prod 1'!F916)</f>
        <v/>
      </c>
      <c r="I916" s="75" t="str">
        <f>IF('Prod 3'!F916="","",'Prod 3'!F916)</f>
        <v/>
      </c>
    </row>
    <row r="917" spans="3:9" ht="30" customHeight="1" x14ac:dyDescent="0.25">
      <c r="C917" s="42">
        <v>913</v>
      </c>
      <c r="D917" s="67" t="str">
        <f>IF('Prod 1'!D917="","",'Prod 1'!D917)</f>
        <v/>
      </c>
      <c r="E917" s="73" t="str">
        <f>IF('Prod 1'!E917="","",'Prod 1'!E917)</f>
        <v/>
      </c>
      <c r="F917" s="74" t="str">
        <f>IF('Prod 2'!K917="","",'Prod 2'!K917)</f>
        <v/>
      </c>
      <c r="G917" s="77" t="str">
        <f>IF('Prod 1'!I917="","",'Prod 1'!I917)</f>
        <v/>
      </c>
      <c r="H917" s="63" t="str">
        <f>IF('Prod 1'!F917="","",'Prod 1'!F917)</f>
        <v/>
      </c>
      <c r="I917" s="75" t="str">
        <f>IF('Prod 3'!F917="","",'Prod 3'!F917)</f>
        <v/>
      </c>
    </row>
    <row r="918" spans="3:9" ht="30" customHeight="1" x14ac:dyDescent="0.25">
      <c r="C918" s="42">
        <v>914</v>
      </c>
      <c r="D918" s="67" t="str">
        <f>IF('Prod 1'!D918="","",'Prod 1'!D918)</f>
        <v/>
      </c>
      <c r="E918" s="73" t="str">
        <f>IF('Prod 1'!E918="","",'Prod 1'!E918)</f>
        <v/>
      </c>
      <c r="F918" s="74" t="str">
        <f>IF('Prod 2'!K918="","",'Prod 2'!K918)</f>
        <v/>
      </c>
      <c r="G918" s="77" t="str">
        <f>IF('Prod 1'!I918="","",'Prod 1'!I918)</f>
        <v/>
      </c>
      <c r="H918" s="63" t="str">
        <f>IF('Prod 1'!F918="","",'Prod 1'!F918)</f>
        <v/>
      </c>
      <c r="I918" s="75" t="str">
        <f>IF('Prod 3'!F918="","",'Prod 3'!F918)</f>
        <v/>
      </c>
    </row>
    <row r="919" spans="3:9" ht="30" customHeight="1" x14ac:dyDescent="0.25">
      <c r="C919" s="42">
        <v>915</v>
      </c>
      <c r="D919" s="67" t="str">
        <f>IF('Prod 1'!D919="","",'Prod 1'!D919)</f>
        <v/>
      </c>
      <c r="E919" s="73" t="str">
        <f>IF('Prod 1'!E919="","",'Prod 1'!E919)</f>
        <v/>
      </c>
      <c r="F919" s="74" t="str">
        <f>IF('Prod 2'!K919="","",'Prod 2'!K919)</f>
        <v/>
      </c>
      <c r="G919" s="77" t="str">
        <f>IF('Prod 1'!I919="","",'Prod 1'!I919)</f>
        <v/>
      </c>
      <c r="H919" s="63" t="str">
        <f>IF('Prod 1'!F919="","",'Prod 1'!F919)</f>
        <v/>
      </c>
      <c r="I919" s="75" t="str">
        <f>IF('Prod 3'!F919="","",'Prod 3'!F919)</f>
        <v/>
      </c>
    </row>
    <row r="920" spans="3:9" ht="30" customHeight="1" x14ac:dyDescent="0.25">
      <c r="C920" s="42">
        <v>916</v>
      </c>
      <c r="D920" s="67" t="str">
        <f>IF('Prod 1'!D920="","",'Prod 1'!D920)</f>
        <v/>
      </c>
      <c r="E920" s="73" t="str">
        <f>IF('Prod 1'!E920="","",'Prod 1'!E920)</f>
        <v/>
      </c>
      <c r="F920" s="74" t="str">
        <f>IF('Prod 2'!K920="","",'Prod 2'!K920)</f>
        <v/>
      </c>
      <c r="G920" s="77" t="str">
        <f>IF('Prod 1'!I920="","",'Prod 1'!I920)</f>
        <v/>
      </c>
      <c r="H920" s="63" t="str">
        <f>IF('Prod 1'!F920="","",'Prod 1'!F920)</f>
        <v/>
      </c>
      <c r="I920" s="75" t="str">
        <f>IF('Prod 3'!F920="","",'Prod 3'!F920)</f>
        <v/>
      </c>
    </row>
    <row r="921" spans="3:9" ht="30" customHeight="1" x14ac:dyDescent="0.25">
      <c r="C921" s="42">
        <v>917</v>
      </c>
      <c r="D921" s="67" t="str">
        <f>IF('Prod 1'!D921="","",'Prod 1'!D921)</f>
        <v/>
      </c>
      <c r="E921" s="73" t="str">
        <f>IF('Prod 1'!E921="","",'Prod 1'!E921)</f>
        <v/>
      </c>
      <c r="F921" s="74" t="str">
        <f>IF('Prod 2'!K921="","",'Prod 2'!K921)</f>
        <v/>
      </c>
      <c r="G921" s="77" t="str">
        <f>IF('Prod 1'!I921="","",'Prod 1'!I921)</f>
        <v/>
      </c>
      <c r="H921" s="63" t="str">
        <f>IF('Prod 1'!F921="","",'Prod 1'!F921)</f>
        <v/>
      </c>
      <c r="I921" s="75" t="str">
        <f>IF('Prod 3'!F921="","",'Prod 3'!F921)</f>
        <v/>
      </c>
    </row>
    <row r="922" spans="3:9" ht="30" customHeight="1" x14ac:dyDescent="0.25">
      <c r="C922" s="42">
        <v>918</v>
      </c>
      <c r="D922" s="67" t="str">
        <f>IF('Prod 1'!D922="","",'Prod 1'!D922)</f>
        <v/>
      </c>
      <c r="E922" s="73" t="str">
        <f>IF('Prod 1'!E922="","",'Prod 1'!E922)</f>
        <v/>
      </c>
      <c r="F922" s="74" t="str">
        <f>IF('Prod 2'!K922="","",'Prod 2'!K922)</f>
        <v/>
      </c>
      <c r="G922" s="77" t="str">
        <f>IF('Prod 1'!I922="","",'Prod 1'!I922)</f>
        <v/>
      </c>
      <c r="H922" s="63" t="str">
        <f>IF('Prod 1'!F922="","",'Prod 1'!F922)</f>
        <v/>
      </c>
      <c r="I922" s="75" t="str">
        <f>IF('Prod 3'!F922="","",'Prod 3'!F922)</f>
        <v/>
      </c>
    </row>
    <row r="923" spans="3:9" ht="30" customHeight="1" x14ac:dyDescent="0.25">
      <c r="C923" s="42">
        <v>919</v>
      </c>
      <c r="D923" s="67" t="str">
        <f>IF('Prod 1'!D923="","",'Prod 1'!D923)</f>
        <v/>
      </c>
      <c r="E923" s="73" t="str">
        <f>IF('Prod 1'!E923="","",'Prod 1'!E923)</f>
        <v/>
      </c>
      <c r="F923" s="74" t="str">
        <f>IF('Prod 2'!K923="","",'Prod 2'!K923)</f>
        <v/>
      </c>
      <c r="G923" s="77" t="str">
        <f>IF('Prod 1'!I923="","",'Prod 1'!I923)</f>
        <v/>
      </c>
      <c r="H923" s="63" t="str">
        <f>IF('Prod 1'!F923="","",'Prod 1'!F923)</f>
        <v/>
      </c>
      <c r="I923" s="75" t="str">
        <f>IF('Prod 3'!F923="","",'Prod 3'!F923)</f>
        <v/>
      </c>
    </row>
    <row r="924" spans="3:9" ht="30" customHeight="1" x14ac:dyDescent="0.25">
      <c r="C924" s="42">
        <v>920</v>
      </c>
      <c r="D924" s="67" t="str">
        <f>IF('Prod 1'!D924="","",'Prod 1'!D924)</f>
        <v/>
      </c>
      <c r="E924" s="73" t="str">
        <f>IF('Prod 1'!E924="","",'Prod 1'!E924)</f>
        <v/>
      </c>
      <c r="F924" s="74" t="str">
        <f>IF('Prod 2'!K924="","",'Prod 2'!K924)</f>
        <v/>
      </c>
      <c r="G924" s="77" t="str">
        <f>IF('Prod 1'!I924="","",'Prod 1'!I924)</f>
        <v/>
      </c>
      <c r="H924" s="63" t="str">
        <f>IF('Prod 1'!F924="","",'Prod 1'!F924)</f>
        <v/>
      </c>
      <c r="I924" s="75" t="str">
        <f>IF('Prod 3'!F924="","",'Prod 3'!F924)</f>
        <v/>
      </c>
    </row>
    <row r="925" spans="3:9" ht="30" customHeight="1" x14ac:dyDescent="0.25">
      <c r="C925" s="42">
        <v>921</v>
      </c>
      <c r="D925" s="67" t="str">
        <f>IF('Prod 1'!D925="","",'Prod 1'!D925)</f>
        <v/>
      </c>
      <c r="E925" s="73" t="str">
        <f>IF('Prod 1'!E925="","",'Prod 1'!E925)</f>
        <v/>
      </c>
      <c r="F925" s="74" t="str">
        <f>IF('Prod 2'!K925="","",'Prod 2'!K925)</f>
        <v/>
      </c>
      <c r="G925" s="77" t="str">
        <f>IF('Prod 1'!I925="","",'Prod 1'!I925)</f>
        <v/>
      </c>
      <c r="H925" s="63" t="str">
        <f>IF('Prod 1'!F925="","",'Prod 1'!F925)</f>
        <v/>
      </c>
      <c r="I925" s="75" t="str">
        <f>IF('Prod 3'!F925="","",'Prod 3'!F925)</f>
        <v/>
      </c>
    </row>
    <row r="926" spans="3:9" ht="30" customHeight="1" x14ac:dyDescent="0.25">
      <c r="C926" s="42">
        <v>922</v>
      </c>
      <c r="D926" s="67" t="str">
        <f>IF('Prod 1'!D926="","",'Prod 1'!D926)</f>
        <v/>
      </c>
      <c r="E926" s="73" t="str">
        <f>IF('Prod 1'!E926="","",'Prod 1'!E926)</f>
        <v/>
      </c>
      <c r="F926" s="74" t="str">
        <f>IF('Prod 2'!K926="","",'Prod 2'!K926)</f>
        <v/>
      </c>
      <c r="G926" s="77" t="str">
        <f>IF('Prod 1'!I926="","",'Prod 1'!I926)</f>
        <v/>
      </c>
      <c r="H926" s="63" t="str">
        <f>IF('Prod 1'!F926="","",'Prod 1'!F926)</f>
        <v/>
      </c>
      <c r="I926" s="75" t="str">
        <f>IF('Prod 3'!F926="","",'Prod 3'!F926)</f>
        <v/>
      </c>
    </row>
    <row r="927" spans="3:9" ht="30" customHeight="1" x14ac:dyDescent="0.25">
      <c r="C927" s="42">
        <v>923</v>
      </c>
      <c r="D927" s="67" t="str">
        <f>IF('Prod 1'!D927="","",'Prod 1'!D927)</f>
        <v/>
      </c>
      <c r="E927" s="73" t="str">
        <f>IF('Prod 1'!E927="","",'Prod 1'!E927)</f>
        <v/>
      </c>
      <c r="F927" s="74" t="str">
        <f>IF('Prod 2'!K927="","",'Prod 2'!K927)</f>
        <v/>
      </c>
      <c r="G927" s="77" t="str">
        <f>IF('Prod 1'!I927="","",'Prod 1'!I927)</f>
        <v/>
      </c>
      <c r="H927" s="63" t="str">
        <f>IF('Prod 1'!F927="","",'Prod 1'!F927)</f>
        <v/>
      </c>
      <c r="I927" s="75" t="str">
        <f>IF('Prod 3'!F927="","",'Prod 3'!F927)</f>
        <v/>
      </c>
    </row>
    <row r="928" spans="3:9" ht="30" customHeight="1" x14ac:dyDescent="0.25">
      <c r="C928" s="42">
        <v>924</v>
      </c>
      <c r="D928" s="67" t="str">
        <f>IF('Prod 1'!D928="","",'Prod 1'!D928)</f>
        <v/>
      </c>
      <c r="E928" s="73" t="str">
        <f>IF('Prod 1'!E928="","",'Prod 1'!E928)</f>
        <v/>
      </c>
      <c r="F928" s="74" t="str">
        <f>IF('Prod 2'!K928="","",'Prod 2'!K928)</f>
        <v/>
      </c>
      <c r="G928" s="77" t="str">
        <f>IF('Prod 1'!I928="","",'Prod 1'!I928)</f>
        <v/>
      </c>
      <c r="H928" s="63" t="str">
        <f>IF('Prod 1'!F928="","",'Prod 1'!F928)</f>
        <v/>
      </c>
      <c r="I928" s="75" t="str">
        <f>IF('Prod 3'!F928="","",'Prod 3'!F928)</f>
        <v/>
      </c>
    </row>
    <row r="929" spans="3:9" ht="30" customHeight="1" x14ac:dyDescent="0.25">
      <c r="C929" s="42">
        <v>925</v>
      </c>
      <c r="D929" s="67" t="str">
        <f>IF('Prod 1'!D929="","",'Prod 1'!D929)</f>
        <v/>
      </c>
      <c r="E929" s="73" t="str">
        <f>IF('Prod 1'!E929="","",'Prod 1'!E929)</f>
        <v/>
      </c>
      <c r="F929" s="74" t="str">
        <f>IF('Prod 2'!K929="","",'Prod 2'!K929)</f>
        <v/>
      </c>
      <c r="G929" s="77" t="str">
        <f>IF('Prod 1'!I929="","",'Prod 1'!I929)</f>
        <v/>
      </c>
      <c r="H929" s="63" t="str">
        <f>IF('Prod 1'!F929="","",'Prod 1'!F929)</f>
        <v/>
      </c>
      <c r="I929" s="75" t="str">
        <f>IF('Prod 3'!F929="","",'Prod 3'!F929)</f>
        <v/>
      </c>
    </row>
    <row r="930" spans="3:9" ht="30" customHeight="1" x14ac:dyDescent="0.25">
      <c r="C930" s="42">
        <v>926</v>
      </c>
      <c r="D930" s="67" t="str">
        <f>IF('Prod 1'!D930="","",'Prod 1'!D930)</f>
        <v/>
      </c>
      <c r="E930" s="73" t="str">
        <f>IF('Prod 1'!E930="","",'Prod 1'!E930)</f>
        <v/>
      </c>
      <c r="F930" s="74" t="str">
        <f>IF('Prod 2'!K930="","",'Prod 2'!K930)</f>
        <v/>
      </c>
      <c r="G930" s="77" t="str">
        <f>IF('Prod 1'!I930="","",'Prod 1'!I930)</f>
        <v/>
      </c>
      <c r="H930" s="63" t="str">
        <f>IF('Prod 1'!F930="","",'Prod 1'!F930)</f>
        <v/>
      </c>
      <c r="I930" s="75" t="str">
        <f>IF('Prod 3'!F930="","",'Prod 3'!F930)</f>
        <v/>
      </c>
    </row>
    <row r="931" spans="3:9" ht="30" customHeight="1" x14ac:dyDescent="0.25">
      <c r="C931" s="42">
        <v>927</v>
      </c>
      <c r="D931" s="67" t="str">
        <f>IF('Prod 1'!D931="","",'Prod 1'!D931)</f>
        <v/>
      </c>
      <c r="E931" s="73" t="str">
        <f>IF('Prod 1'!E931="","",'Prod 1'!E931)</f>
        <v/>
      </c>
      <c r="F931" s="74" t="str">
        <f>IF('Prod 2'!K931="","",'Prod 2'!K931)</f>
        <v/>
      </c>
      <c r="G931" s="77" t="str">
        <f>IF('Prod 1'!I931="","",'Prod 1'!I931)</f>
        <v/>
      </c>
      <c r="H931" s="63" t="str">
        <f>IF('Prod 1'!F931="","",'Prod 1'!F931)</f>
        <v/>
      </c>
      <c r="I931" s="75" t="str">
        <f>IF('Prod 3'!F931="","",'Prod 3'!F931)</f>
        <v/>
      </c>
    </row>
    <row r="932" spans="3:9" ht="30" customHeight="1" x14ac:dyDescent="0.25">
      <c r="C932" s="42">
        <v>928</v>
      </c>
      <c r="D932" s="67" t="str">
        <f>IF('Prod 1'!D932="","",'Prod 1'!D932)</f>
        <v/>
      </c>
      <c r="E932" s="73" t="str">
        <f>IF('Prod 1'!E932="","",'Prod 1'!E932)</f>
        <v/>
      </c>
      <c r="F932" s="74" t="str">
        <f>IF('Prod 2'!K932="","",'Prod 2'!K932)</f>
        <v/>
      </c>
      <c r="G932" s="77" t="str">
        <f>IF('Prod 1'!I932="","",'Prod 1'!I932)</f>
        <v/>
      </c>
      <c r="H932" s="63" t="str">
        <f>IF('Prod 1'!F932="","",'Prod 1'!F932)</f>
        <v/>
      </c>
      <c r="I932" s="75" t="str">
        <f>IF('Prod 3'!F932="","",'Prod 3'!F932)</f>
        <v/>
      </c>
    </row>
    <row r="933" spans="3:9" ht="30" customHeight="1" x14ac:dyDescent="0.25">
      <c r="C933" s="42">
        <v>929</v>
      </c>
      <c r="D933" s="67" t="str">
        <f>IF('Prod 1'!D933="","",'Prod 1'!D933)</f>
        <v/>
      </c>
      <c r="E933" s="73" t="str">
        <f>IF('Prod 1'!E933="","",'Prod 1'!E933)</f>
        <v/>
      </c>
      <c r="F933" s="74" t="str">
        <f>IF('Prod 2'!K933="","",'Prod 2'!K933)</f>
        <v/>
      </c>
      <c r="G933" s="77" t="str">
        <f>IF('Prod 1'!I933="","",'Prod 1'!I933)</f>
        <v/>
      </c>
      <c r="H933" s="63" t="str">
        <f>IF('Prod 1'!F933="","",'Prod 1'!F933)</f>
        <v/>
      </c>
      <c r="I933" s="75" t="str">
        <f>IF('Prod 3'!F933="","",'Prod 3'!F933)</f>
        <v/>
      </c>
    </row>
    <row r="934" spans="3:9" ht="30" customHeight="1" x14ac:dyDescent="0.25">
      <c r="C934" s="42">
        <v>930</v>
      </c>
      <c r="D934" s="67" t="str">
        <f>IF('Prod 1'!D934="","",'Prod 1'!D934)</f>
        <v/>
      </c>
      <c r="E934" s="73" t="str">
        <f>IF('Prod 1'!E934="","",'Prod 1'!E934)</f>
        <v/>
      </c>
      <c r="F934" s="74" t="str">
        <f>IF('Prod 2'!K934="","",'Prod 2'!K934)</f>
        <v/>
      </c>
      <c r="G934" s="77" t="str">
        <f>IF('Prod 1'!I934="","",'Prod 1'!I934)</f>
        <v/>
      </c>
      <c r="H934" s="63" t="str">
        <f>IF('Prod 1'!F934="","",'Prod 1'!F934)</f>
        <v/>
      </c>
      <c r="I934" s="75" t="str">
        <f>IF('Prod 3'!F934="","",'Prod 3'!F934)</f>
        <v/>
      </c>
    </row>
    <row r="935" spans="3:9" ht="30" customHeight="1" x14ac:dyDescent="0.25">
      <c r="C935" s="42">
        <v>931</v>
      </c>
      <c r="D935" s="67" t="str">
        <f>IF('Prod 1'!D935="","",'Prod 1'!D935)</f>
        <v/>
      </c>
      <c r="E935" s="73" t="str">
        <f>IF('Prod 1'!E935="","",'Prod 1'!E935)</f>
        <v/>
      </c>
      <c r="F935" s="74" t="str">
        <f>IF('Prod 2'!K935="","",'Prod 2'!K935)</f>
        <v/>
      </c>
      <c r="G935" s="77" t="str">
        <f>IF('Prod 1'!I935="","",'Prod 1'!I935)</f>
        <v/>
      </c>
      <c r="H935" s="63" t="str">
        <f>IF('Prod 1'!F935="","",'Prod 1'!F935)</f>
        <v/>
      </c>
      <c r="I935" s="75" t="str">
        <f>IF('Prod 3'!F935="","",'Prod 3'!F935)</f>
        <v/>
      </c>
    </row>
    <row r="936" spans="3:9" ht="30" customHeight="1" x14ac:dyDescent="0.25">
      <c r="C936" s="42">
        <v>932</v>
      </c>
      <c r="D936" s="67" t="str">
        <f>IF('Prod 1'!D936="","",'Prod 1'!D936)</f>
        <v/>
      </c>
      <c r="E936" s="73" t="str">
        <f>IF('Prod 1'!E936="","",'Prod 1'!E936)</f>
        <v/>
      </c>
      <c r="F936" s="74" t="str">
        <f>IF('Prod 2'!K936="","",'Prod 2'!K936)</f>
        <v/>
      </c>
      <c r="G936" s="77" t="str">
        <f>IF('Prod 1'!I936="","",'Prod 1'!I936)</f>
        <v/>
      </c>
      <c r="H936" s="63" t="str">
        <f>IF('Prod 1'!F936="","",'Prod 1'!F936)</f>
        <v/>
      </c>
      <c r="I936" s="75" t="str">
        <f>IF('Prod 3'!F936="","",'Prod 3'!F936)</f>
        <v/>
      </c>
    </row>
    <row r="937" spans="3:9" ht="30" customHeight="1" x14ac:dyDescent="0.25">
      <c r="C937" s="42">
        <v>933</v>
      </c>
      <c r="D937" s="67" t="str">
        <f>IF('Prod 1'!D937="","",'Prod 1'!D937)</f>
        <v/>
      </c>
      <c r="E937" s="73" t="str">
        <f>IF('Prod 1'!E937="","",'Prod 1'!E937)</f>
        <v/>
      </c>
      <c r="F937" s="74" t="str">
        <f>IF('Prod 2'!K937="","",'Prod 2'!K937)</f>
        <v/>
      </c>
      <c r="G937" s="77" t="str">
        <f>IF('Prod 1'!I937="","",'Prod 1'!I937)</f>
        <v/>
      </c>
      <c r="H937" s="63" t="str">
        <f>IF('Prod 1'!F937="","",'Prod 1'!F937)</f>
        <v/>
      </c>
      <c r="I937" s="75" t="str">
        <f>IF('Prod 3'!F937="","",'Prod 3'!F937)</f>
        <v/>
      </c>
    </row>
    <row r="938" spans="3:9" ht="30" customHeight="1" x14ac:dyDescent="0.25">
      <c r="C938" s="42">
        <v>934</v>
      </c>
      <c r="D938" s="67" t="str">
        <f>IF('Prod 1'!D938="","",'Prod 1'!D938)</f>
        <v/>
      </c>
      <c r="E938" s="73" t="str">
        <f>IF('Prod 1'!E938="","",'Prod 1'!E938)</f>
        <v/>
      </c>
      <c r="F938" s="74" t="str">
        <f>IF('Prod 2'!K938="","",'Prod 2'!K938)</f>
        <v/>
      </c>
      <c r="G938" s="77" t="str">
        <f>IF('Prod 1'!I938="","",'Prod 1'!I938)</f>
        <v/>
      </c>
      <c r="H938" s="63" t="str">
        <f>IF('Prod 1'!F938="","",'Prod 1'!F938)</f>
        <v/>
      </c>
      <c r="I938" s="75" t="str">
        <f>IF('Prod 3'!F938="","",'Prod 3'!F938)</f>
        <v/>
      </c>
    </row>
    <row r="939" spans="3:9" ht="30" customHeight="1" x14ac:dyDescent="0.25">
      <c r="C939" s="42">
        <v>935</v>
      </c>
      <c r="D939" s="67" t="str">
        <f>IF('Prod 1'!D939="","",'Prod 1'!D939)</f>
        <v/>
      </c>
      <c r="E939" s="73" t="str">
        <f>IF('Prod 1'!E939="","",'Prod 1'!E939)</f>
        <v/>
      </c>
      <c r="F939" s="74" t="str">
        <f>IF('Prod 2'!K939="","",'Prod 2'!K939)</f>
        <v/>
      </c>
      <c r="G939" s="77" t="str">
        <f>IF('Prod 1'!I939="","",'Prod 1'!I939)</f>
        <v/>
      </c>
      <c r="H939" s="63" t="str">
        <f>IF('Prod 1'!F939="","",'Prod 1'!F939)</f>
        <v/>
      </c>
      <c r="I939" s="75" t="str">
        <f>IF('Prod 3'!F939="","",'Prod 3'!F939)</f>
        <v/>
      </c>
    </row>
    <row r="940" spans="3:9" ht="30" customHeight="1" x14ac:dyDescent="0.25">
      <c r="C940" s="42">
        <v>936</v>
      </c>
      <c r="D940" s="67" t="str">
        <f>IF('Prod 1'!D940="","",'Prod 1'!D940)</f>
        <v/>
      </c>
      <c r="E940" s="73" t="str">
        <f>IF('Prod 1'!E940="","",'Prod 1'!E940)</f>
        <v/>
      </c>
      <c r="F940" s="74" t="str">
        <f>IF('Prod 2'!K940="","",'Prod 2'!K940)</f>
        <v/>
      </c>
      <c r="G940" s="77" t="str">
        <f>IF('Prod 1'!I940="","",'Prod 1'!I940)</f>
        <v/>
      </c>
      <c r="H940" s="63" t="str">
        <f>IF('Prod 1'!F940="","",'Prod 1'!F940)</f>
        <v/>
      </c>
      <c r="I940" s="75" t="str">
        <f>IF('Prod 3'!F940="","",'Prod 3'!F940)</f>
        <v/>
      </c>
    </row>
    <row r="941" spans="3:9" ht="30" customHeight="1" x14ac:dyDescent="0.25">
      <c r="C941" s="42">
        <v>937</v>
      </c>
      <c r="D941" s="67" t="str">
        <f>IF('Prod 1'!D941="","",'Prod 1'!D941)</f>
        <v/>
      </c>
      <c r="E941" s="73" t="str">
        <f>IF('Prod 1'!E941="","",'Prod 1'!E941)</f>
        <v/>
      </c>
      <c r="F941" s="74" t="str">
        <f>IF('Prod 2'!K941="","",'Prod 2'!K941)</f>
        <v/>
      </c>
      <c r="G941" s="77" t="str">
        <f>IF('Prod 1'!I941="","",'Prod 1'!I941)</f>
        <v/>
      </c>
      <c r="H941" s="63" t="str">
        <f>IF('Prod 1'!F941="","",'Prod 1'!F941)</f>
        <v/>
      </c>
      <c r="I941" s="75" t="str">
        <f>IF('Prod 3'!F941="","",'Prod 3'!F941)</f>
        <v/>
      </c>
    </row>
    <row r="942" spans="3:9" ht="30" customHeight="1" x14ac:dyDescent="0.25">
      <c r="C942" s="42">
        <v>938</v>
      </c>
      <c r="D942" s="67" t="str">
        <f>IF('Prod 1'!D942="","",'Prod 1'!D942)</f>
        <v/>
      </c>
      <c r="E942" s="73" t="str">
        <f>IF('Prod 1'!E942="","",'Prod 1'!E942)</f>
        <v/>
      </c>
      <c r="F942" s="74" t="str">
        <f>IF('Prod 2'!K942="","",'Prod 2'!K942)</f>
        <v/>
      </c>
      <c r="G942" s="77" t="str">
        <f>IF('Prod 1'!I942="","",'Prod 1'!I942)</f>
        <v/>
      </c>
      <c r="H942" s="63" t="str">
        <f>IF('Prod 1'!F942="","",'Prod 1'!F942)</f>
        <v/>
      </c>
      <c r="I942" s="75" t="str">
        <f>IF('Prod 3'!F942="","",'Prod 3'!F942)</f>
        <v/>
      </c>
    </row>
    <row r="943" spans="3:9" ht="30" customHeight="1" x14ac:dyDescent="0.25">
      <c r="C943" s="42">
        <v>939</v>
      </c>
      <c r="D943" s="67" t="str">
        <f>IF('Prod 1'!D943="","",'Prod 1'!D943)</f>
        <v/>
      </c>
      <c r="E943" s="73" t="str">
        <f>IF('Prod 1'!E943="","",'Prod 1'!E943)</f>
        <v/>
      </c>
      <c r="F943" s="74" t="str">
        <f>IF('Prod 2'!K943="","",'Prod 2'!K943)</f>
        <v/>
      </c>
      <c r="G943" s="77" t="str">
        <f>IF('Prod 1'!I943="","",'Prod 1'!I943)</f>
        <v/>
      </c>
      <c r="H943" s="63" t="str">
        <f>IF('Prod 1'!F943="","",'Prod 1'!F943)</f>
        <v/>
      </c>
      <c r="I943" s="75" t="str">
        <f>IF('Prod 3'!F943="","",'Prod 3'!F943)</f>
        <v/>
      </c>
    </row>
    <row r="944" spans="3:9" ht="30" customHeight="1" x14ac:dyDescent="0.25">
      <c r="C944" s="42">
        <v>940</v>
      </c>
      <c r="D944" s="67" t="str">
        <f>IF('Prod 1'!D944="","",'Prod 1'!D944)</f>
        <v/>
      </c>
      <c r="E944" s="73" t="str">
        <f>IF('Prod 1'!E944="","",'Prod 1'!E944)</f>
        <v/>
      </c>
      <c r="F944" s="74" t="str">
        <f>IF('Prod 2'!K944="","",'Prod 2'!K944)</f>
        <v/>
      </c>
      <c r="G944" s="77" t="str">
        <f>IF('Prod 1'!I944="","",'Prod 1'!I944)</f>
        <v/>
      </c>
      <c r="H944" s="63" t="str">
        <f>IF('Prod 1'!F944="","",'Prod 1'!F944)</f>
        <v/>
      </c>
      <c r="I944" s="75" t="str">
        <f>IF('Prod 3'!F944="","",'Prod 3'!F944)</f>
        <v/>
      </c>
    </row>
    <row r="945" spans="3:9" ht="30" customHeight="1" x14ac:dyDescent="0.25">
      <c r="C945" s="42">
        <v>941</v>
      </c>
      <c r="D945" s="67" t="str">
        <f>IF('Prod 1'!D945="","",'Prod 1'!D945)</f>
        <v/>
      </c>
      <c r="E945" s="73" t="str">
        <f>IF('Prod 1'!E945="","",'Prod 1'!E945)</f>
        <v/>
      </c>
      <c r="F945" s="74" t="str">
        <f>IF('Prod 2'!K945="","",'Prod 2'!K945)</f>
        <v/>
      </c>
      <c r="G945" s="77" t="str">
        <f>IF('Prod 1'!I945="","",'Prod 1'!I945)</f>
        <v/>
      </c>
      <c r="H945" s="63" t="str">
        <f>IF('Prod 1'!F945="","",'Prod 1'!F945)</f>
        <v/>
      </c>
      <c r="I945" s="75" t="str">
        <f>IF('Prod 3'!F945="","",'Prod 3'!F945)</f>
        <v/>
      </c>
    </row>
    <row r="946" spans="3:9" ht="30" customHeight="1" x14ac:dyDescent="0.25">
      <c r="C946" s="42">
        <v>942</v>
      </c>
      <c r="D946" s="67" t="str">
        <f>IF('Prod 1'!D946="","",'Prod 1'!D946)</f>
        <v/>
      </c>
      <c r="E946" s="73" t="str">
        <f>IF('Prod 1'!E946="","",'Prod 1'!E946)</f>
        <v/>
      </c>
      <c r="F946" s="74" t="str">
        <f>IF('Prod 2'!K946="","",'Prod 2'!K946)</f>
        <v/>
      </c>
      <c r="G946" s="77" t="str">
        <f>IF('Prod 1'!I946="","",'Prod 1'!I946)</f>
        <v/>
      </c>
      <c r="H946" s="63" t="str">
        <f>IF('Prod 1'!F946="","",'Prod 1'!F946)</f>
        <v/>
      </c>
      <c r="I946" s="75" t="str">
        <f>IF('Prod 3'!F946="","",'Prod 3'!F946)</f>
        <v/>
      </c>
    </row>
    <row r="947" spans="3:9" ht="30" customHeight="1" x14ac:dyDescent="0.25">
      <c r="C947" s="42">
        <v>943</v>
      </c>
      <c r="D947" s="67" t="str">
        <f>IF('Prod 1'!D947="","",'Prod 1'!D947)</f>
        <v/>
      </c>
      <c r="E947" s="73" t="str">
        <f>IF('Prod 1'!E947="","",'Prod 1'!E947)</f>
        <v/>
      </c>
      <c r="F947" s="74" t="str">
        <f>IF('Prod 2'!K947="","",'Prod 2'!K947)</f>
        <v/>
      </c>
      <c r="G947" s="77" t="str">
        <f>IF('Prod 1'!I947="","",'Prod 1'!I947)</f>
        <v/>
      </c>
      <c r="H947" s="63" t="str">
        <f>IF('Prod 1'!F947="","",'Prod 1'!F947)</f>
        <v/>
      </c>
      <c r="I947" s="75" t="str">
        <f>IF('Prod 3'!F947="","",'Prod 3'!F947)</f>
        <v/>
      </c>
    </row>
    <row r="948" spans="3:9" ht="30" customHeight="1" x14ac:dyDescent="0.25">
      <c r="C948" s="42">
        <v>944</v>
      </c>
      <c r="D948" s="67" t="str">
        <f>IF('Prod 1'!D948="","",'Prod 1'!D948)</f>
        <v/>
      </c>
      <c r="E948" s="73" t="str">
        <f>IF('Prod 1'!E948="","",'Prod 1'!E948)</f>
        <v/>
      </c>
      <c r="F948" s="74" t="str">
        <f>IF('Prod 2'!K948="","",'Prod 2'!K948)</f>
        <v/>
      </c>
      <c r="G948" s="77" t="str">
        <f>IF('Prod 1'!I948="","",'Prod 1'!I948)</f>
        <v/>
      </c>
      <c r="H948" s="63" t="str">
        <f>IF('Prod 1'!F948="","",'Prod 1'!F948)</f>
        <v/>
      </c>
      <c r="I948" s="75" t="str">
        <f>IF('Prod 3'!F948="","",'Prod 3'!F948)</f>
        <v/>
      </c>
    </row>
    <row r="949" spans="3:9" ht="30" customHeight="1" x14ac:dyDescent="0.25">
      <c r="C949" s="42">
        <v>945</v>
      </c>
      <c r="D949" s="67" t="str">
        <f>IF('Prod 1'!D949="","",'Prod 1'!D949)</f>
        <v/>
      </c>
      <c r="E949" s="73" t="str">
        <f>IF('Prod 1'!E949="","",'Prod 1'!E949)</f>
        <v/>
      </c>
      <c r="F949" s="74" t="str">
        <f>IF('Prod 2'!K949="","",'Prod 2'!K949)</f>
        <v/>
      </c>
      <c r="G949" s="77" t="str">
        <f>IF('Prod 1'!I949="","",'Prod 1'!I949)</f>
        <v/>
      </c>
      <c r="H949" s="63" t="str">
        <f>IF('Prod 1'!F949="","",'Prod 1'!F949)</f>
        <v/>
      </c>
      <c r="I949" s="75" t="str">
        <f>IF('Prod 3'!F949="","",'Prod 3'!F949)</f>
        <v/>
      </c>
    </row>
    <row r="950" spans="3:9" ht="30" customHeight="1" x14ac:dyDescent="0.25">
      <c r="C950" s="42">
        <v>946</v>
      </c>
      <c r="D950" s="67" t="str">
        <f>IF('Prod 1'!D950="","",'Prod 1'!D950)</f>
        <v/>
      </c>
      <c r="E950" s="73" t="str">
        <f>IF('Prod 1'!E950="","",'Prod 1'!E950)</f>
        <v/>
      </c>
      <c r="F950" s="74" t="str">
        <f>IF('Prod 2'!K950="","",'Prod 2'!K950)</f>
        <v/>
      </c>
      <c r="G950" s="77" t="str">
        <f>IF('Prod 1'!I950="","",'Prod 1'!I950)</f>
        <v/>
      </c>
      <c r="H950" s="63" t="str">
        <f>IF('Prod 1'!F950="","",'Prod 1'!F950)</f>
        <v/>
      </c>
      <c r="I950" s="75" t="str">
        <f>IF('Prod 3'!F950="","",'Prod 3'!F950)</f>
        <v/>
      </c>
    </row>
    <row r="951" spans="3:9" ht="30" customHeight="1" x14ac:dyDescent="0.25">
      <c r="C951" s="42">
        <v>947</v>
      </c>
      <c r="D951" s="67" t="str">
        <f>IF('Prod 1'!D951="","",'Prod 1'!D951)</f>
        <v/>
      </c>
      <c r="E951" s="73" t="str">
        <f>IF('Prod 1'!E951="","",'Prod 1'!E951)</f>
        <v/>
      </c>
      <c r="F951" s="74" t="str">
        <f>IF('Prod 2'!K951="","",'Prod 2'!K951)</f>
        <v/>
      </c>
      <c r="G951" s="77" t="str">
        <f>IF('Prod 1'!I951="","",'Prod 1'!I951)</f>
        <v/>
      </c>
      <c r="H951" s="63" t="str">
        <f>IF('Prod 1'!F951="","",'Prod 1'!F951)</f>
        <v/>
      </c>
      <c r="I951" s="75" t="str">
        <f>IF('Prod 3'!F951="","",'Prod 3'!F951)</f>
        <v/>
      </c>
    </row>
    <row r="952" spans="3:9" ht="30" customHeight="1" x14ac:dyDescent="0.25">
      <c r="C952" s="42">
        <v>948</v>
      </c>
      <c r="D952" s="67" t="str">
        <f>IF('Prod 1'!D952="","",'Prod 1'!D952)</f>
        <v/>
      </c>
      <c r="E952" s="73" t="str">
        <f>IF('Prod 1'!E952="","",'Prod 1'!E952)</f>
        <v/>
      </c>
      <c r="F952" s="74" t="str">
        <f>IF('Prod 2'!K952="","",'Prod 2'!K952)</f>
        <v/>
      </c>
      <c r="G952" s="77" t="str">
        <f>IF('Prod 1'!I952="","",'Prod 1'!I952)</f>
        <v/>
      </c>
      <c r="H952" s="63" t="str">
        <f>IF('Prod 1'!F952="","",'Prod 1'!F952)</f>
        <v/>
      </c>
      <c r="I952" s="75" t="str">
        <f>IF('Prod 3'!F952="","",'Prod 3'!F952)</f>
        <v/>
      </c>
    </row>
    <row r="953" spans="3:9" ht="30" customHeight="1" x14ac:dyDescent="0.25">
      <c r="C953" s="42">
        <v>949</v>
      </c>
      <c r="D953" s="67" t="str">
        <f>IF('Prod 1'!D953="","",'Prod 1'!D953)</f>
        <v/>
      </c>
      <c r="E953" s="73" t="str">
        <f>IF('Prod 1'!E953="","",'Prod 1'!E953)</f>
        <v/>
      </c>
      <c r="F953" s="74" t="str">
        <f>IF('Prod 2'!K953="","",'Prod 2'!K953)</f>
        <v/>
      </c>
      <c r="G953" s="77" t="str">
        <f>IF('Prod 1'!I953="","",'Prod 1'!I953)</f>
        <v/>
      </c>
      <c r="H953" s="63" t="str">
        <f>IF('Prod 1'!F953="","",'Prod 1'!F953)</f>
        <v/>
      </c>
      <c r="I953" s="75" t="str">
        <f>IF('Prod 3'!F953="","",'Prod 3'!F953)</f>
        <v/>
      </c>
    </row>
    <row r="954" spans="3:9" ht="30" customHeight="1" x14ac:dyDescent="0.25">
      <c r="C954" s="42">
        <v>950</v>
      </c>
      <c r="D954" s="67" t="str">
        <f>IF('Prod 1'!D954="","",'Prod 1'!D954)</f>
        <v/>
      </c>
      <c r="E954" s="73" t="str">
        <f>IF('Prod 1'!E954="","",'Prod 1'!E954)</f>
        <v/>
      </c>
      <c r="F954" s="74" t="str">
        <f>IF('Prod 2'!K954="","",'Prod 2'!K954)</f>
        <v/>
      </c>
      <c r="G954" s="77" t="str">
        <f>IF('Prod 1'!I954="","",'Prod 1'!I954)</f>
        <v/>
      </c>
      <c r="H954" s="63" t="str">
        <f>IF('Prod 1'!F954="","",'Prod 1'!F954)</f>
        <v/>
      </c>
      <c r="I954" s="75" t="str">
        <f>IF('Prod 3'!F954="","",'Prod 3'!F954)</f>
        <v/>
      </c>
    </row>
    <row r="955" spans="3:9" ht="30" customHeight="1" x14ac:dyDescent="0.25">
      <c r="C955" s="42">
        <v>951</v>
      </c>
      <c r="D955" s="67" t="str">
        <f>IF('Prod 1'!D955="","",'Prod 1'!D955)</f>
        <v/>
      </c>
      <c r="E955" s="73" t="str">
        <f>IF('Prod 1'!E955="","",'Prod 1'!E955)</f>
        <v/>
      </c>
      <c r="F955" s="74" t="str">
        <f>IF('Prod 2'!K955="","",'Prod 2'!K955)</f>
        <v/>
      </c>
      <c r="G955" s="77" t="str">
        <f>IF('Prod 1'!I955="","",'Prod 1'!I955)</f>
        <v/>
      </c>
      <c r="H955" s="63" t="str">
        <f>IF('Prod 1'!F955="","",'Prod 1'!F955)</f>
        <v/>
      </c>
      <c r="I955" s="75" t="str">
        <f>IF('Prod 3'!F955="","",'Prod 3'!F955)</f>
        <v/>
      </c>
    </row>
    <row r="956" spans="3:9" ht="30" customHeight="1" x14ac:dyDescent="0.25">
      <c r="C956" s="42">
        <v>952</v>
      </c>
      <c r="D956" s="67" t="str">
        <f>IF('Prod 1'!D956="","",'Prod 1'!D956)</f>
        <v/>
      </c>
      <c r="E956" s="73" t="str">
        <f>IF('Prod 1'!E956="","",'Prod 1'!E956)</f>
        <v/>
      </c>
      <c r="F956" s="74" t="str">
        <f>IF('Prod 2'!K956="","",'Prod 2'!K956)</f>
        <v/>
      </c>
      <c r="G956" s="77" t="str">
        <f>IF('Prod 1'!I956="","",'Prod 1'!I956)</f>
        <v/>
      </c>
      <c r="H956" s="63" t="str">
        <f>IF('Prod 1'!F956="","",'Prod 1'!F956)</f>
        <v/>
      </c>
      <c r="I956" s="75" t="str">
        <f>IF('Prod 3'!F956="","",'Prod 3'!F956)</f>
        <v/>
      </c>
    </row>
    <row r="957" spans="3:9" ht="30" customHeight="1" x14ac:dyDescent="0.25">
      <c r="C957" s="42">
        <v>953</v>
      </c>
      <c r="D957" s="67" t="str">
        <f>IF('Prod 1'!D957="","",'Prod 1'!D957)</f>
        <v/>
      </c>
      <c r="E957" s="73" t="str">
        <f>IF('Prod 1'!E957="","",'Prod 1'!E957)</f>
        <v/>
      </c>
      <c r="F957" s="74" t="str">
        <f>IF('Prod 2'!K957="","",'Prod 2'!K957)</f>
        <v/>
      </c>
      <c r="G957" s="77" t="str">
        <f>IF('Prod 1'!I957="","",'Prod 1'!I957)</f>
        <v/>
      </c>
      <c r="H957" s="63" t="str">
        <f>IF('Prod 1'!F957="","",'Prod 1'!F957)</f>
        <v/>
      </c>
      <c r="I957" s="75" t="str">
        <f>IF('Prod 3'!F957="","",'Prod 3'!F957)</f>
        <v/>
      </c>
    </row>
    <row r="958" spans="3:9" ht="30" customHeight="1" x14ac:dyDescent="0.25">
      <c r="C958" s="42">
        <v>954</v>
      </c>
      <c r="D958" s="67" t="str">
        <f>IF('Prod 1'!D958="","",'Prod 1'!D958)</f>
        <v/>
      </c>
      <c r="E958" s="73" t="str">
        <f>IF('Prod 1'!E958="","",'Prod 1'!E958)</f>
        <v/>
      </c>
      <c r="F958" s="74" t="str">
        <f>IF('Prod 2'!K958="","",'Prod 2'!K958)</f>
        <v/>
      </c>
      <c r="G958" s="77" t="str">
        <f>IF('Prod 1'!I958="","",'Prod 1'!I958)</f>
        <v/>
      </c>
      <c r="H958" s="63" t="str">
        <f>IF('Prod 1'!F958="","",'Prod 1'!F958)</f>
        <v/>
      </c>
      <c r="I958" s="75" t="str">
        <f>IF('Prod 3'!F958="","",'Prod 3'!F958)</f>
        <v/>
      </c>
    </row>
    <row r="959" spans="3:9" ht="30" customHeight="1" x14ac:dyDescent="0.25">
      <c r="C959" s="42">
        <v>955</v>
      </c>
      <c r="D959" s="67" t="str">
        <f>IF('Prod 1'!D959="","",'Prod 1'!D959)</f>
        <v/>
      </c>
      <c r="E959" s="73" t="str">
        <f>IF('Prod 1'!E959="","",'Prod 1'!E959)</f>
        <v/>
      </c>
      <c r="F959" s="74" t="str">
        <f>IF('Prod 2'!K959="","",'Prod 2'!K959)</f>
        <v/>
      </c>
      <c r="G959" s="77" t="str">
        <f>IF('Prod 1'!I959="","",'Prod 1'!I959)</f>
        <v/>
      </c>
      <c r="H959" s="63" t="str">
        <f>IF('Prod 1'!F959="","",'Prod 1'!F959)</f>
        <v/>
      </c>
      <c r="I959" s="75" t="str">
        <f>IF('Prod 3'!F959="","",'Prod 3'!F959)</f>
        <v/>
      </c>
    </row>
    <row r="960" spans="3:9" ht="30" customHeight="1" x14ac:dyDescent="0.25">
      <c r="C960" s="42">
        <v>956</v>
      </c>
      <c r="D960" s="67" t="str">
        <f>IF('Prod 1'!D960="","",'Prod 1'!D960)</f>
        <v/>
      </c>
      <c r="E960" s="73" t="str">
        <f>IF('Prod 1'!E960="","",'Prod 1'!E960)</f>
        <v/>
      </c>
      <c r="F960" s="74" t="str">
        <f>IF('Prod 2'!K960="","",'Prod 2'!K960)</f>
        <v/>
      </c>
      <c r="G960" s="77" t="str">
        <f>IF('Prod 1'!I960="","",'Prod 1'!I960)</f>
        <v/>
      </c>
      <c r="H960" s="63" t="str">
        <f>IF('Prod 1'!F960="","",'Prod 1'!F960)</f>
        <v/>
      </c>
      <c r="I960" s="75" t="str">
        <f>IF('Prod 3'!F960="","",'Prod 3'!F960)</f>
        <v/>
      </c>
    </row>
    <row r="961" spans="3:9" ht="30" customHeight="1" x14ac:dyDescent="0.25">
      <c r="C961" s="42">
        <v>957</v>
      </c>
      <c r="D961" s="67" t="str">
        <f>IF('Prod 1'!D961="","",'Prod 1'!D961)</f>
        <v/>
      </c>
      <c r="E961" s="73" t="str">
        <f>IF('Prod 1'!E961="","",'Prod 1'!E961)</f>
        <v/>
      </c>
      <c r="F961" s="74" t="str">
        <f>IF('Prod 2'!K961="","",'Prod 2'!K961)</f>
        <v/>
      </c>
      <c r="G961" s="77" t="str">
        <f>IF('Prod 1'!I961="","",'Prod 1'!I961)</f>
        <v/>
      </c>
      <c r="H961" s="63" t="str">
        <f>IF('Prod 1'!F961="","",'Prod 1'!F961)</f>
        <v/>
      </c>
      <c r="I961" s="75" t="str">
        <f>IF('Prod 3'!F961="","",'Prod 3'!F961)</f>
        <v/>
      </c>
    </row>
    <row r="962" spans="3:9" ht="30" customHeight="1" x14ac:dyDescent="0.25">
      <c r="C962" s="42">
        <v>958</v>
      </c>
      <c r="D962" s="67" t="str">
        <f>IF('Prod 1'!D962="","",'Prod 1'!D962)</f>
        <v/>
      </c>
      <c r="E962" s="73" t="str">
        <f>IF('Prod 1'!E962="","",'Prod 1'!E962)</f>
        <v/>
      </c>
      <c r="F962" s="74" t="str">
        <f>IF('Prod 2'!K962="","",'Prod 2'!K962)</f>
        <v/>
      </c>
      <c r="G962" s="77" t="str">
        <f>IF('Prod 1'!I962="","",'Prod 1'!I962)</f>
        <v/>
      </c>
      <c r="H962" s="63" t="str">
        <f>IF('Prod 1'!F962="","",'Prod 1'!F962)</f>
        <v/>
      </c>
      <c r="I962" s="75" t="str">
        <f>IF('Prod 3'!F962="","",'Prod 3'!F962)</f>
        <v/>
      </c>
    </row>
    <row r="963" spans="3:9" ht="30" customHeight="1" x14ac:dyDescent="0.25">
      <c r="C963" s="42">
        <v>959</v>
      </c>
      <c r="D963" s="67" t="str">
        <f>IF('Prod 1'!D963="","",'Prod 1'!D963)</f>
        <v/>
      </c>
      <c r="E963" s="73" t="str">
        <f>IF('Prod 1'!E963="","",'Prod 1'!E963)</f>
        <v/>
      </c>
      <c r="F963" s="74" t="str">
        <f>IF('Prod 2'!K963="","",'Prod 2'!K963)</f>
        <v/>
      </c>
      <c r="G963" s="77" t="str">
        <f>IF('Prod 1'!I963="","",'Prod 1'!I963)</f>
        <v/>
      </c>
      <c r="H963" s="63" t="str">
        <f>IF('Prod 1'!F963="","",'Prod 1'!F963)</f>
        <v/>
      </c>
      <c r="I963" s="75" t="str">
        <f>IF('Prod 3'!F963="","",'Prod 3'!F963)</f>
        <v/>
      </c>
    </row>
    <row r="964" spans="3:9" ht="30" customHeight="1" x14ac:dyDescent="0.25">
      <c r="C964" s="42">
        <v>960</v>
      </c>
      <c r="D964" s="67" t="str">
        <f>IF('Prod 1'!D964="","",'Prod 1'!D964)</f>
        <v/>
      </c>
      <c r="E964" s="73" t="str">
        <f>IF('Prod 1'!E964="","",'Prod 1'!E964)</f>
        <v/>
      </c>
      <c r="F964" s="74" t="str">
        <f>IF('Prod 2'!K964="","",'Prod 2'!K964)</f>
        <v/>
      </c>
      <c r="G964" s="77" t="str">
        <f>IF('Prod 1'!I964="","",'Prod 1'!I964)</f>
        <v/>
      </c>
      <c r="H964" s="63" t="str">
        <f>IF('Prod 1'!F964="","",'Prod 1'!F964)</f>
        <v/>
      </c>
      <c r="I964" s="75" t="str">
        <f>IF('Prod 3'!F964="","",'Prod 3'!F964)</f>
        <v/>
      </c>
    </row>
    <row r="965" spans="3:9" ht="30" customHeight="1" x14ac:dyDescent="0.25">
      <c r="C965" s="42">
        <v>961</v>
      </c>
      <c r="D965" s="67" t="str">
        <f>IF('Prod 1'!D965="","",'Prod 1'!D965)</f>
        <v/>
      </c>
      <c r="E965" s="73" t="str">
        <f>IF('Prod 1'!E965="","",'Prod 1'!E965)</f>
        <v/>
      </c>
      <c r="F965" s="74" t="str">
        <f>IF('Prod 2'!K965="","",'Prod 2'!K965)</f>
        <v/>
      </c>
      <c r="G965" s="77" t="str">
        <f>IF('Prod 1'!I965="","",'Prod 1'!I965)</f>
        <v/>
      </c>
      <c r="H965" s="63" t="str">
        <f>IF('Prod 1'!F965="","",'Prod 1'!F965)</f>
        <v/>
      </c>
      <c r="I965" s="75" t="str">
        <f>IF('Prod 3'!F965="","",'Prod 3'!F965)</f>
        <v/>
      </c>
    </row>
    <row r="966" spans="3:9" ht="30" customHeight="1" x14ac:dyDescent="0.25">
      <c r="C966" s="42">
        <v>962</v>
      </c>
      <c r="D966" s="67" t="str">
        <f>IF('Prod 1'!D966="","",'Prod 1'!D966)</f>
        <v/>
      </c>
      <c r="E966" s="73" t="str">
        <f>IF('Prod 1'!E966="","",'Prod 1'!E966)</f>
        <v/>
      </c>
      <c r="F966" s="74" t="str">
        <f>IF('Prod 2'!K966="","",'Prod 2'!K966)</f>
        <v/>
      </c>
      <c r="G966" s="77" t="str">
        <f>IF('Prod 1'!I966="","",'Prod 1'!I966)</f>
        <v/>
      </c>
      <c r="H966" s="63" t="str">
        <f>IF('Prod 1'!F966="","",'Prod 1'!F966)</f>
        <v/>
      </c>
      <c r="I966" s="75" t="str">
        <f>IF('Prod 3'!F966="","",'Prod 3'!F966)</f>
        <v/>
      </c>
    </row>
    <row r="967" spans="3:9" ht="30" customHeight="1" x14ac:dyDescent="0.25">
      <c r="C967" s="42">
        <v>963</v>
      </c>
      <c r="D967" s="67" t="str">
        <f>IF('Prod 1'!D967="","",'Prod 1'!D967)</f>
        <v/>
      </c>
      <c r="E967" s="73" t="str">
        <f>IF('Prod 1'!E967="","",'Prod 1'!E967)</f>
        <v/>
      </c>
      <c r="F967" s="74" t="str">
        <f>IF('Prod 2'!K967="","",'Prod 2'!K967)</f>
        <v/>
      </c>
      <c r="G967" s="77" t="str">
        <f>IF('Prod 1'!I967="","",'Prod 1'!I967)</f>
        <v/>
      </c>
      <c r="H967" s="63" t="str">
        <f>IF('Prod 1'!F967="","",'Prod 1'!F967)</f>
        <v/>
      </c>
      <c r="I967" s="75" t="str">
        <f>IF('Prod 3'!F967="","",'Prod 3'!F967)</f>
        <v/>
      </c>
    </row>
    <row r="968" spans="3:9" ht="30" customHeight="1" x14ac:dyDescent="0.25">
      <c r="C968" s="42">
        <v>964</v>
      </c>
      <c r="D968" s="67" t="str">
        <f>IF('Prod 1'!D968="","",'Prod 1'!D968)</f>
        <v/>
      </c>
      <c r="E968" s="73" t="str">
        <f>IF('Prod 1'!E968="","",'Prod 1'!E968)</f>
        <v/>
      </c>
      <c r="F968" s="74" t="str">
        <f>IF('Prod 2'!K968="","",'Prod 2'!K968)</f>
        <v/>
      </c>
      <c r="G968" s="77" t="str">
        <f>IF('Prod 1'!I968="","",'Prod 1'!I968)</f>
        <v/>
      </c>
      <c r="H968" s="63" t="str">
        <f>IF('Prod 1'!F968="","",'Prod 1'!F968)</f>
        <v/>
      </c>
      <c r="I968" s="75" t="str">
        <f>IF('Prod 3'!F968="","",'Prod 3'!F968)</f>
        <v/>
      </c>
    </row>
    <row r="969" spans="3:9" ht="30" customHeight="1" x14ac:dyDescent="0.25">
      <c r="C969" s="42">
        <v>965</v>
      </c>
      <c r="D969" s="67" t="str">
        <f>IF('Prod 1'!D969="","",'Prod 1'!D969)</f>
        <v/>
      </c>
      <c r="E969" s="73" t="str">
        <f>IF('Prod 1'!E969="","",'Prod 1'!E969)</f>
        <v/>
      </c>
      <c r="F969" s="74" t="str">
        <f>IF('Prod 2'!K969="","",'Prod 2'!K969)</f>
        <v/>
      </c>
      <c r="G969" s="77" t="str">
        <f>IF('Prod 1'!I969="","",'Prod 1'!I969)</f>
        <v/>
      </c>
      <c r="H969" s="63" t="str">
        <f>IF('Prod 1'!F969="","",'Prod 1'!F969)</f>
        <v/>
      </c>
      <c r="I969" s="75" t="str">
        <f>IF('Prod 3'!F969="","",'Prod 3'!F969)</f>
        <v/>
      </c>
    </row>
    <row r="970" spans="3:9" ht="30" customHeight="1" x14ac:dyDescent="0.25">
      <c r="C970" s="42">
        <v>966</v>
      </c>
      <c r="D970" s="67" t="str">
        <f>IF('Prod 1'!D970="","",'Prod 1'!D970)</f>
        <v/>
      </c>
      <c r="E970" s="73" t="str">
        <f>IF('Prod 1'!E970="","",'Prod 1'!E970)</f>
        <v/>
      </c>
      <c r="F970" s="74" t="str">
        <f>IF('Prod 2'!K970="","",'Prod 2'!K970)</f>
        <v/>
      </c>
      <c r="G970" s="77" t="str">
        <f>IF('Prod 1'!I970="","",'Prod 1'!I970)</f>
        <v/>
      </c>
      <c r="H970" s="63" t="str">
        <f>IF('Prod 1'!F970="","",'Prod 1'!F970)</f>
        <v/>
      </c>
      <c r="I970" s="75" t="str">
        <f>IF('Prod 3'!F970="","",'Prod 3'!F970)</f>
        <v/>
      </c>
    </row>
    <row r="971" spans="3:9" ht="30" customHeight="1" x14ac:dyDescent="0.25">
      <c r="C971" s="42">
        <v>967</v>
      </c>
      <c r="D971" s="67" t="str">
        <f>IF('Prod 1'!D971="","",'Prod 1'!D971)</f>
        <v/>
      </c>
      <c r="E971" s="73" t="str">
        <f>IF('Prod 1'!E971="","",'Prod 1'!E971)</f>
        <v/>
      </c>
      <c r="F971" s="74" t="str">
        <f>IF('Prod 2'!K971="","",'Prod 2'!K971)</f>
        <v/>
      </c>
      <c r="G971" s="77" t="str">
        <f>IF('Prod 1'!I971="","",'Prod 1'!I971)</f>
        <v/>
      </c>
      <c r="H971" s="63" t="str">
        <f>IF('Prod 1'!F971="","",'Prod 1'!F971)</f>
        <v/>
      </c>
      <c r="I971" s="75" t="str">
        <f>IF('Prod 3'!F971="","",'Prod 3'!F971)</f>
        <v/>
      </c>
    </row>
    <row r="972" spans="3:9" ht="30" customHeight="1" x14ac:dyDescent="0.25">
      <c r="C972" s="42">
        <v>968</v>
      </c>
      <c r="D972" s="67" t="str">
        <f>IF('Prod 1'!D972="","",'Prod 1'!D972)</f>
        <v/>
      </c>
      <c r="E972" s="73" t="str">
        <f>IF('Prod 1'!E972="","",'Prod 1'!E972)</f>
        <v/>
      </c>
      <c r="F972" s="74" t="str">
        <f>IF('Prod 2'!K972="","",'Prod 2'!K972)</f>
        <v/>
      </c>
      <c r="G972" s="77" t="str">
        <f>IF('Prod 1'!I972="","",'Prod 1'!I972)</f>
        <v/>
      </c>
      <c r="H972" s="63" t="str">
        <f>IF('Prod 1'!F972="","",'Prod 1'!F972)</f>
        <v/>
      </c>
      <c r="I972" s="75" t="str">
        <f>IF('Prod 3'!F972="","",'Prod 3'!F972)</f>
        <v/>
      </c>
    </row>
    <row r="973" spans="3:9" ht="30" customHeight="1" x14ac:dyDescent="0.25">
      <c r="C973" s="42">
        <v>969</v>
      </c>
      <c r="D973" s="67" t="str">
        <f>IF('Prod 1'!D973="","",'Prod 1'!D973)</f>
        <v/>
      </c>
      <c r="E973" s="73" t="str">
        <f>IF('Prod 1'!E973="","",'Prod 1'!E973)</f>
        <v/>
      </c>
      <c r="F973" s="74" t="str">
        <f>IF('Prod 2'!K973="","",'Prod 2'!K973)</f>
        <v/>
      </c>
      <c r="G973" s="77" t="str">
        <f>IF('Prod 1'!I973="","",'Prod 1'!I973)</f>
        <v/>
      </c>
      <c r="H973" s="63" t="str">
        <f>IF('Prod 1'!F973="","",'Prod 1'!F973)</f>
        <v/>
      </c>
      <c r="I973" s="75" t="str">
        <f>IF('Prod 3'!F973="","",'Prod 3'!F973)</f>
        <v/>
      </c>
    </row>
    <row r="974" spans="3:9" ht="30" customHeight="1" x14ac:dyDescent="0.25">
      <c r="C974" s="42">
        <v>970</v>
      </c>
      <c r="D974" s="67" t="str">
        <f>IF('Prod 1'!D974="","",'Prod 1'!D974)</f>
        <v/>
      </c>
      <c r="E974" s="73" t="str">
        <f>IF('Prod 1'!E974="","",'Prod 1'!E974)</f>
        <v/>
      </c>
      <c r="F974" s="74" t="str">
        <f>IF('Prod 2'!K974="","",'Prod 2'!K974)</f>
        <v/>
      </c>
      <c r="G974" s="77" t="str">
        <f>IF('Prod 1'!I974="","",'Prod 1'!I974)</f>
        <v/>
      </c>
      <c r="H974" s="63" t="str">
        <f>IF('Prod 1'!F974="","",'Prod 1'!F974)</f>
        <v/>
      </c>
      <c r="I974" s="75" t="str">
        <f>IF('Prod 3'!F974="","",'Prod 3'!F974)</f>
        <v/>
      </c>
    </row>
    <row r="975" spans="3:9" ht="30" customHeight="1" x14ac:dyDescent="0.25">
      <c r="C975" s="42">
        <v>971</v>
      </c>
      <c r="D975" s="67" t="str">
        <f>IF('Prod 1'!D975="","",'Prod 1'!D975)</f>
        <v/>
      </c>
      <c r="E975" s="73" t="str">
        <f>IF('Prod 1'!E975="","",'Prod 1'!E975)</f>
        <v/>
      </c>
      <c r="F975" s="74" t="str">
        <f>IF('Prod 2'!K975="","",'Prod 2'!K975)</f>
        <v/>
      </c>
      <c r="G975" s="77" t="str">
        <f>IF('Prod 1'!I975="","",'Prod 1'!I975)</f>
        <v/>
      </c>
      <c r="H975" s="63" t="str">
        <f>IF('Prod 1'!F975="","",'Prod 1'!F975)</f>
        <v/>
      </c>
      <c r="I975" s="75" t="str">
        <f>IF('Prod 3'!F975="","",'Prod 3'!F975)</f>
        <v/>
      </c>
    </row>
    <row r="976" spans="3:9" ht="30" customHeight="1" x14ac:dyDescent="0.25">
      <c r="C976" s="42">
        <v>972</v>
      </c>
      <c r="D976" s="67" t="str">
        <f>IF('Prod 1'!D976="","",'Prod 1'!D976)</f>
        <v/>
      </c>
      <c r="E976" s="73" t="str">
        <f>IF('Prod 1'!E976="","",'Prod 1'!E976)</f>
        <v/>
      </c>
      <c r="F976" s="74" t="str">
        <f>IF('Prod 2'!K976="","",'Prod 2'!K976)</f>
        <v/>
      </c>
      <c r="G976" s="77" t="str">
        <f>IF('Prod 1'!I976="","",'Prod 1'!I976)</f>
        <v/>
      </c>
      <c r="H976" s="63" t="str">
        <f>IF('Prod 1'!F976="","",'Prod 1'!F976)</f>
        <v/>
      </c>
      <c r="I976" s="75" t="str">
        <f>IF('Prod 3'!F976="","",'Prod 3'!F976)</f>
        <v/>
      </c>
    </row>
    <row r="977" spans="3:9" ht="30" customHeight="1" x14ac:dyDescent="0.25">
      <c r="C977" s="42">
        <v>973</v>
      </c>
      <c r="D977" s="67" t="str">
        <f>IF('Prod 1'!D977="","",'Prod 1'!D977)</f>
        <v/>
      </c>
      <c r="E977" s="73" t="str">
        <f>IF('Prod 1'!E977="","",'Prod 1'!E977)</f>
        <v/>
      </c>
      <c r="F977" s="74" t="str">
        <f>IF('Prod 2'!K977="","",'Prod 2'!K977)</f>
        <v/>
      </c>
      <c r="G977" s="77" t="str">
        <f>IF('Prod 1'!I977="","",'Prod 1'!I977)</f>
        <v/>
      </c>
      <c r="H977" s="63" t="str">
        <f>IF('Prod 1'!F977="","",'Prod 1'!F977)</f>
        <v/>
      </c>
      <c r="I977" s="75" t="str">
        <f>IF('Prod 3'!F977="","",'Prod 3'!F977)</f>
        <v/>
      </c>
    </row>
    <row r="978" spans="3:9" ht="30" customHeight="1" x14ac:dyDescent="0.25">
      <c r="C978" s="42">
        <v>974</v>
      </c>
      <c r="D978" s="67" t="str">
        <f>IF('Prod 1'!D978="","",'Prod 1'!D978)</f>
        <v/>
      </c>
      <c r="E978" s="73" t="str">
        <f>IF('Prod 1'!E978="","",'Prod 1'!E978)</f>
        <v/>
      </c>
      <c r="F978" s="74" t="str">
        <f>IF('Prod 2'!K978="","",'Prod 2'!K978)</f>
        <v/>
      </c>
      <c r="G978" s="77" t="str">
        <f>IF('Prod 1'!I978="","",'Prod 1'!I978)</f>
        <v/>
      </c>
      <c r="H978" s="63" t="str">
        <f>IF('Prod 1'!F978="","",'Prod 1'!F978)</f>
        <v/>
      </c>
      <c r="I978" s="75" t="str">
        <f>IF('Prod 3'!F978="","",'Prod 3'!F978)</f>
        <v/>
      </c>
    </row>
    <row r="979" spans="3:9" ht="30" customHeight="1" x14ac:dyDescent="0.25">
      <c r="C979" s="42">
        <v>975</v>
      </c>
      <c r="D979" s="67" t="str">
        <f>IF('Prod 1'!D979="","",'Prod 1'!D979)</f>
        <v/>
      </c>
      <c r="E979" s="73" t="str">
        <f>IF('Prod 1'!E979="","",'Prod 1'!E979)</f>
        <v/>
      </c>
      <c r="F979" s="74" t="str">
        <f>IF('Prod 2'!K979="","",'Prod 2'!K979)</f>
        <v/>
      </c>
      <c r="G979" s="77" t="str">
        <f>IF('Prod 1'!I979="","",'Prod 1'!I979)</f>
        <v/>
      </c>
      <c r="H979" s="63" t="str">
        <f>IF('Prod 1'!F979="","",'Prod 1'!F979)</f>
        <v/>
      </c>
      <c r="I979" s="75" t="str">
        <f>IF('Prod 3'!F979="","",'Prod 3'!F979)</f>
        <v/>
      </c>
    </row>
    <row r="980" spans="3:9" ht="30" customHeight="1" x14ac:dyDescent="0.25">
      <c r="C980" s="42">
        <v>976</v>
      </c>
      <c r="D980" s="67" t="str">
        <f>IF('Prod 1'!D980="","",'Prod 1'!D980)</f>
        <v/>
      </c>
      <c r="E980" s="73" t="str">
        <f>IF('Prod 1'!E980="","",'Prod 1'!E980)</f>
        <v/>
      </c>
      <c r="F980" s="74" t="str">
        <f>IF('Prod 2'!K980="","",'Prod 2'!K980)</f>
        <v/>
      </c>
      <c r="G980" s="77" t="str">
        <f>IF('Prod 1'!I980="","",'Prod 1'!I980)</f>
        <v/>
      </c>
      <c r="H980" s="63" t="str">
        <f>IF('Prod 1'!F980="","",'Prod 1'!F980)</f>
        <v/>
      </c>
      <c r="I980" s="75" t="str">
        <f>IF('Prod 3'!F980="","",'Prod 3'!F980)</f>
        <v/>
      </c>
    </row>
    <row r="981" spans="3:9" ht="30" customHeight="1" x14ac:dyDescent="0.25">
      <c r="C981" s="42">
        <v>977</v>
      </c>
      <c r="D981" s="67" t="str">
        <f>IF('Prod 1'!D981="","",'Prod 1'!D981)</f>
        <v/>
      </c>
      <c r="E981" s="73" t="str">
        <f>IF('Prod 1'!E981="","",'Prod 1'!E981)</f>
        <v/>
      </c>
      <c r="F981" s="74" t="str">
        <f>IF('Prod 2'!K981="","",'Prod 2'!K981)</f>
        <v/>
      </c>
      <c r="G981" s="77" t="str">
        <f>IF('Prod 1'!I981="","",'Prod 1'!I981)</f>
        <v/>
      </c>
      <c r="H981" s="63" t="str">
        <f>IF('Prod 1'!F981="","",'Prod 1'!F981)</f>
        <v/>
      </c>
      <c r="I981" s="75" t="str">
        <f>IF('Prod 3'!F981="","",'Prod 3'!F981)</f>
        <v/>
      </c>
    </row>
    <row r="982" spans="3:9" ht="30" customHeight="1" x14ac:dyDescent="0.25">
      <c r="C982" s="42">
        <v>978</v>
      </c>
      <c r="D982" s="67" t="str">
        <f>IF('Prod 1'!D982="","",'Prod 1'!D982)</f>
        <v/>
      </c>
      <c r="E982" s="73" t="str">
        <f>IF('Prod 1'!E982="","",'Prod 1'!E982)</f>
        <v/>
      </c>
      <c r="F982" s="74" t="str">
        <f>IF('Prod 2'!K982="","",'Prod 2'!K982)</f>
        <v/>
      </c>
      <c r="G982" s="77" t="str">
        <f>IF('Prod 1'!I982="","",'Prod 1'!I982)</f>
        <v/>
      </c>
      <c r="H982" s="63" t="str">
        <f>IF('Prod 1'!F982="","",'Prod 1'!F982)</f>
        <v/>
      </c>
      <c r="I982" s="75" t="str">
        <f>IF('Prod 3'!F982="","",'Prod 3'!F982)</f>
        <v/>
      </c>
    </row>
    <row r="983" spans="3:9" ht="30" customHeight="1" x14ac:dyDescent="0.25">
      <c r="C983" s="42">
        <v>979</v>
      </c>
      <c r="D983" s="67" t="str">
        <f>IF('Prod 1'!D983="","",'Prod 1'!D983)</f>
        <v/>
      </c>
      <c r="E983" s="73" t="str">
        <f>IF('Prod 1'!E983="","",'Prod 1'!E983)</f>
        <v/>
      </c>
      <c r="F983" s="74" t="str">
        <f>IF('Prod 2'!K983="","",'Prod 2'!K983)</f>
        <v/>
      </c>
      <c r="G983" s="77" t="str">
        <f>IF('Prod 1'!I983="","",'Prod 1'!I983)</f>
        <v/>
      </c>
      <c r="H983" s="63" t="str">
        <f>IF('Prod 1'!F983="","",'Prod 1'!F983)</f>
        <v/>
      </c>
      <c r="I983" s="75" t="str">
        <f>IF('Prod 3'!F983="","",'Prod 3'!F983)</f>
        <v/>
      </c>
    </row>
    <row r="984" spans="3:9" ht="30" customHeight="1" x14ac:dyDescent="0.25">
      <c r="C984" s="42">
        <v>980</v>
      </c>
      <c r="D984" s="67" t="str">
        <f>IF('Prod 1'!D984="","",'Prod 1'!D984)</f>
        <v/>
      </c>
      <c r="E984" s="73" t="str">
        <f>IF('Prod 1'!E984="","",'Prod 1'!E984)</f>
        <v/>
      </c>
      <c r="F984" s="74" t="str">
        <f>IF('Prod 2'!K984="","",'Prod 2'!K984)</f>
        <v/>
      </c>
      <c r="G984" s="77" t="str">
        <f>IF('Prod 1'!I984="","",'Prod 1'!I984)</f>
        <v/>
      </c>
      <c r="H984" s="63" t="str">
        <f>IF('Prod 1'!F984="","",'Prod 1'!F984)</f>
        <v/>
      </c>
      <c r="I984" s="75" t="str">
        <f>IF('Prod 3'!F984="","",'Prod 3'!F984)</f>
        <v/>
      </c>
    </row>
    <row r="985" spans="3:9" ht="30" customHeight="1" x14ac:dyDescent="0.25">
      <c r="C985" s="42">
        <v>981</v>
      </c>
      <c r="D985" s="67" t="str">
        <f>IF('Prod 1'!D985="","",'Prod 1'!D985)</f>
        <v/>
      </c>
      <c r="E985" s="73" t="str">
        <f>IF('Prod 1'!E985="","",'Prod 1'!E985)</f>
        <v/>
      </c>
      <c r="F985" s="74" t="str">
        <f>IF('Prod 2'!K985="","",'Prod 2'!K985)</f>
        <v/>
      </c>
      <c r="G985" s="77" t="str">
        <f>IF('Prod 1'!I985="","",'Prod 1'!I985)</f>
        <v/>
      </c>
      <c r="H985" s="63" t="str">
        <f>IF('Prod 1'!F985="","",'Prod 1'!F985)</f>
        <v/>
      </c>
      <c r="I985" s="75" t="str">
        <f>IF('Prod 3'!F985="","",'Prod 3'!F985)</f>
        <v/>
      </c>
    </row>
    <row r="986" spans="3:9" ht="30" customHeight="1" x14ac:dyDescent="0.25">
      <c r="C986" s="42">
        <v>982</v>
      </c>
      <c r="D986" s="67" t="str">
        <f>IF('Prod 1'!D986="","",'Prod 1'!D986)</f>
        <v/>
      </c>
      <c r="E986" s="73" t="str">
        <f>IF('Prod 1'!E986="","",'Prod 1'!E986)</f>
        <v/>
      </c>
      <c r="F986" s="74" t="str">
        <f>IF('Prod 2'!K986="","",'Prod 2'!K986)</f>
        <v/>
      </c>
      <c r="G986" s="77" t="str">
        <f>IF('Prod 1'!I986="","",'Prod 1'!I986)</f>
        <v/>
      </c>
      <c r="H986" s="63" t="str">
        <f>IF('Prod 1'!F986="","",'Prod 1'!F986)</f>
        <v/>
      </c>
      <c r="I986" s="75" t="str">
        <f>IF('Prod 3'!F986="","",'Prod 3'!F986)</f>
        <v/>
      </c>
    </row>
    <row r="987" spans="3:9" ht="30" customHeight="1" x14ac:dyDescent="0.25">
      <c r="C987" s="42">
        <v>983</v>
      </c>
      <c r="D987" s="67" t="str">
        <f>IF('Prod 1'!D987="","",'Prod 1'!D987)</f>
        <v/>
      </c>
      <c r="E987" s="73" t="str">
        <f>IF('Prod 1'!E987="","",'Prod 1'!E987)</f>
        <v/>
      </c>
      <c r="F987" s="74" t="str">
        <f>IF('Prod 2'!K987="","",'Prod 2'!K987)</f>
        <v/>
      </c>
      <c r="G987" s="77" t="str">
        <f>IF('Prod 1'!I987="","",'Prod 1'!I987)</f>
        <v/>
      </c>
      <c r="H987" s="63" t="str">
        <f>IF('Prod 1'!F987="","",'Prod 1'!F987)</f>
        <v/>
      </c>
      <c r="I987" s="75" t="str">
        <f>IF('Prod 3'!F987="","",'Prod 3'!F987)</f>
        <v/>
      </c>
    </row>
    <row r="988" spans="3:9" ht="30" customHeight="1" x14ac:dyDescent="0.25">
      <c r="C988" s="42">
        <v>984</v>
      </c>
      <c r="D988" s="67" t="str">
        <f>IF('Prod 1'!D988="","",'Prod 1'!D988)</f>
        <v/>
      </c>
      <c r="E988" s="73" t="str">
        <f>IF('Prod 1'!E988="","",'Prod 1'!E988)</f>
        <v/>
      </c>
      <c r="F988" s="74" t="str">
        <f>IF('Prod 2'!K988="","",'Prod 2'!K988)</f>
        <v/>
      </c>
      <c r="G988" s="77" t="str">
        <f>IF('Prod 1'!I988="","",'Prod 1'!I988)</f>
        <v/>
      </c>
      <c r="H988" s="63" t="str">
        <f>IF('Prod 1'!F988="","",'Prod 1'!F988)</f>
        <v/>
      </c>
      <c r="I988" s="75" t="str">
        <f>IF('Prod 3'!F988="","",'Prod 3'!F988)</f>
        <v/>
      </c>
    </row>
    <row r="989" spans="3:9" ht="30" customHeight="1" x14ac:dyDescent="0.25">
      <c r="C989" s="42">
        <v>985</v>
      </c>
      <c r="D989" s="67" t="str">
        <f>IF('Prod 1'!D989="","",'Prod 1'!D989)</f>
        <v/>
      </c>
      <c r="E989" s="73" t="str">
        <f>IF('Prod 1'!E989="","",'Prod 1'!E989)</f>
        <v/>
      </c>
      <c r="F989" s="74" t="str">
        <f>IF('Prod 2'!K989="","",'Prod 2'!K989)</f>
        <v/>
      </c>
      <c r="G989" s="77" t="str">
        <f>IF('Prod 1'!I989="","",'Prod 1'!I989)</f>
        <v/>
      </c>
      <c r="H989" s="63" t="str">
        <f>IF('Prod 1'!F989="","",'Prod 1'!F989)</f>
        <v/>
      </c>
      <c r="I989" s="75" t="str">
        <f>IF('Prod 3'!F989="","",'Prod 3'!F989)</f>
        <v/>
      </c>
    </row>
    <row r="990" spans="3:9" ht="30" customHeight="1" x14ac:dyDescent="0.25">
      <c r="C990" s="42">
        <v>986</v>
      </c>
      <c r="D990" s="67" t="str">
        <f>IF('Prod 1'!D990="","",'Prod 1'!D990)</f>
        <v/>
      </c>
      <c r="E990" s="73" t="str">
        <f>IF('Prod 1'!E990="","",'Prod 1'!E990)</f>
        <v/>
      </c>
      <c r="F990" s="74" t="str">
        <f>IF('Prod 2'!K990="","",'Prod 2'!K990)</f>
        <v/>
      </c>
      <c r="G990" s="77" t="str">
        <f>IF('Prod 1'!I990="","",'Prod 1'!I990)</f>
        <v/>
      </c>
      <c r="H990" s="63" t="str">
        <f>IF('Prod 1'!F990="","",'Prod 1'!F990)</f>
        <v/>
      </c>
      <c r="I990" s="75" t="str">
        <f>IF('Prod 3'!F990="","",'Prod 3'!F990)</f>
        <v/>
      </c>
    </row>
    <row r="991" spans="3:9" ht="30" customHeight="1" x14ac:dyDescent="0.25">
      <c r="C991" s="42">
        <v>987</v>
      </c>
      <c r="D991" s="67" t="str">
        <f>IF('Prod 1'!D991="","",'Prod 1'!D991)</f>
        <v/>
      </c>
      <c r="E991" s="73" t="str">
        <f>IF('Prod 1'!E991="","",'Prod 1'!E991)</f>
        <v/>
      </c>
      <c r="F991" s="74" t="str">
        <f>IF('Prod 2'!K991="","",'Prod 2'!K991)</f>
        <v/>
      </c>
      <c r="G991" s="77" t="str">
        <f>IF('Prod 1'!I991="","",'Prod 1'!I991)</f>
        <v/>
      </c>
      <c r="H991" s="63" t="str">
        <f>IF('Prod 1'!F991="","",'Prod 1'!F991)</f>
        <v/>
      </c>
      <c r="I991" s="75" t="str">
        <f>IF('Prod 3'!F991="","",'Prod 3'!F991)</f>
        <v/>
      </c>
    </row>
    <row r="992" spans="3:9" ht="30" customHeight="1" x14ac:dyDescent="0.25">
      <c r="C992" s="42">
        <v>988</v>
      </c>
      <c r="D992" s="67" t="str">
        <f>IF('Prod 1'!D992="","",'Prod 1'!D992)</f>
        <v/>
      </c>
      <c r="E992" s="73" t="str">
        <f>IF('Prod 1'!E992="","",'Prod 1'!E992)</f>
        <v/>
      </c>
      <c r="F992" s="74" t="str">
        <f>IF('Prod 2'!K992="","",'Prod 2'!K992)</f>
        <v/>
      </c>
      <c r="G992" s="77" t="str">
        <f>IF('Prod 1'!I992="","",'Prod 1'!I992)</f>
        <v/>
      </c>
      <c r="H992" s="63" t="str">
        <f>IF('Prod 1'!F992="","",'Prod 1'!F992)</f>
        <v/>
      </c>
      <c r="I992" s="75" t="str">
        <f>IF('Prod 3'!F992="","",'Prod 3'!F992)</f>
        <v/>
      </c>
    </row>
    <row r="993" spans="3:9" ht="30" customHeight="1" x14ac:dyDescent="0.25">
      <c r="C993" s="42">
        <v>989</v>
      </c>
      <c r="D993" s="67" t="str">
        <f>IF('Prod 1'!D993="","",'Prod 1'!D993)</f>
        <v/>
      </c>
      <c r="E993" s="73" t="str">
        <f>IF('Prod 1'!E993="","",'Prod 1'!E993)</f>
        <v/>
      </c>
      <c r="F993" s="74" t="str">
        <f>IF('Prod 2'!K993="","",'Prod 2'!K993)</f>
        <v/>
      </c>
      <c r="G993" s="77" t="str">
        <f>IF('Prod 1'!I993="","",'Prod 1'!I993)</f>
        <v/>
      </c>
      <c r="H993" s="63" t="str">
        <f>IF('Prod 1'!F993="","",'Prod 1'!F993)</f>
        <v/>
      </c>
      <c r="I993" s="75" t="str">
        <f>IF('Prod 3'!F993="","",'Prod 3'!F993)</f>
        <v/>
      </c>
    </row>
    <row r="994" spans="3:9" ht="30" customHeight="1" x14ac:dyDescent="0.25">
      <c r="C994" s="42">
        <v>990</v>
      </c>
      <c r="D994" s="67" t="str">
        <f>IF('Prod 1'!D994="","",'Prod 1'!D994)</f>
        <v/>
      </c>
      <c r="E994" s="73" t="str">
        <f>IF('Prod 1'!E994="","",'Prod 1'!E994)</f>
        <v/>
      </c>
      <c r="F994" s="74" t="str">
        <f>IF('Prod 2'!K994="","",'Prod 2'!K994)</f>
        <v/>
      </c>
      <c r="G994" s="77" t="str">
        <f>IF('Prod 1'!I994="","",'Prod 1'!I994)</f>
        <v/>
      </c>
      <c r="H994" s="63" t="str">
        <f>IF('Prod 1'!F994="","",'Prod 1'!F994)</f>
        <v/>
      </c>
      <c r="I994" s="75" t="str">
        <f>IF('Prod 3'!F994="","",'Prod 3'!F994)</f>
        <v/>
      </c>
    </row>
    <row r="995" spans="3:9" ht="30" customHeight="1" x14ac:dyDescent="0.25">
      <c r="C995" s="42">
        <v>991</v>
      </c>
      <c r="D995" s="67" t="str">
        <f>IF('Prod 1'!D995="","",'Prod 1'!D995)</f>
        <v/>
      </c>
      <c r="E995" s="73" t="str">
        <f>IF('Prod 1'!E995="","",'Prod 1'!E995)</f>
        <v/>
      </c>
      <c r="F995" s="74" t="str">
        <f>IF('Prod 2'!K995="","",'Prod 2'!K995)</f>
        <v/>
      </c>
      <c r="G995" s="77" t="str">
        <f>IF('Prod 1'!I995="","",'Prod 1'!I995)</f>
        <v/>
      </c>
      <c r="H995" s="63" t="str">
        <f>IF('Prod 1'!F995="","",'Prod 1'!F995)</f>
        <v/>
      </c>
      <c r="I995" s="75" t="str">
        <f>IF('Prod 3'!F995="","",'Prod 3'!F995)</f>
        <v/>
      </c>
    </row>
    <row r="996" spans="3:9" ht="30" customHeight="1" x14ac:dyDescent="0.25">
      <c r="C996" s="42">
        <v>992</v>
      </c>
      <c r="D996" s="67" t="str">
        <f>IF('Prod 1'!D996="","",'Prod 1'!D996)</f>
        <v/>
      </c>
      <c r="E996" s="73" t="str">
        <f>IF('Prod 1'!E996="","",'Prod 1'!E996)</f>
        <v/>
      </c>
      <c r="F996" s="74" t="str">
        <f>IF('Prod 2'!K996="","",'Prod 2'!K996)</f>
        <v/>
      </c>
      <c r="G996" s="77" t="str">
        <f>IF('Prod 1'!I996="","",'Prod 1'!I996)</f>
        <v/>
      </c>
      <c r="H996" s="63" t="str">
        <f>IF('Prod 1'!F996="","",'Prod 1'!F996)</f>
        <v/>
      </c>
      <c r="I996" s="75" t="str">
        <f>IF('Prod 3'!F996="","",'Prod 3'!F996)</f>
        <v/>
      </c>
    </row>
    <row r="997" spans="3:9" ht="30" customHeight="1" x14ac:dyDescent="0.25">
      <c r="C997" s="42">
        <v>993</v>
      </c>
      <c r="D997" s="67" t="str">
        <f>IF('Prod 1'!D997="","",'Prod 1'!D997)</f>
        <v/>
      </c>
      <c r="E997" s="73" t="str">
        <f>IF('Prod 1'!E997="","",'Prod 1'!E997)</f>
        <v/>
      </c>
      <c r="F997" s="74" t="str">
        <f>IF('Prod 2'!K997="","",'Prod 2'!K997)</f>
        <v/>
      </c>
      <c r="G997" s="77" t="str">
        <f>IF('Prod 1'!I997="","",'Prod 1'!I997)</f>
        <v/>
      </c>
      <c r="H997" s="63" t="str">
        <f>IF('Prod 1'!F997="","",'Prod 1'!F997)</f>
        <v/>
      </c>
      <c r="I997" s="75" t="str">
        <f>IF('Prod 3'!F997="","",'Prod 3'!F997)</f>
        <v/>
      </c>
    </row>
    <row r="998" spans="3:9" ht="30" customHeight="1" x14ac:dyDescent="0.25">
      <c r="C998" s="42">
        <v>994</v>
      </c>
      <c r="D998" s="67" t="str">
        <f>IF('Prod 1'!D998="","",'Prod 1'!D998)</f>
        <v/>
      </c>
      <c r="E998" s="73" t="str">
        <f>IF('Prod 1'!E998="","",'Prod 1'!E998)</f>
        <v/>
      </c>
      <c r="F998" s="74" t="str">
        <f>IF('Prod 2'!K998="","",'Prod 2'!K998)</f>
        <v/>
      </c>
      <c r="G998" s="77" t="str">
        <f>IF('Prod 1'!I998="","",'Prod 1'!I998)</f>
        <v/>
      </c>
      <c r="H998" s="63" t="str">
        <f>IF('Prod 1'!F998="","",'Prod 1'!F998)</f>
        <v/>
      </c>
      <c r="I998" s="75" t="str">
        <f>IF('Prod 3'!F998="","",'Prod 3'!F998)</f>
        <v/>
      </c>
    </row>
    <row r="999" spans="3:9" ht="30" customHeight="1" x14ac:dyDescent="0.25">
      <c r="C999" s="42">
        <v>995</v>
      </c>
      <c r="D999" s="67" t="str">
        <f>IF('Prod 1'!D999="","",'Prod 1'!D999)</f>
        <v/>
      </c>
      <c r="E999" s="73" t="str">
        <f>IF('Prod 1'!E999="","",'Prod 1'!E999)</f>
        <v/>
      </c>
      <c r="F999" s="74" t="str">
        <f>IF('Prod 2'!K999="","",'Prod 2'!K999)</f>
        <v/>
      </c>
      <c r="G999" s="77" t="str">
        <f>IF('Prod 1'!I999="","",'Prod 1'!I999)</f>
        <v/>
      </c>
      <c r="H999" s="63" t="str">
        <f>IF('Prod 1'!F999="","",'Prod 1'!F999)</f>
        <v/>
      </c>
      <c r="I999" s="75" t="str">
        <f>IF('Prod 3'!F999="","",'Prod 3'!F999)</f>
        <v/>
      </c>
    </row>
    <row r="1000" spans="3:9" ht="30" customHeight="1" x14ac:dyDescent="0.25">
      <c r="C1000" s="42">
        <v>996</v>
      </c>
      <c r="D1000" s="67" t="str">
        <f>IF('Prod 1'!D1000="","",'Prod 1'!D1000)</f>
        <v/>
      </c>
      <c r="E1000" s="73" t="str">
        <f>IF('Prod 1'!E1000="","",'Prod 1'!E1000)</f>
        <v/>
      </c>
      <c r="F1000" s="74" t="str">
        <f>IF('Prod 2'!K1000="","",'Prod 2'!K1000)</f>
        <v/>
      </c>
      <c r="G1000" s="77" t="str">
        <f>IF('Prod 1'!I1000="","",'Prod 1'!I1000)</f>
        <v/>
      </c>
      <c r="H1000" s="63" t="str">
        <f>IF('Prod 1'!F1000="","",'Prod 1'!F1000)</f>
        <v/>
      </c>
      <c r="I1000" s="75" t="str">
        <f>IF('Prod 3'!F1000="","",'Prod 3'!F1000)</f>
        <v/>
      </c>
    </row>
    <row r="1001" spans="3:9" ht="30" customHeight="1" x14ac:dyDescent="0.25">
      <c r="C1001" s="42">
        <v>997</v>
      </c>
      <c r="D1001" s="67" t="str">
        <f>IF('Prod 1'!D1001="","",'Prod 1'!D1001)</f>
        <v/>
      </c>
      <c r="E1001" s="73" t="str">
        <f>IF('Prod 1'!E1001="","",'Prod 1'!E1001)</f>
        <v/>
      </c>
      <c r="F1001" s="74" t="str">
        <f>IF('Prod 2'!K1001="","",'Prod 2'!K1001)</f>
        <v/>
      </c>
      <c r="G1001" s="77" t="str">
        <f>IF('Prod 1'!I1001="","",'Prod 1'!I1001)</f>
        <v/>
      </c>
      <c r="H1001" s="63" t="str">
        <f>IF('Prod 1'!F1001="","",'Prod 1'!F1001)</f>
        <v/>
      </c>
      <c r="I1001" s="75" t="str">
        <f>IF('Prod 3'!F1001="","",'Prod 3'!F1001)</f>
        <v/>
      </c>
    </row>
    <row r="1002" spans="3:9" ht="30" customHeight="1" x14ac:dyDescent="0.25">
      <c r="C1002" s="42">
        <v>998</v>
      </c>
      <c r="D1002" s="67" t="str">
        <f>IF('Prod 1'!D1002="","",'Prod 1'!D1002)</f>
        <v/>
      </c>
      <c r="E1002" s="73" t="str">
        <f>IF('Prod 1'!E1002="","",'Prod 1'!E1002)</f>
        <v/>
      </c>
      <c r="F1002" s="74" t="str">
        <f>IF('Prod 2'!K1002="","",'Prod 2'!K1002)</f>
        <v/>
      </c>
      <c r="G1002" s="77" t="str">
        <f>IF('Prod 1'!I1002="","",'Prod 1'!I1002)</f>
        <v/>
      </c>
      <c r="H1002" s="63" t="str">
        <f>IF('Prod 1'!F1002="","",'Prod 1'!F1002)</f>
        <v/>
      </c>
      <c r="I1002" s="75" t="str">
        <f>IF('Prod 3'!F1002="","",'Prod 3'!F1002)</f>
        <v/>
      </c>
    </row>
    <row r="1003" spans="3:9" ht="30" customHeight="1" x14ac:dyDescent="0.25">
      <c r="C1003" s="42">
        <v>999</v>
      </c>
      <c r="D1003" s="67" t="str">
        <f>IF('Prod 1'!D1003="","",'Prod 1'!D1003)</f>
        <v/>
      </c>
      <c r="E1003" s="73" t="str">
        <f>IF('Prod 1'!E1003="","",'Prod 1'!E1003)</f>
        <v/>
      </c>
      <c r="F1003" s="74" t="str">
        <f>IF('Prod 2'!K1003="","",'Prod 2'!K1003)</f>
        <v/>
      </c>
      <c r="G1003" s="77" t="str">
        <f>IF('Prod 1'!I1003="","",'Prod 1'!I1003)</f>
        <v/>
      </c>
      <c r="H1003" s="63" t="str">
        <f>IF('Prod 1'!F1003="","",'Prod 1'!F1003)</f>
        <v/>
      </c>
      <c r="I1003" s="75" t="str">
        <f>IF('Prod 3'!F1003="","",'Prod 3'!F1003)</f>
        <v/>
      </c>
    </row>
    <row r="1004" spans="3:9" ht="30" customHeight="1" x14ac:dyDescent="0.25">
      <c r="C1004" s="42">
        <v>1000</v>
      </c>
      <c r="D1004" s="67" t="str">
        <f>IF('Prod 1'!D1004="","",'Prod 1'!D1004)</f>
        <v/>
      </c>
      <c r="E1004" s="73" t="str">
        <f>IF('Prod 1'!E1004="","",'Prod 1'!E1004)</f>
        <v/>
      </c>
      <c r="F1004" s="75" t="str">
        <f>IF('Prod 2'!K1004="","",'Prod 2'!K1004)</f>
        <v/>
      </c>
      <c r="G1004" s="78" t="str">
        <f>IF('Prod 1'!I1004="","",'Prod 1'!I1004)</f>
        <v/>
      </c>
      <c r="H1004" s="63" t="str">
        <f>IF('Prod 1'!F1004="","",'Prod 1'!F1004)</f>
        <v/>
      </c>
      <c r="I1004" s="75" t="str">
        <f>IF('Prod 3'!F1004="","",'Prod 3'!F1004)</f>
        <v/>
      </c>
    </row>
  </sheetData>
  <sheetProtection sheet="1" objects="1" scenarios="1" selectLockedCells="1" selectUnlockedCells="1"/>
  <autoFilter ref="C4:I4" xr:uid="{00000000-0009-0000-0000-00000D000000}"/>
  <pageMargins left="0.511811024" right="0.511811024" top="0.78740157499999996" bottom="0.78740157499999996" header="0.31496062000000002" footer="0.31496062000000002"/>
  <pageSetup paperSize="9" scale="55"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1626DD63-8BE4-4D4E-BDE7-7DD49F346615}">
            <x14:iconSet iconSet="3Triangles">
              <x14:cfvo type="percent">
                <xm:f>0</xm:f>
              </x14:cfvo>
              <x14:cfvo type="percent">
                <xm:f>33</xm:f>
              </x14:cfvo>
              <x14:cfvo type="percent">
                <xm:f>67</xm:f>
              </x14:cfvo>
            </x14:iconSet>
          </x14:cfRule>
          <xm:sqref>E5:E1004</xm:sqref>
        </x14:conditionalFormatting>
        <x14:conditionalFormatting xmlns:xm="http://schemas.microsoft.com/office/excel/2006/main">
          <x14:cfRule type="iconSet" priority="1" id="{44895BE0-DC97-46FD-B414-65CA341E67EC}">
            <x14:iconSet iconSet="3Triangles">
              <x14:cfvo type="percent">
                <xm:f>0</xm:f>
              </x14:cfvo>
              <x14:cfvo type="percent">
                <xm:f>33</xm:f>
              </x14:cfvo>
              <x14:cfvo type="percent">
                <xm:f>67</xm:f>
              </x14:cfvo>
            </x14:iconSet>
          </x14:cfRule>
          <xm:sqref>G5:G1004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14">
    <tabColor rgb="FFFFC000"/>
    <pageSetUpPr fitToPage="1"/>
  </sheetPr>
  <dimension ref="C1:O10"/>
  <sheetViews>
    <sheetView showGridLines="0" showRowColHeaders="0" workbookViewId="0">
      <pane ySplit="4" topLeftCell="A5" activePane="bottomLeft" state="frozen"/>
      <selection pane="bottomLeft" activeCell="D7" sqref="D7"/>
    </sheetView>
  </sheetViews>
  <sheetFormatPr defaultRowHeight="45" customHeight="1" x14ac:dyDescent="0.25"/>
  <cols>
    <col min="1" max="2" width="1.7109375" style="19" customWidth="1"/>
    <col min="3" max="3" width="50.7109375" style="19" customWidth="1"/>
    <col min="4" max="4" width="35.7109375" style="19" customWidth="1"/>
    <col min="5" max="5" width="5.7109375" style="19" customWidth="1"/>
    <col min="6" max="6" width="50.7109375" style="19" customWidth="1"/>
    <col min="7" max="7" width="35.7109375" style="19" customWidth="1"/>
    <col min="8" max="16384" width="9.140625" style="19"/>
  </cols>
  <sheetData>
    <row r="1" spans="3:15" s="1" customFormat="1" ht="35.1" customHeight="1" x14ac:dyDescent="0.25"/>
    <row r="2" spans="3:15" s="3" customFormat="1" ht="30" customHeight="1" x14ac:dyDescent="0.25"/>
    <row r="3" spans="3:15" ht="30" customHeight="1" x14ac:dyDescent="0.25"/>
    <row r="4" spans="3:15" ht="21.95" customHeight="1" thickBot="1" x14ac:dyDescent="0.3">
      <c r="C4" s="79" t="s">
        <v>1066</v>
      </c>
      <c r="D4" s="80" t="s">
        <v>1067</v>
      </c>
      <c r="F4" s="79" t="s">
        <v>1066</v>
      </c>
      <c r="G4" s="80" t="s">
        <v>1067</v>
      </c>
    </row>
    <row r="5" spans="3:15" ht="60" customHeight="1" thickBot="1" x14ac:dyDescent="0.3">
      <c r="C5" s="93" t="s">
        <v>1073</v>
      </c>
      <c r="D5" s="112">
        <f>DespF!E4</f>
        <v>5600</v>
      </c>
      <c r="F5" s="97" t="s">
        <v>1078</v>
      </c>
      <c r="G5" s="102">
        <f>IFERROR(D5/D9,0)</f>
        <v>36.507770939100332</v>
      </c>
      <c r="K5" s="101"/>
    </row>
    <row r="6" spans="3:15" ht="60" customHeight="1" thickBot="1" x14ac:dyDescent="0.3">
      <c r="C6" s="94" t="s">
        <v>1074</v>
      </c>
      <c r="D6" s="114">
        <f>DespF!I4</f>
        <v>5500</v>
      </c>
      <c r="F6" s="98" t="s">
        <v>1086</v>
      </c>
      <c r="G6" s="99">
        <f>IFERROR(G5*D8,0)</f>
        <v>12412.642119294112</v>
      </c>
    </row>
    <row r="7" spans="3:15" ht="60" customHeight="1" thickBot="1" x14ac:dyDescent="0.3">
      <c r="C7" s="95" t="s">
        <v>1070</v>
      </c>
      <c r="D7" s="100">
        <v>25000</v>
      </c>
      <c r="F7" s="97" t="s">
        <v>1079</v>
      </c>
      <c r="G7" s="102">
        <f>IFERROR((D5+D6)/D9,0)</f>
        <v>72.363617397145305</v>
      </c>
      <c r="M7" s="101"/>
      <c r="O7" s="101"/>
    </row>
    <row r="8" spans="3:15" ht="60" customHeight="1" thickBot="1" x14ac:dyDescent="0.3">
      <c r="C8" s="94" t="s">
        <v>1072</v>
      </c>
      <c r="D8" s="112">
        <f>AVERAGE('Prod 1'!E5:E1004)</f>
        <v>340</v>
      </c>
      <c r="F8" s="98" t="s">
        <v>1087</v>
      </c>
      <c r="G8" s="99">
        <f>IFERROR(G7*D8,0)</f>
        <v>24603.629915029403</v>
      </c>
    </row>
    <row r="9" spans="3:15" ht="60" customHeight="1" thickBot="1" x14ac:dyDescent="0.3">
      <c r="C9" s="96" t="s">
        <v>1071</v>
      </c>
      <c r="D9" s="113">
        <f>AVERAGE('Prod 1'!I5:I1004)</f>
        <v>153.39200000299996</v>
      </c>
      <c r="F9" s="97" t="s">
        <v>1080</v>
      </c>
      <c r="G9" s="102">
        <f>IFERROR((D5+D7)/D9,0)</f>
        <v>199.48889120294109</v>
      </c>
    </row>
    <row r="10" spans="3:15" ht="60" customHeight="1" thickBot="1" x14ac:dyDescent="0.3">
      <c r="F10" s="97" t="s">
        <v>1088</v>
      </c>
      <c r="G10" s="99">
        <f>IFERROR(G9*D8,0)</f>
        <v>67826.223008999965</v>
      </c>
    </row>
  </sheetData>
  <sheetProtection sheet="1" objects="1" scenarios="1" selectLockedCells="1"/>
  <pageMargins left="0.511811024" right="0.511811024" top="0.78740157499999996" bottom="0.78740157499999996" header="0.31496062000000002" footer="0.31496062000000002"/>
  <pageSetup paperSize="9" scale="76" fitToHeight="0" orientation="landscape"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9">
    <tabColor rgb="FFFFC000"/>
    <pageSetUpPr fitToPage="1"/>
  </sheetPr>
  <dimension ref="C1:G10"/>
  <sheetViews>
    <sheetView showGridLines="0" showRowColHeaders="0" workbookViewId="0">
      <pane ySplit="4" topLeftCell="A5" activePane="bottomLeft" state="frozen"/>
      <selection pane="bottomLeft" activeCell="D7" sqref="D7"/>
    </sheetView>
  </sheetViews>
  <sheetFormatPr defaultRowHeight="45" customHeight="1" x14ac:dyDescent="0.25"/>
  <cols>
    <col min="1" max="2" width="1.7109375" style="19" customWidth="1"/>
    <col min="3" max="3" width="50.7109375" style="19" customWidth="1"/>
    <col min="4" max="4" width="35.7109375" style="19" customWidth="1"/>
    <col min="5" max="5" width="5.7109375" style="19" customWidth="1"/>
    <col min="6" max="6" width="50.7109375" style="19" customWidth="1"/>
    <col min="7" max="7" width="35.7109375" style="19" customWidth="1"/>
    <col min="8" max="16384" width="9.140625" style="19"/>
  </cols>
  <sheetData>
    <row r="1" spans="3:7" s="1" customFormat="1" ht="35.1" customHeight="1" x14ac:dyDescent="0.25"/>
    <row r="2" spans="3:7" s="3" customFormat="1" ht="30" customHeight="1" x14ac:dyDescent="0.25"/>
    <row r="3" spans="3:7" ht="30" customHeight="1" x14ac:dyDescent="0.25"/>
    <row r="4" spans="3:7" ht="21.95" customHeight="1" thickBot="1" x14ac:dyDescent="0.3">
      <c r="C4" s="79" t="s">
        <v>1066</v>
      </c>
      <c r="D4" s="80" t="s">
        <v>1067</v>
      </c>
      <c r="F4" s="79" t="s">
        <v>1066</v>
      </c>
      <c r="G4" s="80" t="s">
        <v>1067</v>
      </c>
    </row>
    <row r="5" spans="3:7" ht="60" customHeight="1" thickBot="1" x14ac:dyDescent="0.3">
      <c r="C5" s="93" t="s">
        <v>1073</v>
      </c>
      <c r="D5" s="112">
        <f>DespF!E4</f>
        <v>5600</v>
      </c>
      <c r="F5" s="97" t="s">
        <v>1078</v>
      </c>
      <c r="G5" s="102">
        <f ca="1">IFERROR(D5/D9,0)</f>
        <v>48.925388781679835</v>
      </c>
    </row>
    <row r="6" spans="3:7" ht="60" customHeight="1" thickBot="1" x14ac:dyDescent="0.3">
      <c r="C6" s="94" t="s">
        <v>1074</v>
      </c>
      <c r="D6" s="114">
        <f>DespF!I4</f>
        <v>5500</v>
      </c>
      <c r="F6" s="98" t="s">
        <v>1083</v>
      </c>
      <c r="G6" s="99">
        <f ca="1">IFERROR(G5*D8,0)</f>
        <v>8317.3160928855723</v>
      </c>
    </row>
    <row r="7" spans="3:7" ht="60" customHeight="1" thickBot="1" x14ac:dyDescent="0.3">
      <c r="C7" s="95" t="s">
        <v>1070</v>
      </c>
      <c r="D7" s="100">
        <v>15000</v>
      </c>
      <c r="F7" s="97" t="s">
        <v>1079</v>
      </c>
      <c r="G7" s="102">
        <f ca="1">IFERROR((D5+D6)/D9,0)</f>
        <v>96.977109906543959</v>
      </c>
    </row>
    <row r="8" spans="3:7" ht="60" customHeight="1" thickBot="1" x14ac:dyDescent="0.3">
      <c r="C8" s="104" t="s">
        <v>1082</v>
      </c>
      <c r="D8" s="112">
        <f ca="1">'BH (1)'!C8</f>
        <v>170</v>
      </c>
      <c r="F8" s="98" t="s">
        <v>1084</v>
      </c>
      <c r="G8" s="99">
        <f ca="1">IFERROR(G7*D8,0)</f>
        <v>16486.108684112474</v>
      </c>
    </row>
    <row r="9" spans="3:7" ht="60" customHeight="1" thickBot="1" x14ac:dyDescent="0.3">
      <c r="C9" s="105" t="s">
        <v>1081</v>
      </c>
      <c r="D9" s="113">
        <f ca="1">'BH (1)'!C10</f>
        <v>114.46000000100001</v>
      </c>
      <c r="F9" s="97" t="s">
        <v>1080</v>
      </c>
      <c r="G9" s="102">
        <f ca="1">IFERROR((D5+D7)/D9,0)</f>
        <v>179.97553730403655</v>
      </c>
    </row>
    <row r="10" spans="3:7" ht="60" customHeight="1" thickBot="1" x14ac:dyDescent="0.3">
      <c r="F10" s="97" t="s">
        <v>1085</v>
      </c>
      <c r="G10" s="99">
        <f ca="1">IFERROR(G9*D8,0)</f>
        <v>30595.841341686213</v>
      </c>
    </row>
  </sheetData>
  <sheetProtection sheet="1" objects="1" scenarios="1" selectLockedCells="1"/>
  <pageMargins left="0.511811024" right="0.511811024" top="0.78740157499999996" bottom="0.78740157499999996" header="0.31496062000000002" footer="0.31496062000000002"/>
  <pageSetup paperSize="9" scale="7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Drop Down 2">
              <controlPr defaultSize="0" autoLine="0" autoPict="0">
                <anchor moveWithCells="1">
                  <from>
                    <xdr:col>2</xdr:col>
                    <xdr:colOff>9525</xdr:colOff>
                    <xdr:row>9</xdr:row>
                    <xdr:rowOff>152400</xdr:rowOff>
                  </from>
                  <to>
                    <xdr:col>2</xdr:col>
                    <xdr:colOff>3381375</xdr:colOff>
                    <xdr:row>10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5">
    <pageSetUpPr fitToPage="1"/>
  </sheetPr>
  <dimension ref="D1:U86"/>
  <sheetViews>
    <sheetView showGridLines="0" showRowColHeaders="0" workbookViewId="0">
      <pane ySplit="6" topLeftCell="A7" activePane="bottomLeft" state="frozen"/>
      <selection pane="bottomLeft" activeCell="E8" sqref="E8:T13"/>
    </sheetView>
  </sheetViews>
  <sheetFormatPr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19"/>
      <c r="E7" s="19"/>
      <c r="F7" s="19"/>
      <c r="G7" s="19"/>
      <c r="H7" s="19"/>
      <c r="I7" s="19"/>
      <c r="J7" s="19"/>
      <c r="K7" s="19"/>
      <c r="L7" s="19"/>
      <c r="M7" s="19"/>
      <c r="N7" s="19"/>
      <c r="O7" s="19"/>
      <c r="P7" s="19"/>
      <c r="Q7" s="19"/>
      <c r="R7" s="19"/>
      <c r="S7" s="19"/>
      <c r="T7" s="19"/>
      <c r="U7" s="19"/>
    </row>
    <row r="8" spans="4:21" ht="15" customHeight="1" x14ac:dyDescent="0.25">
      <c r="D8" s="19"/>
      <c r="E8" s="134" t="s">
        <v>14</v>
      </c>
      <c r="F8" s="134"/>
      <c r="G8" s="134"/>
      <c r="H8" s="134"/>
      <c r="I8" s="134"/>
      <c r="J8" s="134"/>
      <c r="K8" s="134"/>
      <c r="L8" s="134"/>
      <c r="M8" s="134"/>
      <c r="N8" s="134"/>
      <c r="O8" s="134"/>
      <c r="P8" s="134"/>
      <c r="Q8" s="134"/>
      <c r="R8" s="134"/>
      <c r="S8" s="134"/>
      <c r="T8" s="134"/>
      <c r="U8" s="19"/>
    </row>
    <row r="9" spans="4:21" ht="15" customHeight="1" x14ac:dyDescent="0.25">
      <c r="D9" s="19"/>
      <c r="E9" s="134"/>
      <c r="F9" s="134"/>
      <c r="G9" s="134"/>
      <c r="H9" s="134"/>
      <c r="I9" s="134"/>
      <c r="J9" s="134"/>
      <c r="K9" s="134"/>
      <c r="L9" s="134"/>
      <c r="M9" s="134"/>
      <c r="N9" s="134"/>
      <c r="O9" s="134"/>
      <c r="P9" s="134"/>
      <c r="Q9" s="134"/>
      <c r="R9" s="134"/>
      <c r="S9" s="134"/>
      <c r="T9" s="134"/>
      <c r="U9" s="19"/>
    </row>
    <row r="10" spans="4:21" ht="15" customHeight="1" x14ac:dyDescent="0.25">
      <c r="D10" s="19"/>
      <c r="E10" s="134"/>
      <c r="F10" s="134"/>
      <c r="G10" s="134"/>
      <c r="H10" s="134"/>
      <c r="I10" s="134"/>
      <c r="J10" s="134"/>
      <c r="K10" s="134"/>
      <c r="L10" s="134"/>
      <c r="M10" s="134"/>
      <c r="N10" s="134"/>
      <c r="O10" s="134"/>
      <c r="P10" s="134"/>
      <c r="Q10" s="134"/>
      <c r="R10" s="134"/>
      <c r="S10" s="134"/>
      <c r="T10" s="134"/>
      <c r="U10" s="19"/>
    </row>
    <row r="11" spans="4:21" ht="15" customHeight="1" x14ac:dyDescent="0.25">
      <c r="D11" s="19"/>
      <c r="E11" s="134"/>
      <c r="F11" s="134"/>
      <c r="G11" s="134"/>
      <c r="H11" s="134"/>
      <c r="I11" s="134"/>
      <c r="J11" s="134"/>
      <c r="K11" s="134"/>
      <c r="L11" s="134"/>
      <c r="M11" s="134"/>
      <c r="N11" s="134"/>
      <c r="O11" s="134"/>
      <c r="P11" s="134"/>
      <c r="Q11" s="134"/>
      <c r="R11" s="134"/>
      <c r="S11" s="134"/>
      <c r="T11" s="134"/>
      <c r="U11" s="19"/>
    </row>
    <row r="12" spans="4:21" ht="15" customHeight="1" x14ac:dyDescent="0.25">
      <c r="D12" s="19"/>
      <c r="E12" s="134"/>
      <c r="F12" s="134"/>
      <c r="G12" s="134"/>
      <c r="H12" s="134"/>
      <c r="I12" s="134"/>
      <c r="J12" s="134"/>
      <c r="K12" s="134"/>
      <c r="L12" s="134"/>
      <c r="M12" s="134"/>
      <c r="N12" s="134"/>
      <c r="O12" s="134"/>
      <c r="P12" s="134"/>
      <c r="Q12" s="134"/>
      <c r="R12" s="134"/>
      <c r="S12" s="134"/>
      <c r="T12" s="134"/>
      <c r="U12" s="19"/>
    </row>
    <row r="13" spans="4:21" ht="15" customHeight="1" x14ac:dyDescent="0.25">
      <c r="D13" s="19"/>
      <c r="E13" s="134"/>
      <c r="F13" s="134"/>
      <c r="G13" s="134"/>
      <c r="H13" s="134"/>
      <c r="I13" s="134"/>
      <c r="J13" s="134"/>
      <c r="K13" s="134"/>
      <c r="L13" s="134"/>
      <c r="M13" s="134"/>
      <c r="N13" s="134"/>
      <c r="O13" s="134"/>
      <c r="P13" s="134"/>
      <c r="Q13" s="134"/>
      <c r="R13" s="134"/>
      <c r="S13" s="134"/>
      <c r="T13" s="134"/>
      <c r="U13" s="19"/>
    </row>
    <row r="14" spans="4:21" ht="15" customHeight="1" x14ac:dyDescent="0.25">
      <c r="D14" s="19"/>
      <c r="E14" s="19"/>
      <c r="F14" s="19"/>
      <c r="G14" s="19"/>
      <c r="H14" s="19"/>
      <c r="I14" s="19"/>
      <c r="J14" s="19"/>
      <c r="K14" s="19"/>
      <c r="L14" s="19"/>
      <c r="M14" s="19"/>
      <c r="N14" s="19"/>
      <c r="O14" s="19"/>
      <c r="P14" s="19"/>
      <c r="Q14" s="19"/>
      <c r="R14" s="19"/>
      <c r="S14" s="19"/>
      <c r="T14" s="19"/>
      <c r="U14" s="19"/>
    </row>
    <row r="15" spans="4:21" ht="15" customHeight="1" x14ac:dyDescent="0.25">
      <c r="D15" s="19"/>
      <c r="E15" s="19"/>
      <c r="F15" s="19"/>
      <c r="G15" s="19"/>
      <c r="H15" s="19"/>
      <c r="I15" s="19"/>
      <c r="J15" s="19"/>
      <c r="K15" s="19"/>
      <c r="L15" s="19"/>
      <c r="M15" s="19"/>
      <c r="N15" s="19"/>
      <c r="O15" s="19"/>
      <c r="P15" s="19"/>
      <c r="Q15" s="19"/>
      <c r="R15" s="19"/>
      <c r="S15" s="19"/>
      <c r="T15" s="19"/>
      <c r="U15" s="19"/>
    </row>
    <row r="16" spans="4:21" ht="15" customHeight="1" x14ac:dyDescent="0.25">
      <c r="D16" s="19"/>
      <c r="E16" s="19"/>
      <c r="F16" s="19"/>
      <c r="G16" s="19"/>
      <c r="H16" s="19"/>
      <c r="I16" s="19"/>
      <c r="J16" s="19"/>
      <c r="K16" s="19"/>
      <c r="L16" s="19"/>
      <c r="M16" s="19"/>
      <c r="N16" s="19"/>
      <c r="O16" s="19"/>
      <c r="P16" s="19"/>
      <c r="Q16" s="19"/>
      <c r="R16" s="19"/>
      <c r="S16" s="19"/>
      <c r="T16" s="19"/>
      <c r="U16" s="19"/>
    </row>
    <row r="17" spans="4:21" ht="15" customHeight="1" x14ac:dyDescent="0.25">
      <c r="D17" s="19"/>
      <c r="E17" s="19"/>
      <c r="F17" s="19"/>
      <c r="G17" s="19"/>
      <c r="H17" s="19"/>
      <c r="I17" s="19"/>
      <c r="J17" s="19"/>
      <c r="K17" s="19"/>
      <c r="L17" s="19"/>
      <c r="M17" s="19"/>
      <c r="N17" s="19"/>
      <c r="O17" s="19"/>
      <c r="P17" s="19"/>
      <c r="Q17" s="19"/>
      <c r="R17" s="19"/>
      <c r="S17" s="19"/>
      <c r="T17" s="19"/>
      <c r="U17" s="19"/>
    </row>
    <row r="18" spans="4:21" ht="15" customHeight="1" x14ac:dyDescent="0.25">
      <c r="D18" s="19"/>
      <c r="E18" s="19"/>
      <c r="F18" s="19"/>
      <c r="G18" s="19"/>
      <c r="H18" s="19"/>
      <c r="I18" s="19"/>
      <c r="J18" s="19"/>
      <c r="K18" s="19"/>
      <c r="L18" s="19"/>
      <c r="M18" s="19"/>
      <c r="N18" s="19"/>
      <c r="O18" s="19"/>
      <c r="P18" s="19"/>
      <c r="Q18" s="19"/>
      <c r="R18" s="19"/>
      <c r="S18" s="19"/>
      <c r="T18" s="19"/>
      <c r="U18" s="19"/>
    </row>
    <row r="19" spans="4:21" ht="15" customHeight="1" x14ac:dyDescent="0.25">
      <c r="D19" s="19"/>
      <c r="E19" s="19"/>
      <c r="F19" s="19"/>
      <c r="G19" s="19"/>
      <c r="H19" s="19"/>
      <c r="I19" s="19"/>
      <c r="J19" s="19"/>
      <c r="K19" s="19"/>
      <c r="L19" s="19"/>
      <c r="M19" s="19"/>
      <c r="N19" s="19"/>
      <c r="O19" s="19"/>
      <c r="P19" s="19"/>
      <c r="Q19" s="19"/>
      <c r="R19" s="19"/>
      <c r="S19" s="19"/>
      <c r="T19" s="19"/>
      <c r="U19" s="19"/>
    </row>
    <row r="20" spans="4:21" ht="15" customHeight="1" x14ac:dyDescent="0.25">
      <c r="D20" s="19"/>
      <c r="E20" s="19"/>
      <c r="F20" s="19"/>
      <c r="G20" s="19"/>
      <c r="H20" s="19"/>
      <c r="I20" s="19"/>
      <c r="J20" s="19"/>
      <c r="K20" s="19"/>
      <c r="L20" s="19"/>
      <c r="M20" s="19"/>
      <c r="N20" s="19"/>
      <c r="O20" s="19"/>
      <c r="P20" s="19"/>
      <c r="Q20" s="19"/>
      <c r="R20" s="19"/>
      <c r="S20" s="19"/>
      <c r="T20" s="19"/>
      <c r="U20" s="19"/>
    </row>
    <row r="21" spans="4:21" ht="15" customHeight="1" x14ac:dyDescent="0.25">
      <c r="D21" s="19"/>
      <c r="E21" s="19"/>
      <c r="F21" s="19"/>
      <c r="G21" s="19"/>
      <c r="H21" s="19"/>
      <c r="I21" s="19"/>
      <c r="J21" s="19"/>
      <c r="K21" s="19"/>
      <c r="L21" s="19"/>
      <c r="M21" s="19"/>
      <c r="N21" s="19"/>
      <c r="O21" s="19"/>
      <c r="P21" s="19"/>
      <c r="Q21" s="19"/>
      <c r="R21" s="19"/>
      <c r="S21" s="19"/>
      <c r="T21" s="19"/>
      <c r="U21" s="19"/>
    </row>
    <row r="22" spans="4:21" ht="15" customHeight="1" x14ac:dyDescent="0.25">
      <c r="D22" s="19"/>
      <c r="E22" s="19"/>
      <c r="F22" s="19"/>
      <c r="G22" s="19"/>
      <c r="H22" s="19"/>
      <c r="I22" s="19"/>
      <c r="J22" s="19"/>
      <c r="K22" s="19"/>
      <c r="L22" s="19"/>
      <c r="M22" s="19"/>
      <c r="N22" s="19"/>
      <c r="O22" s="19"/>
      <c r="P22" s="19"/>
      <c r="Q22" s="19"/>
      <c r="R22" s="19"/>
      <c r="S22" s="19"/>
      <c r="T22" s="19"/>
      <c r="U22" s="19"/>
    </row>
    <row r="23" spans="4:21" ht="15" customHeight="1" x14ac:dyDescent="0.25">
      <c r="D23" s="19"/>
      <c r="E23" s="19"/>
      <c r="F23" s="19"/>
      <c r="G23" s="19"/>
      <c r="H23" s="19"/>
      <c r="I23" s="19"/>
      <c r="J23" s="19"/>
      <c r="K23" s="19"/>
      <c r="L23" s="19"/>
      <c r="M23" s="19"/>
      <c r="N23" s="19"/>
      <c r="O23" s="19"/>
      <c r="P23" s="19"/>
      <c r="Q23" s="19"/>
      <c r="R23" s="19"/>
      <c r="S23" s="19"/>
      <c r="T23" s="19"/>
      <c r="U23" s="19"/>
    </row>
    <row r="24" spans="4:21" ht="15" customHeight="1" x14ac:dyDescent="0.25">
      <c r="D24" s="19"/>
      <c r="E24" s="19"/>
      <c r="F24" s="19"/>
      <c r="G24" s="19"/>
      <c r="H24" s="19"/>
      <c r="I24" s="19"/>
      <c r="J24" s="19"/>
      <c r="K24" s="19"/>
      <c r="L24" s="19"/>
      <c r="M24" s="19"/>
      <c r="N24" s="19"/>
      <c r="O24" s="19"/>
      <c r="P24" s="19"/>
      <c r="Q24" s="19"/>
      <c r="R24" s="19"/>
      <c r="S24" s="19"/>
      <c r="T24" s="19"/>
      <c r="U24" s="19"/>
    </row>
    <row r="25" spans="4:21" ht="15" customHeight="1" x14ac:dyDescent="0.25">
      <c r="D25" s="19"/>
      <c r="E25" s="19"/>
      <c r="F25" s="19"/>
      <c r="G25" s="19"/>
      <c r="H25" s="19"/>
      <c r="I25" s="19"/>
      <c r="J25" s="19"/>
      <c r="K25" s="19"/>
      <c r="L25" s="19"/>
      <c r="M25" s="19"/>
      <c r="N25" s="19"/>
      <c r="O25" s="19"/>
      <c r="P25" s="19"/>
      <c r="Q25" s="19"/>
      <c r="R25" s="19"/>
      <c r="S25" s="19"/>
      <c r="T25" s="19"/>
      <c r="U25" s="19"/>
    </row>
    <row r="26" spans="4:21" ht="15" customHeight="1" x14ac:dyDescent="0.25">
      <c r="D26" s="19"/>
      <c r="E26" s="19"/>
      <c r="F26" s="19"/>
      <c r="G26" s="19"/>
      <c r="H26" s="19"/>
      <c r="I26" s="19"/>
      <c r="J26" s="19"/>
      <c r="K26" s="19"/>
      <c r="L26" s="19"/>
      <c r="M26" s="19"/>
      <c r="N26" s="19"/>
      <c r="O26" s="19"/>
      <c r="P26" s="19"/>
      <c r="Q26" s="19"/>
      <c r="R26" s="19"/>
      <c r="S26" s="19"/>
      <c r="T26" s="19"/>
      <c r="U26" s="19"/>
    </row>
    <row r="27" spans="4:21" ht="15" customHeight="1" x14ac:dyDescent="0.25">
      <c r="D27" s="19"/>
      <c r="E27" s="19"/>
      <c r="F27" s="19"/>
      <c r="G27" s="19"/>
      <c r="H27" s="19"/>
      <c r="I27" s="19"/>
      <c r="J27" s="19"/>
      <c r="K27" s="19"/>
      <c r="L27" s="19"/>
      <c r="M27" s="19"/>
      <c r="N27" s="19"/>
      <c r="O27" s="19"/>
      <c r="P27" s="19"/>
      <c r="Q27" s="19"/>
      <c r="R27" s="19"/>
      <c r="S27" s="19"/>
      <c r="T27" s="19"/>
      <c r="U27" s="19"/>
    </row>
    <row r="28" spans="4:21" ht="15" customHeight="1" x14ac:dyDescent="0.25">
      <c r="D28" s="19"/>
      <c r="E28" s="19"/>
      <c r="F28" s="19"/>
      <c r="G28" s="19"/>
      <c r="H28" s="19"/>
      <c r="I28" s="19"/>
      <c r="J28" s="19"/>
      <c r="K28" s="19"/>
      <c r="L28" s="19"/>
      <c r="M28" s="19"/>
      <c r="N28" s="19"/>
      <c r="O28" s="19"/>
      <c r="P28" s="19"/>
      <c r="Q28" s="19"/>
      <c r="R28" s="19"/>
      <c r="S28" s="19"/>
      <c r="T28" s="19"/>
      <c r="U28" s="19"/>
    </row>
    <row r="29" spans="4:21" ht="15" customHeight="1" x14ac:dyDescent="0.25">
      <c r="D29" s="19"/>
      <c r="E29" s="19"/>
      <c r="F29" s="19"/>
      <c r="G29" s="19"/>
      <c r="H29" s="19"/>
      <c r="I29" s="19"/>
      <c r="J29" s="19"/>
      <c r="K29" s="19"/>
      <c r="L29" s="19"/>
      <c r="M29" s="19"/>
      <c r="N29" s="19"/>
      <c r="O29" s="19"/>
      <c r="P29" s="19"/>
      <c r="Q29" s="19"/>
      <c r="R29" s="19"/>
      <c r="S29" s="19"/>
      <c r="T29" s="19"/>
      <c r="U29" s="19"/>
    </row>
    <row r="30" spans="4:21" ht="15" customHeight="1" x14ac:dyDescent="0.25">
      <c r="D30" s="19"/>
      <c r="E30" s="19"/>
      <c r="F30" s="19"/>
      <c r="G30" s="19"/>
      <c r="H30" s="19"/>
      <c r="I30" s="19"/>
      <c r="J30" s="19"/>
      <c r="K30" s="19"/>
      <c r="L30" s="19"/>
      <c r="M30" s="19"/>
      <c r="N30" s="19"/>
      <c r="O30" s="19"/>
      <c r="P30" s="19"/>
      <c r="Q30" s="19"/>
      <c r="R30" s="19"/>
      <c r="S30" s="19"/>
      <c r="T30" s="19"/>
      <c r="U30" s="19"/>
    </row>
    <row r="31" spans="4:21" ht="15" customHeight="1" x14ac:dyDescent="0.25">
      <c r="D31" s="19"/>
      <c r="E31" s="19"/>
      <c r="F31" s="19"/>
      <c r="G31" s="19"/>
      <c r="H31" s="19"/>
      <c r="I31" s="19"/>
      <c r="J31" s="19"/>
      <c r="K31" s="19"/>
      <c r="L31" s="19"/>
      <c r="M31" s="19"/>
      <c r="N31" s="19"/>
      <c r="O31" s="19"/>
      <c r="P31" s="19"/>
      <c r="Q31" s="19"/>
      <c r="R31" s="19"/>
      <c r="S31" s="19"/>
      <c r="T31" s="19"/>
      <c r="U31" s="19"/>
    </row>
    <row r="32" spans="4:21" ht="15" customHeight="1" x14ac:dyDescent="0.25">
      <c r="D32" s="19"/>
      <c r="E32" s="19"/>
      <c r="F32" s="19"/>
      <c r="G32" s="19"/>
      <c r="H32" s="19"/>
      <c r="I32" s="19"/>
      <c r="J32" s="19"/>
      <c r="K32" s="19"/>
      <c r="L32" s="19"/>
      <c r="M32" s="19"/>
      <c r="N32" s="19"/>
      <c r="O32" s="19"/>
      <c r="P32" s="19"/>
      <c r="Q32" s="19"/>
      <c r="R32" s="19"/>
      <c r="S32" s="19"/>
      <c r="T32" s="19"/>
      <c r="U32" s="19"/>
    </row>
    <row r="33" spans="4:21" ht="15" customHeight="1" x14ac:dyDescent="0.25">
      <c r="D33" s="19"/>
      <c r="E33" s="19"/>
      <c r="F33" s="19"/>
      <c r="G33" s="19"/>
      <c r="H33" s="19"/>
      <c r="I33" s="19"/>
      <c r="J33" s="19"/>
      <c r="K33" s="19"/>
      <c r="L33" s="19"/>
      <c r="M33" s="19"/>
      <c r="N33" s="19"/>
      <c r="O33" s="19"/>
      <c r="P33" s="19"/>
      <c r="Q33" s="19"/>
      <c r="R33" s="19"/>
      <c r="S33" s="19"/>
      <c r="T33" s="19"/>
      <c r="U33" s="19"/>
    </row>
    <row r="34" spans="4:21" ht="15" customHeight="1" x14ac:dyDescent="0.25">
      <c r="D34" s="19"/>
      <c r="E34" s="19"/>
      <c r="F34" s="19"/>
      <c r="G34" s="19"/>
      <c r="H34" s="19"/>
      <c r="I34" s="19"/>
      <c r="J34" s="19"/>
      <c r="K34" s="19"/>
      <c r="L34" s="19"/>
      <c r="M34" s="19"/>
      <c r="N34" s="19"/>
      <c r="O34" s="19"/>
      <c r="P34" s="19"/>
      <c r="Q34" s="19"/>
      <c r="R34" s="19"/>
      <c r="S34" s="19"/>
      <c r="T34" s="19"/>
      <c r="U34" s="19"/>
    </row>
    <row r="35" spans="4:21" ht="15" customHeight="1" x14ac:dyDescent="0.25">
      <c r="D35" s="19"/>
      <c r="E35" s="19"/>
      <c r="F35" s="19"/>
      <c r="G35" s="19"/>
      <c r="H35" s="19"/>
      <c r="I35" s="19"/>
      <c r="J35" s="19"/>
      <c r="K35" s="19"/>
      <c r="L35" s="19"/>
      <c r="M35" s="19"/>
      <c r="N35" s="19"/>
      <c r="O35" s="19"/>
      <c r="P35" s="19"/>
      <c r="Q35" s="19"/>
      <c r="R35" s="19"/>
      <c r="S35" s="19"/>
      <c r="T35" s="19"/>
      <c r="U35" s="19"/>
    </row>
    <row r="36" spans="4:21" ht="15" customHeight="1" x14ac:dyDescent="0.25">
      <c r="D36" s="19"/>
      <c r="E36" s="19"/>
      <c r="F36" s="19"/>
      <c r="G36" s="19"/>
      <c r="H36" s="19"/>
      <c r="I36" s="19"/>
      <c r="J36" s="19"/>
      <c r="K36" s="19"/>
      <c r="L36" s="19"/>
      <c r="M36" s="19"/>
      <c r="N36" s="19"/>
      <c r="O36" s="19"/>
      <c r="P36" s="19"/>
      <c r="Q36" s="19"/>
      <c r="R36" s="19"/>
      <c r="S36" s="19"/>
      <c r="T36" s="19"/>
      <c r="U36" s="19"/>
    </row>
    <row r="37" spans="4:21" ht="15" customHeight="1" x14ac:dyDescent="0.25">
      <c r="D37" s="19"/>
      <c r="E37" s="19"/>
      <c r="F37" s="19"/>
      <c r="G37" s="19"/>
      <c r="H37" s="19"/>
      <c r="I37" s="19"/>
      <c r="J37" s="19"/>
      <c r="K37" s="19"/>
      <c r="L37" s="19"/>
      <c r="M37" s="19"/>
      <c r="N37" s="19"/>
      <c r="O37" s="19"/>
      <c r="P37" s="19"/>
      <c r="Q37" s="19"/>
      <c r="R37" s="19"/>
      <c r="S37" s="19"/>
      <c r="T37" s="19"/>
      <c r="U37" s="19"/>
    </row>
    <row r="38" spans="4:21" ht="15" customHeight="1" x14ac:dyDescent="0.25">
      <c r="D38" s="19"/>
      <c r="E38" s="19"/>
      <c r="F38" s="19"/>
      <c r="G38" s="19"/>
      <c r="H38" s="19"/>
      <c r="I38" s="19"/>
      <c r="J38" s="19"/>
      <c r="K38" s="19"/>
      <c r="L38" s="19"/>
      <c r="M38" s="19"/>
      <c r="N38" s="19"/>
      <c r="O38" s="19"/>
      <c r="P38" s="19"/>
      <c r="Q38" s="19"/>
      <c r="R38" s="19"/>
      <c r="S38" s="19"/>
      <c r="T38" s="19"/>
      <c r="U38" s="19"/>
    </row>
    <row r="39" spans="4:21" ht="15" customHeight="1" x14ac:dyDescent="0.25">
      <c r="D39" s="19"/>
      <c r="E39" s="19"/>
      <c r="F39" s="19"/>
      <c r="G39" s="19"/>
      <c r="H39" s="19"/>
      <c r="I39" s="19"/>
      <c r="J39" s="19"/>
      <c r="K39" s="19"/>
      <c r="L39" s="19"/>
      <c r="M39" s="19"/>
      <c r="N39" s="19"/>
      <c r="O39" s="19"/>
      <c r="P39" s="19"/>
      <c r="Q39" s="19"/>
      <c r="R39" s="19"/>
      <c r="S39" s="19"/>
      <c r="T39" s="19"/>
      <c r="U39" s="19"/>
    </row>
    <row r="40" spans="4:21" ht="15" customHeight="1" x14ac:dyDescent="0.25">
      <c r="D40" s="19"/>
      <c r="E40" s="19"/>
      <c r="F40" s="19"/>
      <c r="G40" s="19"/>
      <c r="H40" s="19"/>
      <c r="I40" s="19"/>
      <c r="J40" s="19"/>
      <c r="K40" s="19"/>
      <c r="L40" s="19"/>
      <c r="M40" s="19"/>
      <c r="N40" s="19"/>
      <c r="O40" s="19"/>
      <c r="P40" s="19"/>
      <c r="Q40" s="19"/>
      <c r="R40" s="19"/>
      <c r="S40" s="19"/>
      <c r="T40" s="19"/>
      <c r="U40" s="19"/>
    </row>
    <row r="41" spans="4:21" ht="15" customHeight="1" x14ac:dyDescent="0.25">
      <c r="D41" s="19"/>
      <c r="E41" s="19"/>
      <c r="F41" s="19"/>
      <c r="G41" s="19"/>
      <c r="H41" s="19"/>
      <c r="I41" s="19"/>
      <c r="J41" s="19"/>
      <c r="K41" s="19"/>
      <c r="L41" s="19"/>
      <c r="M41" s="19"/>
      <c r="N41" s="19"/>
      <c r="O41" s="19"/>
      <c r="P41" s="19"/>
      <c r="Q41" s="19"/>
      <c r="R41" s="19"/>
      <c r="S41" s="19"/>
      <c r="T41" s="19"/>
      <c r="U41" s="19"/>
    </row>
    <row r="42" spans="4:21" ht="15" customHeight="1" x14ac:dyDescent="0.25">
      <c r="D42" s="19"/>
      <c r="E42" s="19"/>
      <c r="F42" s="19"/>
      <c r="G42" s="19"/>
      <c r="H42" s="19"/>
      <c r="I42" s="19"/>
      <c r="J42" s="19"/>
      <c r="K42" s="19"/>
      <c r="L42" s="19"/>
      <c r="M42" s="19"/>
      <c r="N42" s="19"/>
      <c r="O42" s="19"/>
      <c r="P42" s="19"/>
      <c r="Q42" s="19"/>
      <c r="R42" s="19"/>
      <c r="S42" s="19"/>
      <c r="T42" s="19"/>
      <c r="U42" s="19"/>
    </row>
    <row r="43" spans="4:21" ht="15" customHeight="1" x14ac:dyDescent="0.25">
      <c r="D43" s="19"/>
      <c r="E43" s="19"/>
      <c r="F43" s="19"/>
      <c r="G43" s="19"/>
      <c r="H43" s="19"/>
      <c r="I43" s="19"/>
      <c r="J43" s="19"/>
      <c r="K43" s="19"/>
      <c r="L43" s="19"/>
      <c r="M43" s="19"/>
      <c r="N43" s="19"/>
      <c r="O43" s="19"/>
      <c r="P43" s="19"/>
      <c r="Q43" s="19"/>
      <c r="R43" s="19"/>
      <c r="S43" s="19"/>
      <c r="T43" s="19"/>
      <c r="U43" s="19"/>
    </row>
    <row r="44" spans="4:21" ht="15" customHeight="1" x14ac:dyDescent="0.25">
      <c r="D44" s="19"/>
      <c r="E44" s="19"/>
      <c r="F44" s="19"/>
      <c r="G44" s="19"/>
      <c r="H44" s="19"/>
      <c r="I44" s="19"/>
      <c r="J44" s="19"/>
      <c r="K44" s="19"/>
      <c r="L44" s="19"/>
      <c r="M44" s="19"/>
      <c r="N44" s="19"/>
      <c r="O44" s="19"/>
      <c r="P44" s="19"/>
      <c r="Q44" s="19"/>
      <c r="R44" s="19"/>
      <c r="S44" s="19"/>
      <c r="T44" s="19"/>
      <c r="U44" s="19"/>
    </row>
    <row r="45" spans="4:21" ht="15" customHeight="1" x14ac:dyDescent="0.25">
      <c r="D45" s="19"/>
      <c r="E45" s="19"/>
      <c r="F45" s="19"/>
      <c r="G45" s="19"/>
      <c r="H45" s="19"/>
      <c r="I45" s="19"/>
      <c r="J45" s="19"/>
      <c r="K45" s="19"/>
      <c r="L45" s="19"/>
      <c r="M45" s="19"/>
      <c r="N45" s="19"/>
      <c r="O45" s="19"/>
      <c r="P45" s="19"/>
      <c r="Q45" s="19"/>
      <c r="R45" s="19"/>
      <c r="S45" s="19"/>
      <c r="T45" s="19"/>
      <c r="U45" s="19"/>
    </row>
    <row r="46" spans="4:21" ht="15" customHeight="1" x14ac:dyDescent="0.25">
      <c r="D46" s="19"/>
      <c r="E46" s="19"/>
      <c r="F46" s="19"/>
      <c r="G46" s="19"/>
      <c r="H46" s="19"/>
      <c r="I46" s="19"/>
      <c r="J46" s="19"/>
      <c r="K46" s="19"/>
      <c r="L46" s="19"/>
      <c r="M46" s="19"/>
      <c r="N46" s="19"/>
      <c r="O46" s="19"/>
      <c r="P46" s="19"/>
      <c r="Q46" s="19"/>
      <c r="R46" s="19"/>
      <c r="S46" s="19"/>
      <c r="T46" s="19"/>
      <c r="U46" s="19"/>
    </row>
    <row r="47" spans="4:21" ht="15" customHeight="1" x14ac:dyDescent="0.25">
      <c r="D47" s="19"/>
      <c r="E47" s="19"/>
      <c r="F47" s="19"/>
      <c r="G47" s="19"/>
      <c r="H47" s="19"/>
      <c r="I47" s="19"/>
      <c r="J47" s="19"/>
      <c r="K47" s="19"/>
      <c r="L47" s="19"/>
      <c r="M47" s="19"/>
      <c r="N47" s="19"/>
      <c r="O47" s="19"/>
      <c r="P47" s="19"/>
      <c r="Q47" s="19"/>
      <c r="R47" s="19"/>
      <c r="S47" s="19"/>
      <c r="T47" s="19"/>
      <c r="U47" s="19"/>
    </row>
    <row r="48" spans="4:21" ht="15" customHeight="1" x14ac:dyDescent="0.25">
      <c r="D48" s="19"/>
      <c r="E48" s="134" t="s">
        <v>14</v>
      </c>
      <c r="F48" s="134"/>
      <c r="G48" s="134"/>
      <c r="H48" s="134"/>
      <c r="I48" s="134"/>
      <c r="J48" s="134"/>
      <c r="K48" s="134"/>
      <c r="L48" s="134"/>
      <c r="M48" s="134"/>
      <c r="N48" s="134"/>
      <c r="O48" s="134"/>
      <c r="P48" s="134"/>
      <c r="Q48" s="134"/>
      <c r="R48" s="134"/>
      <c r="S48" s="134"/>
      <c r="T48" s="134"/>
      <c r="U48" s="19"/>
    </row>
    <row r="49" spans="4:21" ht="15" customHeight="1" x14ac:dyDescent="0.25">
      <c r="D49" s="19"/>
      <c r="E49" s="134"/>
      <c r="F49" s="134"/>
      <c r="G49" s="134"/>
      <c r="H49" s="134"/>
      <c r="I49" s="134"/>
      <c r="J49" s="134"/>
      <c r="K49" s="134"/>
      <c r="L49" s="134"/>
      <c r="M49" s="134"/>
      <c r="N49" s="134"/>
      <c r="O49" s="134"/>
      <c r="P49" s="134"/>
      <c r="Q49" s="134"/>
      <c r="R49" s="134"/>
      <c r="S49" s="134"/>
      <c r="T49" s="134"/>
      <c r="U49" s="19"/>
    </row>
    <row r="50" spans="4:21" ht="15" customHeight="1" x14ac:dyDescent="0.25">
      <c r="D50" s="19"/>
      <c r="E50" s="134"/>
      <c r="F50" s="134"/>
      <c r="G50" s="134"/>
      <c r="H50" s="134"/>
      <c r="I50" s="134"/>
      <c r="J50" s="134"/>
      <c r="K50" s="134"/>
      <c r="L50" s="134"/>
      <c r="M50" s="134"/>
      <c r="N50" s="134"/>
      <c r="O50" s="134"/>
      <c r="P50" s="134"/>
      <c r="Q50" s="134"/>
      <c r="R50" s="134"/>
      <c r="S50" s="134"/>
      <c r="T50" s="134"/>
      <c r="U50" s="19"/>
    </row>
    <row r="51" spans="4:21" ht="15" customHeight="1" x14ac:dyDescent="0.25">
      <c r="D51" s="19"/>
      <c r="E51" s="134"/>
      <c r="F51" s="134"/>
      <c r="G51" s="134"/>
      <c r="H51" s="134"/>
      <c r="I51" s="134"/>
      <c r="J51" s="134"/>
      <c r="K51" s="134"/>
      <c r="L51" s="134"/>
      <c r="M51" s="134"/>
      <c r="N51" s="134"/>
      <c r="O51" s="134"/>
      <c r="P51" s="134"/>
      <c r="Q51" s="134"/>
      <c r="R51" s="134"/>
      <c r="S51" s="134"/>
      <c r="T51" s="134"/>
      <c r="U51" s="19"/>
    </row>
    <row r="52" spans="4:21" ht="15" customHeight="1" x14ac:dyDescent="0.25">
      <c r="D52" s="19"/>
      <c r="E52" s="134"/>
      <c r="F52" s="134"/>
      <c r="G52" s="134"/>
      <c r="H52" s="134"/>
      <c r="I52" s="134"/>
      <c r="J52" s="134"/>
      <c r="K52" s="134"/>
      <c r="L52" s="134"/>
      <c r="M52" s="134"/>
      <c r="N52" s="134"/>
      <c r="O52" s="134"/>
      <c r="P52" s="134"/>
      <c r="Q52" s="134"/>
      <c r="R52" s="134"/>
      <c r="S52" s="134"/>
      <c r="T52" s="134"/>
      <c r="U52" s="19"/>
    </row>
    <row r="53" spans="4:21" ht="15" customHeight="1" x14ac:dyDescent="0.25">
      <c r="D53" s="19"/>
      <c r="E53" s="134"/>
      <c r="F53" s="134"/>
      <c r="G53" s="134"/>
      <c r="H53" s="134"/>
      <c r="I53" s="134"/>
      <c r="J53" s="134"/>
      <c r="K53" s="134"/>
      <c r="L53" s="134"/>
      <c r="M53" s="134"/>
      <c r="N53" s="134"/>
      <c r="O53" s="134"/>
      <c r="P53" s="134"/>
      <c r="Q53" s="134"/>
      <c r="R53" s="134"/>
      <c r="S53" s="134"/>
      <c r="T53" s="134"/>
      <c r="U53" s="19"/>
    </row>
    <row r="54" spans="4:21" ht="15" customHeight="1" x14ac:dyDescent="0.25">
      <c r="D54" s="19"/>
      <c r="E54" s="19"/>
      <c r="F54" s="19"/>
      <c r="G54" s="19"/>
      <c r="H54" s="19"/>
      <c r="I54" s="19"/>
      <c r="J54" s="19"/>
      <c r="K54" s="19"/>
      <c r="L54" s="19"/>
      <c r="M54" s="19"/>
      <c r="N54" s="19"/>
      <c r="O54" s="19"/>
      <c r="P54" s="19"/>
      <c r="Q54" s="19"/>
      <c r="R54" s="19"/>
      <c r="S54" s="19"/>
      <c r="T54" s="19"/>
      <c r="U54" s="19"/>
    </row>
    <row r="55" spans="4:21" ht="15" customHeight="1" x14ac:dyDescent="0.25">
      <c r="D55" s="19"/>
      <c r="E55" s="19"/>
      <c r="F55" s="19"/>
      <c r="G55" s="19"/>
      <c r="H55" s="19"/>
      <c r="I55" s="19"/>
      <c r="J55" s="19"/>
      <c r="K55" s="19"/>
      <c r="L55" s="19"/>
      <c r="M55" s="19"/>
      <c r="N55" s="19"/>
      <c r="O55" s="19"/>
      <c r="P55" s="19"/>
      <c r="Q55" s="19"/>
      <c r="R55" s="19"/>
      <c r="S55" s="19"/>
      <c r="T55" s="19"/>
      <c r="U55" s="19"/>
    </row>
    <row r="56" spans="4:21" ht="15" customHeight="1" x14ac:dyDescent="0.25">
      <c r="D56" s="19"/>
      <c r="E56" s="19"/>
      <c r="F56" s="19"/>
      <c r="G56" s="19"/>
      <c r="H56" s="19"/>
      <c r="I56" s="19"/>
      <c r="J56" s="19"/>
      <c r="K56" s="19"/>
      <c r="L56" s="19"/>
      <c r="M56" s="19"/>
      <c r="N56" s="19"/>
      <c r="O56" s="19"/>
      <c r="P56" s="19"/>
      <c r="Q56" s="19"/>
      <c r="R56" s="19"/>
      <c r="S56" s="19"/>
      <c r="T56" s="19"/>
      <c r="U56" s="19"/>
    </row>
    <row r="57" spans="4:21" ht="15" customHeight="1" x14ac:dyDescent="0.25">
      <c r="D57" s="19"/>
      <c r="E57" s="19"/>
      <c r="F57" s="19"/>
      <c r="G57" s="19"/>
      <c r="H57" s="19"/>
      <c r="I57" s="19"/>
      <c r="J57" s="19"/>
      <c r="K57" s="19"/>
      <c r="L57" s="19"/>
      <c r="M57" s="19"/>
      <c r="N57" s="19"/>
      <c r="O57" s="19"/>
      <c r="P57" s="19"/>
      <c r="Q57" s="19"/>
      <c r="R57" s="19"/>
      <c r="S57" s="19"/>
      <c r="T57" s="19"/>
      <c r="U57" s="19"/>
    </row>
    <row r="58" spans="4:21" ht="15" customHeight="1" x14ac:dyDescent="0.25">
      <c r="D58" s="19"/>
      <c r="E58" s="19"/>
      <c r="F58" s="19"/>
      <c r="G58" s="19"/>
      <c r="H58" s="19"/>
      <c r="I58" s="19"/>
      <c r="J58" s="19"/>
      <c r="K58" s="19"/>
      <c r="L58" s="19"/>
      <c r="M58" s="19"/>
      <c r="N58" s="19"/>
      <c r="O58" s="19"/>
      <c r="P58" s="19"/>
      <c r="Q58" s="19"/>
      <c r="R58" s="19"/>
      <c r="S58" s="19"/>
      <c r="T58" s="19"/>
      <c r="U58" s="19"/>
    </row>
    <row r="59" spans="4:21" ht="15" customHeight="1" x14ac:dyDescent="0.25">
      <c r="D59" s="19"/>
      <c r="E59" s="19"/>
      <c r="F59" s="19"/>
      <c r="G59" s="19"/>
      <c r="H59" s="19"/>
      <c r="I59" s="19"/>
      <c r="J59" s="19"/>
      <c r="K59" s="19"/>
      <c r="L59" s="19"/>
      <c r="M59" s="19"/>
      <c r="N59" s="19"/>
      <c r="O59" s="19"/>
      <c r="P59" s="19"/>
      <c r="Q59" s="19"/>
      <c r="R59" s="19"/>
      <c r="S59" s="19"/>
      <c r="T59" s="19"/>
      <c r="U59" s="19"/>
    </row>
    <row r="60" spans="4:21" ht="15" customHeight="1" x14ac:dyDescent="0.25">
      <c r="D60" s="19"/>
      <c r="E60" s="19"/>
      <c r="F60" s="19"/>
      <c r="G60" s="19"/>
      <c r="H60" s="19"/>
      <c r="I60" s="19"/>
      <c r="J60" s="19"/>
      <c r="K60" s="19"/>
      <c r="L60" s="19"/>
      <c r="M60" s="19"/>
      <c r="N60" s="19"/>
      <c r="O60" s="19"/>
      <c r="P60" s="19"/>
      <c r="Q60" s="19"/>
      <c r="R60" s="19"/>
      <c r="S60" s="19"/>
      <c r="T60" s="19"/>
      <c r="U60" s="19"/>
    </row>
    <row r="61" spans="4:21" ht="15" customHeight="1" x14ac:dyDescent="0.25">
      <c r="D61" s="19"/>
      <c r="E61" s="19"/>
      <c r="F61" s="19"/>
      <c r="G61" s="19"/>
      <c r="H61" s="19"/>
      <c r="I61" s="19"/>
      <c r="J61" s="19"/>
      <c r="K61" s="19"/>
      <c r="L61" s="19"/>
      <c r="M61" s="19"/>
      <c r="N61" s="19"/>
      <c r="O61" s="19"/>
      <c r="P61" s="19"/>
      <c r="Q61" s="19"/>
      <c r="R61" s="19"/>
      <c r="S61" s="19"/>
      <c r="T61" s="19"/>
      <c r="U61" s="19"/>
    </row>
    <row r="62" spans="4:21" ht="15" customHeight="1" x14ac:dyDescent="0.25">
      <c r="D62" s="19"/>
      <c r="E62" s="19"/>
      <c r="F62" s="19"/>
      <c r="G62" s="19"/>
      <c r="H62" s="19"/>
      <c r="I62" s="19"/>
      <c r="J62" s="19"/>
      <c r="K62" s="19"/>
      <c r="L62" s="19"/>
      <c r="M62" s="19"/>
      <c r="N62" s="19"/>
      <c r="O62" s="19"/>
      <c r="P62" s="19"/>
      <c r="Q62" s="19"/>
      <c r="R62" s="19"/>
      <c r="S62" s="19"/>
      <c r="T62" s="19"/>
      <c r="U62" s="19"/>
    </row>
    <row r="63" spans="4:21" ht="15" customHeight="1" x14ac:dyDescent="0.25">
      <c r="D63" s="19"/>
      <c r="E63" s="19"/>
      <c r="F63" s="19"/>
      <c r="G63" s="19"/>
      <c r="H63" s="19"/>
      <c r="I63" s="19"/>
      <c r="J63" s="19"/>
      <c r="K63" s="19"/>
      <c r="L63" s="19"/>
      <c r="M63" s="19"/>
      <c r="N63" s="19"/>
      <c r="O63" s="19"/>
      <c r="P63" s="19"/>
      <c r="Q63" s="19"/>
      <c r="R63" s="19"/>
      <c r="S63" s="19"/>
      <c r="T63" s="19"/>
      <c r="U63" s="19"/>
    </row>
    <row r="64" spans="4:21" ht="15" customHeight="1" x14ac:dyDescent="0.25">
      <c r="D64" s="19"/>
      <c r="E64" s="19"/>
      <c r="F64" s="19"/>
      <c r="G64" s="19"/>
      <c r="H64" s="19"/>
      <c r="I64" s="19"/>
      <c r="J64" s="19"/>
      <c r="K64" s="19"/>
      <c r="L64" s="19"/>
      <c r="M64" s="19"/>
      <c r="N64" s="19"/>
      <c r="O64" s="19"/>
      <c r="P64" s="19"/>
      <c r="Q64" s="19"/>
      <c r="R64" s="19"/>
      <c r="S64" s="19"/>
      <c r="T64" s="19"/>
      <c r="U64" s="19"/>
    </row>
    <row r="65" spans="4:21" ht="15" customHeight="1" x14ac:dyDescent="0.25">
      <c r="D65" s="19"/>
      <c r="E65" s="19"/>
      <c r="F65" s="19"/>
      <c r="G65" s="19"/>
      <c r="H65" s="19"/>
      <c r="I65" s="19"/>
      <c r="J65" s="19"/>
      <c r="K65" s="19"/>
      <c r="L65" s="19"/>
      <c r="M65" s="19"/>
      <c r="N65" s="19"/>
      <c r="O65" s="19"/>
      <c r="P65" s="19"/>
      <c r="Q65" s="19"/>
      <c r="R65" s="19"/>
      <c r="S65" s="19"/>
      <c r="T65" s="19"/>
      <c r="U65" s="19"/>
    </row>
    <row r="66" spans="4:21" ht="15" customHeight="1" x14ac:dyDescent="0.25">
      <c r="D66" s="19"/>
      <c r="E66" s="19"/>
      <c r="F66" s="19"/>
      <c r="G66" s="19"/>
      <c r="H66" s="19"/>
      <c r="I66" s="19"/>
      <c r="J66" s="19"/>
      <c r="K66" s="19"/>
      <c r="L66" s="19"/>
      <c r="M66" s="19"/>
      <c r="N66" s="19"/>
      <c r="O66" s="19"/>
      <c r="P66" s="19"/>
      <c r="Q66" s="19"/>
      <c r="R66" s="19"/>
      <c r="S66" s="19"/>
      <c r="T66" s="19"/>
      <c r="U66" s="19"/>
    </row>
    <row r="67" spans="4:21" ht="15" customHeight="1" x14ac:dyDescent="0.25">
      <c r="D67" s="19"/>
      <c r="E67" s="19"/>
      <c r="F67" s="19"/>
      <c r="G67" s="19"/>
      <c r="H67" s="19"/>
      <c r="I67" s="19"/>
      <c r="J67" s="19"/>
      <c r="K67" s="19"/>
      <c r="L67" s="19"/>
      <c r="M67" s="19"/>
      <c r="N67" s="19"/>
      <c r="O67" s="19"/>
      <c r="P67" s="19"/>
      <c r="Q67" s="19"/>
      <c r="R67" s="19"/>
      <c r="S67" s="19"/>
      <c r="T67" s="19"/>
      <c r="U67" s="19"/>
    </row>
    <row r="68" spans="4:21" ht="15" customHeight="1" x14ac:dyDescent="0.25">
      <c r="D68" s="19"/>
      <c r="E68" s="19"/>
      <c r="F68" s="19"/>
      <c r="G68" s="19"/>
      <c r="H68" s="19"/>
      <c r="I68" s="19"/>
      <c r="J68" s="19"/>
      <c r="K68" s="19"/>
      <c r="L68" s="19"/>
      <c r="M68" s="19"/>
      <c r="N68" s="19"/>
      <c r="O68" s="19"/>
      <c r="P68" s="19"/>
      <c r="Q68" s="19"/>
      <c r="R68" s="19"/>
      <c r="S68" s="19"/>
      <c r="T68" s="19"/>
      <c r="U68" s="19"/>
    </row>
    <row r="69" spans="4:21" ht="15" customHeight="1" x14ac:dyDescent="0.25">
      <c r="D69" s="19"/>
      <c r="E69" s="19"/>
      <c r="F69" s="19"/>
      <c r="G69" s="19"/>
      <c r="H69" s="19"/>
      <c r="I69" s="19"/>
      <c r="J69" s="19"/>
      <c r="K69" s="19"/>
      <c r="L69" s="19"/>
      <c r="M69" s="19"/>
      <c r="N69" s="19"/>
      <c r="O69" s="19"/>
      <c r="P69" s="19"/>
      <c r="Q69" s="19"/>
      <c r="R69" s="19"/>
      <c r="S69" s="19"/>
      <c r="T69" s="19"/>
      <c r="U69" s="19"/>
    </row>
    <row r="70" spans="4:21" ht="15" customHeight="1" x14ac:dyDescent="0.25">
      <c r="D70" s="19"/>
      <c r="E70" s="19"/>
      <c r="F70" s="19"/>
      <c r="G70" s="19"/>
      <c r="H70" s="19"/>
      <c r="I70" s="19"/>
      <c r="J70" s="19"/>
      <c r="K70" s="19"/>
      <c r="L70" s="19"/>
      <c r="M70" s="19"/>
      <c r="N70" s="19"/>
      <c r="O70" s="19"/>
      <c r="P70" s="19"/>
      <c r="Q70" s="19"/>
      <c r="R70" s="19"/>
      <c r="S70" s="19"/>
      <c r="T70" s="19"/>
      <c r="U70" s="19"/>
    </row>
    <row r="71" spans="4:21" ht="15" customHeight="1" x14ac:dyDescent="0.25">
      <c r="D71" s="19"/>
      <c r="E71" s="19"/>
      <c r="F71" s="19"/>
      <c r="G71" s="19"/>
      <c r="H71" s="19"/>
      <c r="I71" s="19"/>
      <c r="J71" s="19"/>
      <c r="K71" s="19"/>
      <c r="L71" s="19"/>
      <c r="M71" s="19"/>
      <c r="N71" s="19"/>
      <c r="O71" s="19"/>
      <c r="P71" s="19"/>
      <c r="Q71" s="19"/>
      <c r="R71" s="19"/>
      <c r="S71" s="19"/>
      <c r="T71" s="19"/>
      <c r="U71" s="19"/>
    </row>
    <row r="72" spans="4:21" ht="15" customHeight="1" x14ac:dyDescent="0.25">
      <c r="D72" s="19"/>
      <c r="E72" s="19"/>
      <c r="F72" s="19"/>
      <c r="G72" s="19"/>
      <c r="H72" s="19"/>
      <c r="I72" s="19"/>
      <c r="J72" s="19"/>
      <c r="K72" s="19"/>
      <c r="L72" s="19"/>
      <c r="M72" s="19"/>
      <c r="N72" s="19"/>
      <c r="O72" s="19"/>
      <c r="P72" s="19"/>
      <c r="Q72" s="19"/>
      <c r="R72" s="19"/>
      <c r="S72" s="19"/>
      <c r="T72" s="19"/>
      <c r="U72" s="19"/>
    </row>
    <row r="73" spans="4:21" ht="15" customHeight="1" x14ac:dyDescent="0.25">
      <c r="D73" s="19"/>
      <c r="E73" s="19"/>
      <c r="F73" s="19"/>
      <c r="G73" s="19"/>
      <c r="H73" s="19"/>
      <c r="I73" s="19"/>
      <c r="J73" s="19"/>
      <c r="K73" s="19"/>
      <c r="L73" s="19"/>
      <c r="M73" s="19"/>
      <c r="N73" s="19"/>
      <c r="O73" s="19"/>
      <c r="P73" s="19"/>
      <c r="Q73" s="19"/>
      <c r="R73" s="19"/>
      <c r="S73" s="19"/>
      <c r="T73" s="19"/>
      <c r="U73" s="19"/>
    </row>
    <row r="74" spans="4:21" ht="15" customHeight="1" x14ac:dyDescent="0.25">
      <c r="D74" s="19"/>
      <c r="E74" s="19"/>
      <c r="F74" s="19"/>
      <c r="G74" s="19"/>
      <c r="H74" s="19"/>
      <c r="I74" s="19"/>
      <c r="J74" s="19"/>
      <c r="K74" s="19"/>
      <c r="L74" s="19"/>
      <c r="M74" s="19"/>
      <c r="N74" s="19"/>
      <c r="O74" s="19"/>
      <c r="P74" s="19"/>
      <c r="Q74" s="19"/>
      <c r="R74" s="19"/>
      <c r="S74" s="19"/>
      <c r="T74" s="19"/>
      <c r="U74" s="19"/>
    </row>
    <row r="75" spans="4:21" ht="15" customHeight="1" x14ac:dyDescent="0.25">
      <c r="D75" s="19"/>
      <c r="E75" s="19"/>
      <c r="F75" s="19"/>
      <c r="G75" s="19"/>
      <c r="H75" s="19"/>
      <c r="I75" s="19"/>
      <c r="J75" s="19"/>
      <c r="K75" s="19"/>
      <c r="L75" s="19"/>
      <c r="M75" s="19"/>
      <c r="N75" s="19"/>
      <c r="O75" s="19"/>
      <c r="P75" s="19"/>
      <c r="Q75" s="19"/>
      <c r="R75" s="19"/>
      <c r="S75" s="19"/>
      <c r="T75" s="19"/>
      <c r="U75" s="19"/>
    </row>
    <row r="76" spans="4:21" ht="15" customHeight="1" x14ac:dyDescent="0.25">
      <c r="D76" s="19"/>
      <c r="E76" s="19"/>
      <c r="F76" s="19"/>
      <c r="G76" s="19"/>
      <c r="H76" s="19"/>
      <c r="I76" s="19"/>
      <c r="J76" s="19"/>
      <c r="K76" s="19"/>
      <c r="L76" s="19"/>
      <c r="M76" s="19"/>
      <c r="N76" s="19"/>
      <c r="O76" s="19"/>
      <c r="P76" s="19"/>
      <c r="Q76" s="19"/>
      <c r="R76" s="19"/>
      <c r="S76" s="19"/>
      <c r="T76" s="19"/>
      <c r="U76" s="19"/>
    </row>
    <row r="77" spans="4:21" ht="15" customHeight="1" x14ac:dyDescent="0.25">
      <c r="D77" s="19"/>
      <c r="E77" s="19"/>
      <c r="F77" s="19"/>
      <c r="G77" s="19"/>
      <c r="H77" s="19"/>
      <c r="I77" s="19"/>
      <c r="J77" s="19"/>
      <c r="K77" s="19"/>
      <c r="L77" s="19"/>
      <c r="M77" s="19"/>
      <c r="N77" s="19"/>
      <c r="O77" s="19"/>
      <c r="P77" s="19"/>
      <c r="Q77" s="19"/>
      <c r="R77" s="19"/>
      <c r="S77" s="19"/>
      <c r="T77" s="19"/>
      <c r="U77" s="19"/>
    </row>
    <row r="78" spans="4:21" ht="15" customHeight="1" x14ac:dyDescent="0.25">
      <c r="D78" s="19"/>
      <c r="E78" s="19"/>
      <c r="F78" s="19"/>
      <c r="G78" s="19"/>
      <c r="H78" s="19"/>
      <c r="I78" s="19"/>
      <c r="J78" s="19"/>
      <c r="K78" s="19"/>
      <c r="L78" s="19"/>
      <c r="M78" s="19"/>
      <c r="N78" s="19"/>
      <c r="O78" s="19"/>
      <c r="P78" s="19"/>
      <c r="Q78" s="19"/>
      <c r="R78" s="19"/>
      <c r="S78" s="19"/>
      <c r="T78" s="19"/>
      <c r="U78" s="19"/>
    </row>
    <row r="79" spans="4:21" ht="15" customHeight="1" x14ac:dyDescent="0.25">
      <c r="D79" s="19"/>
      <c r="E79" s="19"/>
      <c r="F79" s="19"/>
      <c r="G79" s="19"/>
      <c r="H79" s="19"/>
      <c r="I79" s="19"/>
      <c r="J79" s="19"/>
      <c r="K79" s="19"/>
      <c r="L79" s="19"/>
      <c r="M79" s="19"/>
      <c r="N79" s="19"/>
      <c r="O79" s="19"/>
      <c r="P79" s="19"/>
      <c r="Q79" s="19"/>
      <c r="R79" s="19"/>
      <c r="S79" s="19"/>
      <c r="T79" s="19"/>
      <c r="U79" s="19"/>
    </row>
    <row r="80" spans="4:21" ht="15" customHeight="1" x14ac:dyDescent="0.25">
      <c r="D80" s="19"/>
      <c r="E80" s="19"/>
      <c r="F80" s="19"/>
      <c r="G80" s="19"/>
      <c r="H80" s="19"/>
      <c r="I80" s="19"/>
      <c r="J80" s="19"/>
      <c r="K80" s="19"/>
      <c r="L80" s="19"/>
      <c r="M80" s="19"/>
      <c r="N80" s="19"/>
      <c r="O80" s="19"/>
      <c r="P80" s="19"/>
      <c r="Q80" s="19"/>
      <c r="R80" s="19"/>
      <c r="S80" s="19"/>
      <c r="T80" s="19"/>
      <c r="U80" s="19"/>
    </row>
    <row r="81" spans="4:21" ht="15" customHeight="1" x14ac:dyDescent="0.25">
      <c r="D81" s="19"/>
      <c r="E81" s="19"/>
      <c r="F81" s="19"/>
      <c r="G81" s="19"/>
      <c r="H81" s="19"/>
      <c r="I81" s="19"/>
      <c r="J81" s="19"/>
      <c r="K81" s="19"/>
      <c r="L81" s="19"/>
      <c r="M81" s="19"/>
      <c r="N81" s="19"/>
      <c r="O81" s="19"/>
      <c r="P81" s="19"/>
      <c r="Q81" s="19"/>
      <c r="R81" s="19"/>
      <c r="S81" s="19"/>
      <c r="T81" s="19"/>
      <c r="U81" s="19"/>
    </row>
    <row r="82" spans="4:21" ht="15" customHeight="1" x14ac:dyDescent="0.25">
      <c r="D82" s="19"/>
      <c r="E82" s="19"/>
      <c r="F82" s="19"/>
      <c r="G82" s="19"/>
      <c r="H82" s="19"/>
      <c r="I82" s="19"/>
      <c r="J82" s="19"/>
      <c r="K82" s="19"/>
      <c r="L82" s="19"/>
      <c r="M82" s="19"/>
      <c r="N82" s="19"/>
      <c r="O82" s="19"/>
      <c r="P82" s="19"/>
      <c r="Q82" s="19"/>
      <c r="R82" s="19"/>
      <c r="S82" s="19"/>
      <c r="T82" s="19"/>
      <c r="U82" s="19"/>
    </row>
    <row r="83" spans="4:21" ht="15" customHeight="1" x14ac:dyDescent="0.25">
      <c r="D83" s="19"/>
      <c r="E83" s="19"/>
      <c r="F83" s="19"/>
      <c r="G83" s="19"/>
      <c r="H83" s="19"/>
      <c r="I83" s="19"/>
      <c r="J83" s="19"/>
      <c r="K83" s="19"/>
      <c r="L83" s="19"/>
      <c r="M83" s="19"/>
      <c r="N83" s="19"/>
      <c r="O83" s="19"/>
      <c r="P83" s="19"/>
      <c r="Q83" s="19"/>
      <c r="R83" s="19"/>
      <c r="S83" s="19"/>
      <c r="T83" s="19"/>
      <c r="U83" s="19"/>
    </row>
    <row r="84" spans="4:21" ht="15" customHeight="1" x14ac:dyDescent="0.25">
      <c r="D84" s="19"/>
      <c r="E84" s="19"/>
      <c r="F84" s="19"/>
      <c r="G84" s="19"/>
      <c r="H84" s="19"/>
      <c r="I84" s="19"/>
      <c r="J84" s="19"/>
      <c r="K84" s="19"/>
      <c r="L84" s="19"/>
      <c r="M84" s="19"/>
      <c r="N84" s="19"/>
      <c r="O84" s="19"/>
      <c r="P84" s="19"/>
      <c r="Q84" s="19"/>
      <c r="R84" s="19"/>
      <c r="S84" s="19"/>
      <c r="T84" s="19"/>
      <c r="U84" s="19"/>
    </row>
    <row r="85" spans="4:21" ht="15" customHeight="1" x14ac:dyDescent="0.25">
      <c r="D85" s="19"/>
      <c r="E85" s="19"/>
      <c r="F85" s="19"/>
      <c r="G85" s="19"/>
      <c r="H85" s="19"/>
      <c r="I85" s="19"/>
      <c r="J85" s="19"/>
      <c r="K85" s="19"/>
      <c r="L85" s="19"/>
      <c r="M85" s="19"/>
      <c r="N85" s="19"/>
      <c r="O85" s="19"/>
      <c r="P85" s="19"/>
      <c r="Q85" s="19"/>
      <c r="R85" s="19"/>
      <c r="S85" s="19"/>
      <c r="T85" s="19"/>
      <c r="U85" s="19"/>
    </row>
    <row r="86" spans="4:21" ht="15" customHeight="1" x14ac:dyDescent="0.25">
      <c r="D86" s="19"/>
      <c r="E86" s="19"/>
      <c r="F86" s="19"/>
      <c r="G86" s="19"/>
      <c r="H86" s="19"/>
      <c r="I86" s="19"/>
      <c r="J86" s="19"/>
      <c r="K86" s="19"/>
      <c r="L86" s="19"/>
      <c r="M86" s="19"/>
      <c r="N86" s="19"/>
      <c r="O86" s="19"/>
      <c r="P86" s="19"/>
      <c r="Q86" s="19"/>
      <c r="R86" s="19"/>
      <c r="S86" s="19"/>
      <c r="T86" s="19"/>
      <c r="U86" s="19"/>
    </row>
  </sheetData>
  <sheetProtection sheet="1" objects="1" scenarios="1" selectLockedCells="1" selectUnlockedCells="1"/>
  <mergeCells count="2">
    <mergeCell ref="E8:T13"/>
    <mergeCell ref="E48:T53"/>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from>
                    <xdr:col>17</xdr:col>
                    <xdr:colOff>142875</xdr:colOff>
                    <xdr:row>3</xdr:row>
                    <xdr:rowOff>104775</xdr:rowOff>
                  </from>
                  <to>
                    <xdr:col>21</xdr:col>
                    <xdr:colOff>0</xdr:colOff>
                    <xdr:row>4</xdr:row>
                    <xdr:rowOff>161925</xdr:rowOff>
                  </to>
                </anchor>
              </controlPr>
            </control>
          </mc:Choice>
        </mc:AlternateContent>
        <mc:AlternateContent xmlns:mc="http://schemas.openxmlformats.org/markup-compatibility/2006">
          <mc:Choice Requires="x14">
            <control shapeId="11266" r:id="rId5" name="Drop Down 2">
              <controlPr defaultSize="0" autoLine="0" autoPict="0">
                <anchor moveWithCells="1">
                  <from>
                    <xdr:col>3</xdr:col>
                    <xdr:colOff>180975</xdr:colOff>
                    <xdr:row>54</xdr:row>
                    <xdr:rowOff>0</xdr:rowOff>
                  </from>
                  <to>
                    <xdr:col>10</xdr:col>
                    <xdr:colOff>733425</xdr:colOff>
                    <xdr:row>55</xdr:row>
                    <xdr:rowOff>171450</xdr:rowOff>
                  </to>
                </anchor>
              </controlPr>
            </control>
          </mc:Choice>
        </mc:AlternateContent>
        <mc:AlternateContent xmlns:mc="http://schemas.openxmlformats.org/markup-compatibility/2006">
          <mc:Choice Requires="x14">
            <control shapeId="11267" r:id="rId6" name="Drop Down 3">
              <controlPr defaultSize="0" autoLine="0" autoPict="0">
                <anchor moveWithCells="1">
                  <from>
                    <xdr:col>10</xdr:col>
                    <xdr:colOff>809625</xdr:colOff>
                    <xdr:row>54</xdr:row>
                    <xdr:rowOff>0</xdr:rowOff>
                  </from>
                  <to>
                    <xdr:col>19</xdr:col>
                    <xdr:colOff>142875</xdr:colOff>
                    <xdr:row>55</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6">
    <tabColor rgb="FF01B8AA"/>
  </sheetPr>
  <dimension ref="A1:A4"/>
  <sheetViews>
    <sheetView showGridLines="0" showRowColHeaders="0" workbookViewId="0">
      <pane ySplit="3" topLeftCell="A4" activePane="bottomLeft" state="frozen"/>
      <selection pane="bottomLeft" activeCell="X6" sqref="X6"/>
    </sheetView>
  </sheetViews>
  <sheetFormatPr defaultRowHeight="35.1" customHeight="1" x14ac:dyDescent="0.25"/>
  <cols>
    <col min="1" max="2" width="1.7109375" style="19" customWidth="1"/>
    <col min="3"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7">
    <tabColor rgb="FF01B8AA"/>
  </sheetPr>
  <dimension ref="A1:A4"/>
  <sheetViews>
    <sheetView showGridLines="0" showRowColHeaders="0" workbookViewId="0">
      <pane ySplit="4" topLeftCell="A5" activePane="bottomLeft" state="frozen"/>
      <selection pane="bottomLeft" activeCell="Y9" sqref="Y9"/>
    </sheetView>
  </sheetViews>
  <sheetFormatPr defaultRowHeight="35.1" customHeight="1" x14ac:dyDescent="0.25"/>
  <cols>
    <col min="1" max="2" width="1.7109375" style="19" customWidth="1"/>
    <col min="3"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1505" r:id="rId3" name="Drop Down 1">
              <controlPr defaultSize="0" autoLine="0" autoPict="0">
                <anchor moveWithCells="1">
                  <from>
                    <xdr:col>1</xdr:col>
                    <xdr:colOff>104775</xdr:colOff>
                    <xdr:row>2</xdr:row>
                    <xdr:rowOff>285750</xdr:rowOff>
                  </from>
                  <to>
                    <xdr:col>8</xdr:col>
                    <xdr:colOff>361950</xdr:colOff>
                    <xdr:row>3</xdr:row>
                    <xdr:rowOff>266700</xdr:rowOff>
                  </to>
                </anchor>
              </controlPr>
            </control>
          </mc:Choice>
        </mc:AlternateContent>
        <mc:AlternateContent xmlns:mc="http://schemas.openxmlformats.org/markup-compatibility/2006">
          <mc:Choice Requires="x14">
            <control shapeId="21506" r:id="rId4" name="Drop Down 2">
              <controlPr defaultSize="0" autoLine="0" autoPict="0">
                <anchor moveWithCells="1">
                  <from>
                    <xdr:col>8</xdr:col>
                    <xdr:colOff>400050</xdr:colOff>
                    <xdr:row>2</xdr:row>
                    <xdr:rowOff>285750</xdr:rowOff>
                  </from>
                  <to>
                    <xdr:col>15</xdr:col>
                    <xdr:colOff>161925</xdr:colOff>
                    <xdr:row>3</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5</vt:i4>
      </vt:variant>
    </vt:vector>
  </HeadingPairs>
  <TitlesOfParts>
    <vt:vector size="24" baseType="lpstr">
      <vt:lpstr>BH (1)</vt:lpstr>
      <vt:lpstr>BH (2)</vt:lpstr>
      <vt:lpstr>Suporte</vt:lpstr>
      <vt:lpstr>Info</vt:lpstr>
      <vt:lpstr>Acesso</vt:lpstr>
      <vt:lpstr>GO</vt:lpstr>
      <vt:lpstr>Início</vt:lpstr>
      <vt:lpstr>Aprendizado</vt:lpstr>
      <vt:lpstr>Cadastros</vt:lpstr>
      <vt:lpstr>DespF</vt:lpstr>
      <vt:lpstr>Prod 1</vt:lpstr>
      <vt:lpstr>Prod 2</vt:lpstr>
      <vt:lpstr>Prod 3</vt:lpstr>
      <vt:lpstr>Controles</vt:lpstr>
      <vt:lpstr>Relatórios</vt:lpstr>
      <vt:lpstr>PProduto</vt:lpstr>
      <vt:lpstr>Impressão</vt:lpstr>
      <vt:lpstr>Dashboard</vt:lpstr>
      <vt:lpstr>Analítico</vt:lpstr>
      <vt:lpstr>Controles!Area_de_impressao</vt:lpstr>
      <vt:lpstr>Impressão!Area_de_impressao</vt:lpstr>
      <vt:lpstr>PProduto!Area_de_impressao</vt:lpstr>
      <vt:lpstr>Relatórios!Area_de_impressao</vt:lpstr>
      <vt:lpstr>Tipo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Usuário</cp:lastModifiedBy>
  <cp:lastPrinted>2023-07-20T20:30:32Z</cp:lastPrinted>
  <dcterms:created xsi:type="dcterms:W3CDTF">2020-09-21T15:46:55Z</dcterms:created>
  <dcterms:modified xsi:type="dcterms:W3CDTF">2026-01-12T14:38:50Z</dcterms:modified>
</cp:coreProperties>
</file>