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7.xml" ContentType="application/vnd.openxmlformats-officedocument.drawing+xml"/>
  <Override PartName="/xl/ctrlProps/ctrlProp15.xml" ContentType="application/vnd.ms-excel.controlproperties+xml"/>
  <Override PartName="/xl/ctrlProps/ctrlProp16.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trlProps/ctrlProp17.xml" ContentType="application/vnd.ms-excel.controlproperties+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9.xml" ContentType="application/vnd.openxmlformats-officedocument.drawing+xml"/>
  <Override PartName="/xl/ctrlProps/ctrlProp18.xml" ContentType="application/vnd.ms-excel.controlproperties+xml"/>
  <Override PartName="/xl/ctrlProps/ctrlProp19.xml" ContentType="application/vnd.ms-excel.controlproperti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mc:AlternateContent xmlns:mc="http://schemas.openxmlformats.org/markup-compatibility/2006">
    <mc:Choice Requires="x15">
      <x15ac:absPath xmlns:x15ac="http://schemas.microsoft.com/office/spreadsheetml/2010/11/ac" url="D:\Onside ® - Planilhas Profissionais\"/>
    </mc:Choice>
  </mc:AlternateContent>
  <xr:revisionPtr revIDLastSave="0" documentId="13_ncr:1_{071D0674-76EB-40F4-96CA-23ECF77AF51B}" xr6:coauthVersionLast="47" xr6:coauthVersionMax="47" xr10:uidLastSave="{00000000-0000-0000-0000-000000000000}"/>
  <workbookProtection workbookAlgorithmName="SHA-512" workbookHashValue="dUknJWtb1LxGfya/okkz5x651MoH/5rcq4Ewn/fhlZZvGBfKxXH5SpZ6mdPsUXndDxuj76vYZnrgzglK9WxIuQ==" workbookSaltValue="mFLur3CfpIpSKuUbxHhUCw==" workbookSpinCount="100000" lockStructure="1"/>
  <bookViews>
    <workbookView showSheetTabs="0" xWindow="-120" yWindow="-120" windowWidth="29040" windowHeight="15840" tabRatio="933" firstSheet="5" activeTab="5" xr2:uid="{00000000-000D-0000-FFFF-FFFF00000000}"/>
  </bookViews>
  <sheets>
    <sheet name="BH (1)" sheetId="1" state="hidden" r:id="rId1"/>
    <sheet name="BH (2)" sheetId="35" state="hidden" r:id="rId2"/>
    <sheet name="BH (3)" sheetId="36" state="hidden" r:id="rId3"/>
    <sheet name="Suporte" sheetId="2" state="hidden" r:id="rId4"/>
    <sheet name="Info" sheetId="33" state="hidden" r:id="rId5"/>
    <sheet name="Acesso" sheetId="34" r:id="rId6"/>
    <sheet name="GO" sheetId="31" state="hidden" r:id="rId7"/>
    <sheet name="Aprendizado" sheetId="37" state="hidden" r:id="rId8"/>
    <sheet name="Início" sheetId="5" state="hidden" r:id="rId9"/>
    <sheet name="Cadastros" sheetId="6" state="hidden" r:id="rId10"/>
    <sheet name="Cad" sheetId="13" state="hidden" r:id="rId11"/>
    <sheet name="Metas" sheetId="38" state="hidden" r:id="rId12"/>
    <sheet name="Metas2" sheetId="40" state="hidden" r:id="rId13"/>
    <sheet name="Lançamentos" sheetId="7" state="hidden" r:id="rId14"/>
    <sheet name="Lançamentos (2)" sheetId="39" state="hidden" r:id="rId15"/>
    <sheet name="Controles" sheetId="8" state="hidden" r:id="rId16"/>
    <sheet name="Relatórios" sheetId="9" state="hidden" r:id="rId17"/>
    <sheet name="Evolução" sheetId="41" state="hidden" r:id="rId18"/>
    <sheet name="Analítico" sheetId="42" state="hidden" r:id="rId19"/>
    <sheet name="Impressão" sheetId="11" state="hidden" r:id="rId20"/>
    <sheet name="Dashboard" sheetId="10" state="hidden" r:id="rId21"/>
    <sheet name="Dashboard2" sheetId="43" state="hidden" r:id="rId22"/>
    <sheet name="Dashboard3" sheetId="44" state="hidden" r:id="rId23"/>
  </sheets>
  <functionGroups builtInGroupCount="19"/>
  <definedNames>
    <definedName name="_xlnm._FilterDatabase" localSheetId="13" hidden="1">Lançamentos!$C$4:$P$4</definedName>
    <definedName name="_xlnm._FilterDatabase" localSheetId="14" hidden="1">'Lançamentos (2)'!$C$4:$P$4</definedName>
    <definedName name="Ano">'BH (1)'!$D$5:$D$17</definedName>
    <definedName name="_xlnm.Print_Area" localSheetId="19">Impressão!$D$7:$U$206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0" i="39" l="1"/>
  <c r="D70" i="7"/>
  <c r="D26" i="39"/>
  <c r="D26" i="7"/>
  <c r="D5" i="39"/>
  <c r="D5" i="7"/>
  <c r="D47" i="7" s="1"/>
  <c r="J92" i="39"/>
  <c r="F92" i="39"/>
  <c r="G92" i="39"/>
  <c r="N92" i="39"/>
  <c r="O92" i="39"/>
  <c r="E92" i="7"/>
  <c r="M92" i="7"/>
  <c r="H92" i="7"/>
  <c r="I92" i="7"/>
  <c r="D92" i="39"/>
  <c r="D92" i="7"/>
  <c r="E70" i="39"/>
  <c r="D21" i="35" s="1"/>
  <c r="K70" i="39"/>
  <c r="J21" i="35" s="1"/>
  <c r="E48" i="39"/>
  <c r="F48" i="39"/>
  <c r="E19" i="35" s="1"/>
  <c r="G48" i="39"/>
  <c r="H48" i="39"/>
  <c r="I48" i="39"/>
  <c r="H19" i="35" s="1"/>
  <c r="M48" i="39"/>
  <c r="L19" i="35" s="1"/>
  <c r="N48" i="39"/>
  <c r="M19" i="35" s="1"/>
  <c r="O48" i="39"/>
  <c r="N19" i="35" s="1"/>
  <c r="E48" i="7"/>
  <c r="F48" i="7"/>
  <c r="G48" i="7"/>
  <c r="H48" i="7"/>
  <c r="I48" i="7"/>
  <c r="J48" i="7"/>
  <c r="K48" i="7"/>
  <c r="L48" i="7"/>
  <c r="M48" i="7"/>
  <c r="N48" i="7"/>
  <c r="O48" i="7"/>
  <c r="H5" i="39"/>
  <c r="G16" i="35" s="1"/>
  <c r="G89" i="35" s="1"/>
  <c r="E5" i="39"/>
  <c r="L5" i="39"/>
  <c r="M5" i="39"/>
  <c r="P112" i="39"/>
  <c r="P112" i="7"/>
  <c r="P95" i="39"/>
  <c r="P96" i="39"/>
  <c r="P97" i="39"/>
  <c r="P98" i="39"/>
  <c r="P99" i="39"/>
  <c r="P100" i="39"/>
  <c r="P101" i="39"/>
  <c r="P102" i="39"/>
  <c r="P103" i="39"/>
  <c r="P104" i="39"/>
  <c r="P105" i="39"/>
  <c r="P106" i="39"/>
  <c r="P107" i="39"/>
  <c r="P108" i="39"/>
  <c r="P109" i="39"/>
  <c r="P110" i="39"/>
  <c r="P111" i="39"/>
  <c r="P95" i="7"/>
  <c r="P96" i="7"/>
  <c r="P97" i="7"/>
  <c r="P98" i="7"/>
  <c r="P99" i="7"/>
  <c r="P100" i="7"/>
  <c r="P101" i="7"/>
  <c r="P102" i="7"/>
  <c r="P103" i="7"/>
  <c r="P104" i="7"/>
  <c r="P105" i="7"/>
  <c r="P106" i="7"/>
  <c r="P107" i="7"/>
  <c r="P108" i="7"/>
  <c r="P109" i="7"/>
  <c r="P110" i="7"/>
  <c r="P111" i="7"/>
  <c r="E92" i="39"/>
  <c r="H92" i="39"/>
  <c r="K92" i="39"/>
  <c r="L92" i="39"/>
  <c r="M92" i="39"/>
  <c r="G92" i="7"/>
  <c r="O92" i="7"/>
  <c r="P32" i="39"/>
  <c r="P33" i="39"/>
  <c r="P34" i="39"/>
  <c r="P35" i="39"/>
  <c r="P36" i="39"/>
  <c r="P37" i="39"/>
  <c r="P38" i="39"/>
  <c r="P39" i="39"/>
  <c r="P40" i="39"/>
  <c r="P41" i="39"/>
  <c r="P42" i="39"/>
  <c r="P43" i="39"/>
  <c r="P44" i="39"/>
  <c r="P45" i="39"/>
  <c r="P46" i="39"/>
  <c r="P50" i="39"/>
  <c r="P51" i="39"/>
  <c r="P52" i="39"/>
  <c r="P53" i="39"/>
  <c r="P54" i="39"/>
  <c r="P55" i="39"/>
  <c r="P56" i="39"/>
  <c r="P57" i="39"/>
  <c r="P58" i="39"/>
  <c r="P59" i="39"/>
  <c r="P60" i="39"/>
  <c r="P61" i="39"/>
  <c r="P62" i="39"/>
  <c r="P63" i="39"/>
  <c r="P64" i="39"/>
  <c r="P65" i="39"/>
  <c r="P66" i="39"/>
  <c r="P67" i="39"/>
  <c r="P68" i="39"/>
  <c r="P75" i="39"/>
  <c r="P76" i="39"/>
  <c r="P77" i="39"/>
  <c r="P78" i="39"/>
  <c r="P79" i="39"/>
  <c r="P80" i="39"/>
  <c r="P81" i="39"/>
  <c r="P82" i="39"/>
  <c r="P83" i="39"/>
  <c r="P84" i="39"/>
  <c r="P85" i="39"/>
  <c r="P86" i="39"/>
  <c r="P87" i="39"/>
  <c r="P32" i="7"/>
  <c r="P33" i="7"/>
  <c r="P34" i="7"/>
  <c r="P35" i="7"/>
  <c r="P36" i="7"/>
  <c r="P37" i="7"/>
  <c r="P38" i="7"/>
  <c r="P39" i="7"/>
  <c r="P40" i="7"/>
  <c r="P41" i="7"/>
  <c r="P42" i="7"/>
  <c r="P43" i="7"/>
  <c r="P44" i="7"/>
  <c r="P45" i="7"/>
  <c r="P46" i="7"/>
  <c r="P50" i="7"/>
  <c r="P51" i="7"/>
  <c r="P52" i="7"/>
  <c r="P53" i="7"/>
  <c r="P54" i="7"/>
  <c r="P55" i="7"/>
  <c r="P56" i="7"/>
  <c r="P57" i="7"/>
  <c r="P58" i="7"/>
  <c r="P59" i="7"/>
  <c r="P60" i="7"/>
  <c r="P61" i="7"/>
  <c r="P62" i="7"/>
  <c r="P63" i="7"/>
  <c r="P64" i="7"/>
  <c r="P65" i="7"/>
  <c r="P66" i="7"/>
  <c r="P67" i="7"/>
  <c r="P68" i="7"/>
  <c r="P75" i="7"/>
  <c r="P76" i="7"/>
  <c r="P77" i="7"/>
  <c r="P78" i="7"/>
  <c r="P79" i="7"/>
  <c r="P80" i="7"/>
  <c r="P81" i="7"/>
  <c r="P82" i="7"/>
  <c r="P83" i="7"/>
  <c r="P84" i="7"/>
  <c r="P85" i="7"/>
  <c r="P86" i="7"/>
  <c r="P87" i="7"/>
  <c r="P89" i="39"/>
  <c r="P89" i="7"/>
  <c r="P90" i="39"/>
  <c r="P90" i="7"/>
  <c r="P88" i="39"/>
  <c r="P88" i="7"/>
  <c r="K48" i="39"/>
  <c r="L48" i="39"/>
  <c r="K19" i="35" s="1"/>
  <c r="D48" i="39"/>
  <c r="D48" i="7"/>
  <c r="P8" i="39"/>
  <c r="P9" i="39"/>
  <c r="P10" i="39"/>
  <c r="P11" i="39"/>
  <c r="P12" i="39"/>
  <c r="P13" i="39"/>
  <c r="P14" i="39"/>
  <c r="P15" i="39"/>
  <c r="P16" i="39"/>
  <c r="P17" i="39"/>
  <c r="P18" i="39"/>
  <c r="P19" i="39"/>
  <c r="P20" i="39"/>
  <c r="P21" i="39"/>
  <c r="P22" i="39"/>
  <c r="P23" i="39"/>
  <c r="P24" i="39"/>
  <c r="P25" i="39"/>
  <c r="P8" i="7"/>
  <c r="P9" i="7"/>
  <c r="P10" i="7"/>
  <c r="P11" i="7"/>
  <c r="P12" i="7"/>
  <c r="P13" i="7"/>
  <c r="P14" i="7"/>
  <c r="P15" i="7"/>
  <c r="P16" i="7"/>
  <c r="P17" i="7"/>
  <c r="P18" i="7"/>
  <c r="P19" i="7"/>
  <c r="P20" i="7"/>
  <c r="P21" i="7"/>
  <c r="P22" i="7"/>
  <c r="P23" i="7"/>
  <c r="P24" i="7"/>
  <c r="P25" i="7"/>
  <c r="B121" i="35"/>
  <c r="B113" i="35"/>
  <c r="B117" i="35" s="1"/>
  <c r="B112" i="35"/>
  <c r="B116" i="35"/>
  <c r="D101" i="35"/>
  <c r="E101" i="35"/>
  <c r="F101" i="35"/>
  <c r="G101" i="35"/>
  <c r="H101" i="35"/>
  <c r="I101" i="35"/>
  <c r="J101" i="35"/>
  <c r="K101" i="35"/>
  <c r="L101" i="35"/>
  <c r="M101" i="35"/>
  <c r="N101" i="35"/>
  <c r="C101" i="35"/>
  <c r="D102" i="35"/>
  <c r="E102" i="35"/>
  <c r="F102" i="35"/>
  <c r="G102" i="35"/>
  <c r="H102" i="35"/>
  <c r="I102" i="35"/>
  <c r="J102" i="35"/>
  <c r="K102" i="35"/>
  <c r="L102" i="35"/>
  <c r="M102" i="35"/>
  <c r="N102" i="35"/>
  <c r="C102" i="35"/>
  <c r="B86" i="35"/>
  <c r="B72" i="35"/>
  <c r="B73" i="35"/>
  <c r="B74" i="35"/>
  <c r="B71" i="35"/>
  <c r="C83" i="35"/>
  <c r="D83" i="35"/>
  <c r="E83" i="35"/>
  <c r="F83" i="35"/>
  <c r="G83" i="35"/>
  <c r="H83" i="35"/>
  <c r="O83" i="35" s="1"/>
  <c r="I83" i="35"/>
  <c r="J83" i="35"/>
  <c r="K83" i="35"/>
  <c r="L83" i="35"/>
  <c r="M83" i="35"/>
  <c r="N83" i="35"/>
  <c r="C84" i="35"/>
  <c r="D84" i="35"/>
  <c r="E84" i="35"/>
  <c r="F84" i="35"/>
  <c r="G84" i="35"/>
  <c r="H84" i="35"/>
  <c r="I84" i="35"/>
  <c r="J84" i="35"/>
  <c r="K84" i="35"/>
  <c r="L84" i="35"/>
  <c r="M84" i="35"/>
  <c r="N84" i="35"/>
  <c r="D82" i="35"/>
  <c r="E82" i="35"/>
  <c r="F82" i="35"/>
  <c r="G82" i="35"/>
  <c r="H82" i="35"/>
  <c r="I82" i="35"/>
  <c r="O82" i="35" s="1"/>
  <c r="J82" i="35"/>
  <c r="K82" i="35"/>
  <c r="L82" i="35"/>
  <c r="M82" i="35"/>
  <c r="N82" i="35"/>
  <c r="C82" i="35"/>
  <c r="D77" i="35"/>
  <c r="E77" i="35"/>
  <c r="O77" i="35" s="1"/>
  <c r="F77" i="35"/>
  <c r="G77" i="35"/>
  <c r="H77" i="35"/>
  <c r="I77" i="35"/>
  <c r="J77" i="35"/>
  <c r="K77" i="35"/>
  <c r="L77" i="35"/>
  <c r="M77" i="35"/>
  <c r="N77" i="35"/>
  <c r="D78" i="35"/>
  <c r="E78" i="35"/>
  <c r="F78" i="35"/>
  <c r="G78" i="35"/>
  <c r="H78" i="35"/>
  <c r="I78" i="35"/>
  <c r="J78" i="35"/>
  <c r="K78" i="35"/>
  <c r="L78" i="35"/>
  <c r="M78" i="35"/>
  <c r="N78" i="35"/>
  <c r="D79" i="35"/>
  <c r="E79" i="35"/>
  <c r="F79" i="35"/>
  <c r="G79" i="35"/>
  <c r="H79" i="35"/>
  <c r="I79" i="35"/>
  <c r="J79" i="35"/>
  <c r="K79" i="35"/>
  <c r="L79" i="35"/>
  <c r="M79" i="35"/>
  <c r="N79" i="35"/>
  <c r="C78" i="35"/>
  <c r="O78" i="35" s="1"/>
  <c r="C79" i="35"/>
  <c r="C77" i="35"/>
  <c r="O51" i="35"/>
  <c r="O55" i="35" s="1"/>
  <c r="D58" i="35"/>
  <c r="E58" i="35"/>
  <c r="F58" i="35"/>
  <c r="G58" i="35"/>
  <c r="H58" i="35"/>
  <c r="I58" i="35"/>
  <c r="J58" i="35"/>
  <c r="K58" i="35"/>
  <c r="L58" i="35"/>
  <c r="M58" i="35"/>
  <c r="N58" i="35"/>
  <c r="C58" i="35"/>
  <c r="D56" i="35"/>
  <c r="E56" i="35"/>
  <c r="F56" i="35"/>
  <c r="G56" i="35"/>
  <c r="H56" i="35"/>
  <c r="I56" i="35"/>
  <c r="J56" i="35"/>
  <c r="K56" i="35"/>
  <c r="L56" i="35"/>
  <c r="M56" i="35"/>
  <c r="N56" i="35"/>
  <c r="C56" i="35"/>
  <c r="C52" i="35"/>
  <c r="C53" i="35"/>
  <c r="D53" i="35"/>
  <c r="E53" i="35"/>
  <c r="F53" i="35"/>
  <c r="G53" i="35"/>
  <c r="H53" i="35"/>
  <c r="I53" i="35"/>
  <c r="J53" i="35"/>
  <c r="K53" i="35"/>
  <c r="L53" i="35"/>
  <c r="M53" i="35"/>
  <c r="N53" i="35"/>
  <c r="D52" i="35"/>
  <c r="E52" i="35"/>
  <c r="F52" i="35"/>
  <c r="G52" i="35"/>
  <c r="H52" i="35"/>
  <c r="I52" i="35"/>
  <c r="J52" i="35"/>
  <c r="K52" i="35"/>
  <c r="L52" i="35"/>
  <c r="M52" i="35"/>
  <c r="N52" i="35"/>
  <c r="D12" i="35"/>
  <c r="D13" i="35" s="1"/>
  <c r="D66" i="35" s="1"/>
  <c r="D67" i="35" s="1"/>
  <c r="C13" i="35"/>
  <c r="C95" i="35"/>
  <c r="G95" i="35"/>
  <c r="M95" i="35"/>
  <c r="E95" i="35"/>
  <c r="C96" i="35"/>
  <c r="I95" i="35"/>
  <c r="F95" i="35"/>
  <c r="N96" i="35"/>
  <c r="D95" i="35"/>
  <c r="L96" i="35"/>
  <c r="E17" i="42"/>
  <c r="F17" i="42"/>
  <c r="G17" i="42"/>
  <c r="H17" i="42"/>
  <c r="I17" i="42"/>
  <c r="J17" i="42"/>
  <c r="K17" i="42"/>
  <c r="L17" i="42"/>
  <c r="M17" i="42"/>
  <c r="N17" i="42"/>
  <c r="O17" i="42"/>
  <c r="D17" i="42"/>
  <c r="E15" i="42"/>
  <c r="F15" i="42"/>
  <c r="G15" i="42"/>
  <c r="H15" i="42"/>
  <c r="I15" i="42"/>
  <c r="J15" i="42"/>
  <c r="K15" i="42"/>
  <c r="L15" i="42"/>
  <c r="M15" i="42"/>
  <c r="N15" i="42"/>
  <c r="O15" i="42"/>
  <c r="D15" i="42"/>
  <c r="D14" i="42"/>
  <c r="E14" i="42"/>
  <c r="F14" i="42"/>
  <c r="G14" i="42"/>
  <c r="H14" i="42"/>
  <c r="I14" i="42"/>
  <c r="J14" i="42"/>
  <c r="K14" i="42"/>
  <c r="L14" i="42"/>
  <c r="M14" i="42"/>
  <c r="N14" i="42"/>
  <c r="O14" i="42"/>
  <c r="E13" i="42"/>
  <c r="F13" i="42"/>
  <c r="G13" i="42"/>
  <c r="H13" i="42"/>
  <c r="I13" i="42"/>
  <c r="J13" i="42"/>
  <c r="K13" i="42"/>
  <c r="L13" i="42"/>
  <c r="M13" i="42"/>
  <c r="N13" i="42"/>
  <c r="O13" i="42"/>
  <c r="D13" i="42"/>
  <c r="E9" i="42"/>
  <c r="F9" i="42"/>
  <c r="G9" i="42"/>
  <c r="H9" i="42"/>
  <c r="I9" i="42"/>
  <c r="J9" i="42"/>
  <c r="K9" i="42"/>
  <c r="L9" i="42"/>
  <c r="M9" i="42"/>
  <c r="N9" i="42"/>
  <c r="O9" i="42"/>
  <c r="D9" i="42"/>
  <c r="E7" i="42"/>
  <c r="F7" i="42"/>
  <c r="G7" i="42"/>
  <c r="H7" i="42"/>
  <c r="I7" i="42"/>
  <c r="J7" i="42"/>
  <c r="K7" i="42"/>
  <c r="L7" i="42"/>
  <c r="M7" i="42"/>
  <c r="N7" i="42"/>
  <c r="O7" i="42"/>
  <c r="D7" i="42"/>
  <c r="E6" i="42"/>
  <c r="F6" i="42"/>
  <c r="G6" i="42"/>
  <c r="H6" i="42"/>
  <c r="I6" i="42"/>
  <c r="J6" i="42"/>
  <c r="K6" i="42"/>
  <c r="L6" i="42"/>
  <c r="M6" i="42"/>
  <c r="N6" i="42"/>
  <c r="O6" i="42"/>
  <c r="D6" i="42"/>
  <c r="E5" i="42"/>
  <c r="F5" i="42"/>
  <c r="G5" i="42"/>
  <c r="H5" i="42"/>
  <c r="I5" i="42"/>
  <c r="J5" i="42"/>
  <c r="K5" i="42"/>
  <c r="L5" i="42"/>
  <c r="M5" i="42"/>
  <c r="N5" i="42"/>
  <c r="O5" i="42"/>
  <c r="D5" i="42"/>
  <c r="E40" i="9"/>
  <c r="F40" i="9"/>
  <c r="G40" i="9"/>
  <c r="H40" i="9"/>
  <c r="I40" i="9"/>
  <c r="J40" i="9"/>
  <c r="K40" i="9"/>
  <c r="L40" i="9"/>
  <c r="M40" i="9"/>
  <c r="N40" i="9"/>
  <c r="O40" i="9"/>
  <c r="D40" i="9"/>
  <c r="E37" i="9"/>
  <c r="D124" i="35" s="1"/>
  <c r="F37" i="9"/>
  <c r="G37" i="9"/>
  <c r="F124" i="35" s="1"/>
  <c r="H37" i="9"/>
  <c r="I37" i="9"/>
  <c r="J37" i="9"/>
  <c r="I124" i="35" s="1"/>
  <c r="K37" i="9"/>
  <c r="L37" i="9"/>
  <c r="K124" i="35" s="1"/>
  <c r="M37" i="9"/>
  <c r="L124" i="35" s="1"/>
  <c r="N37" i="9"/>
  <c r="M124" i="35" s="1"/>
  <c r="O37" i="9"/>
  <c r="D37" i="9"/>
  <c r="C124" i="35" s="1"/>
  <c r="E34" i="9"/>
  <c r="F34" i="9"/>
  <c r="G34" i="9"/>
  <c r="H34" i="9"/>
  <c r="I34" i="9"/>
  <c r="J34" i="9"/>
  <c r="K34" i="9"/>
  <c r="L34" i="9"/>
  <c r="M34" i="9"/>
  <c r="N34" i="9"/>
  <c r="O34" i="9"/>
  <c r="D34" i="9"/>
  <c r="E32" i="9"/>
  <c r="F32" i="9"/>
  <c r="G32" i="9"/>
  <c r="H32" i="9"/>
  <c r="I32" i="9"/>
  <c r="J32" i="9"/>
  <c r="K32" i="9"/>
  <c r="L32" i="9"/>
  <c r="M32" i="9"/>
  <c r="N32" i="9"/>
  <c r="O32" i="9"/>
  <c r="E31" i="9"/>
  <c r="F31" i="9"/>
  <c r="G31" i="9"/>
  <c r="H31" i="9"/>
  <c r="I31" i="9"/>
  <c r="J31" i="9"/>
  <c r="K31" i="9"/>
  <c r="L31" i="9"/>
  <c r="M31" i="9"/>
  <c r="N31" i="9"/>
  <c r="O31" i="9"/>
  <c r="D32" i="9"/>
  <c r="D31" i="9"/>
  <c r="E29" i="9"/>
  <c r="F29" i="9"/>
  <c r="G29" i="9"/>
  <c r="H29" i="9"/>
  <c r="I29" i="9"/>
  <c r="J29" i="9"/>
  <c r="K29" i="9"/>
  <c r="L29" i="9"/>
  <c r="M29" i="9"/>
  <c r="N29" i="9"/>
  <c r="O29" i="9"/>
  <c r="D29" i="9"/>
  <c r="E28" i="9"/>
  <c r="F28" i="9"/>
  <c r="G28" i="9"/>
  <c r="H28" i="9"/>
  <c r="I28" i="9"/>
  <c r="J28" i="9"/>
  <c r="K28" i="9"/>
  <c r="L28" i="9"/>
  <c r="M28" i="9"/>
  <c r="N28" i="9"/>
  <c r="O28" i="9"/>
  <c r="D28" i="9"/>
  <c r="E25" i="9"/>
  <c r="D116" i="35" s="1"/>
  <c r="F25" i="9"/>
  <c r="E116" i="35" s="1"/>
  <c r="G25" i="9"/>
  <c r="F116" i="35"/>
  <c r="H25" i="9"/>
  <c r="G116" i="35" s="1"/>
  <c r="I25" i="9"/>
  <c r="H116" i="35" s="1"/>
  <c r="J25" i="9"/>
  <c r="I116" i="35" s="1"/>
  <c r="K25" i="9"/>
  <c r="J116" i="35" s="1"/>
  <c r="L25" i="9"/>
  <c r="K116" i="35" s="1"/>
  <c r="M25" i="9"/>
  <c r="N25" i="9"/>
  <c r="M116" i="35" s="1"/>
  <c r="O25" i="9"/>
  <c r="N116" i="35"/>
  <c r="D25" i="9"/>
  <c r="C116" i="35" s="1"/>
  <c r="C26" i="9"/>
  <c r="C27" i="9"/>
  <c r="C29" i="9"/>
  <c r="C30" i="9"/>
  <c r="C33" i="9"/>
  <c r="C35" i="9"/>
  <c r="B125" i="35"/>
  <c r="C36" i="9"/>
  <c r="C38" i="9"/>
  <c r="C39" i="9"/>
  <c r="C41" i="9"/>
  <c r="C42" i="9"/>
  <c r="C25" i="9"/>
  <c r="E20" i="9"/>
  <c r="F20" i="9"/>
  <c r="G20" i="9"/>
  <c r="H20" i="9"/>
  <c r="I20" i="9"/>
  <c r="J20" i="9"/>
  <c r="K20" i="9"/>
  <c r="L20" i="9"/>
  <c r="M20" i="9"/>
  <c r="N20" i="9"/>
  <c r="O20" i="9"/>
  <c r="D20" i="9"/>
  <c r="E17" i="9"/>
  <c r="D120" i="35" s="1"/>
  <c r="F17" i="9"/>
  <c r="G17" i="9"/>
  <c r="H17" i="9"/>
  <c r="I17" i="9"/>
  <c r="H120" i="35" s="1"/>
  <c r="J17" i="9"/>
  <c r="I120" i="35" s="1"/>
  <c r="K17" i="9"/>
  <c r="L17" i="9"/>
  <c r="K120" i="35" s="1"/>
  <c r="M17" i="9"/>
  <c r="N17" i="9"/>
  <c r="O17" i="9"/>
  <c r="D17" i="9"/>
  <c r="C20" i="9"/>
  <c r="C40" i="9" s="1"/>
  <c r="C17" i="9"/>
  <c r="C37" i="9" s="1"/>
  <c r="E14" i="9"/>
  <c r="F14" i="9"/>
  <c r="G14" i="9"/>
  <c r="H14" i="9"/>
  <c r="I14" i="9"/>
  <c r="J14" i="9"/>
  <c r="K14" i="9"/>
  <c r="L14" i="9"/>
  <c r="M14" i="9"/>
  <c r="N14" i="9"/>
  <c r="O14" i="9"/>
  <c r="D14" i="9"/>
  <c r="C14" i="9"/>
  <c r="E12" i="9"/>
  <c r="E13" i="9" s="1"/>
  <c r="F12" i="9"/>
  <c r="F13" i="9" s="1"/>
  <c r="G12" i="9"/>
  <c r="H12" i="9"/>
  <c r="H13" i="9" s="1"/>
  <c r="I12" i="9"/>
  <c r="J12" i="9"/>
  <c r="J13" i="9" s="1"/>
  <c r="K12" i="9"/>
  <c r="L12" i="9"/>
  <c r="M12" i="9"/>
  <c r="M13" i="9" s="1"/>
  <c r="N12" i="9"/>
  <c r="N13" i="9" s="1"/>
  <c r="O12" i="9"/>
  <c r="D12" i="9"/>
  <c r="E11" i="9"/>
  <c r="F11" i="9"/>
  <c r="G11" i="9"/>
  <c r="P11" i="9" s="1"/>
  <c r="H11" i="9"/>
  <c r="I11" i="9"/>
  <c r="J11" i="9"/>
  <c r="K11" i="9"/>
  <c r="L11" i="9"/>
  <c r="M11" i="9"/>
  <c r="N11" i="9"/>
  <c r="O11" i="9"/>
  <c r="D11" i="9"/>
  <c r="C12" i="9"/>
  <c r="C32" i="9" s="1"/>
  <c r="C11" i="9"/>
  <c r="C31" i="9" s="1"/>
  <c r="E9" i="9"/>
  <c r="F9" i="9"/>
  <c r="G9" i="9"/>
  <c r="H9" i="9"/>
  <c r="I9" i="9"/>
  <c r="J9" i="9"/>
  <c r="K9" i="9"/>
  <c r="L9" i="9"/>
  <c r="M9" i="9"/>
  <c r="N9" i="9"/>
  <c r="O9" i="9"/>
  <c r="D9" i="9"/>
  <c r="D8" i="9"/>
  <c r="C8" i="9"/>
  <c r="C28" i="9" s="1"/>
  <c r="O8" i="9"/>
  <c r="N8" i="9"/>
  <c r="M8" i="9"/>
  <c r="L8" i="9"/>
  <c r="K8" i="9"/>
  <c r="J8" i="9"/>
  <c r="I8" i="9"/>
  <c r="H8" i="9"/>
  <c r="G8" i="9"/>
  <c r="F8" i="9"/>
  <c r="E8" i="9"/>
  <c r="E5" i="9"/>
  <c r="D112" i="35"/>
  <c r="F5" i="9"/>
  <c r="E112" i="35" s="1"/>
  <c r="G5" i="9"/>
  <c r="F112" i="35" s="1"/>
  <c r="H5" i="9"/>
  <c r="G112" i="35" s="1"/>
  <c r="I5" i="9"/>
  <c r="H112" i="35" s="1"/>
  <c r="J5" i="9"/>
  <c r="I112" i="35" s="1"/>
  <c r="K5" i="9"/>
  <c r="J112" i="35" s="1"/>
  <c r="L5" i="9"/>
  <c r="K112" i="35" s="1"/>
  <c r="M5" i="9"/>
  <c r="L112" i="35"/>
  <c r="N5" i="9"/>
  <c r="M112" i="35" s="1"/>
  <c r="O5" i="9"/>
  <c r="N112" i="35" s="1"/>
  <c r="D5" i="9"/>
  <c r="P12" i="40"/>
  <c r="P11" i="40"/>
  <c r="P10" i="40"/>
  <c r="P7" i="40"/>
  <c r="P6" i="40"/>
  <c r="P5" i="40"/>
  <c r="C9" i="8"/>
  <c r="C16" i="8" s="1"/>
  <c r="C8" i="8"/>
  <c r="C15" i="8" s="1"/>
  <c r="C7" i="8"/>
  <c r="C14" i="8" s="1"/>
  <c r="C6" i="8"/>
  <c r="C13" i="8" s="1"/>
  <c r="C5" i="8"/>
  <c r="C12" i="8" s="1"/>
  <c r="P11" i="38"/>
  <c r="P12" i="38"/>
  <c r="P6" i="38"/>
  <c r="P7" i="38"/>
  <c r="P10" i="38"/>
  <c r="P127" i="39"/>
  <c r="P125" i="39"/>
  <c r="P122" i="39"/>
  <c r="P121" i="39"/>
  <c r="P127" i="7"/>
  <c r="P125" i="7"/>
  <c r="P122" i="7"/>
  <c r="P121" i="7"/>
  <c r="C112" i="35"/>
  <c r="P5" i="38"/>
  <c r="D8" i="35"/>
  <c r="B8" i="35"/>
  <c r="C8" i="35"/>
  <c r="C5" i="35"/>
  <c r="C12" i="35" s="1"/>
  <c r="C4" i="35"/>
  <c r="B9" i="35" l="1"/>
  <c r="C86" i="35"/>
  <c r="D68" i="35"/>
  <c r="D47" i="39"/>
  <c r="D69" i="39" s="1"/>
  <c r="D69" i="7"/>
  <c r="L92" i="7"/>
  <c r="K92" i="7"/>
  <c r="J92" i="7"/>
  <c r="N92" i="7"/>
  <c r="F92" i="7"/>
  <c r="I70" i="7"/>
  <c r="I114" i="7" s="1"/>
  <c r="I128" i="7" s="1"/>
  <c r="I10" i="42" s="1"/>
  <c r="E5" i="7"/>
  <c r="E5" i="8" s="1"/>
  <c r="O5" i="7"/>
  <c r="O5" i="8" s="1"/>
  <c r="G5" i="7"/>
  <c r="G126" i="7" s="1"/>
  <c r="G8" i="42" s="1"/>
  <c r="J5" i="7"/>
  <c r="N5" i="7"/>
  <c r="N5" i="8" s="1"/>
  <c r="F5" i="7"/>
  <c r="F5" i="8" s="1"/>
  <c r="M5" i="7"/>
  <c r="M126" i="7" s="1"/>
  <c r="M8" i="42" s="1"/>
  <c r="K5" i="39"/>
  <c r="J16" i="35" s="1"/>
  <c r="J89" i="35" s="1"/>
  <c r="P93" i="39"/>
  <c r="P94" i="7"/>
  <c r="P94" i="39"/>
  <c r="P93" i="7"/>
  <c r="I92" i="39"/>
  <c r="C21" i="35"/>
  <c r="D32" i="35" s="1"/>
  <c r="M70" i="39"/>
  <c r="L21" i="35" s="1"/>
  <c r="H70" i="7"/>
  <c r="H114" i="7" s="1"/>
  <c r="H128" i="7" s="1"/>
  <c r="H10" i="42" s="1"/>
  <c r="K70" i="7"/>
  <c r="K114" i="7" s="1"/>
  <c r="K128" i="7" s="1"/>
  <c r="K10" i="42" s="1"/>
  <c r="N70" i="7"/>
  <c r="N114" i="7" s="1"/>
  <c r="N128" i="7" s="1"/>
  <c r="N10" i="42" s="1"/>
  <c r="F70" i="7"/>
  <c r="F114" i="7" s="1"/>
  <c r="F128" i="7" s="1"/>
  <c r="F10" i="42" s="1"/>
  <c r="P73" i="39"/>
  <c r="O70" i="39"/>
  <c r="N21" i="35" s="1"/>
  <c r="G70" i="39"/>
  <c r="F21" i="35" s="1"/>
  <c r="J70" i="39"/>
  <c r="I21" i="35" s="1"/>
  <c r="O70" i="7"/>
  <c r="O114" i="7" s="1"/>
  <c r="O128" i="7" s="1"/>
  <c r="O10" i="42" s="1"/>
  <c r="G70" i="7"/>
  <c r="G114" i="7" s="1"/>
  <c r="G128" i="7" s="1"/>
  <c r="G10" i="42" s="1"/>
  <c r="H70" i="39"/>
  <c r="G21" i="35" s="1"/>
  <c r="N70" i="39"/>
  <c r="M21" i="35" s="1"/>
  <c r="F70" i="39"/>
  <c r="E21" i="35" s="1"/>
  <c r="P73" i="7"/>
  <c r="P74" i="7"/>
  <c r="P72" i="7"/>
  <c r="M70" i="7"/>
  <c r="E70" i="7"/>
  <c r="E10" i="41" s="1"/>
  <c r="P71" i="39"/>
  <c r="D114" i="7"/>
  <c r="D128" i="7" s="1"/>
  <c r="D10" i="42" s="1"/>
  <c r="L70" i="39"/>
  <c r="K21" i="35" s="1"/>
  <c r="P71" i="7"/>
  <c r="P74" i="39"/>
  <c r="P72" i="39"/>
  <c r="I70" i="39"/>
  <c r="K114" i="39"/>
  <c r="K128" i="39" s="1"/>
  <c r="K18" i="42" s="1"/>
  <c r="L70" i="7"/>
  <c r="J70" i="7"/>
  <c r="J114" i="7" s="1"/>
  <c r="J128" i="7" s="1"/>
  <c r="J10" i="42" s="1"/>
  <c r="P49" i="39"/>
  <c r="P49" i="7"/>
  <c r="K8" i="41"/>
  <c r="D8" i="41"/>
  <c r="J48" i="39"/>
  <c r="I19" i="35" s="1"/>
  <c r="M26" i="39"/>
  <c r="L17" i="35" s="1"/>
  <c r="E26" i="39"/>
  <c r="D17" i="35" s="1"/>
  <c r="J19" i="35"/>
  <c r="C19" i="35"/>
  <c r="D30" i="35" s="1"/>
  <c r="P31" i="7"/>
  <c r="J26" i="7"/>
  <c r="J47" i="7" s="1"/>
  <c r="M26" i="7"/>
  <c r="E26" i="7"/>
  <c r="H26" i="7"/>
  <c r="K26" i="7"/>
  <c r="L26" i="39"/>
  <c r="K17" i="35" s="1"/>
  <c r="O26" i="39"/>
  <c r="N17" i="35" s="1"/>
  <c r="G26" i="39"/>
  <c r="F17" i="35" s="1"/>
  <c r="J26" i="39"/>
  <c r="I17" i="35" s="1"/>
  <c r="N26" i="7"/>
  <c r="F26" i="7"/>
  <c r="I26" i="7"/>
  <c r="L26" i="7"/>
  <c r="H26" i="39"/>
  <c r="G17" i="35" s="1"/>
  <c r="N26" i="39"/>
  <c r="M17" i="35" s="1"/>
  <c r="P30" i="7"/>
  <c r="O26" i="7"/>
  <c r="G26" i="7"/>
  <c r="P27" i="7"/>
  <c r="P29" i="39"/>
  <c r="P28" i="39"/>
  <c r="P27" i="39"/>
  <c r="F26" i="39"/>
  <c r="E17" i="35" s="1"/>
  <c r="P31" i="39"/>
  <c r="P28" i="7"/>
  <c r="P30" i="39"/>
  <c r="K26" i="39"/>
  <c r="J17" i="35" s="1"/>
  <c r="P29" i="7"/>
  <c r="I26" i="39"/>
  <c r="I5" i="7"/>
  <c r="L5" i="7"/>
  <c r="O5" i="39"/>
  <c r="N16" i="35" s="1"/>
  <c r="N89" i="35" s="1"/>
  <c r="G5" i="39"/>
  <c r="F16" i="35" s="1"/>
  <c r="F89" i="35" s="1"/>
  <c r="J5" i="39"/>
  <c r="I16" i="35" s="1"/>
  <c r="I89" i="35" s="1"/>
  <c r="H5" i="7"/>
  <c r="H126" i="7" s="1"/>
  <c r="H8" i="42" s="1"/>
  <c r="N5" i="39"/>
  <c r="P6" i="7"/>
  <c r="P7" i="39"/>
  <c r="P6" i="39"/>
  <c r="P7" i="7"/>
  <c r="I5" i="39"/>
  <c r="I12" i="8" s="1"/>
  <c r="D126" i="7"/>
  <c r="D8" i="42" s="1"/>
  <c r="K5" i="7"/>
  <c r="K126" i="7" s="1"/>
  <c r="K8" i="42" s="1"/>
  <c r="F5" i="39"/>
  <c r="H8" i="41"/>
  <c r="P48" i="7"/>
  <c r="F19" i="35"/>
  <c r="L8" i="41"/>
  <c r="O8" i="41"/>
  <c r="G8" i="41"/>
  <c r="N8" i="41"/>
  <c r="G19" i="35"/>
  <c r="F8" i="41"/>
  <c r="H12" i="8"/>
  <c r="E8" i="41"/>
  <c r="D19" i="35"/>
  <c r="C30" i="35" s="1"/>
  <c r="M8" i="41"/>
  <c r="E114" i="39"/>
  <c r="E128" i="39" s="1"/>
  <c r="E18" i="42" s="1"/>
  <c r="I8" i="41"/>
  <c r="E126" i="39"/>
  <c r="E16" i="42" s="1"/>
  <c r="J5" i="8"/>
  <c r="L16" i="35"/>
  <c r="L89" i="35" s="1"/>
  <c r="M12" i="8"/>
  <c r="M126" i="39"/>
  <c r="M16" i="42" s="1"/>
  <c r="D16" i="35"/>
  <c r="D89" i="35" s="1"/>
  <c r="J126" i="7"/>
  <c r="J8" i="42" s="1"/>
  <c r="E12" i="8"/>
  <c r="E126" i="7"/>
  <c r="E8" i="42" s="1"/>
  <c r="H126" i="39"/>
  <c r="G57" i="35" s="1"/>
  <c r="D12" i="8"/>
  <c r="D126" i="39"/>
  <c r="C57" i="35" s="1"/>
  <c r="C16" i="35"/>
  <c r="C89" i="35" s="1"/>
  <c r="L126" i="39"/>
  <c r="L16" i="42" s="1"/>
  <c r="K16" i="35"/>
  <c r="K89" i="35" s="1"/>
  <c r="L12" i="8"/>
  <c r="D30" i="9"/>
  <c r="H30" i="9"/>
  <c r="L30" i="9"/>
  <c r="F120" i="35"/>
  <c r="F33" i="9"/>
  <c r="M120" i="35"/>
  <c r="I33" i="9"/>
  <c r="N10" i="9"/>
  <c r="D33" i="9"/>
  <c r="P34" i="9"/>
  <c r="G124" i="35"/>
  <c r="O58" i="35"/>
  <c r="H10" i="9"/>
  <c r="C120" i="35"/>
  <c r="M30" i="9"/>
  <c r="D10" i="9"/>
  <c r="E33" i="9"/>
  <c r="O52" i="35"/>
  <c r="O56" i="35"/>
  <c r="M10" i="9"/>
  <c r="N124" i="35"/>
  <c r="J120" i="35"/>
  <c r="E30" i="9"/>
  <c r="K10" i="9"/>
  <c r="H33" i="9"/>
  <c r="C97" i="35"/>
  <c r="C98" i="35" s="1"/>
  <c r="O30" i="9"/>
  <c r="K33" i="9"/>
  <c r="N33" i="9"/>
  <c r="G33" i="9"/>
  <c r="J33" i="9"/>
  <c r="P20" i="9"/>
  <c r="G10" i="9"/>
  <c r="N120" i="35"/>
  <c r="O102" i="35"/>
  <c r="P32" i="9"/>
  <c r="I13" i="9"/>
  <c r="K30" i="9"/>
  <c r="P9" i="9"/>
  <c r="J124" i="35"/>
  <c r="H124" i="35"/>
  <c r="P6" i="42"/>
  <c r="P9" i="42"/>
  <c r="O101" i="35"/>
  <c r="O84" i="35"/>
  <c r="P17" i="9"/>
  <c r="G30" i="9"/>
  <c r="L33" i="9"/>
  <c r="O33" i="9"/>
  <c r="E10" i="9"/>
  <c r="G120" i="35"/>
  <c r="I30" i="9"/>
  <c r="P40" i="9"/>
  <c r="P5" i="42"/>
  <c r="P7" i="42"/>
  <c r="O10" i="9"/>
  <c r="E124" i="35"/>
  <c r="P29" i="9"/>
  <c r="J10" i="9"/>
  <c r="C32" i="35"/>
  <c r="O13" i="9"/>
  <c r="K13" i="9"/>
  <c r="G13" i="9"/>
  <c r="B120" i="35"/>
  <c r="C34" i="9"/>
  <c r="B124" i="35" s="1"/>
  <c r="L120" i="35"/>
  <c r="O112" i="35"/>
  <c r="F10" i="9"/>
  <c r="L116" i="35"/>
  <c r="O116" i="35" s="1"/>
  <c r="P25" i="9"/>
  <c r="P12" i="9"/>
  <c r="P13" i="9" s="1"/>
  <c r="D13" i="9"/>
  <c r="L13" i="9"/>
  <c r="P28" i="9"/>
  <c r="N30" i="9"/>
  <c r="J30" i="9"/>
  <c r="F30" i="9"/>
  <c r="P31" i="9"/>
  <c r="P17" i="42"/>
  <c r="P14" i="9"/>
  <c r="E120" i="35"/>
  <c r="P14" i="42"/>
  <c r="P15" i="42"/>
  <c r="C61" i="35"/>
  <c r="C26" i="35"/>
  <c r="P8" i="9"/>
  <c r="I10" i="9"/>
  <c r="P37" i="9"/>
  <c r="O53" i="35"/>
  <c r="O79" i="35"/>
  <c r="P5" i="9"/>
  <c r="L10" i="9"/>
  <c r="M33" i="9"/>
  <c r="P13" i="42"/>
  <c r="D26" i="35"/>
  <c r="D96" i="35"/>
  <c r="I96" i="35"/>
  <c r="I97" i="35" s="1"/>
  <c r="I98" i="35" s="1"/>
  <c r="M96" i="35"/>
  <c r="M97" i="35" s="1"/>
  <c r="M98" i="35" s="1"/>
  <c r="N95" i="35"/>
  <c r="N97" i="35" s="1"/>
  <c r="N98" i="35" s="1"/>
  <c r="J96" i="35"/>
  <c r="L95" i="35"/>
  <c r="L97" i="35" s="1"/>
  <c r="L98" i="35" s="1"/>
  <c r="H96" i="35"/>
  <c r="K96" i="35"/>
  <c r="K95" i="35"/>
  <c r="G96" i="35"/>
  <c r="G97" i="35" s="1"/>
  <c r="G98" i="35" s="1"/>
  <c r="E96" i="35"/>
  <c r="E97" i="35" s="1"/>
  <c r="E98" i="35" s="1"/>
  <c r="J95" i="35"/>
  <c r="F96" i="35"/>
  <c r="F97" i="35" s="1"/>
  <c r="F98" i="35" s="1"/>
  <c r="H95" i="35"/>
  <c r="G12" i="8" l="1"/>
  <c r="G126" i="39"/>
  <c r="G16" i="42" s="1"/>
  <c r="E47" i="7"/>
  <c r="E5" i="41"/>
  <c r="G5" i="41"/>
  <c r="G47" i="7"/>
  <c r="G5" i="8"/>
  <c r="N126" i="7"/>
  <c r="N8" i="42" s="1"/>
  <c r="N47" i="7"/>
  <c r="N69" i="7" s="1"/>
  <c r="N91" i="7" s="1"/>
  <c r="N113" i="7" s="1"/>
  <c r="F126" i="7"/>
  <c r="F8" i="42" s="1"/>
  <c r="F47" i="7"/>
  <c r="F69" i="7" s="1"/>
  <c r="M5" i="41"/>
  <c r="M5" i="8"/>
  <c r="M114" i="39"/>
  <c r="M128" i="39" s="1"/>
  <c r="L59" i="35" s="1"/>
  <c r="O126" i="7"/>
  <c r="O8" i="42" s="1"/>
  <c r="J10" i="41"/>
  <c r="J6" i="41"/>
  <c r="M47" i="7"/>
  <c r="M6" i="8" s="1"/>
  <c r="K12" i="8"/>
  <c r="K126" i="39"/>
  <c r="K16" i="42" s="1"/>
  <c r="H114" i="39"/>
  <c r="H128" i="39" s="1"/>
  <c r="G59" i="35" s="1"/>
  <c r="D91" i="39"/>
  <c r="D113" i="39" s="1"/>
  <c r="J59" i="35"/>
  <c r="N114" i="39"/>
  <c r="N128" i="39" s="1"/>
  <c r="N18" i="42" s="1"/>
  <c r="L114" i="39"/>
  <c r="L128" i="39" s="1"/>
  <c r="G114" i="39"/>
  <c r="G128" i="39" s="1"/>
  <c r="G18" i="42" s="1"/>
  <c r="N10" i="41"/>
  <c r="C17" i="35"/>
  <c r="D28" i="35" s="1"/>
  <c r="D39" i="35" s="1"/>
  <c r="D6" i="41"/>
  <c r="D114" i="39"/>
  <c r="D128" i="39" s="1"/>
  <c r="C59" i="35" s="1"/>
  <c r="M10" i="41"/>
  <c r="L10" i="41"/>
  <c r="M114" i="7"/>
  <c r="M128" i="7" s="1"/>
  <c r="M10" i="42" s="1"/>
  <c r="K10" i="41"/>
  <c r="L114" i="7"/>
  <c r="L128" i="7" s="1"/>
  <c r="L10" i="42" s="1"/>
  <c r="H10" i="41"/>
  <c r="D10" i="41"/>
  <c r="P70" i="39"/>
  <c r="O21" i="35" s="1"/>
  <c r="O10" i="41"/>
  <c r="G6" i="41"/>
  <c r="G10" i="41"/>
  <c r="F10" i="41"/>
  <c r="F114" i="39"/>
  <c r="F128" i="39" s="1"/>
  <c r="F18" i="42" s="1"/>
  <c r="G47" i="39"/>
  <c r="G69" i="39" s="1"/>
  <c r="F20" i="35" s="1"/>
  <c r="O114" i="39"/>
  <c r="O128" i="39" s="1"/>
  <c r="O18" i="42" s="1"/>
  <c r="E114" i="7"/>
  <c r="E128" i="7" s="1"/>
  <c r="E10" i="42" s="1"/>
  <c r="H47" i="39"/>
  <c r="H13" i="8" s="1"/>
  <c r="P70" i="7"/>
  <c r="P114" i="7" s="1"/>
  <c r="P128" i="7" s="1"/>
  <c r="P10" i="42" s="1"/>
  <c r="H21" i="35"/>
  <c r="I10" i="41"/>
  <c r="I114" i="39"/>
  <c r="I128" i="39" s="1"/>
  <c r="H59" i="35" s="1"/>
  <c r="O6" i="41"/>
  <c r="D59" i="35"/>
  <c r="C74" i="35" s="1"/>
  <c r="D74" i="35" s="1"/>
  <c r="E47" i="39"/>
  <c r="D18" i="35" s="1"/>
  <c r="E6" i="41"/>
  <c r="H5" i="8"/>
  <c r="M6" i="41"/>
  <c r="K47" i="39"/>
  <c r="K69" i="39" s="1"/>
  <c r="K14" i="8" s="1"/>
  <c r="J126" i="39"/>
  <c r="I57" i="35" s="1"/>
  <c r="H47" i="7"/>
  <c r="H69" i="7" s="1"/>
  <c r="H7" i="8" s="1"/>
  <c r="M47" i="39"/>
  <c r="M69" i="39" s="1"/>
  <c r="M14" i="8" s="1"/>
  <c r="J8" i="41"/>
  <c r="J12" i="8"/>
  <c r="J114" i="39"/>
  <c r="J128" i="39" s="1"/>
  <c r="J18" i="42" s="1"/>
  <c r="K6" i="41"/>
  <c r="P48" i="39"/>
  <c r="O19" i="35" s="1"/>
  <c r="I5" i="41"/>
  <c r="J5" i="41"/>
  <c r="I6" i="41"/>
  <c r="O47" i="7"/>
  <c r="O69" i="7" s="1"/>
  <c r="O12" i="8"/>
  <c r="O126" i="39"/>
  <c r="O16" i="42" s="1"/>
  <c r="P26" i="7"/>
  <c r="J47" i="39"/>
  <c r="I18" i="35" s="1"/>
  <c r="O5" i="41"/>
  <c r="N47" i="39"/>
  <c r="N69" i="39" s="1"/>
  <c r="N91" i="39" s="1"/>
  <c r="H17" i="35"/>
  <c r="L6" i="41"/>
  <c r="N6" i="41"/>
  <c r="O47" i="39"/>
  <c r="O69" i="39" s="1"/>
  <c r="O91" i="39" s="1"/>
  <c r="O113" i="39" s="1"/>
  <c r="L47" i="39"/>
  <c r="L69" i="39" s="1"/>
  <c r="L91" i="39" s="1"/>
  <c r="L113" i="39" s="1"/>
  <c r="H6" i="41"/>
  <c r="L47" i="7"/>
  <c r="L69" i="7" s="1"/>
  <c r="L91" i="7" s="1"/>
  <c r="L113" i="7" s="1"/>
  <c r="F6" i="41"/>
  <c r="I47" i="7"/>
  <c r="I69" i="7" s="1"/>
  <c r="I7" i="8" s="1"/>
  <c r="F47" i="39"/>
  <c r="F13" i="8" s="1"/>
  <c r="I126" i="7"/>
  <c r="I8" i="42" s="1"/>
  <c r="P26" i="39"/>
  <c r="O17" i="35" s="1"/>
  <c r="I5" i="8"/>
  <c r="H5" i="41"/>
  <c r="L126" i="7"/>
  <c r="L8" i="42" s="1"/>
  <c r="L5" i="41"/>
  <c r="L5" i="8"/>
  <c r="M16" i="35"/>
  <c r="M89" i="35" s="1"/>
  <c r="N5" i="41"/>
  <c r="N126" i="39"/>
  <c r="N16" i="42" s="1"/>
  <c r="N12" i="8"/>
  <c r="I47" i="39"/>
  <c r="I13" i="8" s="1"/>
  <c r="I126" i="39"/>
  <c r="H57" i="35" s="1"/>
  <c r="H16" i="35"/>
  <c r="H89" i="35" s="1"/>
  <c r="D5" i="8"/>
  <c r="D5" i="41"/>
  <c r="D6" i="8"/>
  <c r="E16" i="35"/>
  <c r="E89" i="35" s="1"/>
  <c r="F5" i="41"/>
  <c r="P5" i="39"/>
  <c r="P126" i="39" s="1"/>
  <c r="O57" i="35" s="1"/>
  <c r="F12" i="8"/>
  <c r="K5" i="41"/>
  <c r="P5" i="7"/>
  <c r="P126" i="7" s="1"/>
  <c r="P8" i="42" s="1"/>
  <c r="K5" i="8"/>
  <c r="K47" i="7"/>
  <c r="K69" i="7" s="1"/>
  <c r="K91" i="7" s="1"/>
  <c r="K113" i="7" s="1"/>
  <c r="O13" i="8"/>
  <c r="F126" i="39"/>
  <c r="F16" i="42" s="1"/>
  <c r="C20" i="35"/>
  <c r="D13" i="8"/>
  <c r="D116" i="39"/>
  <c r="D35" i="9" s="1"/>
  <c r="D36" i="9" s="1"/>
  <c r="D14" i="8"/>
  <c r="C18" i="35"/>
  <c r="M18" i="42"/>
  <c r="C27" i="35"/>
  <c r="F6" i="8"/>
  <c r="E6" i="8"/>
  <c r="E69" i="7"/>
  <c r="J6" i="8"/>
  <c r="J69" i="7"/>
  <c r="J91" i="7" s="1"/>
  <c r="J113" i="7" s="1"/>
  <c r="L57" i="35"/>
  <c r="H16" i="42"/>
  <c r="F57" i="35"/>
  <c r="D57" i="35"/>
  <c r="C72" i="35" s="1"/>
  <c r="D72" i="35" s="1"/>
  <c r="D27" i="35"/>
  <c r="J57" i="35"/>
  <c r="D16" i="42"/>
  <c r="K57" i="35"/>
  <c r="P33" i="9"/>
  <c r="P10" i="9"/>
  <c r="O124" i="35"/>
  <c r="K97" i="35"/>
  <c r="K98" i="35" s="1"/>
  <c r="P30" i="9"/>
  <c r="O120" i="35"/>
  <c r="H97" i="35"/>
  <c r="H98" i="35" s="1"/>
  <c r="O95" i="35"/>
  <c r="O100" i="35" s="1"/>
  <c r="O96" i="35"/>
  <c r="D97" i="35"/>
  <c r="J97" i="35"/>
  <c r="J98" i="35" s="1"/>
  <c r="C68" i="35"/>
  <c r="F68" i="35" s="1"/>
  <c r="E68" i="35" s="1"/>
  <c r="C67" i="35"/>
  <c r="F67" i="35" s="1"/>
  <c r="E67" i="35" s="1"/>
  <c r="C73" i="35"/>
  <c r="C71" i="35"/>
  <c r="C66" i="35"/>
  <c r="C70" i="35" s="1"/>
  <c r="C28" i="35" l="1"/>
  <c r="C39" i="35" s="1"/>
  <c r="C29" i="35"/>
  <c r="G7" i="41"/>
  <c r="C22" i="35"/>
  <c r="G69" i="7"/>
  <c r="G91" i="7" s="1"/>
  <c r="G113" i="7" s="1"/>
  <c r="G6" i="8"/>
  <c r="F18" i="35"/>
  <c r="G13" i="8"/>
  <c r="N11" i="41"/>
  <c r="N8" i="8"/>
  <c r="N117" i="7"/>
  <c r="N18" i="9" s="1"/>
  <c r="N19" i="9" s="1"/>
  <c r="N6" i="8"/>
  <c r="N7" i="8"/>
  <c r="N116" i="7"/>
  <c r="N15" i="9" s="1"/>
  <c r="N16" i="9" s="1"/>
  <c r="M69" i="7"/>
  <c r="M91" i="7" s="1"/>
  <c r="M113" i="7" s="1"/>
  <c r="G116" i="39"/>
  <c r="G35" i="9" s="1"/>
  <c r="G36" i="9" s="1"/>
  <c r="G91" i="39"/>
  <c r="G15" i="8" s="1"/>
  <c r="G14" i="8"/>
  <c r="D15" i="8"/>
  <c r="D18" i="42"/>
  <c r="H18" i="42"/>
  <c r="D117" i="39"/>
  <c r="C48" i="35" s="1"/>
  <c r="F7" i="41"/>
  <c r="G18" i="35"/>
  <c r="H69" i="39"/>
  <c r="H14" i="8" s="1"/>
  <c r="E13" i="8"/>
  <c r="M59" i="35"/>
  <c r="F59" i="35"/>
  <c r="I59" i="35"/>
  <c r="N59" i="35"/>
  <c r="L18" i="42"/>
  <c r="K59" i="35"/>
  <c r="H116" i="7"/>
  <c r="H15" i="9" s="1"/>
  <c r="H16" i="9" s="1"/>
  <c r="H6" i="8"/>
  <c r="P10" i="41"/>
  <c r="H91" i="7"/>
  <c r="H113" i="7" s="1"/>
  <c r="H7" i="41"/>
  <c r="I18" i="42"/>
  <c r="E59" i="35"/>
  <c r="E69" i="39"/>
  <c r="E116" i="39" s="1"/>
  <c r="D47" i="35" s="1"/>
  <c r="E7" i="41"/>
  <c r="K116" i="39"/>
  <c r="K35" i="9" s="1"/>
  <c r="K36" i="9" s="1"/>
  <c r="P8" i="41"/>
  <c r="K91" i="39"/>
  <c r="K11" i="41" s="1"/>
  <c r="E18" i="35"/>
  <c r="N57" i="35"/>
  <c r="F69" i="39"/>
  <c r="F91" i="39" s="1"/>
  <c r="F113" i="39" s="1"/>
  <c r="O6" i="8"/>
  <c r="I91" i="7"/>
  <c r="I113" i="7" s="1"/>
  <c r="I6" i="8"/>
  <c r="I116" i="7"/>
  <c r="I15" i="9" s="1"/>
  <c r="I16" i="9" s="1"/>
  <c r="K13" i="8"/>
  <c r="O116" i="39"/>
  <c r="N47" i="35" s="1"/>
  <c r="O9" i="41"/>
  <c r="P114" i="39"/>
  <c r="P128" i="39" s="1"/>
  <c r="P18" i="42" s="1"/>
  <c r="J18" i="35"/>
  <c r="O14" i="8"/>
  <c r="J16" i="42"/>
  <c r="O7" i="41"/>
  <c r="K18" i="35"/>
  <c r="D29" i="35" s="1"/>
  <c r="J69" i="39"/>
  <c r="I20" i="35" s="1"/>
  <c r="J20" i="35"/>
  <c r="J13" i="8"/>
  <c r="J7" i="41"/>
  <c r="P6" i="41"/>
  <c r="N20" i="35"/>
  <c r="N15" i="8"/>
  <c r="L20" i="35"/>
  <c r="M116" i="39"/>
  <c r="M35" i="9" s="1"/>
  <c r="M36" i="9" s="1"/>
  <c r="N9" i="41"/>
  <c r="L13" i="8"/>
  <c r="M13" i="8"/>
  <c r="N117" i="39"/>
  <c r="N38" i="9" s="1"/>
  <c r="N39" i="9" s="1"/>
  <c r="N116" i="39"/>
  <c r="N35" i="9" s="1"/>
  <c r="N36" i="9" s="1"/>
  <c r="M20" i="35"/>
  <c r="M91" i="39"/>
  <c r="M15" i="8" s="1"/>
  <c r="M18" i="35"/>
  <c r="N113" i="39"/>
  <c r="L18" i="35"/>
  <c r="N7" i="41"/>
  <c r="N13" i="8"/>
  <c r="M22" i="35"/>
  <c r="M7" i="41"/>
  <c r="N14" i="8"/>
  <c r="N18" i="35"/>
  <c r="I16" i="42"/>
  <c r="L6" i="8"/>
  <c r="I7" i="41"/>
  <c r="L7" i="41"/>
  <c r="L116" i="7"/>
  <c r="L15" i="9" s="1"/>
  <c r="L16" i="9" s="1"/>
  <c r="L7" i="8"/>
  <c r="I69" i="39"/>
  <c r="I91" i="39" s="1"/>
  <c r="I113" i="39" s="1"/>
  <c r="P47" i="39"/>
  <c r="O18" i="35" s="1"/>
  <c r="H18" i="35"/>
  <c r="M57" i="35"/>
  <c r="P12" i="8"/>
  <c r="O89" i="35"/>
  <c r="P5" i="8"/>
  <c r="D91" i="7"/>
  <c r="D7" i="41"/>
  <c r="K7" i="8"/>
  <c r="K7" i="41"/>
  <c r="P5" i="41"/>
  <c r="O16" i="35"/>
  <c r="P47" i="7"/>
  <c r="K116" i="7"/>
  <c r="K15" i="9" s="1"/>
  <c r="K16" i="9" s="1"/>
  <c r="K6" i="8"/>
  <c r="K9" i="41"/>
  <c r="E57" i="35"/>
  <c r="C47" i="35"/>
  <c r="F116" i="39"/>
  <c r="F35" i="9" s="1"/>
  <c r="O116" i="7"/>
  <c r="O15" i="9" s="1"/>
  <c r="O16" i="9" s="1"/>
  <c r="O91" i="7"/>
  <c r="O8" i="8" s="1"/>
  <c r="F91" i="7"/>
  <c r="E7" i="8"/>
  <c r="E91" i="7"/>
  <c r="E113" i="7" s="1"/>
  <c r="O7" i="8"/>
  <c r="C41" i="35"/>
  <c r="D41" i="35" s="1"/>
  <c r="G9" i="41"/>
  <c r="G116" i="7"/>
  <c r="G15" i="9" s="1"/>
  <c r="G16" i="9" s="1"/>
  <c r="G7" i="8"/>
  <c r="J7" i="8"/>
  <c r="J116" i="7"/>
  <c r="J15" i="9" s="1"/>
  <c r="J16" i="9" s="1"/>
  <c r="F7" i="8"/>
  <c r="F116" i="7"/>
  <c r="F15" i="9" s="1"/>
  <c r="F16" i="9" s="1"/>
  <c r="E116" i="7"/>
  <c r="E15" i="9" s="1"/>
  <c r="E16" i="9" s="1"/>
  <c r="L9" i="41"/>
  <c r="L116" i="39"/>
  <c r="L35" i="9" s="1"/>
  <c r="L36" i="9" s="1"/>
  <c r="K20" i="35"/>
  <c r="D31" i="35" s="1"/>
  <c r="C42" i="35"/>
  <c r="D42" i="35" s="1"/>
  <c r="P16" i="42"/>
  <c r="L14" i="8"/>
  <c r="F47" i="35"/>
  <c r="L15" i="8"/>
  <c r="K22" i="35"/>
  <c r="L117" i="39"/>
  <c r="K8" i="8"/>
  <c r="K117" i="7"/>
  <c r="K18" i="9" s="1"/>
  <c r="K19" i="9" s="1"/>
  <c r="O117" i="39"/>
  <c r="O15" i="8"/>
  <c r="N22" i="35"/>
  <c r="G8" i="8"/>
  <c r="G117" i="7"/>
  <c r="G18" i="9" s="1"/>
  <c r="F121" i="35" s="1"/>
  <c r="F122" i="35" s="1"/>
  <c r="D98" i="35"/>
  <c r="O98" i="35" s="1"/>
  <c r="O97" i="35"/>
  <c r="L8" i="8"/>
  <c r="L117" i="7"/>
  <c r="L18" i="9" s="1"/>
  <c r="L19" i="9" s="1"/>
  <c r="L11" i="41"/>
  <c r="E9" i="41" l="1"/>
  <c r="D33" i="35"/>
  <c r="C62" i="35"/>
  <c r="D62" i="35" s="1"/>
  <c r="G113" i="39"/>
  <c r="G11" i="41"/>
  <c r="F22" i="35"/>
  <c r="M121" i="35"/>
  <c r="M122" i="35" s="1"/>
  <c r="G117" i="39"/>
  <c r="G38" i="9" s="1"/>
  <c r="G39" i="9" s="1"/>
  <c r="M7" i="8"/>
  <c r="M116" i="7"/>
  <c r="M15" i="9" s="1"/>
  <c r="M16" i="9" s="1"/>
  <c r="M9" i="41"/>
  <c r="P69" i="7"/>
  <c r="P116" i="7" s="1"/>
  <c r="E22" i="35"/>
  <c r="F9" i="41"/>
  <c r="F117" i="39"/>
  <c r="F38" i="9" s="1"/>
  <c r="E125" i="35" s="1"/>
  <c r="D38" i="9"/>
  <c r="C125" i="35" s="1"/>
  <c r="C126" i="35" s="1"/>
  <c r="G20" i="35"/>
  <c r="H116" i="39"/>
  <c r="G47" i="35" s="1"/>
  <c r="H9" i="41"/>
  <c r="H91" i="39"/>
  <c r="H113" i="39" s="1"/>
  <c r="M113" i="39"/>
  <c r="H117" i="7"/>
  <c r="H18" i="9" s="1"/>
  <c r="G121" i="35" s="1"/>
  <c r="G122" i="35" s="1"/>
  <c r="H8" i="8"/>
  <c r="J116" i="39"/>
  <c r="J35" i="9" s="1"/>
  <c r="J36" i="9" s="1"/>
  <c r="D20" i="35"/>
  <c r="C31" i="35" s="1"/>
  <c r="E14" i="8"/>
  <c r="E91" i="39"/>
  <c r="D22" i="35" s="1"/>
  <c r="C33" i="35" s="1"/>
  <c r="J14" i="8"/>
  <c r="J47" i="35"/>
  <c r="J91" i="39"/>
  <c r="J15" i="8" s="1"/>
  <c r="K113" i="39"/>
  <c r="J22" i="35"/>
  <c r="J9" i="41"/>
  <c r="O35" i="9"/>
  <c r="O36" i="9" s="1"/>
  <c r="K117" i="39"/>
  <c r="J48" i="35" s="1"/>
  <c r="K15" i="8"/>
  <c r="L47" i="35"/>
  <c r="E20" i="35"/>
  <c r="F15" i="8"/>
  <c r="F14" i="8"/>
  <c r="I117" i="7"/>
  <c r="I18" i="9" s="1"/>
  <c r="I19" i="9" s="1"/>
  <c r="M48" i="35"/>
  <c r="I8" i="8"/>
  <c r="P6" i="8"/>
  <c r="O59" i="35"/>
  <c r="P13" i="8"/>
  <c r="L22" i="35"/>
  <c r="M117" i="39"/>
  <c r="L48" i="35" s="1"/>
  <c r="I14" i="8"/>
  <c r="M47" i="35"/>
  <c r="M125" i="35"/>
  <c r="M126" i="35" s="1"/>
  <c r="I9" i="41"/>
  <c r="D116" i="7"/>
  <c r="D15" i="9" s="1"/>
  <c r="D16" i="9" s="1"/>
  <c r="I116" i="39"/>
  <c r="I35" i="9" s="1"/>
  <c r="I36" i="9" s="1"/>
  <c r="D7" i="8"/>
  <c r="P7" i="8" s="1"/>
  <c r="D9" i="41"/>
  <c r="H20" i="35"/>
  <c r="D113" i="7"/>
  <c r="P7" i="41"/>
  <c r="P69" i="39"/>
  <c r="O20" i="35" s="1"/>
  <c r="E47" i="35"/>
  <c r="M117" i="7"/>
  <c r="M18" i="9" s="1"/>
  <c r="L121" i="35" s="1"/>
  <c r="L122" i="35" s="1"/>
  <c r="O11" i="41"/>
  <c r="F117" i="7"/>
  <c r="F18" i="9" s="1"/>
  <c r="E121" i="35" s="1"/>
  <c r="E122" i="35" s="1"/>
  <c r="F113" i="7"/>
  <c r="O117" i="7"/>
  <c r="O18" i="9" s="1"/>
  <c r="O19" i="9" s="1"/>
  <c r="O113" i="7"/>
  <c r="E35" i="9"/>
  <c r="E36" i="9" s="1"/>
  <c r="F11" i="41"/>
  <c r="J117" i="7"/>
  <c r="J18" i="9" s="1"/>
  <c r="J19" i="9" s="1"/>
  <c r="J8" i="8"/>
  <c r="E117" i="7"/>
  <c r="E18" i="9" s="1"/>
  <c r="E19" i="9" s="1"/>
  <c r="E8" i="8"/>
  <c r="H22" i="35"/>
  <c r="I117" i="39"/>
  <c r="I15" i="8"/>
  <c r="F8" i="8"/>
  <c r="M8" i="8"/>
  <c r="I11" i="41"/>
  <c r="M11" i="41"/>
  <c r="K47" i="35"/>
  <c r="J121" i="35"/>
  <c r="J122" i="35" s="1"/>
  <c r="L38" i="9"/>
  <c r="K48" i="35"/>
  <c r="K121" i="35"/>
  <c r="K122" i="35" s="1"/>
  <c r="F36" i="9"/>
  <c r="G19" i="9"/>
  <c r="O38" i="9"/>
  <c r="O39" i="9" s="1"/>
  <c r="N48" i="35"/>
  <c r="E48" i="35" l="1"/>
  <c r="F125" i="35"/>
  <c r="F126" i="35" s="1"/>
  <c r="F48" i="35"/>
  <c r="D39" i="9"/>
  <c r="H35" i="9"/>
  <c r="H36" i="9" s="1"/>
  <c r="G22" i="35"/>
  <c r="H11" i="41"/>
  <c r="H117" i="39"/>
  <c r="H38" i="9" s="1"/>
  <c r="H39" i="9" s="1"/>
  <c r="H15" i="8"/>
  <c r="I22" i="35"/>
  <c r="H19" i="9"/>
  <c r="J117" i="39"/>
  <c r="J38" i="9" s="1"/>
  <c r="J39" i="9" s="1"/>
  <c r="I47" i="35"/>
  <c r="J113" i="39"/>
  <c r="J11" i="41"/>
  <c r="E117" i="39"/>
  <c r="D48" i="35" s="1"/>
  <c r="C63" i="35" s="1"/>
  <c r="D63" i="35" s="1"/>
  <c r="E11" i="41"/>
  <c r="E15" i="8"/>
  <c r="P15" i="8" s="1"/>
  <c r="P91" i="39"/>
  <c r="P117" i="39" s="1"/>
  <c r="O48" i="35" s="1"/>
  <c r="E113" i="39"/>
  <c r="P14" i="8"/>
  <c r="K38" i="9"/>
  <c r="K39" i="9" s="1"/>
  <c r="H121" i="35"/>
  <c r="H122" i="35" s="1"/>
  <c r="M38" i="9"/>
  <c r="M39" i="9" s="1"/>
  <c r="H47" i="35"/>
  <c r="P9" i="41"/>
  <c r="P116" i="39"/>
  <c r="O47" i="35" s="1"/>
  <c r="P15" i="9"/>
  <c r="P16" i="9" s="1"/>
  <c r="D117" i="7"/>
  <c r="D18" i="9" s="1"/>
  <c r="D19" i="9" s="1"/>
  <c r="P91" i="7"/>
  <c r="P117" i="7" s="1"/>
  <c r="D11" i="41"/>
  <c r="D8" i="8"/>
  <c r="P8" i="8" s="1"/>
  <c r="M19" i="9"/>
  <c r="F19" i="9"/>
  <c r="P113" i="7"/>
  <c r="N121" i="35"/>
  <c r="N122" i="35" s="1"/>
  <c r="I121" i="35"/>
  <c r="I122" i="35" s="1"/>
  <c r="P35" i="9"/>
  <c r="P36" i="9" s="1"/>
  <c r="D121" i="35"/>
  <c r="D122" i="35" s="1"/>
  <c r="I38" i="9"/>
  <c r="H48" i="35"/>
  <c r="N125" i="35"/>
  <c r="N126" i="35" s="1"/>
  <c r="L39" i="9"/>
  <c r="K125" i="35"/>
  <c r="K126" i="35" s="1"/>
  <c r="E126" i="35"/>
  <c r="F39" i="9"/>
  <c r="G48" i="35" l="1"/>
  <c r="G125" i="35"/>
  <c r="G126" i="35" s="1"/>
  <c r="I125" i="35"/>
  <c r="I126" i="35" s="1"/>
  <c r="I48" i="35"/>
  <c r="P113" i="39"/>
  <c r="E38" i="9"/>
  <c r="D125" i="35" s="1"/>
  <c r="D126" i="35" s="1"/>
  <c r="O22" i="35"/>
  <c r="J125" i="35"/>
  <c r="J126" i="35" s="1"/>
  <c r="L125" i="35"/>
  <c r="L126" i="35" s="1"/>
  <c r="P18" i="9"/>
  <c r="P19" i="9" s="1"/>
  <c r="C121" i="35"/>
  <c r="C122" i="35" s="1"/>
  <c r="P11" i="41"/>
  <c r="I39" i="9"/>
  <c r="H125" i="35"/>
  <c r="H126" i="35" s="1"/>
  <c r="P38" i="9" l="1"/>
  <c r="P39" i="9" s="1"/>
  <c r="E39" i="9"/>
  <c r="O121" i="35"/>
  <c r="O122" i="35" s="1"/>
  <c r="O125" i="35"/>
  <c r="O126" i="35" s="1"/>
  <c r="D9" i="8"/>
  <c r="D118" i="39"/>
  <c r="C49" i="35" s="1"/>
  <c r="C24" i="35"/>
  <c r="D26" i="9"/>
  <c r="C117" i="35" s="1"/>
  <c r="D12" i="41"/>
  <c r="D16" i="8"/>
  <c r="C23" i="35"/>
  <c r="C90" i="35" s="1"/>
  <c r="D6" i="9"/>
  <c r="C113" i="35" s="1"/>
  <c r="D41" i="9" l="1"/>
  <c r="D42" i="9" s="1"/>
  <c r="C91" i="35"/>
  <c r="C92" i="35" s="1"/>
  <c r="D27" i="9"/>
  <c r="C114" i="35"/>
  <c r="C118" i="35"/>
  <c r="D118" i="7"/>
  <c r="D21" i="9" s="1"/>
  <c r="D13" i="41"/>
  <c r="D7" i="9"/>
  <c r="D22" i="9" l="1"/>
  <c r="E9" i="8"/>
  <c r="E23" i="35"/>
  <c r="E90" i="35" s="1"/>
  <c r="G23" i="35"/>
  <c r="G90" i="35" s="1"/>
  <c r="I23" i="35"/>
  <c r="I90" i="35" s="1"/>
  <c r="H23" i="35"/>
  <c r="H90" i="35" s="1"/>
  <c r="L24" i="35"/>
  <c r="L91" i="35" s="1"/>
  <c r="L92" i="35" s="1"/>
  <c r="E12" i="41"/>
  <c r="O6" i="9"/>
  <c r="N113" i="35" s="1"/>
  <c r="N114" i="35" s="1"/>
  <c r="M12" i="41"/>
  <c r="I24" i="35"/>
  <c r="I91" i="35" s="1"/>
  <c r="I92" i="35" s="1"/>
  <c r="L23" i="35"/>
  <c r="L90" i="35" s="1"/>
  <c r="P92" i="39"/>
  <c r="H118" i="7"/>
  <c r="H21" i="9" s="1"/>
  <c r="H22" i="9" s="1"/>
  <c r="I26" i="9"/>
  <c r="H117" i="35" s="1"/>
  <c r="H118" i="35" s="1"/>
  <c r="N12" i="41"/>
  <c r="K9" i="8"/>
  <c r="M23" i="35"/>
  <c r="M90" i="35" s="1"/>
  <c r="N23" i="35"/>
  <c r="N90" i="35" s="1"/>
  <c r="M26" i="9"/>
  <c r="M27" i="9" s="1"/>
  <c r="K12" i="41"/>
  <c r="F23" i="35"/>
  <c r="F90" i="35" s="1"/>
  <c r="F12" i="41"/>
  <c r="P92" i="7"/>
  <c r="L12" i="41"/>
  <c r="K23" i="35"/>
  <c r="K6" i="9"/>
  <c r="K118" i="7"/>
  <c r="K21" i="9" s="1"/>
  <c r="K22" i="9" s="1"/>
  <c r="G118" i="7"/>
  <c r="G21" i="9" s="1"/>
  <c r="G22" i="9" s="1"/>
  <c r="N118" i="7"/>
  <c r="N21" i="9" s="1"/>
  <c r="N22" i="9" s="1"/>
  <c r="G12" i="41"/>
  <c r="H118" i="39"/>
  <c r="H41" i="9" s="1"/>
  <c r="H42" i="9" s="1"/>
  <c r="J23" i="35"/>
  <c r="J90" i="35" s="1"/>
  <c r="J6" i="9"/>
  <c r="J9" i="8"/>
  <c r="H12" i="41"/>
  <c r="L13" i="41"/>
  <c r="K118" i="39"/>
  <c r="K16" i="8"/>
  <c r="N118" i="39"/>
  <c r="M24" i="35"/>
  <c r="M91" i="35" s="1"/>
  <c r="M92" i="35" s="1"/>
  <c r="I12" i="41"/>
  <c r="E26" i="9"/>
  <c r="J13" i="41"/>
  <c r="J12" i="41"/>
  <c r="O118" i="7"/>
  <c r="O21" i="9" s="1"/>
  <c r="O22" i="9" s="1"/>
  <c r="I13" i="41"/>
  <c r="I16" i="8"/>
  <c r="N6" i="9"/>
  <c r="N9" i="8"/>
  <c r="M6" i="9"/>
  <c r="L113" i="35" s="1"/>
  <c r="L114" i="35" s="1"/>
  <c r="D23" i="35"/>
  <c r="D90" i="35" s="1"/>
  <c r="H26" i="9"/>
  <c r="L6" i="9"/>
  <c r="L118" i="7"/>
  <c r="L21" i="9" s="1"/>
  <c r="L22" i="9" s="1"/>
  <c r="H24" i="35"/>
  <c r="H91" i="35" s="1"/>
  <c r="H92" i="35" s="1"/>
  <c r="I118" i="39"/>
  <c r="I41" i="9" s="1"/>
  <c r="I42" i="9" s="1"/>
  <c r="M9" i="8"/>
  <c r="M118" i="7"/>
  <c r="M21" i="9" s="1"/>
  <c r="M22" i="9" s="1"/>
  <c r="F13" i="41"/>
  <c r="F118" i="39"/>
  <c r="E49" i="35" s="1"/>
  <c r="E118" i="7"/>
  <c r="E21" i="9" s="1"/>
  <c r="E6" i="9"/>
  <c r="D113" i="35" s="1"/>
  <c r="G9" i="8"/>
  <c r="G6" i="9"/>
  <c r="F113" i="35" s="1"/>
  <c r="F114" i="35" s="1"/>
  <c r="G16" i="8"/>
  <c r="G118" i="39"/>
  <c r="G13" i="41"/>
  <c r="P118" i="39"/>
  <c r="O49" i="35" s="1"/>
  <c r="I118" i="7"/>
  <c r="I21" i="9" s="1"/>
  <c r="I22" i="9" s="1"/>
  <c r="I9" i="8"/>
  <c r="H9" i="8"/>
  <c r="O16" i="8"/>
  <c r="O12" i="41"/>
  <c r="M16" i="8"/>
  <c r="M118" i="39"/>
  <c r="M41" i="9" s="1"/>
  <c r="M42" i="9" s="1"/>
  <c r="F6" i="9"/>
  <c r="E16" i="8"/>
  <c r="D24" i="35"/>
  <c r="D91" i="35" s="1"/>
  <c r="K90" i="35" l="1"/>
  <c r="D34" i="35"/>
  <c r="P12" i="41"/>
  <c r="O23" i="35"/>
  <c r="C34" i="35"/>
  <c r="C43" i="35" s="1"/>
  <c r="D43" i="35" s="1"/>
  <c r="O7" i="9"/>
  <c r="I27" i="9"/>
  <c r="L49" i="35"/>
  <c r="F41" i="9"/>
  <c r="F42" i="9" s="1"/>
  <c r="G49" i="35"/>
  <c r="E7" i="9"/>
  <c r="C35" i="35"/>
  <c r="G7" i="9"/>
  <c r="D92" i="35"/>
  <c r="O90" i="35"/>
  <c r="E113" i="35"/>
  <c r="E114" i="35" s="1"/>
  <c r="F7" i="9"/>
  <c r="E22" i="9"/>
  <c r="N41" i="9"/>
  <c r="N42" i="9" s="1"/>
  <c r="M49" i="35"/>
  <c r="F49" i="35"/>
  <c r="G41" i="9"/>
  <c r="G42" i="9" s="1"/>
  <c r="K113" i="35"/>
  <c r="K114" i="35" s="1"/>
  <c r="L7" i="9"/>
  <c r="J113" i="35"/>
  <c r="J114" i="35" s="1"/>
  <c r="K7" i="9"/>
  <c r="D114" i="35"/>
  <c r="M113" i="35"/>
  <c r="M114" i="35" s="1"/>
  <c r="N7" i="9"/>
  <c r="G117" i="35"/>
  <c r="G118" i="35" s="1"/>
  <c r="H27" i="9"/>
  <c r="K41" i="9"/>
  <c r="K42" i="9" s="1"/>
  <c r="J49" i="35"/>
  <c r="I113" i="35"/>
  <c r="I114" i="35" s="1"/>
  <c r="J7" i="9"/>
  <c r="O26" i="9"/>
  <c r="F118" i="7"/>
  <c r="F21" i="9" s="1"/>
  <c r="F22" i="9" s="1"/>
  <c r="H6" i="9"/>
  <c r="E13" i="41"/>
  <c r="M7" i="9"/>
  <c r="O9" i="8"/>
  <c r="K13" i="41"/>
  <c r="J24" i="35"/>
  <c r="J91" i="35" s="1"/>
  <c r="J92" i="35" s="1"/>
  <c r="L9" i="8"/>
  <c r="F9" i="8"/>
  <c r="E27" i="9"/>
  <c r="G26" i="9"/>
  <c r="J118" i="39"/>
  <c r="J118" i="7"/>
  <c r="J21" i="9" s="1"/>
  <c r="J22" i="9" s="1"/>
  <c r="E118" i="39"/>
  <c r="H49" i="35"/>
  <c r="H16" i="8"/>
  <c r="L16" i="8"/>
  <c r="L118" i="39"/>
  <c r="I6" i="9"/>
  <c r="F26" i="9"/>
  <c r="N16" i="8"/>
  <c r="E24" i="35"/>
  <c r="E91" i="35" s="1"/>
  <c r="E92" i="35" s="1"/>
  <c r="P118" i="7"/>
  <c r="N13" i="41"/>
  <c r="K26" i="9"/>
  <c r="N26" i="9"/>
  <c r="K24" i="35"/>
  <c r="L26" i="9"/>
  <c r="H13" i="41"/>
  <c r="J16" i="8"/>
  <c r="J26" i="9"/>
  <c r="O24" i="35"/>
  <c r="O118" i="39"/>
  <c r="O13" i="41"/>
  <c r="M13" i="41"/>
  <c r="N24" i="35"/>
  <c r="N91" i="35" s="1"/>
  <c r="N92" i="35" s="1"/>
  <c r="F16" i="8"/>
  <c r="L117" i="35"/>
  <c r="L118" i="35" s="1"/>
  <c r="G24" i="35"/>
  <c r="G91" i="35" s="1"/>
  <c r="G92" i="35" s="1"/>
  <c r="D117" i="35"/>
  <c r="F24" i="35"/>
  <c r="F91" i="35" s="1"/>
  <c r="F92" i="35" s="1"/>
  <c r="K91" i="35" l="1"/>
  <c r="K92" i="35" s="1"/>
  <c r="D35" i="35"/>
  <c r="C44" i="35" s="1"/>
  <c r="D44" i="35" s="1"/>
  <c r="P16" i="8"/>
  <c r="C37" i="35"/>
  <c r="D37" i="35" s="1"/>
  <c r="P21" i="9"/>
  <c r="P22" i="9" s="1"/>
  <c r="P6" i="9"/>
  <c r="P7" i="9" s="1"/>
  <c r="P9" i="8"/>
  <c r="O27" i="9"/>
  <c r="N117" i="35"/>
  <c r="N118" i="35" s="1"/>
  <c r="K49" i="35"/>
  <c r="L41" i="9"/>
  <c r="L42" i="9" s="1"/>
  <c r="H7" i="9"/>
  <c r="G113" i="35"/>
  <c r="D118" i="35"/>
  <c r="E41" i="9"/>
  <c r="D49" i="35"/>
  <c r="C64" i="35" s="1"/>
  <c r="D64" i="35" s="1"/>
  <c r="O41" i="9"/>
  <c r="O42" i="9" s="1"/>
  <c r="N49" i="35"/>
  <c r="J27" i="9"/>
  <c r="I117" i="35"/>
  <c r="I118" i="35" s="1"/>
  <c r="P13" i="41"/>
  <c r="O91" i="35"/>
  <c r="M117" i="35"/>
  <c r="M118" i="35" s="1"/>
  <c r="N27" i="9"/>
  <c r="L27" i="9"/>
  <c r="K117" i="35"/>
  <c r="K118" i="35" s="1"/>
  <c r="F27" i="9"/>
  <c r="E117" i="35"/>
  <c r="E118" i="35" s="1"/>
  <c r="J41" i="9"/>
  <c r="J42" i="9" s="1"/>
  <c r="I49" i="35"/>
  <c r="P26" i="9"/>
  <c r="P27" i="9" s="1"/>
  <c r="O92" i="35"/>
  <c r="K27" i="9"/>
  <c r="J117" i="35"/>
  <c r="J118" i="35" s="1"/>
  <c r="H113" i="35"/>
  <c r="H114" i="35" s="1"/>
  <c r="I7" i="9"/>
  <c r="F117" i="35"/>
  <c r="F118" i="35" s="1"/>
  <c r="G27" i="9"/>
  <c r="O117" i="35" l="1"/>
  <c r="O118" i="35" s="1"/>
  <c r="G114" i="35"/>
  <c r="O113" i="35"/>
  <c r="O114" i="35" s="1"/>
  <c r="P41" i="9"/>
  <c r="P42" i="9" s="1"/>
  <c r="E42" i="9"/>
</calcChain>
</file>

<file path=xl/sharedStrings.xml><?xml version="1.0" encoding="utf-8"?>
<sst xmlns="http://schemas.openxmlformats.org/spreadsheetml/2006/main" count="668" uniqueCount="101">
  <si>
    <t>Banco de Dados</t>
  </si>
  <si>
    <t>Obrigado pela confiança em nosso produto e pela preferência em nosso trabalho! É um prazer tê-lo(a) como cliente.</t>
  </si>
  <si>
    <t>Qualquer dúvida na usabilidade da planilha, não deixe conferir o material sobre a mesma:</t>
  </si>
  <si>
    <t>Manual de Instruções:</t>
  </si>
  <si>
    <t>Email para suporte:</t>
  </si>
  <si>
    <t>onsidecorporation@gmail.com</t>
  </si>
  <si>
    <t>Nossas planilhas: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</si>
  <si>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</si>
  <si>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</si>
  <si>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</si>
  <si>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</si>
  <si>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</si>
  <si>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Em vídeo anexado ao produto.</t>
  </si>
  <si>
    <t>www.onsidecorporation.com.br</t>
  </si>
  <si>
    <t>Relatório de Resultados</t>
  </si>
  <si>
    <t xml:space="preserve"> </t>
  </si>
  <si>
    <t>Empresa</t>
  </si>
  <si>
    <t>Proprietário</t>
  </si>
  <si>
    <t>Empresa exemplo da Planilha LTDA</t>
  </si>
  <si>
    <t>Nicolas Fury</t>
  </si>
  <si>
    <t>Jan</t>
  </si>
  <si>
    <t>Fev</t>
  </si>
  <si>
    <t>Mar</t>
  </si>
  <si>
    <t>Abr</t>
  </si>
  <si>
    <t>Mai</t>
  </si>
  <si>
    <t>Jun</t>
  </si>
  <si>
    <t>Jul</t>
  </si>
  <si>
    <t>Ago</t>
  </si>
  <si>
    <t>Set</t>
  </si>
  <si>
    <t>Out</t>
  </si>
  <si>
    <t>Nov</t>
  </si>
  <si>
    <t>Dez</t>
  </si>
  <si>
    <t>Descrição</t>
  </si>
  <si>
    <t>Total</t>
  </si>
  <si>
    <t>Receita Bruta de Vendas</t>
  </si>
  <si>
    <t>(-) Deduções da Receita</t>
  </si>
  <si>
    <t>Receita Líquida de Vendas</t>
  </si>
  <si>
    <t>(-) Custos totais</t>
  </si>
  <si>
    <t>Lucro Bruto</t>
  </si>
  <si>
    <t>(-) Despesas totais</t>
  </si>
  <si>
    <t>Lucro Operacional</t>
  </si>
  <si>
    <t>(-) Impostos sobre o Lucro</t>
  </si>
  <si>
    <t>Margem Bruta</t>
  </si>
  <si>
    <t>Margem Operacional</t>
  </si>
  <si>
    <t>Margem Líquida</t>
  </si>
  <si>
    <t>Meta de Lucro Líquido</t>
  </si>
  <si>
    <t>Contas a Pagar</t>
  </si>
  <si>
    <t>Contas a Receber</t>
  </si>
  <si>
    <t>Orçamento Receita</t>
  </si>
  <si>
    <t>Orçamento Despesa</t>
  </si>
  <si>
    <t>Percentual do Orçamento Despesa</t>
  </si>
  <si>
    <t>Percentual do Orçamento Receita</t>
  </si>
  <si>
    <t>Meta de Margem Bruta</t>
  </si>
  <si>
    <t>Meta de Margem Operacional</t>
  </si>
  <si>
    <t>Meta de Margem Líquida</t>
  </si>
  <si>
    <t>Meta de Contas a Pagar</t>
  </si>
  <si>
    <t>Meta de Contas a Receber</t>
  </si>
  <si>
    <t>Lucro ou Prejuízo Líquido</t>
  </si>
  <si>
    <t>Lucro Líquido Realizado</t>
  </si>
  <si>
    <t>Diferença</t>
  </si>
  <si>
    <t>Contas a Pagar Realizado</t>
  </si>
  <si>
    <t>Margem Bruta Realizada</t>
  </si>
  <si>
    <t>Margem Operacional Realizada</t>
  </si>
  <si>
    <t>Margem Líquida Realizada</t>
  </si>
  <si>
    <t>Melhorou de um ano para o outro</t>
  </si>
  <si>
    <t>Igual a 0 ou não houve mudança</t>
  </si>
  <si>
    <t>Piorou de um ano para o outro</t>
  </si>
  <si>
    <t>Todos</t>
  </si>
  <si>
    <t>Percentual</t>
  </si>
  <si>
    <t>Deduções + Custos + Despesas</t>
  </si>
  <si>
    <t>Receita</t>
  </si>
  <si>
    <t>Custos, etc</t>
  </si>
  <si>
    <t>Impostos</t>
  </si>
  <si>
    <t>Lucro</t>
  </si>
  <si>
    <t>Receita Esperada</t>
  </si>
  <si>
    <t>Despesa Esperada</t>
  </si>
  <si>
    <t>Percentual da Receita          Realizada</t>
  </si>
  <si>
    <t>Percentual da Despesa  Realizada</t>
  </si>
  <si>
    <t>Receitas</t>
  </si>
  <si>
    <t>Despesas</t>
  </si>
  <si>
    <t>Lucro ou Prejuízo</t>
  </si>
  <si>
    <t>Lucratividade</t>
  </si>
  <si>
    <t>Lucro Líquido</t>
  </si>
  <si>
    <r>
      <t xml:space="preserve">                      Missão:             </t>
    </r>
    <r>
      <rPr>
        <sz val="10"/>
        <color theme="8" tint="0.79998168889431442"/>
        <rFont val="Calibri"/>
        <family val="2"/>
        <scheme val="minor"/>
      </rPr>
      <t>Garantir a excelência em planilhas únicas e personalizadas, que facilitem e maximizem os resultados de nossos clientes.</t>
    </r>
  </si>
  <si>
    <r>
      <t xml:space="preserve">                      Visão:                </t>
    </r>
    <r>
      <rPr>
        <sz val="10"/>
        <color theme="8" tint="0.79998168889431442"/>
        <rFont val="Calibri"/>
        <family val="2"/>
        <scheme val="minor"/>
      </rPr>
      <t>Ser a maior produtora de planilhas profissionais do Brasil, gerando cada vez mais valor e comodidade a nossos clientes.</t>
    </r>
  </si>
  <si>
    <r>
      <t xml:space="preserve">                      Valores:             </t>
    </r>
    <r>
      <rPr>
        <sz val="10"/>
        <color theme="8" tint="0.79998168889431442"/>
        <rFont val="Calibri"/>
        <family val="2"/>
        <scheme val="minor"/>
      </rPr>
      <t>Nossa conduta é direcionada a altos padrões éticos, de responsabilidade, confiança, comprometimento com o crescimento e resultados.</t>
    </r>
  </si>
  <si>
    <t>Receita de Venda</t>
  </si>
  <si>
    <t>Receita de Serviços</t>
  </si>
  <si>
    <t>PIS</t>
  </si>
  <si>
    <t>COFINS</t>
  </si>
  <si>
    <t>ICMS</t>
  </si>
  <si>
    <t>IPI</t>
  </si>
  <si>
    <t>ISS</t>
  </si>
  <si>
    <t>Custos para Venda</t>
  </si>
  <si>
    <t>Despesas Operacionais</t>
  </si>
  <si>
    <t>Despesas Administrativas</t>
  </si>
  <si>
    <t>Despesas Comercias</t>
  </si>
  <si>
    <t>Despesas de Logística</t>
  </si>
  <si>
    <t>IRPJ</t>
  </si>
  <si>
    <t>CSLL</t>
  </si>
  <si>
    <t>Copyright © 2026 Onside Corporation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</si>
</sst>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7" x14ac:knownFonts="1">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b/>
      <sz val="28"/>
      <color theme="1" tint="0.249977111117893"/>
      <name val="Calibri"/>
      <family val="2"/>
      <scheme val="minor"/>
    </font>
    <font>
      <sz val="10"/>
      <color theme="1" tint="0.499984740745262"/>
      <name val="Calibri"/>
      <family val="2"/>
      <scheme val="minor"/>
    </font>
    <font>
      <sz val="10"/>
      <color rgb="FF000000"/>
      <name val="Calibri"/>
      <family val="2"/>
    </font>
    <font>
      <sz val="16"/>
      <color theme="1" tint="0.249977111117893"/>
      <name val="Calibri"/>
      <family val="2"/>
      <scheme val="minor"/>
    </font>
    <font>
      <b/>
      <sz val="16"/>
      <color theme="1" tint="0.249977111117893"/>
      <name val="Calibri"/>
      <family val="2"/>
      <scheme val="minor"/>
    </font>
    <font>
      <sz val="8"/>
      <name val="Calibri"/>
      <family val="2"/>
      <scheme val="minor"/>
    </font>
    <font>
      <sz val="11"/>
      <color theme="1"/>
      <name val="Calibri"/>
      <family val="2"/>
      <scheme val="minor"/>
    </font>
    <font>
      <sz val="10"/>
      <color theme="0"/>
      <name val="Calibri"/>
      <family val="2"/>
      <scheme val="minor"/>
    </font>
    <font>
      <sz val="10"/>
      <color rgb="FF01B8AA"/>
      <name val="Calibri"/>
      <family val="2"/>
      <scheme val="minor"/>
    </font>
    <font>
      <b/>
      <sz val="10"/>
      <color theme="0"/>
      <name val="Calibri"/>
      <family val="2"/>
      <scheme val="minor"/>
    </font>
    <font>
      <b/>
      <sz val="10"/>
      <color theme="1" tint="0.249977111117893"/>
      <name val="Calibri"/>
      <family val="2"/>
      <scheme val="minor"/>
    </font>
    <font>
      <sz val="10"/>
      <color theme="8" tint="0.79998168889431442"/>
      <name val="Calibri"/>
      <family val="2"/>
      <scheme val="minor"/>
    </font>
    <font>
      <b/>
      <sz val="10"/>
      <color theme="8" tint="0.79998168889431442"/>
      <name val="Calibri"/>
      <family val="2"/>
      <scheme val="minor"/>
    </font>
    <font>
      <sz val="10"/>
      <color indexed="9"/>
      <name val="Calibri"/>
      <family val="2"/>
      <scheme val="minor"/>
    </font>
  </fonts>
  <fills count="17">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2C80F"/>
        <bgColor indexed="64"/>
      </patternFill>
    </fill>
    <fill>
      <patternFill patternType="solid">
        <fgColor rgb="FF01B8AA"/>
        <bgColor indexed="64"/>
      </patternFill>
    </fill>
    <fill>
      <patternFill patternType="solid">
        <fgColor rgb="FFFB5A5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bgColor indexed="64"/>
      </patternFill>
    </fill>
  </fills>
  <borders count="45">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right/>
      <top/>
      <bottom style="thin">
        <color indexed="64"/>
      </bottom>
      <diagonal/>
    </border>
    <border>
      <left/>
      <right/>
      <top style="thin">
        <color theme="3"/>
      </top>
      <bottom/>
      <diagonal/>
    </border>
    <border>
      <left/>
      <right/>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14999847407452621"/>
      </bottom>
      <diagonal/>
    </border>
    <border>
      <left style="medium">
        <color theme="0" tint="-0.499984740745262"/>
      </left>
      <right style="thin">
        <color theme="0" tint="-0.499984740745262"/>
      </right>
      <top/>
      <bottom style="thin">
        <color theme="0" tint="-0.14999847407452621"/>
      </bottom>
      <diagonal/>
    </border>
    <border>
      <left style="thin">
        <color theme="0" tint="-0.499984740745262"/>
      </left>
      <right style="thin">
        <color theme="0" tint="-0.14999847407452621"/>
      </right>
      <top/>
      <bottom style="thin">
        <color theme="0" tint="-0.14999847407452621"/>
      </bottom>
      <diagonal/>
    </border>
    <border>
      <left style="thin">
        <color theme="0" tint="-0.499984740745262"/>
      </left>
      <right style="thin">
        <color theme="0" tint="-0.14999847407452621"/>
      </right>
      <top style="medium">
        <color theme="0" tint="-0.499984740745262"/>
      </top>
      <bottom style="thin">
        <color theme="0" tint="-0.14999847407452621"/>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14999847407452621"/>
      </right>
      <top style="thin">
        <color theme="0"/>
      </top>
      <bottom style="thin">
        <color theme="0" tint="-0.14999847407452621"/>
      </bottom>
      <diagonal/>
    </border>
    <border>
      <left style="thin">
        <color theme="0" tint="-0.499984740745262"/>
      </left>
      <right style="thin">
        <color theme="0" tint="-0.14999847407452621"/>
      </right>
      <top/>
      <bottom style="thin">
        <color theme="0"/>
      </bottom>
      <diagonal/>
    </border>
    <border>
      <left style="medium">
        <color theme="0" tint="-0.499984740745262"/>
      </left>
      <right style="thin">
        <color theme="0" tint="-0.499984740745262"/>
      </right>
      <top/>
      <bottom style="thin">
        <color theme="0"/>
      </bottom>
      <diagonal/>
    </border>
    <border>
      <left style="medium">
        <color theme="0" tint="-0.499984740745262"/>
      </left>
      <right/>
      <top/>
      <bottom style="thin">
        <color theme="0" tint="-0.14999847407452621"/>
      </bottom>
      <diagonal/>
    </border>
    <border>
      <left style="thin">
        <color theme="0"/>
      </left>
      <right style="thin">
        <color theme="0" tint="-0.14999847407452621"/>
      </right>
      <top style="thin">
        <color theme="0"/>
      </top>
      <bottom style="thin">
        <color theme="0" tint="-0.14999847407452621"/>
      </bottom>
      <diagonal/>
    </border>
    <border>
      <left style="medium">
        <color theme="0" tint="-0.499984740745262"/>
      </left>
      <right style="thin">
        <color theme="0"/>
      </right>
      <top style="thin">
        <color theme="0" tint="-0.14999847407452621"/>
      </top>
      <bottom style="thin">
        <color theme="0" tint="-0.14999847407452621"/>
      </bottom>
      <diagonal/>
    </border>
    <border>
      <left style="thin">
        <color theme="0"/>
      </left>
      <right style="thin">
        <color theme="0"/>
      </right>
      <top style="thin">
        <color theme="0" tint="-0.14999847407452621"/>
      </top>
      <bottom style="thin">
        <color theme="0" tint="-0.14999847407452621"/>
      </bottom>
      <diagonal/>
    </border>
    <border>
      <left/>
      <right style="thin">
        <color theme="0" tint="-0.14999847407452621"/>
      </right>
      <top style="thin">
        <color theme="0"/>
      </top>
      <bottom style="thin">
        <color theme="0" tint="-0.14999847407452621"/>
      </bottom>
      <diagonal/>
    </border>
    <border>
      <left style="medium">
        <color theme="0"/>
      </left>
      <right style="medium">
        <color theme="0"/>
      </right>
      <top style="medium">
        <color theme="0"/>
      </top>
      <bottom style="medium">
        <color theme="0"/>
      </bottom>
      <diagonal/>
    </border>
    <border>
      <left style="medium">
        <color theme="0" tint="-0.499984740745262"/>
      </left>
      <right/>
      <top style="thin">
        <color theme="0" tint="-0.14999847407452621"/>
      </top>
      <bottom style="thin">
        <color theme="0" tint="-0.14999847407452621"/>
      </bottom>
      <diagonal/>
    </border>
    <border>
      <left style="thin">
        <color theme="0" tint="-0.499984740745262"/>
      </left>
      <right style="thin">
        <color theme="0" tint="-0.14999847407452621"/>
      </right>
      <top style="medium">
        <color theme="0" tint="-0.499984740745262"/>
      </top>
      <bottom/>
      <diagonal/>
    </border>
    <border>
      <left style="medium">
        <color theme="0"/>
      </left>
      <right style="medium">
        <color theme="0"/>
      </right>
      <top style="medium">
        <color theme="0"/>
      </top>
      <bottom style="thin">
        <color theme="0" tint="-0.14999847407452621"/>
      </bottom>
      <diagonal/>
    </border>
    <border>
      <left style="medium">
        <color theme="0"/>
      </left>
      <right style="thin">
        <color theme="0" tint="-0.14999847407452621"/>
      </right>
      <top style="medium">
        <color theme="0"/>
      </top>
      <bottom style="medium">
        <color theme="0"/>
      </bottom>
      <diagonal/>
    </border>
    <border>
      <left style="medium">
        <color theme="0"/>
      </left>
      <right style="thin">
        <color theme="0" tint="-0.14999847407452621"/>
      </right>
      <top style="medium">
        <color theme="0"/>
      </top>
      <bottom style="thin">
        <color theme="0" tint="-0.14999847407452621"/>
      </bottom>
      <diagonal/>
    </border>
    <border>
      <left style="thin">
        <color theme="0" tint="-0.14999847407452621"/>
      </left>
      <right/>
      <top/>
      <bottom style="thin">
        <color theme="0"/>
      </bottom>
      <diagonal/>
    </border>
    <border>
      <left style="thin">
        <color theme="0" tint="-0.14999847407452621"/>
      </left>
      <right/>
      <top style="thin">
        <color theme="0"/>
      </top>
      <bottom style="thin">
        <color theme="0"/>
      </bottom>
      <diagonal/>
    </border>
    <border>
      <left/>
      <right/>
      <top style="thin">
        <color theme="0" tint="-4.9989318521683403E-2"/>
      </top>
      <bottom/>
      <diagonal/>
    </border>
    <border>
      <left/>
      <right/>
      <top/>
      <bottom style="thin">
        <color theme="0" tint="-4.9989318521683403E-2"/>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style="thin">
        <color theme="0" tint="-0.499984740745262"/>
      </left>
      <right/>
      <top style="thin">
        <color theme="0" tint="-0.14999847407452621"/>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style="medium">
        <color theme="0" tint="-0.499984740745262"/>
      </left>
      <right style="thin">
        <color theme="0" tint="-0.499984740745262"/>
      </right>
      <top style="thin">
        <color theme="0"/>
      </top>
      <bottom style="thin">
        <color theme="0" tint="-0.14999847407452621"/>
      </bottom>
      <diagonal/>
    </border>
    <border>
      <left style="thin">
        <color theme="0" tint="-0.499984740745262"/>
      </left>
      <right style="thin">
        <color theme="0" tint="-0.499984740745262"/>
      </right>
      <top style="thin">
        <color theme="0"/>
      </top>
      <bottom style="thin">
        <color theme="0" tint="-0.14999847407452621"/>
      </bottom>
      <diagonal/>
    </border>
    <border>
      <left style="thin">
        <color theme="0" tint="-0.499984740745262"/>
      </left>
      <right/>
      <top style="thin">
        <color theme="0"/>
      </top>
      <bottom style="thin">
        <color theme="0" tint="-0.14999847407452621"/>
      </bottom>
      <diagonal/>
    </border>
    <border>
      <left style="thin">
        <color theme="0" tint="-0.499984740745262"/>
      </left>
      <right style="thin">
        <color theme="0" tint="-0.499984740745262"/>
      </right>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style="thick">
        <color theme="0"/>
      </left>
      <right/>
      <top/>
      <bottom/>
      <diagonal/>
    </border>
    <border>
      <left style="medium">
        <color theme="0" tint="-0.499984740745262"/>
      </left>
      <right style="thin">
        <color theme="0"/>
      </right>
      <top style="thin">
        <color theme="0"/>
      </top>
      <bottom style="thin">
        <color theme="0" tint="-0.14999847407452621"/>
      </bottom>
      <diagonal/>
    </border>
    <border>
      <left style="thin">
        <color theme="0"/>
      </left>
      <right style="thin">
        <color theme="0"/>
      </right>
      <top style="thin">
        <color theme="0"/>
      </top>
      <bottom style="thin">
        <color theme="0" tint="-0.14999847407452621"/>
      </bottom>
      <diagonal/>
    </border>
  </borders>
  <cellStyleXfs count="3">
    <xf numFmtId="0" fontId="0" fillId="0" borderId="0"/>
    <xf numFmtId="0" fontId="5" fillId="0" borderId="0" applyNumberFormat="0" applyFill="0" applyBorder="0" applyAlignment="0" applyProtection="0"/>
    <xf numFmtId="9" fontId="19" fillId="0" borderId="0" applyFont="0" applyFill="0" applyBorder="0" applyAlignment="0" applyProtection="0"/>
  </cellStyleXfs>
  <cellXfs count="153">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1" fillId="0" borderId="0" xfId="0" applyFont="1" applyAlignment="1">
      <alignment horizontal="center" vertical="center"/>
    </xf>
    <xf numFmtId="0" fontId="6" fillId="0" borderId="0" xfId="0" applyFont="1" applyAlignment="1">
      <alignment horizontal="left" vertical="center"/>
    </xf>
    <xf numFmtId="0" fontId="7"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right" vertical="center"/>
    </xf>
    <xf numFmtId="0" fontId="1" fillId="0" borderId="0" xfId="0" applyFont="1" applyAlignment="1">
      <alignment horizontal="left" vertical="center"/>
    </xf>
    <xf numFmtId="0" fontId="9" fillId="0" borderId="0" xfId="1" applyFont="1" applyFill="1"/>
    <xf numFmtId="0" fontId="9" fillId="0" borderId="0" xfId="1" applyFont="1" applyFill="1" applyAlignment="1">
      <alignment horizontal="left" vertical="top"/>
    </xf>
    <xf numFmtId="0" fontId="9" fillId="0" borderId="0" xfId="1" applyFont="1" applyFill="1" applyAlignment="1">
      <alignment vertical="center"/>
    </xf>
    <xf numFmtId="0" fontId="10" fillId="0" borderId="0" xfId="0" applyFont="1" applyAlignment="1">
      <alignment horizontal="center" vertical="center"/>
    </xf>
    <xf numFmtId="0" fontId="11" fillId="0" borderId="0" xfId="0" applyFont="1" applyAlignment="1">
      <alignment horizontal="right" vertical="center"/>
    </xf>
    <xf numFmtId="0" fontId="0" fillId="2" borderId="0" xfId="0" applyFill="1"/>
    <xf numFmtId="0" fontId="0" fillId="3" borderId="0" xfId="0" applyFill="1"/>
    <xf numFmtId="0" fontId="12" fillId="0" borderId="0" xfId="0" applyFont="1" applyAlignment="1">
      <alignment horizontal="left" vertical="center"/>
    </xf>
    <xf numFmtId="0" fontId="9" fillId="0" borderId="0" xfId="1" applyFont="1"/>
    <xf numFmtId="0" fontId="1" fillId="5" borderId="0" xfId="0" applyFont="1" applyFill="1" applyAlignment="1">
      <alignment horizontal="center" vertical="center"/>
    </xf>
    <xf numFmtId="0" fontId="1" fillId="0" borderId="0" xfId="0" applyFont="1" applyAlignment="1">
      <alignment horizontal="left" vertical="center" wrapText="1"/>
    </xf>
    <xf numFmtId="0" fontId="16" fillId="4" borderId="0" xfId="0" applyFont="1" applyFill="1" applyAlignment="1">
      <alignment horizontal="left" vertical="center" wrapText="1"/>
    </xf>
    <xf numFmtId="0" fontId="17" fillId="4" borderId="4" xfId="0" applyFont="1" applyFill="1" applyBorder="1" applyAlignment="1">
      <alignment horizontal="left" vertical="center" wrapText="1"/>
    </xf>
    <xf numFmtId="0" fontId="16" fillId="4" borderId="4" xfId="0" applyFont="1" applyFill="1" applyBorder="1" applyAlignment="1">
      <alignment horizontal="left" vertical="center" wrapText="1"/>
    </xf>
    <xf numFmtId="0" fontId="1" fillId="2" borderId="0" xfId="0" applyFont="1" applyFill="1" applyAlignment="1">
      <alignment horizontal="left" vertical="center"/>
    </xf>
    <xf numFmtId="0" fontId="1" fillId="3" borderId="1" xfId="0" applyFont="1" applyFill="1" applyBorder="1" applyAlignment="1">
      <alignment horizontal="left" vertical="center"/>
    </xf>
    <xf numFmtId="0" fontId="1" fillId="4" borderId="0" xfId="0" applyFont="1" applyFill="1" applyAlignment="1">
      <alignment horizontal="left" vertical="center"/>
    </xf>
    <xf numFmtId="0" fontId="14" fillId="4" borderId="7" xfId="0" applyFont="1" applyFill="1" applyBorder="1" applyAlignment="1">
      <alignment horizontal="left" vertical="center" wrapText="1"/>
    </xf>
    <xf numFmtId="0" fontId="2" fillId="5" borderId="9" xfId="0" applyFont="1" applyFill="1" applyBorder="1" applyAlignment="1" applyProtection="1">
      <alignment horizontal="left" vertical="center" wrapText="1"/>
      <protection locked="0"/>
    </xf>
    <xf numFmtId="0" fontId="1" fillId="6" borderId="0" xfId="0" applyFont="1" applyFill="1" applyAlignment="1">
      <alignment horizontal="left" vertical="center" wrapText="1"/>
    </xf>
    <xf numFmtId="0" fontId="1" fillId="4" borderId="0" xfId="0" applyFont="1" applyFill="1" applyAlignment="1">
      <alignment horizontal="left" vertical="center" wrapText="1"/>
    </xf>
    <xf numFmtId="14" fontId="2" fillId="7" borderId="0" xfId="0" applyNumberFormat="1" applyFont="1" applyFill="1" applyAlignment="1">
      <alignment horizontal="left" vertical="center" wrapText="1"/>
    </xf>
    <xf numFmtId="0" fontId="0" fillId="5" borderId="0" xfId="0" applyFill="1"/>
    <xf numFmtId="4" fontId="2" fillId="5" borderId="9" xfId="0" applyNumberFormat="1" applyFont="1" applyFill="1" applyBorder="1" applyAlignment="1" applyProtection="1">
      <alignment horizontal="right" vertical="center" wrapText="1"/>
      <protection locked="0"/>
    </xf>
    <xf numFmtId="0" fontId="3" fillId="4" borderId="11" xfId="0" applyFont="1" applyFill="1" applyBorder="1" applyAlignment="1">
      <alignment horizontal="left" vertical="center" wrapText="1"/>
    </xf>
    <xf numFmtId="0" fontId="3" fillId="4" borderId="12" xfId="0" applyFont="1" applyFill="1" applyBorder="1" applyAlignment="1">
      <alignment horizontal="left" vertical="center" wrapText="1"/>
    </xf>
    <xf numFmtId="0" fontId="6" fillId="8" borderId="8" xfId="0" applyFont="1" applyFill="1" applyBorder="1" applyAlignment="1">
      <alignment horizontal="left" vertical="center" wrapText="1"/>
    </xf>
    <xf numFmtId="9" fontId="7" fillId="8" borderId="9" xfId="2" applyFont="1" applyFill="1" applyBorder="1" applyAlignment="1" applyProtection="1">
      <alignment horizontal="center" vertical="center" wrapText="1"/>
    </xf>
    <xf numFmtId="9" fontId="2" fillId="5" borderId="9" xfId="2" applyFont="1" applyFill="1" applyBorder="1" applyAlignment="1" applyProtection="1">
      <alignment horizontal="center" vertical="center" wrapText="1"/>
      <protection locked="0"/>
    </xf>
    <xf numFmtId="0" fontId="6" fillId="4" borderId="8" xfId="0" applyFont="1" applyFill="1" applyBorder="1" applyAlignment="1">
      <alignment horizontal="left" vertical="center" wrapText="1"/>
    </xf>
    <xf numFmtId="0" fontId="7" fillId="4" borderId="8" xfId="0" applyFont="1" applyFill="1" applyBorder="1" applyAlignment="1">
      <alignment horizontal="left" vertical="center" wrapText="1"/>
    </xf>
    <xf numFmtId="0" fontId="7" fillId="4" borderId="17" xfId="0" applyFont="1" applyFill="1" applyBorder="1" applyAlignment="1">
      <alignment horizontal="left" vertical="center" wrapText="1"/>
    </xf>
    <xf numFmtId="4" fontId="20" fillId="9" borderId="19" xfId="0" applyNumberFormat="1" applyFont="1" applyFill="1" applyBorder="1" applyAlignment="1">
      <alignment horizontal="right" vertical="center" wrapText="1"/>
    </xf>
    <xf numFmtId="4" fontId="20" fillId="10" borderId="13" xfId="0" applyNumberFormat="1" applyFont="1" applyFill="1" applyBorder="1" applyAlignment="1">
      <alignment horizontal="right" vertical="center" wrapText="1"/>
    </xf>
    <xf numFmtId="4" fontId="20" fillId="10" borderId="14" xfId="0" applyNumberFormat="1" applyFont="1" applyFill="1" applyBorder="1" applyAlignment="1">
      <alignment horizontal="right" vertical="center" wrapText="1"/>
    </xf>
    <xf numFmtId="4" fontId="20" fillId="10" borderId="15" xfId="0" applyNumberFormat="1" applyFont="1" applyFill="1" applyBorder="1" applyAlignment="1">
      <alignment horizontal="right" vertical="center" wrapText="1"/>
    </xf>
    <xf numFmtId="9" fontId="20" fillId="10" borderId="9" xfId="2" applyFont="1" applyFill="1" applyBorder="1" applyAlignment="1" applyProtection="1">
      <alignment horizontal="center" vertical="center" wrapText="1"/>
    </xf>
    <xf numFmtId="0" fontId="22" fillId="9" borderId="20" xfId="0" applyFont="1" applyFill="1" applyBorder="1" applyAlignment="1">
      <alignment horizontal="left" vertical="center" wrapText="1"/>
    </xf>
    <xf numFmtId="4" fontId="20" fillId="9" borderId="21" xfId="0" applyNumberFormat="1" applyFont="1" applyFill="1" applyBorder="1" applyAlignment="1">
      <alignment horizontal="right" vertical="center" wrapText="1"/>
    </xf>
    <xf numFmtId="4" fontId="20" fillId="9" borderId="22" xfId="0" applyNumberFormat="1" applyFont="1" applyFill="1" applyBorder="1" applyAlignment="1">
      <alignment horizontal="right" vertical="center" wrapText="1"/>
    </xf>
    <xf numFmtId="9" fontId="20" fillId="10" borderId="16" xfId="2" applyFont="1" applyFill="1" applyBorder="1" applyAlignment="1" applyProtection="1">
      <alignment horizontal="center" vertical="center" wrapText="1"/>
    </xf>
    <xf numFmtId="9" fontId="20" fillId="10" borderId="14" xfId="2" applyFont="1" applyFill="1" applyBorder="1" applyAlignment="1" applyProtection="1">
      <alignment horizontal="center" vertical="center" wrapText="1"/>
    </xf>
    <xf numFmtId="9" fontId="20" fillId="10" borderId="15" xfId="2" applyFont="1" applyFill="1" applyBorder="1" applyAlignment="1" applyProtection="1">
      <alignment horizontal="center" vertical="center" wrapText="1"/>
    </xf>
    <xf numFmtId="0" fontId="7" fillId="4" borderId="7" xfId="0" applyFont="1" applyFill="1" applyBorder="1" applyAlignment="1">
      <alignment horizontal="left" vertical="center" wrapText="1"/>
    </xf>
    <xf numFmtId="0" fontId="20" fillId="9" borderId="20" xfId="0" applyFont="1" applyFill="1" applyBorder="1" applyAlignment="1">
      <alignment horizontal="left" vertical="center" wrapText="1"/>
    </xf>
    <xf numFmtId="4" fontId="7" fillId="4" borderId="9" xfId="0" applyNumberFormat="1" applyFont="1" applyFill="1" applyBorder="1" applyAlignment="1">
      <alignment horizontal="right" vertical="center" wrapText="1"/>
    </xf>
    <xf numFmtId="10" fontId="7" fillId="4" borderId="9" xfId="0" applyNumberFormat="1" applyFont="1" applyFill="1" applyBorder="1" applyAlignment="1">
      <alignment horizontal="center" vertical="center" wrapText="1"/>
    </xf>
    <xf numFmtId="10" fontId="20" fillId="10" borderId="13" xfId="0" applyNumberFormat="1" applyFont="1" applyFill="1" applyBorder="1" applyAlignment="1">
      <alignment horizontal="center" vertical="center" wrapText="1"/>
    </xf>
    <xf numFmtId="10" fontId="20" fillId="10" borderId="14" xfId="0" applyNumberFormat="1" applyFont="1" applyFill="1" applyBorder="1" applyAlignment="1">
      <alignment horizontal="center" vertical="center" wrapText="1"/>
    </xf>
    <xf numFmtId="10" fontId="20" fillId="9" borderId="21" xfId="0" applyNumberFormat="1" applyFont="1" applyFill="1" applyBorder="1" applyAlignment="1">
      <alignment horizontal="center" vertical="center" wrapText="1"/>
    </xf>
    <xf numFmtId="10" fontId="20" fillId="9" borderId="19" xfId="0" applyNumberFormat="1" applyFont="1" applyFill="1" applyBorder="1" applyAlignment="1">
      <alignment horizontal="center" vertical="center" wrapText="1"/>
    </xf>
    <xf numFmtId="9" fontId="7" fillId="4" borderId="8" xfId="0" applyNumberFormat="1" applyFont="1" applyFill="1" applyBorder="1" applyAlignment="1">
      <alignment horizontal="left" vertical="center" wrapText="1"/>
    </xf>
    <xf numFmtId="0" fontId="6" fillId="4" borderId="18" xfId="0" applyFont="1" applyFill="1" applyBorder="1" applyAlignment="1">
      <alignment horizontal="left" vertical="center" wrapText="1"/>
    </xf>
    <xf numFmtId="0" fontId="3" fillId="4" borderId="25" xfId="0" applyFont="1" applyFill="1" applyBorder="1" applyAlignment="1">
      <alignment horizontal="left" vertical="center" wrapText="1"/>
    </xf>
    <xf numFmtId="0" fontId="7" fillId="4" borderId="18" xfId="0" applyFont="1" applyFill="1" applyBorder="1" applyAlignment="1">
      <alignment horizontal="left" vertical="center" wrapText="1"/>
    </xf>
    <xf numFmtId="0" fontId="20" fillId="12" borderId="0" xfId="0" applyFont="1" applyFill="1" applyAlignment="1">
      <alignment horizontal="left" vertical="center" wrapText="1"/>
    </xf>
    <xf numFmtId="4" fontId="7" fillId="4" borderId="9" xfId="0" applyNumberFormat="1" applyFont="1" applyFill="1" applyBorder="1" applyAlignment="1" applyProtection="1">
      <alignment horizontal="right" vertical="center" wrapText="1"/>
      <protection locked="0"/>
    </xf>
    <xf numFmtId="0" fontId="23" fillId="7" borderId="8" xfId="0" applyFont="1" applyFill="1" applyBorder="1" applyAlignment="1">
      <alignment horizontal="left" vertical="center" wrapText="1"/>
    </xf>
    <xf numFmtId="4" fontId="1" fillId="7" borderId="9" xfId="0" applyNumberFormat="1" applyFont="1" applyFill="1" applyBorder="1" applyAlignment="1">
      <alignment horizontal="right" vertical="center" wrapText="1"/>
    </xf>
    <xf numFmtId="9" fontId="20" fillId="12" borderId="0" xfId="2" applyFont="1" applyFill="1" applyAlignment="1">
      <alignment horizontal="left" vertical="center" wrapText="1"/>
    </xf>
    <xf numFmtId="0" fontId="20" fillId="13" borderId="0" xfId="0" applyFont="1" applyFill="1" applyAlignment="1">
      <alignment horizontal="center" vertical="center" wrapText="1"/>
    </xf>
    <xf numFmtId="0" fontId="20" fillId="13" borderId="0" xfId="0" applyFont="1" applyFill="1" applyAlignment="1">
      <alignment horizontal="left" vertical="center" wrapText="1"/>
    </xf>
    <xf numFmtId="9" fontId="2" fillId="4" borderId="0" xfId="2" applyFont="1" applyFill="1" applyBorder="1" applyAlignment="1" applyProtection="1">
      <alignment horizontal="center" vertical="center" wrapText="1"/>
      <protection locked="0"/>
    </xf>
    <xf numFmtId="0" fontId="1" fillId="0" borderId="0" xfId="0" applyFont="1" applyAlignment="1">
      <alignment horizontal="center" vertical="center" wrapText="1"/>
    </xf>
    <xf numFmtId="0" fontId="22" fillId="10" borderId="0" xfId="0" applyFont="1" applyFill="1" applyAlignment="1">
      <alignment horizontal="left" vertical="center" wrapText="1"/>
    </xf>
    <xf numFmtId="4" fontId="20" fillId="10" borderId="0" xfId="0" applyNumberFormat="1" applyFont="1" applyFill="1" applyAlignment="1" applyProtection="1">
      <alignment horizontal="right" vertical="center" wrapText="1"/>
      <protection locked="0"/>
    </xf>
    <xf numFmtId="4" fontId="20" fillId="10" borderId="9" xfId="0" applyNumberFormat="1" applyFont="1" applyFill="1" applyBorder="1" applyAlignment="1" applyProtection="1">
      <alignment horizontal="right" vertical="center" wrapText="1"/>
      <protection locked="0"/>
    </xf>
    <xf numFmtId="4" fontId="20" fillId="10" borderId="13" xfId="0" applyNumberFormat="1" applyFont="1" applyFill="1" applyBorder="1" applyAlignment="1" applyProtection="1">
      <alignment horizontal="right" vertical="center" wrapText="1"/>
      <protection locked="0"/>
    </xf>
    <xf numFmtId="4" fontId="20" fillId="10" borderId="16" xfId="0" applyNumberFormat="1" applyFont="1" applyFill="1" applyBorder="1" applyAlignment="1" applyProtection="1">
      <alignment horizontal="right" vertical="center" wrapText="1"/>
      <protection locked="0"/>
    </xf>
    <xf numFmtId="9" fontId="20" fillId="12" borderId="29" xfId="2" applyFont="1" applyFill="1" applyBorder="1" applyAlignment="1">
      <alignment horizontal="left" vertical="center" wrapText="1"/>
    </xf>
    <xf numFmtId="9" fontId="20" fillId="12" borderId="30" xfId="2" applyFont="1" applyFill="1" applyBorder="1" applyAlignment="1">
      <alignment horizontal="left" vertical="center" wrapText="1"/>
    </xf>
    <xf numFmtId="9" fontId="20" fillId="10" borderId="0" xfId="2" applyFont="1" applyFill="1" applyAlignment="1">
      <alignment horizontal="center" vertical="center" wrapText="1"/>
    </xf>
    <xf numFmtId="0" fontId="1" fillId="14" borderId="0" xfId="0" applyFont="1" applyFill="1" applyAlignment="1">
      <alignment horizontal="left" vertical="center" wrapText="1"/>
    </xf>
    <xf numFmtId="0" fontId="20" fillId="15" borderId="0" xfId="0" applyFont="1" applyFill="1" applyAlignment="1">
      <alignment horizontal="left" vertical="center" wrapText="1"/>
    </xf>
    <xf numFmtId="0" fontId="20" fillId="16" borderId="0" xfId="0" applyFont="1" applyFill="1" applyAlignment="1">
      <alignment horizontal="left" vertical="center" wrapText="1"/>
    </xf>
    <xf numFmtId="0" fontId="2" fillId="5" borderId="10" xfId="0" applyFont="1" applyFill="1" applyBorder="1" applyAlignment="1" applyProtection="1">
      <alignment horizontal="left" vertical="center" wrapText="1"/>
      <protection locked="0"/>
    </xf>
    <xf numFmtId="0" fontId="1" fillId="5" borderId="0" xfId="0" applyFont="1" applyFill="1" applyAlignment="1" applyProtection="1">
      <alignment horizontal="center" vertical="center"/>
      <protection locked="0"/>
    </xf>
    <xf numFmtId="0" fontId="1" fillId="5" borderId="31" xfId="0" applyFont="1" applyFill="1" applyBorder="1" applyAlignment="1" applyProtection="1">
      <alignment horizontal="center" vertical="center"/>
      <protection locked="0"/>
    </xf>
    <xf numFmtId="0" fontId="1" fillId="5" borderId="32" xfId="0" applyFont="1" applyFill="1" applyBorder="1" applyAlignment="1" applyProtection="1">
      <alignment horizontal="center" vertical="center"/>
      <protection locked="0"/>
    </xf>
    <xf numFmtId="0" fontId="21" fillId="5" borderId="0" xfId="0" applyFont="1" applyFill="1" applyAlignment="1">
      <alignment horizontal="center" vertical="center"/>
    </xf>
    <xf numFmtId="10" fontId="2" fillId="5" borderId="23" xfId="2" applyNumberFormat="1" applyFont="1" applyFill="1" applyBorder="1" applyAlignment="1" applyProtection="1">
      <alignment horizontal="center" vertical="center" wrapText="1"/>
    </xf>
    <xf numFmtId="10" fontId="20" fillId="5" borderId="27" xfId="2" applyNumberFormat="1" applyFont="1" applyFill="1" applyBorder="1" applyAlignment="1" applyProtection="1">
      <alignment horizontal="center" vertical="center" wrapText="1"/>
    </xf>
    <xf numFmtId="10" fontId="7" fillId="5" borderId="23" xfId="2" applyNumberFormat="1" applyFont="1" applyFill="1" applyBorder="1" applyAlignment="1" applyProtection="1">
      <alignment horizontal="center" vertical="center" wrapText="1"/>
    </xf>
    <xf numFmtId="10" fontId="20" fillId="5" borderId="26" xfId="2" applyNumberFormat="1" applyFont="1" applyFill="1" applyBorder="1" applyAlignment="1" applyProtection="1">
      <alignment horizontal="center" vertical="center" wrapText="1"/>
    </xf>
    <xf numFmtId="10" fontId="20" fillId="5" borderId="28" xfId="2" applyNumberFormat="1" applyFont="1" applyFill="1" applyBorder="1" applyAlignment="1" applyProtection="1">
      <alignment horizontal="center" vertical="center" wrapText="1"/>
    </xf>
    <xf numFmtId="0" fontId="1" fillId="5" borderId="5" xfId="0" applyFont="1" applyFill="1" applyBorder="1" applyAlignment="1">
      <alignment horizontal="left" vertical="center"/>
    </xf>
    <xf numFmtId="0" fontId="1" fillId="5" borderId="5" xfId="0" applyFont="1" applyFill="1" applyBorder="1" applyAlignment="1">
      <alignment horizontal="center" vertical="center"/>
    </xf>
    <xf numFmtId="0" fontId="1" fillId="5" borderId="0" xfId="0" applyFont="1" applyFill="1" applyAlignment="1">
      <alignment horizontal="left" vertical="center"/>
    </xf>
    <xf numFmtId="0" fontId="1" fillId="5" borderId="6" xfId="0" applyFont="1" applyFill="1" applyBorder="1" applyAlignment="1">
      <alignment horizontal="center" vertical="center"/>
    </xf>
    <xf numFmtId="0" fontId="20" fillId="5" borderId="0" xfId="0" applyFont="1" applyFill="1" applyAlignment="1">
      <alignment horizontal="center" vertical="center"/>
    </xf>
    <xf numFmtId="4" fontId="20" fillId="5" borderId="0" xfId="0" applyNumberFormat="1" applyFont="1" applyFill="1" applyAlignment="1">
      <alignment horizontal="center" vertical="center"/>
    </xf>
    <xf numFmtId="4" fontId="1" fillId="14" borderId="34" xfId="0" applyNumberFormat="1" applyFont="1" applyFill="1" applyBorder="1" applyAlignment="1">
      <alignment horizontal="right" vertical="center" wrapText="1"/>
    </xf>
    <xf numFmtId="0" fontId="23" fillId="14" borderId="8" xfId="0" applyFont="1" applyFill="1" applyBorder="1" applyAlignment="1">
      <alignment horizontal="left" vertical="center" wrapText="1"/>
    </xf>
    <xf numFmtId="0" fontId="7" fillId="4" borderId="35" xfId="0" applyFont="1" applyFill="1" applyBorder="1" applyAlignment="1">
      <alignment horizontal="left" vertical="center" wrapText="1"/>
    </xf>
    <xf numFmtId="4" fontId="7" fillId="4" borderId="16" xfId="0" applyNumberFormat="1" applyFont="1" applyFill="1" applyBorder="1" applyAlignment="1" applyProtection="1">
      <alignment horizontal="right" vertical="center" wrapText="1"/>
      <protection locked="0"/>
    </xf>
    <xf numFmtId="4" fontId="7" fillId="4" borderId="36" xfId="0" applyNumberFormat="1" applyFont="1" applyFill="1" applyBorder="1" applyAlignment="1" applyProtection="1">
      <alignment horizontal="right" vertical="center" wrapText="1"/>
      <protection locked="0"/>
    </xf>
    <xf numFmtId="4" fontId="7" fillId="4" borderId="40" xfId="0" applyNumberFormat="1" applyFont="1" applyFill="1" applyBorder="1" applyAlignment="1" applyProtection="1">
      <alignment horizontal="right" vertical="center" wrapText="1"/>
      <protection locked="0"/>
    </xf>
    <xf numFmtId="4" fontId="7" fillId="4" borderId="40" xfId="0" applyNumberFormat="1" applyFont="1" applyFill="1" applyBorder="1" applyAlignment="1">
      <alignment horizontal="right" vertical="center" wrapText="1"/>
    </xf>
    <xf numFmtId="0" fontId="1" fillId="14" borderId="24" xfId="0" applyFont="1" applyFill="1" applyBorder="1" applyAlignment="1">
      <alignment horizontal="left" vertical="center" wrapText="1"/>
    </xf>
    <xf numFmtId="10" fontId="1" fillId="14" borderId="34" xfId="0" applyNumberFormat="1" applyFont="1" applyFill="1" applyBorder="1" applyAlignment="1">
      <alignment horizontal="center" vertical="center" wrapText="1"/>
    </xf>
    <xf numFmtId="10" fontId="1" fillId="14" borderId="41" xfId="0" applyNumberFormat="1" applyFont="1" applyFill="1" applyBorder="1" applyAlignment="1">
      <alignment horizontal="center" vertical="center" wrapText="1"/>
    </xf>
    <xf numFmtId="4" fontId="1" fillId="14" borderId="41" xfId="0" applyNumberFormat="1" applyFont="1" applyFill="1" applyBorder="1" applyAlignment="1">
      <alignment horizontal="right" vertical="center" wrapText="1"/>
    </xf>
    <xf numFmtId="0" fontId="1" fillId="14" borderId="33" xfId="0" applyFont="1" applyFill="1" applyBorder="1" applyAlignment="1">
      <alignment horizontal="left" vertical="center" wrapText="1"/>
    </xf>
    <xf numFmtId="0" fontId="23" fillId="14" borderId="24" xfId="0" applyFont="1" applyFill="1" applyBorder="1" applyAlignment="1">
      <alignment horizontal="left" vertical="center" wrapText="1"/>
    </xf>
    <xf numFmtId="0" fontId="24" fillId="2" borderId="0" xfId="0" applyFont="1" applyFill="1" applyAlignment="1">
      <alignment horizontal="center" vertical="center"/>
    </xf>
    <xf numFmtId="0" fontId="24" fillId="2" borderId="0" xfId="0" applyFont="1" applyFill="1" applyAlignment="1">
      <alignment vertical="center"/>
    </xf>
    <xf numFmtId="0" fontId="24" fillId="2" borderId="2" xfId="0" applyFont="1" applyFill="1" applyBorder="1" applyAlignment="1">
      <alignment vertical="center"/>
    </xf>
    <xf numFmtId="0" fontId="24" fillId="2" borderId="3" xfId="0" applyFont="1" applyFill="1" applyBorder="1" applyAlignment="1">
      <alignment vertical="center"/>
    </xf>
    <xf numFmtId="4" fontId="20" fillId="9" borderId="44" xfId="0" applyNumberFormat="1" applyFont="1" applyFill="1" applyBorder="1" applyAlignment="1">
      <alignment horizontal="right" vertical="center" wrapText="1"/>
    </xf>
    <xf numFmtId="0" fontId="20" fillId="9" borderId="43" xfId="0" applyFont="1" applyFill="1" applyBorder="1" applyAlignment="1">
      <alignment horizontal="left" vertical="center" wrapText="1"/>
    </xf>
    <xf numFmtId="0" fontId="26" fillId="9" borderId="43" xfId="0" applyFont="1" applyFill="1" applyBorder="1" applyAlignment="1">
      <alignment horizontal="left" vertical="center" wrapText="1"/>
    </xf>
    <xf numFmtId="0" fontId="1" fillId="4" borderId="8" xfId="0" applyFont="1" applyFill="1" applyBorder="1" applyAlignment="1" applyProtection="1">
      <alignment horizontal="left" vertical="center" wrapText="1"/>
    </xf>
    <xf numFmtId="4" fontId="1" fillId="4" borderId="9" xfId="0" applyNumberFormat="1" applyFont="1" applyFill="1" applyBorder="1" applyAlignment="1" applyProtection="1">
      <alignment horizontal="right" vertical="center" wrapText="1"/>
    </xf>
    <xf numFmtId="4" fontId="2" fillId="14" borderId="9" xfId="0" applyNumberFormat="1" applyFont="1" applyFill="1" applyBorder="1" applyAlignment="1" applyProtection="1">
      <alignment horizontal="right" vertical="center" wrapText="1"/>
    </xf>
    <xf numFmtId="0" fontId="2" fillId="14" borderId="8" xfId="0" applyFont="1" applyFill="1" applyBorder="1" applyAlignment="1" applyProtection="1">
      <alignment horizontal="left" vertical="center" wrapText="1"/>
    </xf>
    <xf numFmtId="4" fontId="2" fillId="14" borderId="14" xfId="0" applyNumberFormat="1" applyFont="1" applyFill="1" applyBorder="1" applyAlignment="1" applyProtection="1">
      <alignment horizontal="right" vertical="center" wrapText="1"/>
    </xf>
    <xf numFmtId="4" fontId="2" fillId="14" borderId="16" xfId="0" applyNumberFormat="1" applyFont="1" applyFill="1" applyBorder="1" applyAlignment="1" applyProtection="1">
      <alignment horizontal="right" vertical="center" wrapText="1"/>
    </xf>
    <xf numFmtId="0" fontId="2" fillId="5" borderId="8" xfId="0" applyFont="1" applyFill="1" applyBorder="1" applyAlignment="1" applyProtection="1">
      <alignment horizontal="left" vertical="center" wrapText="1"/>
      <protection locked="0"/>
    </xf>
    <xf numFmtId="4" fontId="2" fillId="14" borderId="14" xfId="0" applyNumberFormat="1" applyFont="1" applyFill="1" applyBorder="1" applyAlignment="1">
      <alignment horizontal="right" vertical="center" wrapText="1"/>
    </xf>
    <xf numFmtId="0" fontId="2" fillId="14" borderId="37" xfId="0" applyFont="1" applyFill="1" applyBorder="1" applyAlignment="1">
      <alignment horizontal="left" vertical="center" wrapText="1"/>
    </xf>
    <xf numFmtId="4" fontId="2" fillId="14" borderId="38" xfId="0" applyNumberFormat="1" applyFont="1" applyFill="1" applyBorder="1" applyAlignment="1">
      <alignment horizontal="right" vertical="center" wrapText="1"/>
    </xf>
    <xf numFmtId="4" fontId="2" fillId="14" borderId="39" xfId="0" applyNumberFormat="1" applyFont="1" applyFill="1" applyBorder="1" applyAlignment="1">
      <alignment horizontal="right" vertical="center" wrapText="1"/>
    </xf>
    <xf numFmtId="4" fontId="2" fillId="14" borderId="15" xfId="0" applyNumberFormat="1" applyFont="1" applyFill="1" applyBorder="1" applyAlignment="1">
      <alignment horizontal="right" vertical="center" wrapText="1"/>
    </xf>
    <xf numFmtId="4" fontId="2" fillId="14" borderId="13" xfId="0" applyNumberFormat="1" applyFont="1" applyFill="1" applyBorder="1" applyAlignment="1">
      <alignment horizontal="right" vertical="center" wrapText="1"/>
    </xf>
    <xf numFmtId="4" fontId="2" fillId="14" borderId="16" xfId="0" applyNumberFormat="1" applyFont="1" applyFill="1" applyBorder="1" applyAlignment="1">
      <alignment horizontal="right" vertical="center" wrapText="1"/>
    </xf>
    <xf numFmtId="0" fontId="2" fillId="14" borderId="18" xfId="0" applyFont="1" applyFill="1" applyBorder="1" applyAlignment="1">
      <alignment horizontal="left" vertical="center" wrapText="1"/>
    </xf>
    <xf numFmtId="10" fontId="2" fillId="5" borderId="9" xfId="2" applyNumberFormat="1" applyFont="1" applyFill="1" applyBorder="1" applyAlignment="1" applyProtection="1">
      <alignment horizontal="center" vertical="center" wrapText="1"/>
      <protection locked="0"/>
    </xf>
    <xf numFmtId="0" fontId="2" fillId="5" borderId="0" xfId="0" applyFont="1" applyFill="1" applyAlignment="1">
      <alignment horizontal="center" vertical="center"/>
    </xf>
    <xf numFmtId="10" fontId="2" fillId="14" borderId="14" xfId="2" applyNumberFormat="1" applyFont="1" applyFill="1" applyBorder="1" applyAlignment="1" applyProtection="1">
      <alignment horizontal="center" vertical="center" wrapText="1"/>
    </xf>
    <xf numFmtId="10" fontId="2" fillId="14" borderId="15" xfId="2" applyNumberFormat="1" applyFont="1" applyFill="1" applyBorder="1" applyAlignment="1" applyProtection="1">
      <alignment horizontal="center" vertical="center" wrapText="1"/>
    </xf>
    <xf numFmtId="10" fontId="7" fillId="4" borderId="36" xfId="2" applyNumberFormat="1" applyFont="1" applyFill="1" applyBorder="1" applyAlignment="1" applyProtection="1">
      <alignment horizontal="center" vertical="center" wrapText="1"/>
    </xf>
    <xf numFmtId="10" fontId="7" fillId="4" borderId="9" xfId="2" applyNumberFormat="1" applyFont="1" applyFill="1" applyBorder="1" applyAlignment="1" applyProtection="1">
      <alignment horizontal="center" vertical="center" wrapText="1"/>
    </xf>
    <xf numFmtId="10" fontId="1" fillId="14" borderId="9" xfId="2" applyNumberFormat="1" applyFont="1" applyFill="1" applyBorder="1" applyAlignment="1" applyProtection="1">
      <alignment horizontal="center" vertical="center" wrapText="1"/>
    </xf>
    <xf numFmtId="10" fontId="2" fillId="14" borderId="13" xfId="2" applyNumberFormat="1" applyFont="1" applyFill="1" applyBorder="1" applyAlignment="1" applyProtection="1">
      <alignment horizontal="center" vertical="center" wrapText="1"/>
    </xf>
    <xf numFmtId="10" fontId="2" fillId="14" borderId="9" xfId="2" applyNumberFormat="1" applyFont="1" applyFill="1" applyBorder="1" applyAlignment="1" applyProtection="1">
      <alignment horizontal="center" vertical="center" wrapText="1"/>
    </xf>
    <xf numFmtId="10" fontId="2" fillId="14" borderId="14" xfId="0" applyNumberFormat="1" applyFont="1" applyFill="1" applyBorder="1" applyAlignment="1">
      <alignment horizontal="center" vertical="center" wrapText="1"/>
    </xf>
    <xf numFmtId="10" fontId="2" fillId="14" borderId="15" xfId="0" applyNumberFormat="1" applyFont="1" applyFill="1" applyBorder="1" applyAlignment="1">
      <alignment horizontal="center" vertical="center" wrapText="1"/>
    </xf>
    <xf numFmtId="0" fontId="25" fillId="2" borderId="0" xfId="0" applyFont="1" applyFill="1" applyAlignment="1">
      <alignment horizontal="left" vertical="center"/>
    </xf>
    <xf numFmtId="0" fontId="2" fillId="11" borderId="42" xfId="0" applyFont="1" applyFill="1" applyBorder="1" applyAlignment="1">
      <alignment horizontal="left" vertical="center" wrapText="1"/>
    </xf>
    <xf numFmtId="0" fontId="2" fillId="11" borderId="0" xfId="0" applyFont="1" applyFill="1" applyAlignment="1">
      <alignment horizontal="left" vertical="center" wrapText="1"/>
    </xf>
    <xf numFmtId="0" fontId="20" fillId="13" borderId="42" xfId="0" applyFont="1" applyFill="1" applyBorder="1" applyAlignment="1">
      <alignment horizontal="left" vertical="center" wrapText="1"/>
    </xf>
    <xf numFmtId="0" fontId="20" fillId="13" borderId="0" xfId="0" applyFont="1" applyFill="1" applyAlignment="1">
      <alignment horizontal="left" vertical="center" wrapText="1"/>
    </xf>
    <xf numFmtId="0" fontId="13" fillId="4" borderId="0" xfId="0" applyFont="1" applyFill="1" applyAlignment="1" applyProtection="1">
      <alignment horizontal="center" vertical="center"/>
      <protection locked="0"/>
    </xf>
  </cellXfs>
  <cellStyles count="3">
    <cellStyle name="Hiperlink" xfId="1" builtinId="8"/>
    <cellStyle name="Normal" xfId="0" builtinId="0"/>
    <cellStyle name="Porcentagem" xfId="2" builtinId="5"/>
  </cellStyles>
  <dxfs count="10">
    <dxf>
      <font>
        <color theme="0"/>
      </font>
      <fill>
        <patternFill>
          <bgColor rgb="FF01B8AA"/>
        </patternFill>
      </fill>
    </dxf>
    <dxf>
      <font>
        <color theme="1"/>
      </font>
      <fill>
        <patternFill>
          <bgColor rgb="FFF2C80F"/>
        </patternFill>
      </fill>
    </dxf>
    <dxf>
      <font>
        <color theme="0"/>
      </font>
      <fill>
        <patternFill>
          <bgColor rgb="FFFB5A56"/>
        </patternFill>
      </fill>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00000000-0011-0000-FFFF-FFFF00000000}">
      <tableStyleElement type="wholeTable" dxfId="9"/>
      <tableStyleElement type="headerRow" dxfId="8"/>
      <tableStyleElement type="totalRow" dxfId="7"/>
      <tableStyleElement type="firstColumn" dxfId="6"/>
      <tableStyleElement type="lastColumn" dxfId="5"/>
      <tableStyleElement type="firstRowStripe" dxfId="4"/>
      <tableStyleElement type="firstColumnStripe" dxfId="3"/>
    </tableStyle>
  </tableStyles>
  <colors>
    <mruColors>
      <color rgb="FF01B8AA"/>
      <color rgb="FF333F4F"/>
      <color rgb="FFFB5A56"/>
      <color rgb="FFF2C80F"/>
      <color rgb="FF00C5C0"/>
      <color rgb="FFFF2F2F"/>
      <color rgb="FF0062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0467-46C0-B226-930C15639EF6}"/>
              </c:ext>
            </c:extLst>
          </c:dPt>
          <c:dPt>
            <c:idx val="1"/>
            <c:bubble3D val="0"/>
            <c:spPr>
              <a:solidFill>
                <a:schemeClr val="bg1"/>
              </a:solidFill>
              <a:ln w="19050">
                <a:noFill/>
              </a:ln>
              <a:effectLst/>
            </c:spPr>
            <c:extLst>
              <c:ext xmlns:c16="http://schemas.microsoft.com/office/drawing/2014/chart" uri="{C3380CC4-5D6E-409C-BE32-E72D297353CC}">
                <c16:uniqueId val="{00000003-0467-46C0-B226-930C15639EF6}"/>
              </c:ext>
            </c:extLst>
          </c:dPt>
          <c:val>
            <c:numRef>
              <c:f>'BH (2)'!$C$72:$D$72</c:f>
              <c:numCache>
                <c:formatCode>0%</c:formatCode>
                <c:ptCount val="2"/>
                <c:pt idx="0">
                  <c:v>0.4165426956263017</c:v>
                </c:pt>
                <c:pt idx="1">
                  <c:v>0.58345730437369836</c:v>
                </c:pt>
              </c:numCache>
            </c:numRef>
          </c:val>
          <c:extLst>
            <c:ext xmlns:c16="http://schemas.microsoft.com/office/drawing/2014/chart" uri="{C3380CC4-5D6E-409C-BE32-E72D297353CC}">
              <c16:uniqueId val="{00000004-0467-46C0-B226-930C15639EF6}"/>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FB5A56"/>
              </a:solidFill>
              <a:ln w="19050">
                <a:noFill/>
              </a:ln>
              <a:effectLst/>
            </c:spPr>
            <c:extLst>
              <c:ext xmlns:c16="http://schemas.microsoft.com/office/drawing/2014/chart" uri="{C3380CC4-5D6E-409C-BE32-E72D297353CC}">
                <c16:uniqueId val="{00000001-6450-4FBF-A5FB-3ADE0D927536}"/>
              </c:ext>
            </c:extLst>
          </c:dPt>
          <c:dPt>
            <c:idx val="1"/>
            <c:bubble3D val="0"/>
            <c:spPr>
              <a:solidFill>
                <a:schemeClr val="bg1"/>
              </a:solidFill>
              <a:ln w="19050">
                <a:noFill/>
              </a:ln>
              <a:effectLst/>
            </c:spPr>
            <c:extLst>
              <c:ext xmlns:c16="http://schemas.microsoft.com/office/drawing/2014/chart" uri="{C3380CC4-5D6E-409C-BE32-E72D297353CC}">
                <c16:uniqueId val="{00000003-6450-4FBF-A5FB-3ADE0D927536}"/>
              </c:ext>
            </c:extLst>
          </c:dPt>
          <c:val>
            <c:numRef>
              <c:f>'BH (2)'!$C$74:$D$74</c:f>
              <c:numCache>
                <c:formatCode>0%</c:formatCode>
                <c:ptCount val="2"/>
                <c:pt idx="0">
                  <c:v>0.70475474534861871</c:v>
                </c:pt>
                <c:pt idx="1">
                  <c:v>0.29524525465138129</c:v>
                </c:pt>
              </c:numCache>
            </c:numRef>
          </c:val>
          <c:extLst>
            <c:ext xmlns:c16="http://schemas.microsoft.com/office/drawing/2014/chart" uri="{C3380CC4-5D6E-409C-BE32-E72D297353CC}">
              <c16:uniqueId val="{00000004-6450-4FBF-A5FB-3ADE0D927536}"/>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5DFC-4AB3-8C2D-A34C1486EC36}"/>
              </c:ext>
            </c:extLst>
          </c:dPt>
          <c:dPt>
            <c:idx val="1"/>
            <c:bubble3D val="0"/>
            <c:spPr>
              <a:solidFill>
                <a:schemeClr val="bg1"/>
              </a:solidFill>
              <a:ln w="19050">
                <a:noFill/>
              </a:ln>
              <a:effectLst/>
            </c:spPr>
            <c:extLst>
              <c:ext xmlns:c16="http://schemas.microsoft.com/office/drawing/2014/chart" uri="{C3380CC4-5D6E-409C-BE32-E72D297353CC}">
                <c16:uniqueId val="{00000003-5DFC-4AB3-8C2D-A34C1486EC36}"/>
              </c:ext>
            </c:extLst>
          </c:dPt>
          <c:val>
            <c:numRef>
              <c:f>'BH (2)'!$C$62:$D$62</c:f>
              <c:numCache>
                <c:formatCode>0%</c:formatCode>
                <c:ptCount val="2"/>
                <c:pt idx="0">
                  <c:v>0.44739660815233562</c:v>
                </c:pt>
                <c:pt idx="1">
                  <c:v>0.55260339184766438</c:v>
                </c:pt>
              </c:numCache>
            </c:numRef>
          </c:val>
          <c:extLst>
            <c:ext xmlns:c16="http://schemas.microsoft.com/office/drawing/2014/chart" uri="{C3380CC4-5D6E-409C-BE32-E72D297353CC}">
              <c16:uniqueId val="{00000004-5DFC-4AB3-8C2D-A34C1486EC36}"/>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624A-471B-93D7-F44FF9D35E87}"/>
              </c:ext>
            </c:extLst>
          </c:dPt>
          <c:dPt>
            <c:idx val="1"/>
            <c:bubble3D val="0"/>
            <c:spPr>
              <a:solidFill>
                <a:schemeClr val="bg1"/>
              </a:solidFill>
              <a:ln w="19050">
                <a:noFill/>
              </a:ln>
              <a:effectLst/>
            </c:spPr>
            <c:extLst>
              <c:ext xmlns:c16="http://schemas.microsoft.com/office/drawing/2014/chart" uri="{C3380CC4-5D6E-409C-BE32-E72D297353CC}">
                <c16:uniqueId val="{00000003-624A-471B-93D7-F44FF9D35E87}"/>
              </c:ext>
            </c:extLst>
          </c:dPt>
          <c:val>
            <c:numRef>
              <c:f>'BH (2)'!$C$62:$D$62</c:f>
              <c:numCache>
                <c:formatCode>0%</c:formatCode>
                <c:ptCount val="2"/>
                <c:pt idx="0">
                  <c:v>0.44739660815233562</c:v>
                </c:pt>
                <c:pt idx="1">
                  <c:v>0.55260339184766438</c:v>
                </c:pt>
              </c:numCache>
            </c:numRef>
          </c:val>
          <c:extLst>
            <c:ext xmlns:c16="http://schemas.microsoft.com/office/drawing/2014/chart" uri="{C3380CC4-5D6E-409C-BE32-E72D297353CC}">
              <c16:uniqueId val="{00000004-624A-471B-93D7-F44FF9D35E87}"/>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888888888888886"/>
          <c:y val="0.13425925925925927"/>
          <c:w val="0.45"/>
          <c:h val="0.75"/>
        </c:manualLayout>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3CBC-4671-8582-EEA5C285B8C1}"/>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3CBC-4671-8582-EEA5C285B8C1}"/>
              </c:ext>
            </c:extLst>
          </c:dPt>
          <c:val>
            <c:numRef>
              <c:f>'BH (2)'!$C$37:$D$37</c:f>
              <c:numCache>
                <c:formatCode>0%</c:formatCode>
                <c:ptCount val="2"/>
                <c:pt idx="0">
                  <c:v>0.15404641475751266</c:v>
                </c:pt>
                <c:pt idx="1">
                  <c:v>0.84595358524248732</c:v>
                </c:pt>
              </c:numCache>
            </c:numRef>
          </c:val>
          <c:extLst>
            <c:ext xmlns:c16="http://schemas.microsoft.com/office/drawing/2014/chart" uri="{C3380CC4-5D6E-409C-BE32-E72D297353CC}">
              <c16:uniqueId val="{00000004-3CBC-4671-8582-EEA5C285B8C1}"/>
            </c:ext>
          </c:extLst>
        </c:ser>
        <c:dLbls>
          <c:showLegendKey val="0"/>
          <c:showVal val="0"/>
          <c:showCatName val="0"/>
          <c:showSerName val="0"/>
          <c:showPercent val="0"/>
          <c:showBubbleSize val="0"/>
          <c:showLeaderLines val="1"/>
        </c:dLbls>
        <c:firstSliceAng val="0"/>
        <c:holeSize val="7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'BH (2)'!$B$89</c:f>
              <c:strCache>
                <c:ptCount val="1"/>
                <c:pt idx="0">
                  <c:v>Receitas</c:v>
                </c:pt>
              </c:strCache>
            </c:strRef>
          </c:tx>
          <c:spPr>
            <a:solidFill>
              <a:srgbClr val="01B8AA"/>
            </a:solidFill>
            <a:ln>
              <a:solidFill>
                <a:srgbClr val="01B8AA"/>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(2)'!$C$88:$N$88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(2)'!$C$89:$N$89</c:f>
              <c:numCache>
                <c:formatCode>#,##0.00</c:formatCode>
                <c:ptCount val="12"/>
                <c:pt idx="0">
                  <c:v>67220</c:v>
                </c:pt>
                <c:pt idx="1">
                  <c:v>81003</c:v>
                </c:pt>
                <c:pt idx="2">
                  <c:v>95739</c:v>
                </c:pt>
                <c:pt idx="3">
                  <c:v>89852</c:v>
                </c:pt>
                <c:pt idx="4">
                  <c:v>74394</c:v>
                </c:pt>
                <c:pt idx="5">
                  <c:v>85476</c:v>
                </c:pt>
                <c:pt idx="6">
                  <c:v>92272</c:v>
                </c:pt>
                <c:pt idx="7">
                  <c:v>90754</c:v>
                </c:pt>
                <c:pt idx="8">
                  <c:v>68672</c:v>
                </c:pt>
                <c:pt idx="9">
                  <c:v>83177</c:v>
                </c:pt>
                <c:pt idx="10">
                  <c:v>77512</c:v>
                </c:pt>
                <c:pt idx="11">
                  <c:v>86164</c:v>
                </c:pt>
              </c:numCache>
            </c:numRef>
          </c:val>
          <c:extLst>
            <c:ext xmlns:c16="http://schemas.microsoft.com/office/drawing/2014/chart" uri="{C3380CC4-5D6E-409C-BE32-E72D297353CC}">
              <c16:uniqueId val="{00000000-9F90-4393-9CBF-B85432E2BC74}"/>
            </c:ext>
          </c:extLst>
        </c:ser>
        <c:ser>
          <c:idx val="1"/>
          <c:order val="1"/>
          <c:tx>
            <c:strRef>
              <c:f>'BH (2)'!$B$90</c:f>
              <c:strCache>
                <c:ptCount val="1"/>
                <c:pt idx="0">
                  <c:v>Despesas</c:v>
                </c:pt>
              </c:strCache>
            </c:strRef>
          </c:tx>
          <c:spPr>
            <a:solidFill>
              <a:srgbClr val="FB5A56"/>
            </a:solidFill>
            <a:ln>
              <a:solidFill>
                <a:srgbClr val="FB5A5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(2)'!$C$88:$N$88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(2)'!$C$90:$N$90</c:f>
              <c:numCache>
                <c:formatCode>#,##0.00</c:formatCode>
                <c:ptCount val="12"/>
                <c:pt idx="0">
                  <c:v>-56865</c:v>
                </c:pt>
                <c:pt idx="1">
                  <c:v>-60800</c:v>
                </c:pt>
                <c:pt idx="2">
                  <c:v>-50641</c:v>
                </c:pt>
                <c:pt idx="3">
                  <c:v>-60751</c:v>
                </c:pt>
                <c:pt idx="4">
                  <c:v>-64045</c:v>
                </c:pt>
                <c:pt idx="5">
                  <c:v>-68902</c:v>
                </c:pt>
                <c:pt idx="6">
                  <c:v>-61526</c:v>
                </c:pt>
                <c:pt idx="7">
                  <c:v>-66098</c:v>
                </c:pt>
                <c:pt idx="8">
                  <c:v>-63371</c:v>
                </c:pt>
                <c:pt idx="9">
                  <c:v>-62299</c:v>
                </c:pt>
                <c:pt idx="10">
                  <c:v>-65658</c:v>
                </c:pt>
                <c:pt idx="11">
                  <c:v>-56576</c:v>
                </c:pt>
              </c:numCache>
            </c:numRef>
          </c:val>
          <c:extLst>
            <c:ext xmlns:c16="http://schemas.microsoft.com/office/drawing/2014/chart" uri="{C3380CC4-5D6E-409C-BE32-E72D297353CC}">
              <c16:uniqueId val="{00000001-9F90-4393-9CBF-B85432E2BC74}"/>
            </c:ext>
          </c:extLst>
        </c:ser>
        <c:dLbls>
          <c:showLegendKey val="0"/>
          <c:showVal val="1"/>
          <c:showCatName val="0"/>
          <c:showSerName val="0"/>
          <c:showPercent val="0"/>
          <c:showBubbleSize val="0"/>
        </c:dLbls>
        <c:gapWidth val="150"/>
        <c:overlap val="100"/>
        <c:axId val="-1165152816"/>
        <c:axId val="-1165151728"/>
      </c:barChart>
      <c:catAx>
        <c:axId val="-116515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1165151728"/>
        <c:crosses val="autoZero"/>
        <c:auto val="1"/>
        <c:lblAlgn val="ctr"/>
        <c:lblOffset val="100"/>
        <c:noMultiLvlLbl val="0"/>
      </c:catAx>
      <c:valAx>
        <c:axId val="-1165151728"/>
        <c:scaling>
          <c:orientation val="minMax"/>
        </c:scaling>
        <c:delete val="1"/>
        <c:axPos val="l"/>
        <c:numFmt formatCode="#,##0.00" sourceLinked="1"/>
        <c:majorTickMark val="none"/>
        <c:minorTickMark val="none"/>
        <c:tickLblPos val="nextTo"/>
        <c:crossAx val="-1165152816"/>
        <c:crosses val="autoZero"/>
        <c:crossBetween val="between"/>
      </c:valAx>
      <c:spPr>
        <a:noFill/>
        <a:ln>
          <a:noFill/>
        </a:ln>
        <a:effectLst/>
      </c:spPr>
    </c:plotArea>
    <c:legend>
      <c:legendPos val="b"/>
      <c:layout>
        <c:manualLayout>
          <c:xMode val="edge"/>
          <c:yMode val="edge"/>
          <c:x val="1.4729155764339369E-2"/>
          <c:y val="0.89409667541557303"/>
          <c:w val="0.97569367198497403"/>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(2)'!$B$98</c:f>
              <c:strCache>
                <c:ptCount val="1"/>
                <c:pt idx="0">
                  <c:v>Lucratividade</c:v>
                </c:pt>
              </c:strCache>
            </c:strRef>
          </c:tx>
          <c:spPr>
            <a:ln w="28575" cap="rnd">
              <a:solidFill>
                <a:srgbClr val="01B8AA"/>
              </a:solidFill>
              <a:round/>
            </a:ln>
            <a:effectLst/>
          </c:spPr>
          <c:marker>
            <c:symbol val="circle"/>
            <c:size val="7"/>
            <c:spPr>
              <a:solidFill>
                <a:schemeClr val="bg1"/>
              </a:solidFill>
              <a:ln w="9525">
                <a:solidFill>
                  <a:srgbClr val="01B8AA"/>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(2)'!$C$94:$N$94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(2)'!$C$98:$N$98</c:f>
              <c:numCache>
                <c:formatCode>0%</c:formatCode>
                <c:ptCount val="12"/>
                <c:pt idx="0">
                  <c:v>0.4642857142857143</c:v>
                </c:pt>
                <c:pt idx="1">
                  <c:v>0.37714285714285717</c:v>
                </c:pt>
                <c:pt idx="2">
                  <c:v>0.502</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1066-4F04-93AB-F8F46A77157D}"/>
            </c:ext>
          </c:extLst>
        </c:ser>
        <c:dLbls>
          <c:dLblPos val="ctr"/>
          <c:showLegendKey val="0"/>
          <c:showVal val="1"/>
          <c:showCatName val="0"/>
          <c:showSerName val="0"/>
          <c:showPercent val="0"/>
          <c:showBubbleSize val="0"/>
        </c:dLbls>
        <c:marker val="1"/>
        <c:smooth val="0"/>
        <c:axId val="-1165156624"/>
        <c:axId val="-1165156080"/>
      </c:lineChart>
      <c:catAx>
        <c:axId val="-116515662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65156080"/>
        <c:crosses val="autoZero"/>
        <c:auto val="1"/>
        <c:lblAlgn val="ctr"/>
        <c:lblOffset val="100"/>
        <c:noMultiLvlLbl val="0"/>
      </c:catAx>
      <c:valAx>
        <c:axId val="-1165156080"/>
        <c:scaling>
          <c:orientation val="minMax"/>
        </c:scaling>
        <c:delete val="1"/>
        <c:axPos val="l"/>
        <c:numFmt formatCode="0%" sourceLinked="1"/>
        <c:majorTickMark val="none"/>
        <c:minorTickMark val="none"/>
        <c:tickLblPos val="nextTo"/>
        <c:crossAx val="-1165156624"/>
        <c:crosses val="autoZero"/>
        <c:crossBetween val="between"/>
      </c:valAx>
      <c:spPr>
        <a:noFill/>
        <a:ln>
          <a:noFill/>
        </a:ln>
        <a:effectLst/>
      </c:spPr>
    </c:plotArea>
    <c:legend>
      <c:legendPos val="b"/>
      <c:layout>
        <c:manualLayout>
          <c:xMode val="edge"/>
          <c:yMode val="edge"/>
          <c:x val="1.7808009882322347E-2"/>
          <c:y val="0.85544904712997816"/>
          <c:w val="0.96774234445094598"/>
          <c:h val="0.144550952870021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(2)'!$B$112</c:f>
              <c:strCache>
                <c:ptCount val="1"/>
                <c:pt idx="0">
                  <c:v>Meta de Lucro Líquido</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(2)'!$C$111:$N$111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(2)'!$C$112:$N$112</c:f>
              <c:numCache>
                <c:formatCode>#,##0.00</c:formatCode>
                <c:ptCount val="12"/>
                <c:pt idx="0">
                  <c:v>5500</c:v>
                </c:pt>
                <c:pt idx="1">
                  <c:v>6500</c:v>
                </c:pt>
                <c:pt idx="2">
                  <c:v>7000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2B72-4235-9B0D-3E4021BFAED7}"/>
            </c:ext>
          </c:extLst>
        </c:ser>
        <c:ser>
          <c:idx val="1"/>
          <c:order val="1"/>
          <c:tx>
            <c:strRef>
              <c:f>'BH (2)'!$B$113</c:f>
              <c:strCache>
                <c:ptCount val="1"/>
                <c:pt idx="0">
                  <c:v>Lucro Líquido Realizado</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(2)'!$C$111:$N$111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(2)'!$C$113:$N$113</c:f>
              <c:numCache>
                <c:formatCode>#,##0.00</c:formatCode>
                <c:ptCount val="12"/>
                <c:pt idx="0">
                  <c:v>10355</c:v>
                </c:pt>
                <c:pt idx="1">
                  <c:v>20203</c:v>
                </c:pt>
                <c:pt idx="2">
                  <c:v>45098</c:v>
                </c:pt>
                <c:pt idx="3">
                  <c:v>29101</c:v>
                </c:pt>
                <c:pt idx="4">
                  <c:v>10349</c:v>
                </c:pt>
                <c:pt idx="5">
                  <c:v>16574</c:v>
                </c:pt>
                <c:pt idx="6">
                  <c:v>30746</c:v>
                </c:pt>
                <c:pt idx="7">
                  <c:v>24656</c:v>
                </c:pt>
                <c:pt idx="8">
                  <c:v>5301</c:v>
                </c:pt>
                <c:pt idx="9">
                  <c:v>20878</c:v>
                </c:pt>
                <c:pt idx="10">
                  <c:v>11854</c:v>
                </c:pt>
                <c:pt idx="11">
                  <c:v>29588</c:v>
                </c:pt>
              </c:numCache>
            </c:numRef>
          </c:val>
          <c:smooth val="1"/>
          <c:extLst>
            <c:ext xmlns:c16="http://schemas.microsoft.com/office/drawing/2014/chart" uri="{C3380CC4-5D6E-409C-BE32-E72D297353CC}">
              <c16:uniqueId val="{00000001-2B72-4235-9B0D-3E4021BFAED7}"/>
            </c:ext>
          </c:extLst>
        </c:ser>
        <c:dLbls>
          <c:showLegendKey val="0"/>
          <c:showVal val="0"/>
          <c:showCatName val="0"/>
          <c:showSerName val="0"/>
          <c:showPercent val="0"/>
          <c:showBubbleSize val="0"/>
        </c:dLbls>
        <c:marker val="1"/>
        <c:smooth val="0"/>
        <c:axId val="-1139669296"/>
        <c:axId val="-1139664944"/>
      </c:lineChart>
      <c:catAx>
        <c:axId val="-1139669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9664944"/>
        <c:crosses val="autoZero"/>
        <c:auto val="1"/>
        <c:lblAlgn val="ctr"/>
        <c:lblOffset val="100"/>
        <c:noMultiLvlLbl val="0"/>
      </c:catAx>
      <c:valAx>
        <c:axId val="-1139664944"/>
        <c:scaling>
          <c:orientation val="minMax"/>
        </c:scaling>
        <c:delete val="1"/>
        <c:axPos val="l"/>
        <c:numFmt formatCode="#,##0.00" sourceLinked="1"/>
        <c:majorTickMark val="none"/>
        <c:minorTickMark val="none"/>
        <c:tickLblPos val="nextTo"/>
        <c:crossAx val="-1139669296"/>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(2)'!$B$116</c:f>
              <c:strCache>
                <c:ptCount val="1"/>
                <c:pt idx="0">
                  <c:v>Meta de Lucro Líquido</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(2)'!$C$115:$N$115</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(2)'!$C$116:$N$116</c:f>
              <c:numCache>
                <c:formatCode>#,##0.00</c:formatCode>
                <c:ptCount val="12"/>
                <c:pt idx="0">
                  <c:v>6000</c:v>
                </c:pt>
                <c:pt idx="1">
                  <c:v>6500</c:v>
                </c:pt>
                <c:pt idx="2">
                  <c:v>7800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16A3-4E12-8684-AA96AE8EDEF9}"/>
            </c:ext>
          </c:extLst>
        </c:ser>
        <c:ser>
          <c:idx val="1"/>
          <c:order val="1"/>
          <c:tx>
            <c:strRef>
              <c:f>'BH (2)'!$B$117</c:f>
              <c:strCache>
                <c:ptCount val="1"/>
                <c:pt idx="0">
                  <c:v>Lucro Líquido Realizado</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(2)'!$C$115:$N$115</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(2)'!$C$117:$N$117</c:f>
              <c:numCache>
                <c:formatCode>#,##0.00</c:formatCode>
                <c:ptCount val="12"/>
                <c:pt idx="0">
                  <c:v>23963</c:v>
                </c:pt>
                <c:pt idx="1">
                  <c:v>14154</c:v>
                </c:pt>
                <c:pt idx="2">
                  <c:v>11546</c:v>
                </c:pt>
                <c:pt idx="3">
                  <c:v>28428</c:v>
                </c:pt>
                <c:pt idx="4">
                  <c:v>-837</c:v>
                </c:pt>
                <c:pt idx="5">
                  <c:v>24359</c:v>
                </c:pt>
                <c:pt idx="6">
                  <c:v>2716</c:v>
                </c:pt>
                <c:pt idx="7">
                  <c:v>10107</c:v>
                </c:pt>
                <c:pt idx="8">
                  <c:v>18426</c:v>
                </c:pt>
                <c:pt idx="9">
                  <c:v>7977</c:v>
                </c:pt>
                <c:pt idx="10">
                  <c:v>25066</c:v>
                </c:pt>
                <c:pt idx="11">
                  <c:v>27420</c:v>
                </c:pt>
              </c:numCache>
            </c:numRef>
          </c:val>
          <c:smooth val="1"/>
          <c:extLst>
            <c:ext xmlns:c16="http://schemas.microsoft.com/office/drawing/2014/chart" uri="{C3380CC4-5D6E-409C-BE32-E72D297353CC}">
              <c16:uniqueId val="{00000001-16A3-4E12-8684-AA96AE8EDEF9}"/>
            </c:ext>
          </c:extLst>
        </c:ser>
        <c:dLbls>
          <c:showLegendKey val="0"/>
          <c:showVal val="0"/>
          <c:showCatName val="0"/>
          <c:showSerName val="0"/>
          <c:showPercent val="0"/>
          <c:showBubbleSize val="0"/>
        </c:dLbls>
        <c:marker val="1"/>
        <c:smooth val="0"/>
        <c:axId val="-1139668752"/>
        <c:axId val="-1139668208"/>
      </c:lineChart>
      <c:catAx>
        <c:axId val="-1139668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9668208"/>
        <c:crosses val="autoZero"/>
        <c:auto val="1"/>
        <c:lblAlgn val="ctr"/>
        <c:lblOffset val="100"/>
        <c:noMultiLvlLbl val="0"/>
      </c:catAx>
      <c:valAx>
        <c:axId val="-1139668208"/>
        <c:scaling>
          <c:orientation val="minMax"/>
        </c:scaling>
        <c:delete val="1"/>
        <c:axPos val="l"/>
        <c:numFmt formatCode="#,##0.00" sourceLinked="1"/>
        <c:majorTickMark val="none"/>
        <c:minorTickMark val="none"/>
        <c:tickLblPos val="nextTo"/>
        <c:crossAx val="-1139668752"/>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(2)'!$B$120</c:f>
              <c:strCache>
                <c:ptCount val="1"/>
                <c:pt idx="0">
                  <c:v>Meta de Margem Operacional</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(2)'!$C$119:$N$119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(2)'!$C$120:$N$120</c:f>
              <c:numCache>
                <c:formatCode>0.00%</c:formatCode>
                <c:ptCount val="12"/>
                <c:pt idx="0">
                  <c:v>0.5</c:v>
                </c:pt>
                <c:pt idx="1">
                  <c:v>0.5</c:v>
                </c:pt>
                <c:pt idx="2">
                  <c:v>0.5</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279-4AEA-B90E-0465F843691F}"/>
            </c:ext>
          </c:extLst>
        </c:ser>
        <c:ser>
          <c:idx val="1"/>
          <c:order val="1"/>
          <c:tx>
            <c:strRef>
              <c:f>'BH (2)'!$B$121</c:f>
              <c:strCache>
                <c:ptCount val="1"/>
                <c:pt idx="0">
                  <c:v>Margem Operacional Realizada</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(2)'!$C$119:$N$119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(2)'!$C$121:$N$121</c:f>
              <c:numCache>
                <c:formatCode>0.00%</c:formatCode>
                <c:ptCount val="12"/>
                <c:pt idx="0">
                  <c:v>0.31828324903302591</c:v>
                </c:pt>
                <c:pt idx="1">
                  <c:v>0.39265212399540755</c:v>
                </c:pt>
                <c:pt idx="2">
                  <c:v>0.58539362224380864</c:v>
                </c:pt>
                <c:pt idx="3">
                  <c:v>0.46172594933891287</c:v>
                </c:pt>
                <c:pt idx="4">
                  <c:v>0.29718794526440306</c:v>
                </c:pt>
                <c:pt idx="5">
                  <c:v>0.34390940146941834</c:v>
                </c:pt>
                <c:pt idx="6">
                  <c:v>0.45516516386336048</c:v>
                </c:pt>
                <c:pt idx="7">
                  <c:v>0.3988253961257906</c:v>
                </c:pt>
                <c:pt idx="8">
                  <c:v>0.2578489049394222</c:v>
                </c:pt>
                <c:pt idx="9">
                  <c:v>0.40264736645947796</c:v>
                </c:pt>
                <c:pt idx="10">
                  <c:v>0.31143564867375373</c:v>
                </c:pt>
                <c:pt idx="11">
                  <c:v>0.48003806694211038</c:v>
                </c:pt>
              </c:numCache>
            </c:numRef>
          </c:val>
          <c:smooth val="1"/>
          <c:extLst>
            <c:ext xmlns:c16="http://schemas.microsoft.com/office/drawing/2014/chart" uri="{C3380CC4-5D6E-409C-BE32-E72D297353CC}">
              <c16:uniqueId val="{00000001-B279-4AEA-B90E-0465F843691F}"/>
            </c:ext>
          </c:extLst>
        </c:ser>
        <c:dLbls>
          <c:showLegendKey val="0"/>
          <c:showVal val="0"/>
          <c:showCatName val="0"/>
          <c:showSerName val="0"/>
          <c:showPercent val="0"/>
          <c:showBubbleSize val="0"/>
        </c:dLbls>
        <c:marker val="1"/>
        <c:smooth val="0"/>
        <c:axId val="-1139663856"/>
        <c:axId val="-1139667120"/>
      </c:lineChart>
      <c:catAx>
        <c:axId val="-1139663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9667120"/>
        <c:crosses val="autoZero"/>
        <c:auto val="1"/>
        <c:lblAlgn val="ctr"/>
        <c:lblOffset val="100"/>
        <c:noMultiLvlLbl val="0"/>
      </c:catAx>
      <c:valAx>
        <c:axId val="-1139667120"/>
        <c:scaling>
          <c:orientation val="minMax"/>
        </c:scaling>
        <c:delete val="1"/>
        <c:axPos val="l"/>
        <c:numFmt formatCode="0.00%" sourceLinked="1"/>
        <c:majorTickMark val="none"/>
        <c:minorTickMark val="none"/>
        <c:tickLblPos val="nextTo"/>
        <c:crossAx val="-1139663856"/>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(2)'!$B$124</c:f>
              <c:strCache>
                <c:ptCount val="1"/>
                <c:pt idx="0">
                  <c:v>Meta de Margem Operacional</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(2)'!$C$123:$N$123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(2)'!$C$124:$N$124</c:f>
              <c:numCache>
                <c:formatCode>0.00%</c:formatCode>
                <c:ptCount val="12"/>
                <c:pt idx="0">
                  <c:v>0.55000000000000004</c:v>
                </c:pt>
                <c:pt idx="1">
                  <c:v>0.55000000000000004</c:v>
                </c:pt>
                <c:pt idx="2">
                  <c:v>0.55000000000000004</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EDA0-4945-8A85-DAE9C4002C8B}"/>
            </c:ext>
          </c:extLst>
        </c:ser>
        <c:ser>
          <c:idx val="1"/>
          <c:order val="1"/>
          <c:tx>
            <c:strRef>
              <c:f>'BH (2)'!$B$125</c:f>
              <c:strCache>
                <c:ptCount val="1"/>
                <c:pt idx="0">
                  <c:v>Margem Operacional Realizada</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(2)'!$C$123:$N$123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(2)'!$C$125:$N$125</c:f>
              <c:numCache>
                <c:formatCode>0.00%</c:formatCode>
                <c:ptCount val="12"/>
                <c:pt idx="0">
                  <c:v>0.45347190613462801</c:v>
                </c:pt>
                <c:pt idx="1">
                  <c:v>0.34106511062998363</c:v>
                </c:pt>
                <c:pt idx="2">
                  <c:v>0.32646539736870256</c:v>
                </c:pt>
                <c:pt idx="3">
                  <c:v>0.5044407813807017</c:v>
                </c:pt>
                <c:pt idx="4">
                  <c:v>0.16808523481830254</c:v>
                </c:pt>
                <c:pt idx="5">
                  <c:v>0.47561363549606178</c:v>
                </c:pt>
                <c:pt idx="6">
                  <c:v>0.2160499720407523</c:v>
                </c:pt>
                <c:pt idx="7">
                  <c:v>0.28934324659231725</c:v>
                </c:pt>
                <c:pt idx="8">
                  <c:v>0.36036818339701288</c:v>
                </c:pt>
                <c:pt idx="9">
                  <c:v>0.28663136896101754</c:v>
                </c:pt>
                <c:pt idx="10">
                  <c:v>0.41540558648892173</c:v>
                </c:pt>
                <c:pt idx="11">
                  <c:v>0.42784909468019505</c:v>
                </c:pt>
              </c:numCache>
            </c:numRef>
          </c:val>
          <c:smooth val="1"/>
          <c:extLst>
            <c:ext xmlns:c16="http://schemas.microsoft.com/office/drawing/2014/chart" uri="{C3380CC4-5D6E-409C-BE32-E72D297353CC}">
              <c16:uniqueId val="{00000001-EDA0-4945-8A85-DAE9C4002C8B}"/>
            </c:ext>
          </c:extLst>
        </c:ser>
        <c:dLbls>
          <c:showLegendKey val="0"/>
          <c:showVal val="0"/>
          <c:showCatName val="0"/>
          <c:showSerName val="0"/>
          <c:showPercent val="0"/>
          <c:showBubbleSize val="0"/>
        </c:dLbls>
        <c:marker val="1"/>
        <c:smooth val="0"/>
        <c:axId val="-1139665488"/>
        <c:axId val="-1139666576"/>
      </c:lineChart>
      <c:catAx>
        <c:axId val="-1139665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9666576"/>
        <c:crosses val="autoZero"/>
        <c:auto val="1"/>
        <c:lblAlgn val="ctr"/>
        <c:lblOffset val="100"/>
        <c:noMultiLvlLbl val="0"/>
      </c:catAx>
      <c:valAx>
        <c:axId val="-1139666576"/>
        <c:scaling>
          <c:orientation val="minMax"/>
        </c:scaling>
        <c:delete val="1"/>
        <c:axPos val="l"/>
        <c:numFmt formatCode="0.00%" sourceLinked="1"/>
        <c:majorTickMark val="none"/>
        <c:minorTickMark val="none"/>
        <c:tickLblPos val="nextTo"/>
        <c:crossAx val="-1139665488"/>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888888888888886"/>
          <c:y val="0.13425925925925927"/>
          <c:w val="0.45"/>
          <c:h val="0.75"/>
        </c:manualLayout>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56F0-48AC-A155-ACC43A5EE8EA}"/>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56F0-48AC-A155-ACC43A5EE8EA}"/>
              </c:ext>
            </c:extLst>
          </c:dPt>
          <c:val>
            <c:numRef>
              <c:f>'BH (2)'!$C$37:$D$37</c:f>
              <c:numCache>
                <c:formatCode>0%</c:formatCode>
                <c:ptCount val="2"/>
                <c:pt idx="0">
                  <c:v>0.15404641475751266</c:v>
                </c:pt>
                <c:pt idx="1">
                  <c:v>0.84595358524248732</c:v>
                </c:pt>
              </c:numCache>
            </c:numRef>
          </c:val>
          <c:extLst>
            <c:ext xmlns:c16="http://schemas.microsoft.com/office/drawing/2014/chart" uri="{C3380CC4-5D6E-409C-BE32-E72D297353CC}">
              <c16:uniqueId val="{00000004-56F0-48AC-A155-ACC43A5EE8EA}"/>
            </c:ext>
          </c:extLst>
        </c:ser>
        <c:dLbls>
          <c:showLegendKey val="0"/>
          <c:showVal val="0"/>
          <c:showCatName val="0"/>
          <c:showSerName val="0"/>
          <c:showPercent val="0"/>
          <c:showBubbleSize val="0"/>
          <c:showLeaderLines val="1"/>
        </c:dLbls>
        <c:firstSliceAng val="0"/>
        <c:holeSize val="7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bg1"/>
              </a:solidFill>
            </a:ln>
          </c:spPr>
          <c:dPt>
            <c:idx val="0"/>
            <c:bubble3D val="0"/>
            <c:spPr>
              <a:solidFill>
                <a:srgbClr val="F2C80F"/>
              </a:solidFill>
              <a:ln w="19050">
                <a:solidFill>
                  <a:schemeClr val="bg1"/>
                </a:solidFill>
              </a:ln>
              <a:effectLst/>
            </c:spPr>
            <c:extLst>
              <c:ext xmlns:c16="http://schemas.microsoft.com/office/drawing/2014/chart" uri="{C3380CC4-5D6E-409C-BE32-E72D297353CC}">
                <c16:uniqueId val="{00000001-12B2-40A5-9D41-9A3CD5193435}"/>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12B2-40A5-9D41-9A3CD5193435}"/>
              </c:ext>
            </c:extLst>
          </c:dPt>
          <c:val>
            <c:numRef>
              <c:f>'BH (2)'!$C$62:$D$62</c:f>
              <c:numCache>
                <c:formatCode>0%</c:formatCode>
                <c:ptCount val="2"/>
                <c:pt idx="0">
                  <c:v>0.44739660815233562</c:v>
                </c:pt>
                <c:pt idx="1">
                  <c:v>0.55260339184766438</c:v>
                </c:pt>
              </c:numCache>
            </c:numRef>
          </c:val>
          <c:extLst>
            <c:ext xmlns:c16="http://schemas.microsoft.com/office/drawing/2014/chart" uri="{C3380CC4-5D6E-409C-BE32-E72D297353CC}">
              <c16:uniqueId val="{00000004-12B2-40A5-9D41-9A3CD5193435}"/>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bg1"/>
              </a:solidFill>
            </a:ln>
          </c:spPr>
          <c:dPt>
            <c:idx val="0"/>
            <c:bubble3D val="0"/>
            <c:spPr>
              <a:solidFill>
                <a:srgbClr val="F2C80F"/>
              </a:solidFill>
              <a:ln w="19050">
                <a:solidFill>
                  <a:schemeClr val="bg1"/>
                </a:solidFill>
              </a:ln>
              <a:effectLst/>
            </c:spPr>
            <c:extLst>
              <c:ext xmlns:c16="http://schemas.microsoft.com/office/drawing/2014/chart" uri="{C3380CC4-5D6E-409C-BE32-E72D297353CC}">
                <c16:uniqueId val="{00000001-2439-4FFA-B92D-4B29BAE505AA}"/>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2439-4FFA-B92D-4B29BAE505AA}"/>
              </c:ext>
            </c:extLst>
          </c:dPt>
          <c:val>
            <c:numRef>
              <c:f>'BH (2)'!$C$62:$D$62</c:f>
              <c:numCache>
                <c:formatCode>0%</c:formatCode>
                <c:ptCount val="2"/>
                <c:pt idx="0">
                  <c:v>0.44739660815233562</c:v>
                </c:pt>
                <c:pt idx="1">
                  <c:v>0.55260339184766438</c:v>
                </c:pt>
              </c:numCache>
            </c:numRef>
          </c:val>
          <c:extLst>
            <c:ext xmlns:c16="http://schemas.microsoft.com/office/drawing/2014/chart" uri="{C3380CC4-5D6E-409C-BE32-E72D297353CC}">
              <c16:uniqueId val="{00000004-2439-4FFA-B92D-4B29BAE505AA}"/>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bg1"/>
              </a:solidFill>
            </a:ln>
          </c:spPr>
          <c:dPt>
            <c:idx val="0"/>
            <c:bubble3D val="0"/>
            <c:spPr>
              <a:solidFill>
                <a:srgbClr val="01B8AA"/>
              </a:solidFill>
              <a:ln w="19050">
                <a:solidFill>
                  <a:schemeClr val="bg1"/>
                </a:solidFill>
              </a:ln>
              <a:effectLst/>
            </c:spPr>
            <c:extLst>
              <c:ext xmlns:c16="http://schemas.microsoft.com/office/drawing/2014/chart" uri="{C3380CC4-5D6E-409C-BE32-E72D297353CC}">
                <c16:uniqueId val="{00000001-9A6E-42E1-8D16-96F1C489F11B}"/>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9A6E-42E1-8D16-96F1C489F11B}"/>
              </c:ext>
            </c:extLst>
          </c:dPt>
          <c:val>
            <c:numRef>
              <c:f>'BH (2)'!$C$72:$D$72</c:f>
              <c:numCache>
                <c:formatCode>0%</c:formatCode>
                <c:ptCount val="2"/>
                <c:pt idx="0">
                  <c:v>0.4165426956263017</c:v>
                </c:pt>
                <c:pt idx="1">
                  <c:v>0.58345730437369836</c:v>
                </c:pt>
              </c:numCache>
            </c:numRef>
          </c:val>
          <c:extLst>
            <c:ext xmlns:c16="http://schemas.microsoft.com/office/drawing/2014/chart" uri="{C3380CC4-5D6E-409C-BE32-E72D297353CC}">
              <c16:uniqueId val="{00000004-9A6E-42E1-8D16-96F1C489F11B}"/>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bg1"/>
              </a:solidFill>
            </a:ln>
          </c:spPr>
          <c:dPt>
            <c:idx val="0"/>
            <c:bubble3D val="0"/>
            <c:spPr>
              <a:solidFill>
                <a:srgbClr val="FB5A56"/>
              </a:solidFill>
              <a:ln w="19050">
                <a:solidFill>
                  <a:schemeClr val="bg1"/>
                </a:solidFill>
              </a:ln>
              <a:effectLst/>
            </c:spPr>
            <c:extLst>
              <c:ext xmlns:c16="http://schemas.microsoft.com/office/drawing/2014/chart" uri="{C3380CC4-5D6E-409C-BE32-E72D297353CC}">
                <c16:uniqueId val="{00000001-2F11-4B8A-B46A-9AA3A0D821C9}"/>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2F11-4B8A-B46A-9AA3A0D821C9}"/>
              </c:ext>
            </c:extLst>
          </c:dPt>
          <c:val>
            <c:numRef>
              <c:f>'BH (2)'!$C$74:$D$74</c:f>
              <c:numCache>
                <c:formatCode>0%</c:formatCode>
                <c:ptCount val="2"/>
                <c:pt idx="0">
                  <c:v>0.70475474534861871</c:v>
                </c:pt>
                <c:pt idx="1">
                  <c:v>0.29524525465138129</c:v>
                </c:pt>
              </c:numCache>
            </c:numRef>
          </c:val>
          <c:extLst>
            <c:ext xmlns:c16="http://schemas.microsoft.com/office/drawing/2014/chart" uri="{C3380CC4-5D6E-409C-BE32-E72D297353CC}">
              <c16:uniqueId val="{00000004-2F11-4B8A-B46A-9AA3A0D821C9}"/>
            </c:ext>
          </c:extLst>
        </c:ser>
        <c:dLbls>
          <c:showLegendKey val="0"/>
          <c:showVal val="0"/>
          <c:showCatName val="0"/>
          <c:showSerName val="0"/>
          <c:showPercent val="0"/>
          <c:showBubbleSize val="0"/>
          <c:showLeaderLines val="1"/>
        </c:dLbls>
        <c:firstSliceAng val="0"/>
        <c:holeSize val="7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'BH (2)'!$B$89</c:f>
              <c:strCache>
                <c:ptCount val="1"/>
                <c:pt idx="0">
                  <c:v>Receitas</c:v>
                </c:pt>
              </c:strCache>
            </c:strRef>
          </c:tx>
          <c:spPr>
            <a:solidFill>
              <a:srgbClr val="01B8AA"/>
            </a:solidFill>
            <a:ln>
              <a:solidFill>
                <a:srgbClr val="01B8AA"/>
              </a:solidFill>
            </a:ln>
            <a:effectLst/>
          </c:spPr>
          <c:invertIfNegative val="0"/>
          <c:dLbls>
            <c:delete val="1"/>
          </c:dLbls>
          <c:cat>
            <c:strRef>
              <c:f>'BH (2)'!$C$88:$N$88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(2)'!$C$89:$N$89</c:f>
              <c:numCache>
                <c:formatCode>#,##0.00</c:formatCode>
                <c:ptCount val="12"/>
                <c:pt idx="0">
                  <c:v>67220</c:v>
                </c:pt>
                <c:pt idx="1">
                  <c:v>81003</c:v>
                </c:pt>
                <c:pt idx="2">
                  <c:v>95739</c:v>
                </c:pt>
                <c:pt idx="3">
                  <c:v>89852</c:v>
                </c:pt>
                <c:pt idx="4">
                  <c:v>74394</c:v>
                </c:pt>
                <c:pt idx="5">
                  <c:v>85476</c:v>
                </c:pt>
                <c:pt idx="6">
                  <c:v>92272</c:v>
                </c:pt>
                <c:pt idx="7">
                  <c:v>90754</c:v>
                </c:pt>
                <c:pt idx="8">
                  <c:v>68672</c:v>
                </c:pt>
                <c:pt idx="9">
                  <c:v>83177</c:v>
                </c:pt>
                <c:pt idx="10">
                  <c:v>77512</c:v>
                </c:pt>
                <c:pt idx="11">
                  <c:v>86164</c:v>
                </c:pt>
              </c:numCache>
            </c:numRef>
          </c:val>
          <c:extLst>
            <c:ext xmlns:c16="http://schemas.microsoft.com/office/drawing/2014/chart" uri="{C3380CC4-5D6E-409C-BE32-E72D297353CC}">
              <c16:uniqueId val="{00000000-A6C9-4EB2-8E4F-8E038E57CDE1}"/>
            </c:ext>
          </c:extLst>
        </c:ser>
        <c:ser>
          <c:idx val="1"/>
          <c:order val="1"/>
          <c:tx>
            <c:strRef>
              <c:f>'BH (2)'!$B$90</c:f>
              <c:strCache>
                <c:ptCount val="1"/>
                <c:pt idx="0">
                  <c:v>Despesas</c:v>
                </c:pt>
              </c:strCache>
            </c:strRef>
          </c:tx>
          <c:spPr>
            <a:solidFill>
              <a:srgbClr val="FB5A56"/>
            </a:solidFill>
            <a:ln>
              <a:solidFill>
                <a:srgbClr val="FB5A56"/>
              </a:solidFill>
            </a:ln>
            <a:effectLst/>
          </c:spPr>
          <c:invertIfNegative val="0"/>
          <c:dLbls>
            <c:delete val="1"/>
          </c:dLbls>
          <c:cat>
            <c:strRef>
              <c:f>'BH (2)'!$C$88:$N$88</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(2)'!$C$90:$N$90</c:f>
              <c:numCache>
                <c:formatCode>#,##0.00</c:formatCode>
                <c:ptCount val="12"/>
                <c:pt idx="0">
                  <c:v>-56865</c:v>
                </c:pt>
                <c:pt idx="1">
                  <c:v>-60800</c:v>
                </c:pt>
                <c:pt idx="2">
                  <c:v>-50641</c:v>
                </c:pt>
                <c:pt idx="3">
                  <c:v>-60751</c:v>
                </c:pt>
                <c:pt idx="4">
                  <c:v>-64045</c:v>
                </c:pt>
                <c:pt idx="5">
                  <c:v>-68902</c:v>
                </c:pt>
                <c:pt idx="6">
                  <c:v>-61526</c:v>
                </c:pt>
                <c:pt idx="7">
                  <c:v>-66098</c:v>
                </c:pt>
                <c:pt idx="8">
                  <c:v>-63371</c:v>
                </c:pt>
                <c:pt idx="9">
                  <c:v>-62299</c:v>
                </c:pt>
                <c:pt idx="10">
                  <c:v>-65658</c:v>
                </c:pt>
                <c:pt idx="11">
                  <c:v>-56576</c:v>
                </c:pt>
              </c:numCache>
            </c:numRef>
          </c:val>
          <c:extLst>
            <c:ext xmlns:c16="http://schemas.microsoft.com/office/drawing/2014/chart" uri="{C3380CC4-5D6E-409C-BE32-E72D297353CC}">
              <c16:uniqueId val="{00000001-A6C9-4EB2-8E4F-8E038E57CDE1}"/>
            </c:ext>
          </c:extLst>
        </c:ser>
        <c:dLbls>
          <c:showLegendKey val="0"/>
          <c:showVal val="1"/>
          <c:showCatName val="0"/>
          <c:showSerName val="0"/>
          <c:showPercent val="0"/>
          <c:showBubbleSize val="0"/>
        </c:dLbls>
        <c:gapWidth val="150"/>
        <c:overlap val="100"/>
        <c:axId val="-1633750128"/>
        <c:axId val="-1633752304"/>
      </c:barChart>
      <c:catAx>
        <c:axId val="-1633750128"/>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1633752304"/>
        <c:crosses val="autoZero"/>
        <c:auto val="1"/>
        <c:lblAlgn val="ctr"/>
        <c:lblOffset val="100"/>
        <c:noMultiLvlLbl val="0"/>
      </c:catAx>
      <c:valAx>
        <c:axId val="-1633752304"/>
        <c:scaling>
          <c:orientation val="minMax"/>
        </c:scaling>
        <c:delete val="0"/>
        <c:axPos val="l"/>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6337501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dTable>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781158572264479E-2"/>
          <c:y val="0.10628019323671498"/>
          <c:w val="0.93786554840387493"/>
          <c:h val="0.67270417284795914"/>
        </c:manualLayout>
      </c:layout>
      <c:lineChart>
        <c:grouping val="standard"/>
        <c:varyColors val="0"/>
        <c:ser>
          <c:idx val="0"/>
          <c:order val="0"/>
          <c:tx>
            <c:strRef>
              <c:f>'BH (2)'!$B$98</c:f>
              <c:strCache>
                <c:ptCount val="1"/>
                <c:pt idx="0">
                  <c:v>Lucratividade</c:v>
                </c:pt>
              </c:strCache>
            </c:strRef>
          </c:tx>
          <c:spPr>
            <a:ln w="28575" cap="rnd">
              <a:solidFill>
                <a:srgbClr val="01B8AA"/>
              </a:solidFill>
              <a:round/>
            </a:ln>
            <a:effectLst/>
          </c:spPr>
          <c:marker>
            <c:symbol val="circle"/>
            <c:size val="7"/>
            <c:spPr>
              <a:solidFill>
                <a:schemeClr val="bg1"/>
              </a:solidFill>
              <a:ln w="9525">
                <a:solidFill>
                  <a:srgbClr val="01B8AA"/>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(2)'!$C$94:$N$94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(2)'!$C$98:$N$98</c:f>
              <c:numCache>
                <c:formatCode>0%</c:formatCode>
                <c:ptCount val="12"/>
                <c:pt idx="0">
                  <c:v>0.4642857142857143</c:v>
                </c:pt>
                <c:pt idx="1">
                  <c:v>0.37714285714285717</c:v>
                </c:pt>
                <c:pt idx="2">
                  <c:v>0.502</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CB68-4126-A350-474B67407FA0}"/>
            </c:ext>
          </c:extLst>
        </c:ser>
        <c:dLbls>
          <c:dLblPos val="ctr"/>
          <c:showLegendKey val="0"/>
          <c:showVal val="1"/>
          <c:showCatName val="0"/>
          <c:showSerName val="0"/>
          <c:showPercent val="0"/>
          <c:showBubbleSize val="0"/>
        </c:dLbls>
        <c:marker val="1"/>
        <c:smooth val="0"/>
        <c:axId val="-1633933104"/>
        <c:axId val="-1633933648"/>
      </c:lineChart>
      <c:catAx>
        <c:axId val="-1633933104"/>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33933648"/>
        <c:crosses val="autoZero"/>
        <c:auto val="1"/>
        <c:lblAlgn val="ctr"/>
        <c:lblOffset val="100"/>
        <c:noMultiLvlLbl val="0"/>
      </c:catAx>
      <c:valAx>
        <c:axId val="-1633933648"/>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633933104"/>
        <c:crosses val="autoZero"/>
        <c:crossBetween val="between"/>
      </c:valAx>
      <c:spPr>
        <a:noFill/>
        <a:ln>
          <a:noFill/>
        </a:ln>
        <a:effectLst/>
      </c:spPr>
    </c:plotArea>
    <c:legend>
      <c:legendPos val="b"/>
      <c:layout>
        <c:manualLayout>
          <c:xMode val="edge"/>
          <c:yMode val="edge"/>
          <c:x val="1.7808009882322347E-2"/>
          <c:y val="0.85544904712997816"/>
          <c:w val="0.96774234445094598"/>
          <c:h val="0.144550952870021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(2)'!$B$112</c:f>
              <c:strCache>
                <c:ptCount val="1"/>
                <c:pt idx="0">
                  <c:v>Meta de Lucro Líquido</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(2)'!$C$111:$N$111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(2)'!$C$112:$N$112</c:f>
              <c:numCache>
                <c:formatCode>#,##0.00</c:formatCode>
                <c:ptCount val="12"/>
                <c:pt idx="0">
                  <c:v>5500</c:v>
                </c:pt>
                <c:pt idx="1">
                  <c:v>6500</c:v>
                </c:pt>
                <c:pt idx="2">
                  <c:v>7000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1982-45FF-95E8-EFEE44434129}"/>
            </c:ext>
          </c:extLst>
        </c:ser>
        <c:ser>
          <c:idx val="1"/>
          <c:order val="1"/>
          <c:tx>
            <c:strRef>
              <c:f>'BH (2)'!$B$113</c:f>
              <c:strCache>
                <c:ptCount val="1"/>
                <c:pt idx="0">
                  <c:v>Lucro Líquido Realizado</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(2)'!$C$111:$N$111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(2)'!$C$113:$N$113</c:f>
              <c:numCache>
                <c:formatCode>#,##0.00</c:formatCode>
                <c:ptCount val="12"/>
                <c:pt idx="0">
                  <c:v>10355</c:v>
                </c:pt>
                <c:pt idx="1">
                  <c:v>20203</c:v>
                </c:pt>
                <c:pt idx="2">
                  <c:v>45098</c:v>
                </c:pt>
                <c:pt idx="3">
                  <c:v>29101</c:v>
                </c:pt>
                <c:pt idx="4">
                  <c:v>10349</c:v>
                </c:pt>
                <c:pt idx="5">
                  <c:v>16574</c:v>
                </c:pt>
                <c:pt idx="6">
                  <c:v>30746</c:v>
                </c:pt>
                <c:pt idx="7">
                  <c:v>24656</c:v>
                </c:pt>
                <c:pt idx="8">
                  <c:v>5301</c:v>
                </c:pt>
                <c:pt idx="9">
                  <c:v>20878</c:v>
                </c:pt>
                <c:pt idx="10">
                  <c:v>11854</c:v>
                </c:pt>
                <c:pt idx="11">
                  <c:v>29588</c:v>
                </c:pt>
              </c:numCache>
            </c:numRef>
          </c:val>
          <c:smooth val="1"/>
          <c:extLst>
            <c:ext xmlns:c16="http://schemas.microsoft.com/office/drawing/2014/chart" uri="{C3380CC4-5D6E-409C-BE32-E72D297353CC}">
              <c16:uniqueId val="{00000001-1982-45FF-95E8-EFEE44434129}"/>
            </c:ext>
          </c:extLst>
        </c:ser>
        <c:dLbls>
          <c:showLegendKey val="0"/>
          <c:showVal val="0"/>
          <c:showCatName val="0"/>
          <c:showSerName val="0"/>
          <c:showPercent val="0"/>
          <c:showBubbleSize val="0"/>
        </c:dLbls>
        <c:marker val="1"/>
        <c:smooth val="0"/>
        <c:axId val="-1633932560"/>
        <c:axId val="-1633928208"/>
      </c:lineChart>
      <c:catAx>
        <c:axId val="-163393256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33928208"/>
        <c:crosses val="autoZero"/>
        <c:auto val="1"/>
        <c:lblAlgn val="ctr"/>
        <c:lblOffset val="100"/>
        <c:noMultiLvlLbl val="0"/>
      </c:catAx>
      <c:valAx>
        <c:axId val="-1633928208"/>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633932560"/>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(2)'!$B$116</c:f>
              <c:strCache>
                <c:ptCount val="1"/>
                <c:pt idx="0">
                  <c:v>Meta de Lucro Líquido</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(2)'!$C$115:$N$115</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(2)'!$C$116:$N$116</c:f>
              <c:numCache>
                <c:formatCode>#,##0.00</c:formatCode>
                <c:ptCount val="12"/>
                <c:pt idx="0">
                  <c:v>6000</c:v>
                </c:pt>
                <c:pt idx="1">
                  <c:v>6500</c:v>
                </c:pt>
                <c:pt idx="2">
                  <c:v>7800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6714-43C7-8A8B-8F159E81EE82}"/>
            </c:ext>
          </c:extLst>
        </c:ser>
        <c:ser>
          <c:idx val="1"/>
          <c:order val="1"/>
          <c:tx>
            <c:strRef>
              <c:f>'BH (2)'!$B$117</c:f>
              <c:strCache>
                <c:ptCount val="1"/>
                <c:pt idx="0">
                  <c:v>Lucro Líquido Realizado</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(2)'!$C$115:$N$115</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(2)'!$C$117:$N$117</c:f>
              <c:numCache>
                <c:formatCode>#,##0.00</c:formatCode>
                <c:ptCount val="12"/>
                <c:pt idx="0">
                  <c:v>23963</c:v>
                </c:pt>
                <c:pt idx="1">
                  <c:v>14154</c:v>
                </c:pt>
                <c:pt idx="2">
                  <c:v>11546</c:v>
                </c:pt>
                <c:pt idx="3">
                  <c:v>28428</c:v>
                </c:pt>
                <c:pt idx="4">
                  <c:v>-837</c:v>
                </c:pt>
                <c:pt idx="5">
                  <c:v>24359</c:v>
                </c:pt>
                <c:pt idx="6">
                  <c:v>2716</c:v>
                </c:pt>
                <c:pt idx="7">
                  <c:v>10107</c:v>
                </c:pt>
                <c:pt idx="8">
                  <c:v>18426</c:v>
                </c:pt>
                <c:pt idx="9">
                  <c:v>7977</c:v>
                </c:pt>
                <c:pt idx="10">
                  <c:v>25066</c:v>
                </c:pt>
                <c:pt idx="11">
                  <c:v>27420</c:v>
                </c:pt>
              </c:numCache>
            </c:numRef>
          </c:val>
          <c:smooth val="1"/>
          <c:extLst>
            <c:ext xmlns:c16="http://schemas.microsoft.com/office/drawing/2014/chart" uri="{C3380CC4-5D6E-409C-BE32-E72D297353CC}">
              <c16:uniqueId val="{00000001-6714-43C7-8A8B-8F159E81EE82}"/>
            </c:ext>
          </c:extLst>
        </c:ser>
        <c:dLbls>
          <c:showLegendKey val="0"/>
          <c:showVal val="0"/>
          <c:showCatName val="0"/>
          <c:showSerName val="0"/>
          <c:showPercent val="0"/>
          <c:showBubbleSize val="0"/>
        </c:dLbls>
        <c:marker val="1"/>
        <c:smooth val="0"/>
        <c:axId val="-1633930928"/>
        <c:axId val="-1633927664"/>
      </c:lineChart>
      <c:catAx>
        <c:axId val="-1633930928"/>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33927664"/>
        <c:crosses val="autoZero"/>
        <c:auto val="1"/>
        <c:lblAlgn val="ctr"/>
        <c:lblOffset val="100"/>
        <c:noMultiLvlLbl val="0"/>
      </c:catAx>
      <c:valAx>
        <c:axId val="-163392766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633930928"/>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(2)'!$B$120</c:f>
              <c:strCache>
                <c:ptCount val="1"/>
                <c:pt idx="0">
                  <c:v>Meta de Margem Operacional</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(2)'!$C$119:$N$119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(2)'!$C$120:$N$120</c:f>
              <c:numCache>
                <c:formatCode>0.00%</c:formatCode>
                <c:ptCount val="12"/>
                <c:pt idx="0">
                  <c:v>0.5</c:v>
                </c:pt>
                <c:pt idx="1">
                  <c:v>0.5</c:v>
                </c:pt>
                <c:pt idx="2">
                  <c:v>0.5</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A7D2-4AE8-AAB0-AA34F6438B03}"/>
            </c:ext>
          </c:extLst>
        </c:ser>
        <c:ser>
          <c:idx val="1"/>
          <c:order val="1"/>
          <c:tx>
            <c:strRef>
              <c:f>'BH (2)'!$B$121</c:f>
              <c:strCache>
                <c:ptCount val="1"/>
                <c:pt idx="0">
                  <c:v>Margem Operacional Realizada</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(2)'!$C$119:$N$119</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(2)'!$C$121:$N$121</c:f>
              <c:numCache>
                <c:formatCode>0.00%</c:formatCode>
                <c:ptCount val="12"/>
                <c:pt idx="0">
                  <c:v>0.31828324903302591</c:v>
                </c:pt>
                <c:pt idx="1">
                  <c:v>0.39265212399540755</c:v>
                </c:pt>
                <c:pt idx="2">
                  <c:v>0.58539362224380864</c:v>
                </c:pt>
                <c:pt idx="3">
                  <c:v>0.46172594933891287</c:v>
                </c:pt>
                <c:pt idx="4">
                  <c:v>0.29718794526440306</c:v>
                </c:pt>
                <c:pt idx="5">
                  <c:v>0.34390940146941834</c:v>
                </c:pt>
                <c:pt idx="6">
                  <c:v>0.45516516386336048</c:v>
                </c:pt>
                <c:pt idx="7">
                  <c:v>0.3988253961257906</c:v>
                </c:pt>
                <c:pt idx="8">
                  <c:v>0.2578489049394222</c:v>
                </c:pt>
                <c:pt idx="9">
                  <c:v>0.40264736645947796</c:v>
                </c:pt>
                <c:pt idx="10">
                  <c:v>0.31143564867375373</c:v>
                </c:pt>
                <c:pt idx="11">
                  <c:v>0.48003806694211038</c:v>
                </c:pt>
              </c:numCache>
            </c:numRef>
          </c:val>
          <c:smooth val="1"/>
          <c:extLst>
            <c:ext xmlns:c16="http://schemas.microsoft.com/office/drawing/2014/chart" uri="{C3380CC4-5D6E-409C-BE32-E72D297353CC}">
              <c16:uniqueId val="{00000001-A7D2-4AE8-AAB0-AA34F6438B03}"/>
            </c:ext>
          </c:extLst>
        </c:ser>
        <c:dLbls>
          <c:showLegendKey val="0"/>
          <c:showVal val="0"/>
          <c:showCatName val="0"/>
          <c:showSerName val="0"/>
          <c:showPercent val="0"/>
          <c:showBubbleSize val="0"/>
        </c:dLbls>
        <c:marker val="1"/>
        <c:smooth val="0"/>
        <c:axId val="-1176122192"/>
        <c:axId val="-1176128720"/>
      </c:lineChart>
      <c:catAx>
        <c:axId val="-117612219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76128720"/>
        <c:crosses val="autoZero"/>
        <c:auto val="1"/>
        <c:lblAlgn val="ctr"/>
        <c:lblOffset val="100"/>
        <c:noMultiLvlLbl val="0"/>
      </c:catAx>
      <c:valAx>
        <c:axId val="-1176128720"/>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176122192"/>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(2)'!$B$124</c:f>
              <c:strCache>
                <c:ptCount val="1"/>
                <c:pt idx="0">
                  <c:v>Meta de Margem Operacional</c:v>
                </c:pt>
              </c:strCache>
            </c:strRef>
          </c:tx>
          <c:spPr>
            <a:ln w="28575" cap="rnd">
              <a:solidFill>
                <a:schemeClr val="tx1">
                  <a:lumMod val="75000"/>
                  <a:lumOff val="25000"/>
                </a:schemeClr>
              </a:solidFill>
              <a:round/>
            </a:ln>
            <a:effectLst/>
          </c:spPr>
          <c:marker>
            <c:symbol val="circle"/>
            <c:size val="6"/>
            <c:spPr>
              <a:solidFill>
                <a:schemeClr val="bg1"/>
              </a:solidFill>
              <a:ln w="9525">
                <a:solidFill>
                  <a:schemeClr val="tx1">
                    <a:lumMod val="75000"/>
                    <a:lumOff val="25000"/>
                  </a:schemeClr>
                </a:solidFill>
              </a:ln>
              <a:effectLst/>
            </c:spPr>
          </c:marker>
          <c:cat>
            <c:strRef>
              <c:f>'BH (2)'!$C$123:$N$123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(2)'!$C$124:$N$124</c:f>
              <c:numCache>
                <c:formatCode>0.00%</c:formatCode>
                <c:ptCount val="12"/>
                <c:pt idx="0">
                  <c:v>0.55000000000000004</c:v>
                </c:pt>
                <c:pt idx="1">
                  <c:v>0.55000000000000004</c:v>
                </c:pt>
                <c:pt idx="2">
                  <c:v>0.55000000000000004</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EA44-4262-948A-2297A6D863D5}"/>
            </c:ext>
          </c:extLst>
        </c:ser>
        <c:ser>
          <c:idx val="1"/>
          <c:order val="1"/>
          <c:tx>
            <c:strRef>
              <c:f>'BH (2)'!$B$125</c:f>
              <c:strCache>
                <c:ptCount val="1"/>
                <c:pt idx="0">
                  <c:v>Margem Operacional Realizada</c:v>
                </c:pt>
              </c:strCache>
            </c:strRef>
          </c:tx>
          <c:spPr>
            <a:ln w="28575" cap="rnd">
              <a:solidFill>
                <a:srgbClr val="01B8AA"/>
              </a:solidFill>
              <a:round/>
            </a:ln>
            <a:effectLst/>
          </c:spPr>
          <c:marker>
            <c:symbol val="circle"/>
            <c:size val="6"/>
            <c:spPr>
              <a:solidFill>
                <a:schemeClr val="bg1"/>
              </a:solidFill>
              <a:ln w="9525">
                <a:solidFill>
                  <a:srgbClr val="01B8AA"/>
                </a:solidFill>
              </a:ln>
              <a:effectLst/>
            </c:spPr>
          </c:marker>
          <c:cat>
            <c:strRef>
              <c:f>'BH (2)'!$C$123:$N$123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(2)'!$C$125:$N$125</c:f>
              <c:numCache>
                <c:formatCode>0.00%</c:formatCode>
                <c:ptCount val="12"/>
                <c:pt idx="0">
                  <c:v>0.45347190613462801</c:v>
                </c:pt>
                <c:pt idx="1">
                  <c:v>0.34106511062998363</c:v>
                </c:pt>
                <c:pt idx="2">
                  <c:v>0.32646539736870256</c:v>
                </c:pt>
                <c:pt idx="3">
                  <c:v>0.5044407813807017</c:v>
                </c:pt>
                <c:pt idx="4">
                  <c:v>0.16808523481830254</c:v>
                </c:pt>
                <c:pt idx="5">
                  <c:v>0.47561363549606178</c:v>
                </c:pt>
                <c:pt idx="6">
                  <c:v>0.2160499720407523</c:v>
                </c:pt>
                <c:pt idx="7">
                  <c:v>0.28934324659231725</c:v>
                </c:pt>
                <c:pt idx="8">
                  <c:v>0.36036818339701288</c:v>
                </c:pt>
                <c:pt idx="9">
                  <c:v>0.28663136896101754</c:v>
                </c:pt>
                <c:pt idx="10">
                  <c:v>0.41540558648892173</c:v>
                </c:pt>
                <c:pt idx="11">
                  <c:v>0.42784909468019505</c:v>
                </c:pt>
              </c:numCache>
            </c:numRef>
          </c:val>
          <c:smooth val="1"/>
          <c:extLst>
            <c:ext xmlns:c16="http://schemas.microsoft.com/office/drawing/2014/chart" uri="{C3380CC4-5D6E-409C-BE32-E72D297353CC}">
              <c16:uniqueId val="{00000001-EA44-4262-948A-2297A6D863D5}"/>
            </c:ext>
          </c:extLst>
        </c:ser>
        <c:dLbls>
          <c:showLegendKey val="0"/>
          <c:showVal val="0"/>
          <c:showCatName val="0"/>
          <c:showSerName val="0"/>
          <c:showPercent val="0"/>
          <c:showBubbleSize val="0"/>
        </c:dLbls>
        <c:marker val="1"/>
        <c:smooth val="0"/>
        <c:axId val="-1176123824"/>
        <c:axId val="-1176127632"/>
      </c:lineChart>
      <c:catAx>
        <c:axId val="-1176123824"/>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76127632"/>
        <c:crosses val="autoZero"/>
        <c:auto val="1"/>
        <c:lblAlgn val="ctr"/>
        <c:lblOffset val="100"/>
        <c:noMultiLvlLbl val="0"/>
      </c:catAx>
      <c:valAx>
        <c:axId val="-1176127632"/>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176123824"/>
        <c:crosses val="autoZero"/>
        <c:crossBetween val="between"/>
      </c:valAx>
      <c:spPr>
        <a:noFill/>
        <a:ln>
          <a:noFill/>
        </a:ln>
        <a:effectLst/>
      </c:spPr>
    </c:plotArea>
    <c:legend>
      <c:legendPos val="b"/>
      <c:layout>
        <c:manualLayout>
          <c:xMode val="edge"/>
          <c:yMode val="edge"/>
          <c:x val="1.5066176470588223E-2"/>
          <c:y val="0.8264551971326165"/>
          <c:w val="0.96364199346405233"/>
          <c:h val="0.12802508960573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0" dropStyle="combo" dx="22" fmlaLink="'BH (2)'!$B$4" fmlaRange="'BH (1)'!$B$5:$B$55" sel="26" val="24"/>
</file>

<file path=xl/ctrlProps/ctrlProp5.xml><?xml version="1.0" encoding="utf-8"?>
<formControlPr xmlns="http://schemas.microsoft.com/office/spreadsheetml/2009/9/main" objectType="Drop" dropLines="10" dropStyle="combo" dx="22" fmlaLink="'BH (2)'!$B$5" fmlaRange="'BH (1)'!$B$5:$B$55" sel="27" val="25"/>
</file>

<file path=xl/ctrlProps/ctrlProp6.xml><?xml version="1.0" encoding="utf-8"?>
<formControlPr xmlns="http://schemas.microsoft.com/office/spreadsheetml/2009/9/main" objectType="Drop" dropLines="10" dropStyle="combo" dx="22" fmlaLink="'BH (2)'!$B$7" fmlaRange="'BH (1)'!$C$5:$C$35" sel="8" val="4"/>
</file>

<file path=xl/ctrlProps/ctrlProp7.xml><?xml version="1.0" encoding="utf-8"?>
<formControlPr xmlns="http://schemas.microsoft.com/office/spreadsheetml/2009/9/main" objectType="Drop" dropLines="12" dropStyle="combo" dx="22" fmlaLink="'BH (2)'!$C$7" fmlaRange="'BH (1)'!$D$5:$D$16" sel="1" val="0"/>
</file>

<file path=xl/ctrlProps/ctrlProp8.xml><?xml version="1.0" encoding="utf-8"?>
<formControlPr xmlns="http://schemas.microsoft.com/office/spreadsheetml/2009/9/main" objectType="Drop" dropLines="10" dropStyle="combo" dx="22" fmlaLink="'BH (2)'!$D$7" fmlaRange="'BH (1)'!$B$5:$B$55" sel="27" val="25"/>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12" dropStyle="combo" dx="22" fmlaLink="'BH (2)'!$B$12" fmlaRange="'BH (2)'!$C$4:$C$5" sel="1" val="0"/>
</file>

<file path=xl/ctrlProps/ctrlProp11.xml><?xml version="1.0" encoding="utf-8"?>
<formControlPr xmlns="http://schemas.microsoft.com/office/spreadsheetml/2009/9/main" objectType="Drop" dropLines="13" dropStyle="combo" dx="22" fmlaLink="'BH (2)'!$B$13" fmlaRange="Ano" sel="1" val="0"/>
</file>

<file path=xl/ctrlProps/ctrlProp12.xml><?xml version="1.0" encoding="utf-8"?>
<formControlPr xmlns="http://schemas.microsoft.com/office/spreadsheetml/2009/9/main" objectType="Drop" dropLines="12" dropStyle="combo" dx="22" fmlaLink="'BH (2)'!$B$12" fmlaRange="'BH (2)'!$C$4:$C$5" sel="1" val="0"/>
</file>

<file path=xl/ctrlProps/ctrlProp13.xml><?xml version="1.0" encoding="utf-8"?>
<formControlPr xmlns="http://schemas.microsoft.com/office/spreadsheetml/2009/9/main" objectType="Drop" dropLines="3" dropStyle="combo" dx="22" fmlaLink="'BH (2)'!$C$104" fmlaRange="'BH (2)'!$B$104:$B$106" sel="1" val="0"/>
</file>

<file path=xl/ctrlProps/ctrlProp14.xml><?xml version="1.0" encoding="utf-8"?>
<formControlPr xmlns="http://schemas.microsoft.com/office/spreadsheetml/2009/9/main" objectType="Drop" dropLines="3" dropStyle="combo" dx="22" fmlaLink="'BH (2)'!$C$107" fmlaRange="'BH (2)'!$B$107:$B$109" sel="2" val="0"/>
</file>

<file path=xl/ctrlProps/ctrlProp15.xml><?xml version="1.0" encoding="utf-8"?>
<formControlPr xmlns="http://schemas.microsoft.com/office/spreadsheetml/2009/9/main" objectType="Drop" dropLines="12" dropStyle="combo" dx="22" fmlaLink="'BH (2)'!$B$12" fmlaRange="'BH (2)'!$C$4:$C$5" sel="1" val="0"/>
</file>

<file path=xl/ctrlProps/ctrlProp16.xml><?xml version="1.0" encoding="utf-8"?>
<formControlPr xmlns="http://schemas.microsoft.com/office/spreadsheetml/2009/9/main" objectType="Drop" dropLines="13" dropStyle="combo" dx="22" fmlaLink="'BH (2)'!$B$13" fmlaRange="Ano" sel="1" val="0"/>
</file>

<file path=xl/ctrlProps/ctrlProp17.xml><?xml version="1.0" encoding="utf-8"?>
<formControlPr xmlns="http://schemas.microsoft.com/office/spreadsheetml/2009/9/main" objectType="Drop" dropLines="12" dropStyle="combo" dx="22" fmlaLink="'BH (2)'!$B$12" fmlaRange="'BH (2)'!$C$4:$C$5" sel="1" val="0"/>
</file>

<file path=xl/ctrlProps/ctrlProp18.xml><?xml version="1.0" encoding="utf-8"?>
<formControlPr xmlns="http://schemas.microsoft.com/office/spreadsheetml/2009/9/main" objectType="Drop" dropLines="3" dropStyle="combo" dx="22" fmlaLink="'BH (2)'!$C$104" fmlaRange="'BH (2)'!$B$104:$B$106" sel="1" val="0"/>
</file>

<file path=xl/ctrlProps/ctrlProp19.xml><?xml version="1.0" encoding="utf-8"?>
<formControlPr xmlns="http://schemas.microsoft.com/office/spreadsheetml/2009/9/main" objectType="Drop" dropLines="3" dropStyle="combo" dx="22" fmlaLink="'BH (2)'!$C$107" fmlaRange="'BH (2)'!$B$107:$B$109" sel="2" val="0"/>
</file>

<file path=xl/drawings/_rels/drawing1.xml.rels><?xml version="1.0" encoding="UTF-8" standalone="yes"?>
<Relationships xmlns="http://schemas.openxmlformats.org/package/2006/relationships"><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image" Target="../media/image5.png"/><Relationship Id="rId5" Type="http://schemas.openxmlformats.org/officeDocument/2006/relationships/image" Target="../media/image4.sv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13" Type="http://schemas.openxmlformats.org/officeDocument/2006/relationships/image" Target="../media/image9.jpg"/><Relationship Id="rId18" Type="http://schemas.openxmlformats.org/officeDocument/2006/relationships/hyperlink" Target="https://go.hotmart.com/E53336286M" TargetMode="External"/><Relationship Id="rId26" Type="http://schemas.openxmlformats.org/officeDocument/2006/relationships/image" Target="../media/image21.svg"/><Relationship Id="rId39" Type="http://schemas.openxmlformats.org/officeDocument/2006/relationships/image" Target="../media/image31.svg"/><Relationship Id="rId21" Type="http://schemas.openxmlformats.org/officeDocument/2006/relationships/image" Target="../media/image16.png"/><Relationship Id="rId34" Type="http://schemas.openxmlformats.org/officeDocument/2006/relationships/image" Target="../media/image27.svg"/><Relationship Id="rId42" Type="http://schemas.openxmlformats.org/officeDocument/2006/relationships/hyperlink" Target="https://go.hotmart.com/K19413188T" TargetMode="External"/><Relationship Id="rId47" Type="http://schemas.openxmlformats.org/officeDocument/2006/relationships/image" Target="../media/image38.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12.png"/><Relationship Id="rId29" Type="http://schemas.openxmlformats.org/officeDocument/2006/relationships/image" Target="../media/image23.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19.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32.png"/><Relationship Id="rId45" Type="http://schemas.openxmlformats.org/officeDocument/2006/relationships/image" Target="../media/image36.png"/><Relationship Id="rId5" Type="http://schemas.openxmlformats.org/officeDocument/2006/relationships/hyperlink" Target="#Dashboard!A1"/><Relationship Id="rId15" Type="http://schemas.openxmlformats.org/officeDocument/2006/relationships/image" Target="../media/image11.svg"/><Relationship Id="rId23" Type="http://schemas.openxmlformats.org/officeDocument/2006/relationships/image" Target="../media/image18.png"/><Relationship Id="rId28" Type="http://schemas.openxmlformats.org/officeDocument/2006/relationships/image" Target="../media/image22.png"/><Relationship Id="rId36" Type="http://schemas.openxmlformats.org/officeDocument/2006/relationships/image" Target="../media/image29.svg"/><Relationship Id="rId10" Type="http://schemas.openxmlformats.org/officeDocument/2006/relationships/image" Target="../media/image8.svg"/><Relationship Id="rId19" Type="http://schemas.openxmlformats.org/officeDocument/2006/relationships/image" Target="../media/image14.png"/><Relationship Id="rId31" Type="http://schemas.openxmlformats.org/officeDocument/2006/relationships/image" Target="../media/image25.svg"/><Relationship Id="rId44" Type="http://schemas.openxmlformats.org/officeDocument/2006/relationships/image" Target="../media/image35.svg"/><Relationship Id="rId4" Type="http://schemas.openxmlformats.org/officeDocument/2006/relationships/hyperlink" Target="#Relat&#243;rios!A1"/><Relationship Id="rId9" Type="http://schemas.openxmlformats.org/officeDocument/2006/relationships/image" Target="../media/image7.png"/><Relationship Id="rId14" Type="http://schemas.openxmlformats.org/officeDocument/2006/relationships/image" Target="../media/image10.png"/><Relationship Id="rId22" Type="http://schemas.openxmlformats.org/officeDocument/2006/relationships/image" Target="../media/image17.svg"/><Relationship Id="rId27" Type="http://schemas.openxmlformats.org/officeDocument/2006/relationships/hyperlink" Target="https://go.hotmart.com/I19749361D" TargetMode="External"/><Relationship Id="rId30" Type="http://schemas.openxmlformats.org/officeDocument/2006/relationships/image" Target="../media/image24.png"/><Relationship Id="rId35" Type="http://schemas.openxmlformats.org/officeDocument/2006/relationships/image" Target="../media/image28.png"/><Relationship Id="rId43" Type="http://schemas.openxmlformats.org/officeDocument/2006/relationships/image" Target="../media/image34.png"/><Relationship Id="rId48" Type="http://schemas.openxmlformats.org/officeDocument/2006/relationships/image" Target="../media/image39.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image" Target="../media/image26.png"/><Relationship Id="rId38" Type="http://schemas.openxmlformats.org/officeDocument/2006/relationships/image" Target="../media/image30.png"/><Relationship Id="rId46" Type="http://schemas.openxmlformats.org/officeDocument/2006/relationships/image" Target="../media/image37.svg"/><Relationship Id="rId20" Type="http://schemas.openxmlformats.org/officeDocument/2006/relationships/image" Target="../media/image15.svg"/><Relationship Id="rId41" Type="http://schemas.openxmlformats.org/officeDocument/2006/relationships/image" Target="../media/image33.svg"/></Relationships>
</file>

<file path=xl/drawings/_rels/drawing5.xml.rels><?xml version="1.0" encoding="UTF-8" standalone="yes"?>
<Relationships xmlns="http://schemas.openxmlformats.org/package/2006/relationships"><Relationship Id="rId8" Type="http://schemas.openxmlformats.org/officeDocument/2006/relationships/image" Target="../media/image40.png"/><Relationship Id="rId13" Type="http://schemas.openxmlformats.org/officeDocument/2006/relationships/image" Target="../media/image45.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44.png"/><Relationship Id="rId2" Type="http://schemas.openxmlformats.org/officeDocument/2006/relationships/hyperlink" Target="#Cadastros!A1"/><Relationship Id="rId16" Type="http://schemas.openxmlformats.org/officeDocument/2006/relationships/image" Target="../media/image47.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43.svg"/><Relationship Id="rId5" Type="http://schemas.openxmlformats.org/officeDocument/2006/relationships/hyperlink" Target="#Dashboard!A1"/><Relationship Id="rId15" Type="http://schemas.openxmlformats.org/officeDocument/2006/relationships/image" Target="../media/image46.png"/><Relationship Id="rId10" Type="http://schemas.openxmlformats.org/officeDocument/2006/relationships/image" Target="../media/image42.png"/><Relationship Id="rId4" Type="http://schemas.openxmlformats.org/officeDocument/2006/relationships/hyperlink" Target="#Relat&#243;rios!A1"/><Relationship Id="rId9" Type="http://schemas.openxmlformats.org/officeDocument/2006/relationships/image" Target="../media/image41.svg"/><Relationship Id="rId14" Type="http://schemas.openxmlformats.org/officeDocument/2006/relationships/hyperlink" Target="#GO!A1"/></Relationships>
</file>

<file path=xl/drawings/_rels/drawing6.xml.rels><?xml version="1.0" encoding="UTF-8" standalone="yes"?>
<Relationships xmlns="http://schemas.openxmlformats.org/package/2006/relationships"><Relationship Id="rId8" Type="http://schemas.openxmlformats.org/officeDocument/2006/relationships/hyperlink" Target="#Cad!A1"/><Relationship Id="rId13" Type="http://schemas.openxmlformats.org/officeDocument/2006/relationships/hyperlink" Target="#Meta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1.svg"/><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50.png"/><Relationship Id="rId5" Type="http://schemas.openxmlformats.org/officeDocument/2006/relationships/hyperlink" Target="#Dashboard!A1"/><Relationship Id="rId10" Type="http://schemas.openxmlformats.org/officeDocument/2006/relationships/image" Target="../media/image49.svg"/><Relationship Id="rId4" Type="http://schemas.openxmlformats.org/officeDocument/2006/relationships/hyperlink" Target="#Relat&#243;rios!A1"/><Relationship Id="rId9" Type="http://schemas.openxmlformats.org/officeDocument/2006/relationships/image" Target="../media/image48.png"/></Relationships>
</file>

<file path=xl/drawings/_rels/drawing7.xml.rels><?xml version="1.0" encoding="UTF-8" standalone="yes"?>
<Relationships xmlns="http://schemas.openxmlformats.org/package/2006/relationships"><Relationship Id="rId8" Type="http://schemas.openxmlformats.org/officeDocument/2006/relationships/hyperlink" Target="#Cad!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Metas!A1"/></Relationships>
</file>

<file path=xl/drawings/_rels/drawing8.xml.rels><?xml version="1.0" encoding="UTF-8" standalone="yes"?>
<Relationships xmlns="http://schemas.openxmlformats.org/package/2006/relationships"><Relationship Id="rId8" Type="http://schemas.openxmlformats.org/officeDocument/2006/relationships/hyperlink" Target="#Cad!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Metas2!A1"/><Relationship Id="rId4" Type="http://schemas.openxmlformats.org/officeDocument/2006/relationships/hyperlink" Target="#Relat&#243;rios!A1"/><Relationship Id="rId9" Type="http://schemas.openxmlformats.org/officeDocument/2006/relationships/hyperlink" Target="#Metas!A1"/></Relationships>
</file>

<file path=xl/drawings/_rels/drawing9.xml.rels><?xml version="1.0" encoding="UTF-8" standalone="yes"?>
<Relationships xmlns="http://schemas.openxmlformats.org/package/2006/relationships"><Relationship Id="rId8" Type="http://schemas.openxmlformats.org/officeDocument/2006/relationships/hyperlink" Target="#Cad!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Metas2!A1"/><Relationship Id="rId4" Type="http://schemas.openxmlformats.org/officeDocument/2006/relationships/hyperlink" Target="#Relat&#243;rios!A1"/><Relationship Id="rId9" Type="http://schemas.openxmlformats.org/officeDocument/2006/relationships/hyperlink" Target="#Metas!A1"/></Relationships>
</file>

<file path=xl/drawings/_rels/drawing10.xml.rels><?xml version="1.0" encoding="UTF-8" standalone="yes"?>
<Relationships xmlns="http://schemas.openxmlformats.org/package/2006/relationships"><Relationship Id="rId8" Type="http://schemas.openxmlformats.org/officeDocument/2006/relationships/hyperlink" Target="#'Lan&#231;amentos (2)'!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1.xml.rels><?xml version="1.0" encoding="UTF-8" standalone="yes"?>
<Relationships xmlns="http://schemas.openxmlformats.org/package/2006/relationships"><Relationship Id="rId8" Type="http://schemas.openxmlformats.org/officeDocument/2006/relationships/hyperlink" Target="#'Lan&#231;amentos (2)'!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2.xml.rels><?xml version="1.0" encoding="UTF-8" standalone="yes"?>
<Relationships xmlns="http://schemas.openxmlformats.org/package/2006/relationships"><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3.xml.rels><?xml version="1.0" encoding="UTF-8" standalone="yes"?>
<Relationships xmlns="http://schemas.openxmlformats.org/package/2006/relationships"><Relationship Id="rId8" Type="http://schemas.openxmlformats.org/officeDocument/2006/relationships/hyperlink" Target="#Evolu&#231;&#227;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Anal&#237;tico!A1"/></Relationships>
</file>

<file path=xl/drawings/_rels/drawing14.xml.rels><?xml version="1.0" encoding="UTF-8" standalone="yes"?>
<Relationships xmlns="http://schemas.openxmlformats.org/package/2006/relationships"><Relationship Id="rId8" Type="http://schemas.openxmlformats.org/officeDocument/2006/relationships/hyperlink" Target="#Evolu&#231;&#227;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Anal&#237;tico!A1"/></Relationships>
</file>

<file path=xl/drawings/_rels/drawing15.xml.rels><?xml version="1.0" encoding="UTF-8" standalone="yes"?>
<Relationships xmlns="http://schemas.openxmlformats.org/package/2006/relationships"><Relationship Id="rId8" Type="http://schemas.openxmlformats.org/officeDocument/2006/relationships/hyperlink" Target="#Evolu&#231;&#227;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Anal&#237;tico!A1"/></Relationships>
</file>

<file path=xl/drawings/_rels/drawing16.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chart" Target="../charts/chart3.xml"/><Relationship Id="rId18" Type="http://schemas.openxmlformats.org/officeDocument/2006/relationships/image" Target="../media/image54.png"/><Relationship Id="rId3" Type="http://schemas.openxmlformats.org/officeDocument/2006/relationships/hyperlink" Target="#Anal&#237;tico!A1"/><Relationship Id="rId21" Type="http://schemas.openxmlformats.org/officeDocument/2006/relationships/chart" Target="../charts/chart7.xml"/><Relationship Id="rId7" Type="http://schemas.openxmlformats.org/officeDocument/2006/relationships/hyperlink" Target="#Lan&#231;amentos!A1"/><Relationship Id="rId12" Type="http://schemas.openxmlformats.org/officeDocument/2006/relationships/chart" Target="../charts/chart2.xml"/><Relationship Id="rId17" Type="http://schemas.openxmlformats.org/officeDocument/2006/relationships/image" Target="../media/image53.svg"/><Relationship Id="rId25" Type="http://schemas.openxmlformats.org/officeDocument/2006/relationships/chart" Target="../charts/chart11.xml"/><Relationship Id="rId2" Type="http://schemas.openxmlformats.org/officeDocument/2006/relationships/hyperlink" Target="#Evolu&#231;&#227;o!A1"/><Relationship Id="rId16" Type="http://schemas.openxmlformats.org/officeDocument/2006/relationships/image" Target="../media/image52.png"/><Relationship Id="rId20" Type="http://schemas.openxmlformats.org/officeDocument/2006/relationships/chart" Target="../charts/chart6.xml"/><Relationship Id="rId1" Type="http://schemas.openxmlformats.org/officeDocument/2006/relationships/hyperlink" Target="#Relat&#243;rios!A1"/><Relationship Id="rId6" Type="http://schemas.openxmlformats.org/officeDocument/2006/relationships/hyperlink" Target="#Cadastros!A1"/><Relationship Id="rId11" Type="http://schemas.openxmlformats.org/officeDocument/2006/relationships/chart" Target="../charts/chart1.xml"/><Relationship Id="rId24" Type="http://schemas.openxmlformats.org/officeDocument/2006/relationships/chart" Target="../charts/chart10.xml"/><Relationship Id="rId5" Type="http://schemas.openxmlformats.org/officeDocument/2006/relationships/hyperlink" Target="#In&#237;cio!A1"/><Relationship Id="rId15" Type="http://schemas.openxmlformats.org/officeDocument/2006/relationships/chart" Target="../charts/chart5.xml"/><Relationship Id="rId23" Type="http://schemas.openxmlformats.org/officeDocument/2006/relationships/chart" Target="../charts/chart9.xml"/><Relationship Id="rId10" Type="http://schemas.openxmlformats.org/officeDocument/2006/relationships/hyperlink" Target="#Controles!A1"/><Relationship Id="rId19" Type="http://schemas.openxmlformats.org/officeDocument/2006/relationships/image" Target="../media/image55.svg"/><Relationship Id="rId4" Type="http://schemas.openxmlformats.org/officeDocument/2006/relationships/hyperlink" Target="#Impress&#227;o!A1"/><Relationship Id="rId9" Type="http://schemas.openxmlformats.org/officeDocument/2006/relationships/hyperlink" Target="#Suporte!A1"/><Relationship Id="rId14" Type="http://schemas.openxmlformats.org/officeDocument/2006/relationships/chart" Target="../charts/chart4.xml"/><Relationship Id="rId22"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8" Type="http://schemas.openxmlformats.org/officeDocument/2006/relationships/hyperlink" Target="#Dashboard2!A1"/><Relationship Id="rId13" Type="http://schemas.openxmlformats.org/officeDocument/2006/relationships/chart" Target="../charts/chart16.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15.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4.xml"/><Relationship Id="rId5" Type="http://schemas.openxmlformats.org/officeDocument/2006/relationships/hyperlink" Target="#Dashboard!A1"/><Relationship Id="rId10" Type="http://schemas.openxmlformats.org/officeDocument/2006/relationships/chart" Target="../charts/chart13.xml"/><Relationship Id="rId4" Type="http://schemas.openxmlformats.org/officeDocument/2006/relationships/hyperlink" Target="#Relat&#243;rios!A1"/><Relationship Id="rId9" Type="http://schemas.openxmlformats.org/officeDocument/2006/relationships/chart" Target="../charts/chart12.xml"/><Relationship Id="rId14" Type="http://schemas.openxmlformats.org/officeDocument/2006/relationships/hyperlink" Target="#Dashboard3!A1"/></Relationships>
</file>

<file path=xl/drawings/_rels/drawing18.xml.rels><?xml version="1.0" encoding="UTF-8" standalone="yes"?>
<Relationships xmlns="http://schemas.openxmlformats.org/package/2006/relationships"><Relationship Id="rId8" Type="http://schemas.openxmlformats.org/officeDocument/2006/relationships/hyperlink" Target="#Dashboard2!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8.xml"/><Relationship Id="rId5" Type="http://schemas.openxmlformats.org/officeDocument/2006/relationships/hyperlink" Target="#Dashboard!A1"/><Relationship Id="rId10" Type="http://schemas.openxmlformats.org/officeDocument/2006/relationships/chart" Target="../charts/chart17.xml"/><Relationship Id="rId4" Type="http://schemas.openxmlformats.org/officeDocument/2006/relationships/hyperlink" Target="#Relat&#243;rios!A1"/><Relationship Id="rId9" Type="http://schemas.openxmlformats.org/officeDocument/2006/relationships/hyperlink" Target="#Dashboard3!A1"/></Relationships>
</file>

<file path=xl/drawings/_rels/drawing19.xml.rels><?xml version="1.0" encoding="UTF-8" standalone="yes"?>
<Relationships xmlns="http://schemas.openxmlformats.org/package/2006/relationships"><Relationship Id="rId8" Type="http://schemas.openxmlformats.org/officeDocument/2006/relationships/hyperlink" Target="#Dashboard2!A1"/><Relationship Id="rId13" Type="http://schemas.openxmlformats.org/officeDocument/2006/relationships/chart" Target="../charts/chart22.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21.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20.xml"/><Relationship Id="rId5" Type="http://schemas.openxmlformats.org/officeDocument/2006/relationships/hyperlink" Target="#Dashboard!A1"/><Relationship Id="rId10" Type="http://schemas.openxmlformats.org/officeDocument/2006/relationships/chart" Target="../charts/chart19.xml"/><Relationship Id="rId4" Type="http://schemas.openxmlformats.org/officeDocument/2006/relationships/hyperlink" Target="#Relat&#243;rios!A1"/><Relationship Id="rId9" Type="http://schemas.openxmlformats.org/officeDocument/2006/relationships/hyperlink" Target="#Dashboard3!A1"/></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3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absolute">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3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3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3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3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3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3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3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3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5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bg1"/>
              </a:solidFill>
            </a:rPr>
            <a:t>1° Passo: Habilitar</a:t>
          </a:r>
          <a:r>
            <a:rPr lang="pt-BR" sz="4000" b="1" baseline="0">
              <a:solidFill>
                <a:schemeClr val="bg1"/>
              </a:solidFill>
            </a:rPr>
            <a:t> Conteúdo para Iniciar na Planilha</a:t>
          </a:r>
          <a:endParaRPr lang="pt-BR" sz="4000" b="1">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5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17</xdr:row>
      <xdr:rowOff>0</xdr:rowOff>
    </xdr:from>
    <xdr:to>
      <xdr:col>5</xdr:col>
      <xdr:colOff>606907</xdr:colOff>
      <xdr:row>24</xdr:row>
      <xdr:rowOff>19051</xdr:rowOff>
    </xdr:to>
    <xdr:grpSp>
      <xdr:nvGrpSpPr>
        <xdr:cNvPr id="8" name="Agrupar 7">
          <a:extLst>
            <a:ext uri="{FF2B5EF4-FFF2-40B4-BE49-F238E27FC236}">
              <a16:creationId xmlns:a16="http://schemas.microsoft.com/office/drawing/2014/main" id="{00000000-0008-0000-0500-000008000000}"/>
            </a:ext>
          </a:extLst>
        </xdr:cNvPr>
        <xdr:cNvGrpSpPr/>
      </xdr:nvGrpSpPr>
      <xdr:grpSpPr>
        <a:xfrm>
          <a:off x="609600" y="3238500"/>
          <a:ext cx="3045307" cy="1352551"/>
          <a:chOff x="1355243" y="438149"/>
          <a:chExt cx="3045307" cy="1352551"/>
        </a:xfrm>
      </xdr:grpSpPr>
      <xdr:sp macro="" textlink="">
        <xdr:nvSpPr>
          <xdr:cNvPr id="9" name="CaixaDeTexto 8">
            <a:extLst>
              <a:ext uri="{FF2B5EF4-FFF2-40B4-BE49-F238E27FC236}">
                <a16:creationId xmlns:a16="http://schemas.microsoft.com/office/drawing/2014/main" id="{00000000-0008-0000-0500-000009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0" name="Meio-quadro 9">
            <a:extLst>
              <a:ext uri="{FF2B5EF4-FFF2-40B4-BE49-F238E27FC236}">
                <a16:creationId xmlns:a16="http://schemas.microsoft.com/office/drawing/2014/main" id="{00000000-0008-0000-0500-00000A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1" name="Meio-quadro 10">
            <a:extLst>
              <a:ext uri="{FF2B5EF4-FFF2-40B4-BE49-F238E27FC236}">
                <a16:creationId xmlns:a16="http://schemas.microsoft.com/office/drawing/2014/main" id="{00000000-0008-0000-0500-00000B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6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6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6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6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accent5">
                  <a:lumMod val="20000"/>
                  <a:lumOff val="80000"/>
                </a:schemeClr>
              </a:solidFill>
            </a:rPr>
            <a:t>Caro</a:t>
          </a:r>
          <a:r>
            <a:rPr lang="pt-BR" sz="1100" baseline="0">
              <a:solidFill>
                <a:schemeClr val="accent5">
                  <a:lumMod val="20000"/>
                  <a:lumOff val="80000"/>
                </a:schemeClr>
              </a:solidFill>
            </a:rPr>
            <a:t>(a) Cliente,</a:t>
          </a:r>
          <a:endParaRPr lang="pt-BR" sz="1100">
            <a:solidFill>
              <a:schemeClr val="accent5">
                <a:lumMod val="20000"/>
                <a:lumOff val="80000"/>
              </a:schemeClr>
            </a:solidFill>
          </a:endParaRPr>
        </a:p>
        <a:p>
          <a:endParaRPr lang="pt-BR" sz="1100">
            <a:solidFill>
              <a:schemeClr val="accent5">
                <a:lumMod val="20000"/>
                <a:lumOff val="80000"/>
              </a:schemeClr>
            </a:solidFill>
          </a:endParaRPr>
        </a:p>
        <a:p>
          <a:r>
            <a:rPr lang="pt-BR" sz="1100">
              <a:solidFill>
                <a:schemeClr val="accent5">
                  <a:lumMod val="20000"/>
                  <a:lumOff val="80000"/>
                </a:schemeClr>
              </a:solidFill>
            </a:rPr>
            <a:t>Seja</a:t>
          </a:r>
          <a:r>
            <a:rPr lang="pt-BR" sz="1100" baseline="0">
              <a:solidFill>
                <a:schemeClr val="accent5">
                  <a:lumMod val="20000"/>
                  <a:lumOff val="80000"/>
                </a:schemeClr>
              </a:solidFill>
            </a:rPr>
            <a:t> muito bem vindo a </a:t>
          </a:r>
          <a:r>
            <a:rPr lang="pt-BR" sz="1100" b="1" baseline="0">
              <a:solidFill>
                <a:schemeClr val="accent5">
                  <a:lumMod val="20000"/>
                  <a:lumOff val="80000"/>
                </a:schemeClr>
              </a:solidFill>
            </a:rPr>
            <a:t>Onside Corporation ®</a:t>
          </a:r>
          <a:r>
            <a:rPr lang="pt-BR" sz="1100" baseline="0">
              <a:solidFill>
                <a:schemeClr val="accent5">
                  <a:lumMod val="20000"/>
                  <a:lumOff val="80000"/>
                </a:schemeClr>
              </a:solidFill>
            </a:rPr>
            <a:t> - Soluções em Planilhas Inteligentes</a:t>
          </a:r>
        </a:p>
        <a:p>
          <a:r>
            <a:rPr lang="pt-BR" sz="1100" baseline="0">
              <a:solidFill>
                <a:schemeClr val="accent5">
                  <a:lumMod val="20000"/>
                  <a:lumOff val="80000"/>
                </a:schemeClr>
              </a:solidFill>
            </a:rPr>
            <a:t>Ficamos muito felizes pela confiança em nosso produto e pela preferência em nosso trabalho.</a:t>
          </a:r>
        </a:p>
        <a:p>
          <a:endParaRPr lang="pt-BR" sz="1100">
            <a:solidFill>
              <a:schemeClr val="accent5">
                <a:lumMod val="20000"/>
                <a:lumOff val="80000"/>
              </a:schemeClr>
            </a:solidFill>
          </a:endParaRPr>
        </a:p>
        <a:p>
          <a:endParaRPr lang="pt-BR" sz="1100">
            <a:solidFill>
              <a:schemeClr val="accent5">
                <a:lumMod val="20000"/>
                <a:lumOff val="80000"/>
              </a:schemeClr>
            </a:solidFill>
          </a:endParaRPr>
        </a:p>
        <a:p>
          <a:endParaRPr lang="pt-BR" sz="1100">
            <a:solidFill>
              <a:schemeClr val="accent5">
                <a:lumMod val="20000"/>
                <a:lumOff val="80000"/>
              </a:schemeClr>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137112" cy="609013"/>
    <xdr:sp macro="" textlink="">
      <xdr:nvSpPr>
        <xdr:cNvPr id="26" name="CaixaDeTexto 25">
          <a:extLst>
            <a:ext uri="{FF2B5EF4-FFF2-40B4-BE49-F238E27FC236}">
              <a16:creationId xmlns:a16="http://schemas.microsoft.com/office/drawing/2014/main" id="{00000000-0008-0000-0600-00001A000000}"/>
            </a:ext>
          </a:extLst>
        </xdr:cNvPr>
        <xdr:cNvSpPr txBox="1"/>
      </xdr:nvSpPr>
      <xdr:spPr>
        <a:xfrm>
          <a:off x="647700" y="3552825"/>
          <a:ext cx="5137112"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chemeClr val="accent5">
                  <a:lumMod val="20000"/>
                  <a:lumOff val="80000"/>
                </a:schemeClr>
              </a:solidFill>
            </a:rPr>
            <a:t>Parabéns!</a:t>
          </a:r>
          <a:r>
            <a:rPr lang="pt-BR" sz="1100">
              <a:solidFill>
                <a:schemeClr val="accent5">
                  <a:lumMod val="20000"/>
                  <a:lumOff val="80000"/>
                </a:schemeClr>
              </a:solidFill>
            </a:rPr>
            <a:t> Você acaba de adquirir</a:t>
          </a:r>
          <a:r>
            <a:rPr lang="pt-BR" sz="1100" baseline="0">
              <a:solidFill>
                <a:schemeClr val="accent5">
                  <a:lumMod val="20000"/>
                  <a:lumOff val="80000"/>
                </a:schemeClr>
              </a:solidFill>
            </a:rPr>
            <a:t> uma cópia da planilha </a:t>
          </a:r>
          <a:r>
            <a:rPr lang="pt-BR" sz="1100" b="1" baseline="0">
              <a:solidFill>
                <a:schemeClr val="accent5">
                  <a:lumMod val="20000"/>
                  <a:lumOff val="80000"/>
                </a:schemeClr>
              </a:solidFill>
            </a:rPr>
            <a:t>Painel Financeiro versão 6.0 </a:t>
          </a:r>
        </a:p>
        <a:p>
          <a:r>
            <a:rPr lang="pt-BR" sz="1100" b="0" baseline="0">
              <a:solidFill>
                <a:schemeClr val="accent5">
                  <a:lumMod val="20000"/>
                  <a:lumOff val="80000"/>
                </a:schemeClr>
              </a:solidFill>
            </a:rPr>
            <a:t>O serial (Licença) dessa planilha é gerada automaticamente após a compra, conforme</a:t>
          </a:r>
        </a:p>
        <a:p>
          <a:r>
            <a:rPr lang="pt-BR" sz="1100" b="0" baseline="0">
              <a:solidFill>
                <a:schemeClr val="accent5">
                  <a:lumMod val="20000"/>
                  <a:lumOff val="80000"/>
                </a:schemeClr>
              </a:solidFill>
            </a:rPr>
            <a:t>controle da Onside Corporation ®</a:t>
          </a:r>
          <a:endParaRPr lang="pt-BR" sz="1100" b="0">
            <a:solidFill>
              <a:schemeClr val="accent5">
                <a:lumMod val="20000"/>
                <a:lumOff val="80000"/>
              </a:schemeClr>
            </a:solidFill>
          </a:endParaRPr>
        </a:p>
      </xdr:txBody>
    </xdr:sp>
    <xdr:clientData/>
  </xdr:oneCellAnchor>
  <xdr:oneCellAnchor>
    <xdr:from>
      <xdr:col>1</xdr:col>
      <xdr:colOff>38099</xdr:colOff>
      <xdr:row>21</xdr:row>
      <xdr:rowOff>171450</xdr:rowOff>
    </xdr:from>
    <xdr:ext cx="5895975" cy="1571625"/>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647699" y="4171950"/>
          <a:ext cx="58959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chemeClr val="accent5">
                  <a:lumMod val="20000"/>
                  <a:lumOff val="80000"/>
                </a:schemeClr>
              </a:solidFill>
            </a:rPr>
            <a:t>Essa licença é</a:t>
          </a:r>
          <a:r>
            <a:rPr lang="pt-BR" sz="1100" b="0" baseline="0">
              <a:solidFill>
                <a:schemeClr val="accent5">
                  <a:lumMod val="20000"/>
                  <a:lumOff val="80000"/>
                </a:schemeClr>
              </a:solidFill>
            </a:rPr>
            <a:t> única e exclusiva de sua propriedade, onde você poderá multiplicar a </a:t>
          </a:r>
        </a:p>
        <a:p>
          <a:r>
            <a:rPr lang="pt-BR" sz="1100" b="0" baseline="0">
              <a:solidFill>
                <a:schemeClr val="accent5">
                  <a:lumMod val="20000"/>
                  <a:lumOff val="80000"/>
                </a:schemeClr>
              </a:solidFill>
            </a:rPr>
            <a:t>planilha em SEU computador de acordo com sua necessidade. </a:t>
          </a:r>
        </a:p>
        <a:p>
          <a:endParaRPr lang="pt-BR" sz="1100" b="0" baseline="0">
            <a:solidFill>
              <a:schemeClr val="accent5">
                <a:lumMod val="20000"/>
                <a:lumOff val="80000"/>
              </a:schemeClr>
            </a:solidFill>
          </a:endParaRPr>
        </a:p>
        <a:p>
          <a:r>
            <a:rPr lang="pt-BR" sz="1100" b="1" baseline="0">
              <a:solidFill>
                <a:schemeClr val="accent5">
                  <a:lumMod val="20000"/>
                  <a:lumOff val="80000"/>
                </a:schemeClr>
              </a:solidFill>
            </a:rPr>
            <a:t>AVISO IMPORTANTE: </a:t>
          </a:r>
          <a:r>
            <a:rPr lang="pt-BR" sz="1100" b="0" baseline="0">
              <a:solidFill>
                <a:schemeClr val="accent5">
                  <a:lumMod val="20000"/>
                  <a:lumOff val="80000"/>
                </a:schemeClr>
              </a:solidFill>
            </a:rPr>
            <a:t>A planilha possui um ID vinculado ao serial, onde qualquer tentativa</a:t>
          </a:r>
        </a:p>
        <a:p>
          <a:r>
            <a:rPr lang="pt-BR" sz="1100" b="0" baseline="0">
              <a:solidFill>
                <a:schemeClr val="accent5">
                  <a:lumMod val="20000"/>
                  <a:lumOff val="80000"/>
                </a:schemeClr>
              </a:solidFill>
            </a:rPr>
            <a:t>de repassar a planilha a terceiros, resulta em </a:t>
          </a:r>
          <a:r>
            <a:rPr lang="pt-BR" sz="1100" b="1" baseline="0">
              <a:solidFill>
                <a:schemeClr val="accent5">
                  <a:lumMod val="20000"/>
                  <a:lumOff val="80000"/>
                </a:schemeClr>
              </a:solidFill>
            </a:rPr>
            <a:t>BLOQUEIO</a:t>
          </a:r>
          <a:r>
            <a:rPr lang="pt-BR" sz="1100" b="0" baseline="0">
              <a:solidFill>
                <a:schemeClr val="accent5">
                  <a:lumMod val="20000"/>
                  <a:lumOff val="80000"/>
                </a:schemeClr>
              </a:solidFill>
            </a:rPr>
            <a:t> IMEDIATO e AUTOMÁTICO da planilha.</a:t>
          </a:r>
        </a:p>
        <a:p>
          <a:r>
            <a:rPr lang="pt-BR" sz="1100" b="0">
              <a:solidFill>
                <a:srgbClr val="01B8AA"/>
              </a:solidFill>
            </a:rPr>
            <a:t>LEI Nº 9.609 DE 19 DE FEVEREIRO DE 1998.</a:t>
          </a: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0" y="4210050"/>
          <a:ext cx="288000" cy="288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8" name="Retângulo 7">
          <a:hlinkClick xmlns:r="http://schemas.openxmlformats.org/officeDocument/2006/relationships" r:id="rId7"/>
          <a:extLst>
            <a:ext uri="{FF2B5EF4-FFF2-40B4-BE49-F238E27FC236}">
              <a16:creationId xmlns:a16="http://schemas.microsoft.com/office/drawing/2014/main" id="{00000000-0008-0000-0700-00000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9" name="Retângulo 8">
          <a:hlinkClick xmlns:r="http://schemas.openxmlformats.org/officeDocument/2006/relationships" r:id="rId8"/>
          <a:extLst>
            <a:ext uri="{FF2B5EF4-FFF2-40B4-BE49-F238E27FC236}">
              <a16:creationId xmlns:a16="http://schemas.microsoft.com/office/drawing/2014/main" id="{00000000-0008-0000-0700-00000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10" name="Agrupar 9">
          <a:extLst>
            <a:ext uri="{FF2B5EF4-FFF2-40B4-BE49-F238E27FC236}">
              <a16:creationId xmlns:a16="http://schemas.microsoft.com/office/drawing/2014/main" id="{00000000-0008-0000-07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07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07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07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14" name="Retângulo 13">
          <a:extLst>
            <a:ext uri="{FF2B5EF4-FFF2-40B4-BE49-F238E27FC236}">
              <a16:creationId xmlns:a16="http://schemas.microsoft.com/office/drawing/2014/main" id="{00000000-0008-0000-0700-00000E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15" name="Retângulo 14">
          <a:extLst>
            <a:ext uri="{FF2B5EF4-FFF2-40B4-BE49-F238E27FC236}">
              <a16:creationId xmlns:a16="http://schemas.microsoft.com/office/drawing/2014/main" id="{00000000-0008-0000-0700-00000F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16" name="CaixaDeTexto 15">
          <a:extLst>
            <a:ext uri="{FF2B5EF4-FFF2-40B4-BE49-F238E27FC236}">
              <a16:creationId xmlns:a16="http://schemas.microsoft.com/office/drawing/2014/main" id="{00000000-0008-0000-0700-00001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17" name="CaixaDeTexto 16">
          <a:extLst>
            <a:ext uri="{FF2B5EF4-FFF2-40B4-BE49-F238E27FC236}">
              <a16:creationId xmlns:a16="http://schemas.microsoft.com/office/drawing/2014/main" id="{00000000-0008-0000-0700-000011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18" name="Gráfico 17" descr="Fita">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19" name="CaixaDeTexto 18">
          <a:extLst>
            <a:ext uri="{FF2B5EF4-FFF2-40B4-BE49-F238E27FC236}">
              <a16:creationId xmlns:a16="http://schemas.microsoft.com/office/drawing/2014/main" id="{00000000-0008-0000-0700-000013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20" name="Retângulo: Cantos Arredondados 19">
          <a:hlinkClick xmlns:r="http://schemas.openxmlformats.org/officeDocument/2006/relationships" r:id="rId11"/>
          <a:extLst>
            <a:ext uri="{FF2B5EF4-FFF2-40B4-BE49-F238E27FC236}">
              <a16:creationId xmlns:a16="http://schemas.microsoft.com/office/drawing/2014/main" id="{00000000-0008-0000-0700-000014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22" name="Imagem 21">
          <a:hlinkClick xmlns:r="http://schemas.openxmlformats.org/officeDocument/2006/relationships" r:id="rId12"/>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23" name="CaixaDeTexto 22">
          <a:extLst>
            <a:ext uri="{FF2B5EF4-FFF2-40B4-BE49-F238E27FC236}">
              <a16:creationId xmlns:a16="http://schemas.microsoft.com/office/drawing/2014/main" id="{00000000-0008-0000-0700-000017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24" name="Gráfico 23" descr="Garfo e faca">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25" name="CaixaDeTexto 24">
          <a:extLst>
            <a:ext uri="{FF2B5EF4-FFF2-40B4-BE49-F238E27FC236}">
              <a16:creationId xmlns:a16="http://schemas.microsoft.com/office/drawing/2014/main" id="{00000000-0008-0000-0700-000019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26" name="Retângulo: Cantos Arredondados 25">
          <a:hlinkClick xmlns:r="http://schemas.openxmlformats.org/officeDocument/2006/relationships" r:id="rId12"/>
          <a:extLst>
            <a:ext uri="{FF2B5EF4-FFF2-40B4-BE49-F238E27FC236}">
              <a16:creationId xmlns:a16="http://schemas.microsoft.com/office/drawing/2014/main" id="{00000000-0008-0000-0700-00001A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27" name="Retângulo 26">
          <a:extLst>
            <a:ext uri="{FF2B5EF4-FFF2-40B4-BE49-F238E27FC236}">
              <a16:creationId xmlns:a16="http://schemas.microsoft.com/office/drawing/2014/main" id="{00000000-0008-0000-0700-00001B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28" name="CaixaDeTexto 27">
          <a:extLst>
            <a:ext uri="{FF2B5EF4-FFF2-40B4-BE49-F238E27FC236}">
              <a16:creationId xmlns:a16="http://schemas.microsoft.com/office/drawing/2014/main" id="{00000000-0008-0000-0700-00001C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29" name="Gráfico 28" descr="Grupo de homens">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30" name="CaixaDeTexto 29">
          <a:extLst>
            <a:ext uri="{FF2B5EF4-FFF2-40B4-BE49-F238E27FC236}">
              <a16:creationId xmlns:a16="http://schemas.microsoft.com/office/drawing/2014/main" id="{00000000-0008-0000-0700-00001E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31" name="Retângulo: Cantos Arredondados 30">
          <a:hlinkClick xmlns:r="http://schemas.openxmlformats.org/officeDocument/2006/relationships" r:id="rId18"/>
          <a:extLst>
            <a:ext uri="{FF2B5EF4-FFF2-40B4-BE49-F238E27FC236}">
              <a16:creationId xmlns:a16="http://schemas.microsoft.com/office/drawing/2014/main" id="{00000000-0008-0000-0700-00001F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32" name="Agrupar 31">
          <a:hlinkClick xmlns:r="http://schemas.openxmlformats.org/officeDocument/2006/relationships" r:id="rId11"/>
          <a:extLst>
            <a:ext uri="{FF2B5EF4-FFF2-40B4-BE49-F238E27FC236}">
              <a16:creationId xmlns:a16="http://schemas.microsoft.com/office/drawing/2014/main" id="{00000000-0008-0000-0700-000020000000}"/>
            </a:ext>
          </a:extLst>
        </xdr:cNvPr>
        <xdr:cNvGrpSpPr/>
      </xdr:nvGrpSpPr>
      <xdr:grpSpPr>
        <a:xfrm>
          <a:off x="419100" y="2190750"/>
          <a:ext cx="4057200" cy="2401200"/>
          <a:chOff x="11229975" y="2505075"/>
          <a:chExt cx="4057200" cy="2401200"/>
        </a:xfrm>
      </xdr:grpSpPr>
      <xdr:sp macro="" textlink="">
        <xdr:nvSpPr>
          <xdr:cNvPr id="33" name="Retângulo 32">
            <a:extLst>
              <a:ext uri="{FF2B5EF4-FFF2-40B4-BE49-F238E27FC236}">
                <a16:creationId xmlns:a16="http://schemas.microsoft.com/office/drawing/2014/main" id="{00000000-0008-0000-0700-000021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35" name="Retângulo 34">
            <a:extLst>
              <a:ext uri="{FF2B5EF4-FFF2-40B4-BE49-F238E27FC236}">
                <a16:creationId xmlns:a16="http://schemas.microsoft.com/office/drawing/2014/main" id="{00000000-0008-0000-0700-000023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6" name="Gráfico 35" descr="Calculadora">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37" name="Gráfico 36" descr="Calculadora">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38" name="Agrupar 37">
          <a:hlinkClick xmlns:r="http://schemas.openxmlformats.org/officeDocument/2006/relationships" r:id="rId18"/>
          <a:extLst>
            <a:ext uri="{FF2B5EF4-FFF2-40B4-BE49-F238E27FC236}">
              <a16:creationId xmlns:a16="http://schemas.microsoft.com/office/drawing/2014/main" id="{00000000-0008-0000-0700-000026000000}"/>
            </a:ext>
          </a:extLst>
        </xdr:cNvPr>
        <xdr:cNvGrpSpPr/>
      </xdr:nvGrpSpPr>
      <xdr:grpSpPr>
        <a:xfrm>
          <a:off x="419100" y="8429625"/>
          <a:ext cx="4057200" cy="2401200"/>
          <a:chOff x="419100" y="8429625"/>
          <a:chExt cx="4057200" cy="2401200"/>
        </a:xfrm>
      </xdr:grpSpPr>
      <xdr:sp macro="" textlink="">
        <xdr:nvSpPr>
          <xdr:cNvPr id="39" name="Retângulo 38">
            <a:extLst>
              <a:ext uri="{FF2B5EF4-FFF2-40B4-BE49-F238E27FC236}">
                <a16:creationId xmlns:a16="http://schemas.microsoft.com/office/drawing/2014/main" id="{00000000-0008-0000-0700-000027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0" name="Gráfico 39" descr="Debate de ideias do grupo">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1" name="CaixaDeTexto 40">
            <a:extLst>
              <a:ext uri="{FF2B5EF4-FFF2-40B4-BE49-F238E27FC236}">
                <a16:creationId xmlns:a16="http://schemas.microsoft.com/office/drawing/2014/main" id="{00000000-0008-0000-0700-000029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42" name="Retângulo 41">
            <a:extLst>
              <a:ext uri="{FF2B5EF4-FFF2-40B4-BE49-F238E27FC236}">
                <a16:creationId xmlns:a16="http://schemas.microsoft.com/office/drawing/2014/main" id="{00000000-0008-0000-0700-00002A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43" name="Retângulo 42">
          <a:extLst>
            <a:ext uri="{FF2B5EF4-FFF2-40B4-BE49-F238E27FC236}">
              <a16:creationId xmlns:a16="http://schemas.microsoft.com/office/drawing/2014/main" id="{00000000-0008-0000-0700-00002B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44" name="CaixaDeTexto 43">
          <a:extLst>
            <a:ext uri="{FF2B5EF4-FFF2-40B4-BE49-F238E27FC236}">
              <a16:creationId xmlns:a16="http://schemas.microsoft.com/office/drawing/2014/main" id="{00000000-0008-0000-0700-00002C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45" name="Gráfico 44" descr="África e Europa no globo terrestre">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46" name="CaixaDeTexto 45">
          <a:extLst>
            <a:ext uri="{FF2B5EF4-FFF2-40B4-BE49-F238E27FC236}">
              <a16:creationId xmlns:a16="http://schemas.microsoft.com/office/drawing/2014/main" id="{00000000-0008-0000-0700-00002E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47" name="Retângulo: Cantos Arredondados 46">
          <a:hlinkClick xmlns:r="http://schemas.openxmlformats.org/officeDocument/2006/relationships" r:id="rId27"/>
          <a:extLst>
            <a:ext uri="{FF2B5EF4-FFF2-40B4-BE49-F238E27FC236}">
              <a16:creationId xmlns:a16="http://schemas.microsoft.com/office/drawing/2014/main" id="{00000000-0008-0000-0700-00002F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8" name="Agrupar 47">
          <a:hlinkClick xmlns:r="http://schemas.openxmlformats.org/officeDocument/2006/relationships" r:id="rId27"/>
          <a:extLst>
            <a:ext uri="{FF2B5EF4-FFF2-40B4-BE49-F238E27FC236}">
              <a16:creationId xmlns:a16="http://schemas.microsoft.com/office/drawing/2014/main" id="{00000000-0008-0000-0700-000030000000}"/>
            </a:ext>
          </a:extLst>
        </xdr:cNvPr>
        <xdr:cNvGrpSpPr/>
      </xdr:nvGrpSpPr>
      <xdr:grpSpPr>
        <a:xfrm>
          <a:off x="419100" y="11553825"/>
          <a:ext cx="4057200" cy="2401200"/>
          <a:chOff x="419100" y="11553825"/>
          <a:chExt cx="4057200" cy="2401200"/>
        </a:xfrm>
      </xdr:grpSpPr>
      <xdr:sp macro="" textlink="">
        <xdr:nvSpPr>
          <xdr:cNvPr id="49" name="Retângulo 48">
            <a:extLst>
              <a:ext uri="{FF2B5EF4-FFF2-40B4-BE49-F238E27FC236}">
                <a16:creationId xmlns:a16="http://schemas.microsoft.com/office/drawing/2014/main" id="{00000000-0008-0000-0700-000031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50" name="Gráfico 49" descr="Bússola de mapa">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51" name="CaixaDeTexto 50">
            <a:extLst>
              <a:ext uri="{FF2B5EF4-FFF2-40B4-BE49-F238E27FC236}">
                <a16:creationId xmlns:a16="http://schemas.microsoft.com/office/drawing/2014/main" id="{00000000-0008-0000-0700-000033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2" name="Retângulo 51">
            <a:extLst>
              <a:ext uri="{FF2B5EF4-FFF2-40B4-BE49-F238E27FC236}">
                <a16:creationId xmlns:a16="http://schemas.microsoft.com/office/drawing/2014/main" id="{00000000-0008-0000-0700-000034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53" name="Retângulo 52">
          <a:extLst>
            <a:ext uri="{FF2B5EF4-FFF2-40B4-BE49-F238E27FC236}">
              <a16:creationId xmlns:a16="http://schemas.microsoft.com/office/drawing/2014/main" id="{00000000-0008-0000-0700-000035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54" name="CaixaDeTexto 53">
          <a:extLst>
            <a:ext uri="{FF2B5EF4-FFF2-40B4-BE49-F238E27FC236}">
              <a16:creationId xmlns:a16="http://schemas.microsoft.com/office/drawing/2014/main" id="{00000000-0008-0000-0700-000036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55" name="Gráfico 54" descr="Lâmpada e engrenagem">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56" name="CaixaDeTexto 55">
          <a:extLst>
            <a:ext uri="{FF2B5EF4-FFF2-40B4-BE49-F238E27FC236}">
              <a16:creationId xmlns:a16="http://schemas.microsoft.com/office/drawing/2014/main" id="{00000000-0008-0000-0700-000038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57" name="Retângulo: Cantos Arredondados 56">
          <a:hlinkClick xmlns:r="http://schemas.openxmlformats.org/officeDocument/2006/relationships" r:id="rId32"/>
          <a:extLst>
            <a:ext uri="{FF2B5EF4-FFF2-40B4-BE49-F238E27FC236}">
              <a16:creationId xmlns:a16="http://schemas.microsoft.com/office/drawing/2014/main" id="{00000000-0008-0000-0700-000039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58" name="Agrupar 57">
          <a:hlinkClick xmlns:r="http://schemas.openxmlformats.org/officeDocument/2006/relationships" r:id="rId32"/>
          <a:extLst>
            <a:ext uri="{FF2B5EF4-FFF2-40B4-BE49-F238E27FC236}">
              <a16:creationId xmlns:a16="http://schemas.microsoft.com/office/drawing/2014/main" id="{00000000-0008-0000-0700-00003A000000}"/>
            </a:ext>
          </a:extLst>
        </xdr:cNvPr>
        <xdr:cNvGrpSpPr/>
      </xdr:nvGrpSpPr>
      <xdr:grpSpPr>
        <a:xfrm>
          <a:off x="419100" y="14678025"/>
          <a:ext cx="4057200" cy="2401200"/>
          <a:chOff x="419100" y="14678025"/>
          <a:chExt cx="4057200" cy="2401200"/>
        </a:xfrm>
      </xdr:grpSpPr>
      <xdr:sp macro="" textlink="">
        <xdr:nvSpPr>
          <xdr:cNvPr id="59" name="Retângulo 58">
            <a:extLst>
              <a:ext uri="{FF2B5EF4-FFF2-40B4-BE49-F238E27FC236}">
                <a16:creationId xmlns:a16="http://schemas.microsoft.com/office/drawing/2014/main" id="{00000000-0008-0000-0700-00003B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0" name="Gráfico 59" descr="Alvo">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61" name="CaixaDeTexto 60">
            <a:extLst>
              <a:ext uri="{FF2B5EF4-FFF2-40B4-BE49-F238E27FC236}">
                <a16:creationId xmlns:a16="http://schemas.microsoft.com/office/drawing/2014/main" id="{00000000-0008-0000-0700-00003D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2" name="Retângulo 61">
            <a:extLst>
              <a:ext uri="{FF2B5EF4-FFF2-40B4-BE49-F238E27FC236}">
                <a16:creationId xmlns:a16="http://schemas.microsoft.com/office/drawing/2014/main" id="{00000000-0008-0000-0700-00003E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63" name="Retângulo 62">
          <a:extLst>
            <a:ext uri="{FF2B5EF4-FFF2-40B4-BE49-F238E27FC236}">
              <a16:creationId xmlns:a16="http://schemas.microsoft.com/office/drawing/2014/main" id="{00000000-0008-0000-0700-00003F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64" name="CaixaDeTexto 63">
          <a:extLst>
            <a:ext uri="{FF2B5EF4-FFF2-40B4-BE49-F238E27FC236}">
              <a16:creationId xmlns:a16="http://schemas.microsoft.com/office/drawing/2014/main" id="{00000000-0008-0000-0700-000040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65" name="Gráfico 64" descr="Cabeça com engrenagens">
          <a:extLst>
            <a:ext uri="{FF2B5EF4-FFF2-40B4-BE49-F238E27FC236}">
              <a16:creationId xmlns:a16="http://schemas.microsoft.com/office/drawing/2014/main" id="{00000000-0008-0000-0700-00004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66" name="CaixaDeTexto 65">
          <a:extLst>
            <a:ext uri="{FF2B5EF4-FFF2-40B4-BE49-F238E27FC236}">
              <a16:creationId xmlns:a16="http://schemas.microsoft.com/office/drawing/2014/main" id="{00000000-0008-0000-0700-000042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67" name="Retângulo: Cantos Arredondados 66">
          <a:hlinkClick xmlns:r="http://schemas.openxmlformats.org/officeDocument/2006/relationships" r:id="rId37"/>
          <a:extLst>
            <a:ext uri="{FF2B5EF4-FFF2-40B4-BE49-F238E27FC236}">
              <a16:creationId xmlns:a16="http://schemas.microsoft.com/office/drawing/2014/main" id="{00000000-0008-0000-0700-000043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68" name="Agrupar 67">
          <a:hlinkClick xmlns:r="http://schemas.openxmlformats.org/officeDocument/2006/relationships" r:id="rId37"/>
          <a:extLst>
            <a:ext uri="{FF2B5EF4-FFF2-40B4-BE49-F238E27FC236}">
              <a16:creationId xmlns:a16="http://schemas.microsoft.com/office/drawing/2014/main" id="{00000000-0008-0000-0700-000044000000}"/>
            </a:ext>
          </a:extLst>
        </xdr:cNvPr>
        <xdr:cNvGrpSpPr/>
      </xdr:nvGrpSpPr>
      <xdr:grpSpPr>
        <a:xfrm>
          <a:off x="419100" y="17802225"/>
          <a:ext cx="4057200" cy="2401200"/>
          <a:chOff x="419100" y="17802225"/>
          <a:chExt cx="4057200" cy="2401200"/>
        </a:xfrm>
      </xdr:grpSpPr>
      <xdr:sp macro="" textlink="">
        <xdr:nvSpPr>
          <xdr:cNvPr id="69" name="Retângulo 68">
            <a:extLst>
              <a:ext uri="{FF2B5EF4-FFF2-40B4-BE49-F238E27FC236}">
                <a16:creationId xmlns:a16="http://schemas.microsoft.com/office/drawing/2014/main" id="{00000000-0008-0000-0700-000045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0" name="Gráfico 69" descr="Livros">
            <a:extLst>
              <a:ext uri="{FF2B5EF4-FFF2-40B4-BE49-F238E27FC236}">
                <a16:creationId xmlns:a16="http://schemas.microsoft.com/office/drawing/2014/main" id="{00000000-0008-0000-0700-000046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71" name="CaixaDeTexto 70">
            <a:extLst>
              <a:ext uri="{FF2B5EF4-FFF2-40B4-BE49-F238E27FC236}">
                <a16:creationId xmlns:a16="http://schemas.microsoft.com/office/drawing/2014/main" id="{00000000-0008-0000-0700-000047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2" name="Retângulo 71">
            <a:extLst>
              <a:ext uri="{FF2B5EF4-FFF2-40B4-BE49-F238E27FC236}">
                <a16:creationId xmlns:a16="http://schemas.microsoft.com/office/drawing/2014/main" id="{00000000-0008-0000-0700-000048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73" name="Retângulo 72">
          <a:extLst>
            <a:ext uri="{FF2B5EF4-FFF2-40B4-BE49-F238E27FC236}">
              <a16:creationId xmlns:a16="http://schemas.microsoft.com/office/drawing/2014/main" id="{00000000-0008-0000-0700-000049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74" name="CaixaDeTexto 73">
          <a:extLst>
            <a:ext uri="{FF2B5EF4-FFF2-40B4-BE49-F238E27FC236}">
              <a16:creationId xmlns:a16="http://schemas.microsoft.com/office/drawing/2014/main" id="{00000000-0008-0000-0700-00004A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75" name="Gráfico 74" descr="Manual">
          <a:extLst>
            <a:ext uri="{FF2B5EF4-FFF2-40B4-BE49-F238E27FC236}">
              <a16:creationId xmlns:a16="http://schemas.microsoft.com/office/drawing/2014/main" id="{00000000-0008-0000-0700-00004B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76" name="CaixaDeTexto 75">
          <a:extLst>
            <a:ext uri="{FF2B5EF4-FFF2-40B4-BE49-F238E27FC236}">
              <a16:creationId xmlns:a16="http://schemas.microsoft.com/office/drawing/2014/main" id="{00000000-0008-0000-0700-00004C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77" name="Retângulo: Cantos Arredondados 76">
          <a:hlinkClick xmlns:r="http://schemas.openxmlformats.org/officeDocument/2006/relationships" r:id="rId42"/>
          <a:extLst>
            <a:ext uri="{FF2B5EF4-FFF2-40B4-BE49-F238E27FC236}">
              <a16:creationId xmlns:a16="http://schemas.microsoft.com/office/drawing/2014/main" id="{00000000-0008-0000-0700-00004D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8" name="Agrupar 77">
          <a:hlinkClick xmlns:r="http://schemas.openxmlformats.org/officeDocument/2006/relationships" r:id="rId42"/>
          <a:extLst>
            <a:ext uri="{FF2B5EF4-FFF2-40B4-BE49-F238E27FC236}">
              <a16:creationId xmlns:a16="http://schemas.microsoft.com/office/drawing/2014/main" id="{00000000-0008-0000-0700-00004E000000}"/>
            </a:ext>
          </a:extLst>
        </xdr:cNvPr>
        <xdr:cNvGrpSpPr/>
      </xdr:nvGrpSpPr>
      <xdr:grpSpPr>
        <a:xfrm>
          <a:off x="419100" y="20907375"/>
          <a:ext cx="4057200" cy="2401200"/>
          <a:chOff x="419100" y="20907375"/>
          <a:chExt cx="4057200" cy="2401200"/>
        </a:xfrm>
      </xdr:grpSpPr>
      <xdr:sp macro="" textlink="">
        <xdr:nvSpPr>
          <xdr:cNvPr id="79" name="Retângulo 78">
            <a:extLst>
              <a:ext uri="{FF2B5EF4-FFF2-40B4-BE49-F238E27FC236}">
                <a16:creationId xmlns:a16="http://schemas.microsoft.com/office/drawing/2014/main" id="{00000000-0008-0000-0700-00004F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0" name="Gráfico 79" descr="Matemática">
            <a:extLst>
              <a:ext uri="{FF2B5EF4-FFF2-40B4-BE49-F238E27FC236}">
                <a16:creationId xmlns:a16="http://schemas.microsoft.com/office/drawing/2014/main" id="{00000000-0008-0000-0700-000050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81" name="CaixaDeTexto 80">
            <a:extLst>
              <a:ext uri="{FF2B5EF4-FFF2-40B4-BE49-F238E27FC236}">
                <a16:creationId xmlns:a16="http://schemas.microsoft.com/office/drawing/2014/main" id="{00000000-0008-0000-0700-000051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2" name="Retângulo 81">
            <a:extLst>
              <a:ext uri="{FF2B5EF4-FFF2-40B4-BE49-F238E27FC236}">
                <a16:creationId xmlns:a16="http://schemas.microsoft.com/office/drawing/2014/main" id="{00000000-0008-0000-0700-000052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83" name="Retângulo 82">
          <a:extLst>
            <a:ext uri="{FF2B5EF4-FFF2-40B4-BE49-F238E27FC236}">
              <a16:creationId xmlns:a16="http://schemas.microsoft.com/office/drawing/2014/main" id="{00000000-0008-0000-0700-000053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84" name="CaixaDeTexto 83">
          <a:extLst>
            <a:ext uri="{FF2B5EF4-FFF2-40B4-BE49-F238E27FC236}">
              <a16:creationId xmlns:a16="http://schemas.microsoft.com/office/drawing/2014/main" id="{00000000-0008-0000-0700-000054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85" name="Gráfico 84" descr="Dinheiro">
          <a:extLst>
            <a:ext uri="{FF2B5EF4-FFF2-40B4-BE49-F238E27FC236}">
              <a16:creationId xmlns:a16="http://schemas.microsoft.com/office/drawing/2014/main" id="{00000000-0008-0000-0700-000055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86" name="CaixaDeTexto 85">
          <a:extLst>
            <a:ext uri="{FF2B5EF4-FFF2-40B4-BE49-F238E27FC236}">
              <a16:creationId xmlns:a16="http://schemas.microsoft.com/office/drawing/2014/main" id="{00000000-0008-0000-0700-000056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87" name="Retângulo: Cantos Arredondados 86">
          <a:hlinkClick xmlns:r="http://schemas.openxmlformats.org/officeDocument/2006/relationships" r:id="rId11"/>
          <a:extLst>
            <a:ext uri="{FF2B5EF4-FFF2-40B4-BE49-F238E27FC236}">
              <a16:creationId xmlns:a16="http://schemas.microsoft.com/office/drawing/2014/main" id="{00000000-0008-0000-0700-000057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88" name="Agrupar 87">
          <a:hlinkClick xmlns:r="http://schemas.openxmlformats.org/officeDocument/2006/relationships" r:id="rId11"/>
          <a:extLst>
            <a:ext uri="{FF2B5EF4-FFF2-40B4-BE49-F238E27FC236}">
              <a16:creationId xmlns:a16="http://schemas.microsoft.com/office/drawing/2014/main" id="{00000000-0008-0000-0700-000058000000}"/>
            </a:ext>
          </a:extLst>
        </xdr:cNvPr>
        <xdr:cNvGrpSpPr/>
      </xdr:nvGrpSpPr>
      <xdr:grpSpPr>
        <a:xfrm>
          <a:off x="419100" y="24031575"/>
          <a:ext cx="4057200" cy="2401200"/>
          <a:chOff x="419100" y="24031575"/>
          <a:chExt cx="4057200" cy="2401200"/>
        </a:xfrm>
      </xdr:grpSpPr>
      <xdr:sp macro="" textlink="">
        <xdr:nvSpPr>
          <xdr:cNvPr id="89" name="Retângulo 88">
            <a:extLst>
              <a:ext uri="{FF2B5EF4-FFF2-40B4-BE49-F238E27FC236}">
                <a16:creationId xmlns:a16="http://schemas.microsoft.com/office/drawing/2014/main" id="{00000000-0008-0000-0700-000059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0" name="Gráfico 89" descr="Apresentação com gráfico de pizza">
            <a:extLst>
              <a:ext uri="{FF2B5EF4-FFF2-40B4-BE49-F238E27FC236}">
                <a16:creationId xmlns:a16="http://schemas.microsoft.com/office/drawing/2014/main" id="{00000000-0008-0000-0700-00005A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91" name="CaixaDeTexto 90">
            <a:extLst>
              <a:ext uri="{FF2B5EF4-FFF2-40B4-BE49-F238E27FC236}">
                <a16:creationId xmlns:a16="http://schemas.microsoft.com/office/drawing/2014/main" id="{00000000-0008-0000-0700-00005B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2" name="Retângulo 91">
            <a:extLst>
              <a:ext uri="{FF2B5EF4-FFF2-40B4-BE49-F238E27FC236}">
                <a16:creationId xmlns:a16="http://schemas.microsoft.com/office/drawing/2014/main" id="{00000000-0008-0000-0700-00005C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8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8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accent5">
                  <a:lumMod val="20000"/>
                  <a:lumOff val="80000"/>
                </a:schemeClr>
              </a:solidFill>
            </a:rPr>
            <a:t>Copyright © 2026 Onside Corporation ®</a:t>
          </a:r>
        </a:p>
        <a:p>
          <a:r>
            <a:rPr lang="pt-BR" sz="800">
              <a:solidFill>
                <a:schemeClr val="accent5">
                  <a:lumMod val="20000"/>
                  <a:lumOff val="80000"/>
                </a:schemeClr>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oneCellAnchor>
    <xdr:from>
      <xdr:col>2</xdr:col>
      <xdr:colOff>0</xdr:colOff>
      <xdr:row>14</xdr:row>
      <xdr:rowOff>0</xdr:rowOff>
    </xdr:from>
    <xdr:ext cx="914400" cy="914400"/>
    <xdr:pic>
      <xdr:nvPicPr>
        <xdr:cNvPr id="27" name="Gráfico 26" descr="Professor">
          <a:hlinkClick xmlns:r="http://schemas.openxmlformats.org/officeDocument/2006/relationships" r:id="rId14"/>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oneCellAnchor>
    <xdr:from>
      <xdr:col>1</xdr:col>
      <xdr:colOff>114299</xdr:colOff>
      <xdr:row>4</xdr:row>
      <xdr:rowOff>9525</xdr:rowOff>
    </xdr:from>
    <xdr:ext cx="12163425" cy="2753126"/>
    <xdr:sp macro="" textlink="">
      <xdr:nvSpPr>
        <xdr:cNvPr id="18" name="CaixaDeTexto 17">
          <a:extLst>
            <a:ext uri="{FF2B5EF4-FFF2-40B4-BE49-F238E27FC236}">
              <a16:creationId xmlns:a16="http://schemas.microsoft.com/office/drawing/2014/main" id="{00000000-0008-0000-0900-000012000000}"/>
            </a:ext>
          </a:extLst>
        </xdr:cNvPr>
        <xdr:cNvSpPr txBox="1"/>
      </xdr:nvSpPr>
      <xdr:spPr>
        <a:xfrm>
          <a:off x="228599" y="1485900"/>
          <a:ext cx="12163425" cy="2753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rtl="0" fontAlgn="base"/>
          <a:r>
            <a:rPr lang="pt-BR" sz="1000" b="0" i="0">
              <a:solidFill>
                <a:schemeClr val="tx1">
                  <a:lumMod val="65000"/>
                  <a:lumOff val="35000"/>
                </a:schemeClr>
              </a:solidFill>
              <a:effectLst/>
              <a:latin typeface="+mn-lt"/>
              <a:ea typeface="+mn-ea"/>
              <a:cs typeface="+mn-cs"/>
            </a:rPr>
            <a:t>Fazendo a comparação com o painel de um carro, você possui informações sobre velocidade, nível de combustível, temperatura do motor, nível de óleo e demais alertas. E todas estas informações são necessárias para que você possa fazer uma viagem ou um deslocamento com segurança e como dados para te auxiliar nas tomadas de decisão.</a:t>
          </a:r>
        </a:p>
        <a:p>
          <a:pPr rtl="0" fontAlgn="base"/>
          <a:br>
            <a:rPr lang="pt-BR" sz="1000" b="0" i="0">
              <a:solidFill>
                <a:schemeClr val="tx1">
                  <a:lumMod val="65000"/>
                  <a:lumOff val="35000"/>
                </a:schemeClr>
              </a:solidFill>
              <a:effectLst/>
              <a:latin typeface="+mn-lt"/>
              <a:ea typeface="+mn-ea"/>
              <a:cs typeface="+mn-cs"/>
            </a:rPr>
          </a:br>
          <a:r>
            <a:rPr lang="pt-BR" sz="1000" b="0" i="0">
              <a:solidFill>
                <a:schemeClr val="tx1">
                  <a:lumMod val="65000"/>
                  <a:lumOff val="35000"/>
                </a:schemeClr>
              </a:solidFill>
              <a:effectLst/>
              <a:latin typeface="+mn-lt"/>
              <a:ea typeface="+mn-ea"/>
              <a:cs typeface="+mn-cs"/>
            </a:rPr>
            <a:t>E algo semelhante acontece com a gestão de uma empresa, você precisa ter acesso rápido à dados bem estruturados sobre suas finanças para que você possa planejar ações e tomar decisões.</a:t>
          </a:r>
        </a:p>
        <a:p>
          <a:pPr rtl="0" fontAlgn="base"/>
          <a:br>
            <a:rPr lang="pt-BR" sz="1000" b="0" i="0">
              <a:solidFill>
                <a:schemeClr val="tx1">
                  <a:lumMod val="65000"/>
                  <a:lumOff val="35000"/>
                </a:schemeClr>
              </a:solidFill>
              <a:effectLst/>
              <a:latin typeface="+mn-lt"/>
              <a:ea typeface="+mn-ea"/>
              <a:cs typeface="+mn-cs"/>
            </a:rPr>
          </a:br>
          <a:r>
            <a:rPr lang="pt-BR" sz="1000" b="0" i="0">
              <a:solidFill>
                <a:schemeClr val="tx1">
                  <a:lumMod val="65000"/>
                  <a:lumOff val="35000"/>
                </a:schemeClr>
              </a:solidFill>
              <a:effectLst/>
              <a:latin typeface="+mn-lt"/>
              <a:ea typeface="+mn-ea"/>
              <a:cs typeface="+mn-cs"/>
            </a:rPr>
            <a:t>O objetivo do dashboard é possibilitar o monitoramento dos resultados de um escritório distribuídos em diversos indicadores, pois o que não é medido não pode ser controlado.</a:t>
          </a:r>
        </a:p>
        <a:p>
          <a:pPr rtl="0" fontAlgn="base"/>
          <a:br>
            <a:rPr lang="pt-BR" sz="1000" b="0" i="0">
              <a:solidFill>
                <a:schemeClr val="tx1">
                  <a:lumMod val="65000"/>
                  <a:lumOff val="35000"/>
                </a:schemeClr>
              </a:solidFill>
              <a:effectLst/>
              <a:latin typeface="+mn-lt"/>
              <a:ea typeface="+mn-ea"/>
              <a:cs typeface="+mn-cs"/>
            </a:rPr>
          </a:br>
          <a:r>
            <a:rPr lang="pt-BR" sz="1000" b="1" i="1">
              <a:solidFill>
                <a:schemeClr val="tx1">
                  <a:lumMod val="65000"/>
                  <a:lumOff val="35000"/>
                </a:schemeClr>
              </a:solidFill>
              <a:effectLst/>
              <a:latin typeface="+mn-lt"/>
              <a:ea typeface="+mn-ea"/>
              <a:cs typeface="+mn-cs"/>
            </a:rPr>
            <a:t>“Medir é importante: o que não é medido não é gerenciado”</a:t>
          </a:r>
          <a:r>
            <a:rPr lang="pt-BR" sz="1000" b="0" i="0">
              <a:solidFill>
                <a:schemeClr val="tx1">
                  <a:lumMod val="65000"/>
                  <a:lumOff val="35000"/>
                </a:schemeClr>
              </a:solidFill>
              <a:effectLst/>
              <a:latin typeface="+mn-lt"/>
              <a:ea typeface="+mn-ea"/>
              <a:cs typeface="+mn-cs"/>
            </a:rPr>
            <a:t> (KAPLAN; NORTON, 1997)</a:t>
          </a:r>
        </a:p>
        <a:p>
          <a:pPr rtl="0" fontAlgn="base"/>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Antes de trazer as vantagens e ferramentas mais apropriadas para os dashboards, vamos definir o conceito: dashboard nada mais é do que um painel de acompanhamento de dados, porém seu grande diferencial é a visualização gráfica e amigável das informações.</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Outra vantagem de sua utilização é a agilidade em acompanhar a origem de cada dado, o que é especialmente importante ao se analisar os resultados de uma empresa.</a:t>
          </a:r>
        </a:p>
        <a:p>
          <a:r>
            <a:rPr lang="pt-BR" sz="1000" b="0" i="0">
              <a:solidFill>
                <a:schemeClr val="tx1">
                  <a:lumMod val="65000"/>
                  <a:lumOff val="35000"/>
                </a:schemeClr>
              </a:solidFill>
              <a:effectLst/>
              <a:latin typeface="+mn-lt"/>
              <a:ea typeface="+mn-ea"/>
              <a:cs typeface="+mn-cs"/>
            </a:rPr>
            <a:t>Por exemplo, ao verificar um aumento nas despesas, é possível visualizar sua origem e o quanto isso impacta no caixa da empresa.</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Muitos gestores no dia a dia verificam rapidamente os dashboards que criaram, para ter ciência do andamento dos negócios e, pontualmente, geram relatórios mais detalhados. Assim, a facilidade em ver as informações necessárias já traz mais clareza e transparência à gestão.</a:t>
          </a:r>
        </a:p>
      </xdr:txBody>
    </xdr:sp>
    <xdr:clientData/>
  </xdr:oneCellAnchor>
  <xdr:twoCellAnchor editAs="oneCell">
    <xdr:from>
      <xdr:col>3</xdr:col>
      <xdr:colOff>752475</xdr:colOff>
      <xdr:row>11</xdr:row>
      <xdr:rowOff>0</xdr:rowOff>
    </xdr:from>
    <xdr:to>
      <xdr:col>4</xdr:col>
      <xdr:colOff>183375</xdr:colOff>
      <xdr:row>15</xdr:row>
      <xdr:rowOff>59550</xdr:rowOff>
    </xdr:to>
    <xdr:pic>
      <xdr:nvPicPr>
        <xdr:cNvPr id="20" name="Gráfico 19" descr="Apresentação com gráfico de barras">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828800" y="4543425"/>
          <a:ext cx="1812150" cy="1812150"/>
        </a:xfrm>
        <a:prstGeom prst="rect">
          <a:avLst/>
        </a:prstGeom>
      </xdr:spPr>
    </xdr:pic>
    <xdr:clientData/>
  </xdr:twoCellAnchor>
  <xdr:twoCellAnchor editAs="oneCell">
    <xdr:from>
      <xdr:col>0</xdr:col>
      <xdr:colOff>111900</xdr:colOff>
      <xdr:row>10</xdr:row>
      <xdr:rowOff>435750</xdr:rowOff>
    </xdr:from>
    <xdr:to>
      <xdr:col>3</xdr:col>
      <xdr:colOff>847725</xdr:colOff>
      <xdr:row>15</xdr:row>
      <xdr:rowOff>57150</xdr:rowOff>
    </xdr:to>
    <xdr:pic>
      <xdr:nvPicPr>
        <xdr:cNvPr id="22" name="Gráfico 21" descr="Apresentação com gráfico de pizza">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900" y="4541025"/>
          <a:ext cx="1812150" cy="1812150"/>
        </a:xfrm>
        <a:prstGeom prst="rect">
          <a:avLst/>
        </a:prstGeom>
      </xdr:spPr>
    </xdr:pic>
    <xdr:clientData/>
  </xdr:twoCellAnchor>
  <xdr:twoCellAnchor>
    <xdr:from>
      <xdr:col>3</xdr:col>
      <xdr:colOff>1581150</xdr:colOff>
      <xdr:row>12</xdr:row>
      <xdr:rowOff>333375</xdr:rowOff>
    </xdr:from>
    <xdr:to>
      <xdr:col>3</xdr:col>
      <xdr:colOff>1733550</xdr:colOff>
      <xdr:row>13</xdr:row>
      <xdr:rowOff>147225</xdr:rowOff>
    </xdr:to>
    <xdr:sp macro="" textlink="">
      <xdr:nvSpPr>
        <xdr:cNvPr id="16" name="Retângulo 15">
          <a:extLst>
            <a:ext uri="{FF2B5EF4-FFF2-40B4-BE49-F238E27FC236}">
              <a16:creationId xmlns:a16="http://schemas.microsoft.com/office/drawing/2014/main" id="{00000000-0008-0000-0900-000010000000}"/>
            </a:ext>
          </a:extLst>
        </xdr:cNvPr>
        <xdr:cNvSpPr/>
      </xdr:nvSpPr>
      <xdr:spPr>
        <a:xfrm>
          <a:off x="2657475" y="5314950"/>
          <a:ext cx="152400" cy="252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1809750</xdr:colOff>
      <xdr:row>12</xdr:row>
      <xdr:rowOff>228600</xdr:rowOff>
    </xdr:from>
    <xdr:to>
      <xdr:col>3</xdr:col>
      <xdr:colOff>1962150</xdr:colOff>
      <xdr:row>13</xdr:row>
      <xdr:rowOff>142875</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2886075" y="5210175"/>
          <a:ext cx="152400" cy="352425"/>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1352550</xdr:colOff>
      <xdr:row>13</xdr:row>
      <xdr:rowOff>0</xdr:rowOff>
    </xdr:from>
    <xdr:to>
      <xdr:col>3</xdr:col>
      <xdr:colOff>1504950</xdr:colOff>
      <xdr:row>13</xdr:row>
      <xdr:rowOff>144000</xdr:rowOff>
    </xdr:to>
    <xdr:sp macro="" textlink="">
      <xdr:nvSpPr>
        <xdr:cNvPr id="23" name="Retângulo 22">
          <a:extLst>
            <a:ext uri="{FF2B5EF4-FFF2-40B4-BE49-F238E27FC236}">
              <a16:creationId xmlns:a16="http://schemas.microsoft.com/office/drawing/2014/main" id="{00000000-0008-0000-0900-000017000000}"/>
            </a:ext>
          </a:extLst>
        </xdr:cNvPr>
        <xdr:cNvSpPr/>
      </xdr:nvSpPr>
      <xdr:spPr>
        <a:xfrm>
          <a:off x="2428875" y="5419725"/>
          <a:ext cx="152400" cy="144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1581150</xdr:colOff>
      <xdr:row>12</xdr:row>
      <xdr:rowOff>142875</xdr:rowOff>
    </xdr:from>
    <xdr:to>
      <xdr:col>3</xdr:col>
      <xdr:colOff>1733550</xdr:colOff>
      <xdr:row>12</xdr:row>
      <xdr:rowOff>394875</xdr:rowOff>
    </xdr:to>
    <xdr:sp macro="" textlink="">
      <xdr:nvSpPr>
        <xdr:cNvPr id="24" name="Retângulo 23">
          <a:extLst>
            <a:ext uri="{FF2B5EF4-FFF2-40B4-BE49-F238E27FC236}">
              <a16:creationId xmlns:a16="http://schemas.microsoft.com/office/drawing/2014/main" id="{00000000-0008-0000-0900-000018000000}"/>
            </a:ext>
          </a:extLst>
        </xdr:cNvPr>
        <xdr:cNvSpPr/>
      </xdr:nvSpPr>
      <xdr:spPr>
        <a:xfrm>
          <a:off x="2657475" y="5124450"/>
          <a:ext cx="1524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1809750</xdr:colOff>
      <xdr:row>12</xdr:row>
      <xdr:rowOff>9525</xdr:rowOff>
    </xdr:from>
    <xdr:to>
      <xdr:col>3</xdr:col>
      <xdr:colOff>1962150</xdr:colOff>
      <xdr:row>12</xdr:row>
      <xdr:rowOff>225525</xdr:rowOff>
    </xdr:to>
    <xdr:sp macro="" textlink="">
      <xdr:nvSpPr>
        <xdr:cNvPr id="25" name="Retângulo 24">
          <a:extLst>
            <a:ext uri="{FF2B5EF4-FFF2-40B4-BE49-F238E27FC236}">
              <a16:creationId xmlns:a16="http://schemas.microsoft.com/office/drawing/2014/main" id="{00000000-0008-0000-0900-000019000000}"/>
            </a:ext>
          </a:extLst>
        </xdr:cNvPr>
        <xdr:cNvSpPr/>
      </xdr:nvSpPr>
      <xdr:spPr>
        <a:xfrm>
          <a:off x="2886075" y="4991100"/>
          <a:ext cx="152400" cy="216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1352550</xdr:colOff>
      <xdr:row>12</xdr:row>
      <xdr:rowOff>295275</xdr:rowOff>
    </xdr:from>
    <xdr:to>
      <xdr:col>3</xdr:col>
      <xdr:colOff>1504950</xdr:colOff>
      <xdr:row>13</xdr:row>
      <xdr:rowOff>1125</xdr:rowOff>
    </xdr:to>
    <xdr:sp macro="" textlink="">
      <xdr:nvSpPr>
        <xdr:cNvPr id="26" name="Retângulo 25">
          <a:extLst>
            <a:ext uri="{FF2B5EF4-FFF2-40B4-BE49-F238E27FC236}">
              <a16:creationId xmlns:a16="http://schemas.microsoft.com/office/drawing/2014/main" id="{00000000-0008-0000-0900-00001A000000}"/>
            </a:ext>
          </a:extLst>
        </xdr:cNvPr>
        <xdr:cNvSpPr/>
      </xdr:nvSpPr>
      <xdr:spPr>
        <a:xfrm>
          <a:off x="2428875" y="5276850"/>
          <a:ext cx="152400" cy="144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495300</xdr:colOff>
      <xdr:row>12</xdr:row>
      <xdr:rowOff>38100</xdr:rowOff>
    </xdr:from>
    <xdr:to>
      <xdr:col>3</xdr:col>
      <xdr:colOff>219075</xdr:colOff>
      <xdr:row>13</xdr:row>
      <xdr:rowOff>180975</xdr:rowOff>
    </xdr:to>
    <xdr:sp macro="" textlink="">
      <xdr:nvSpPr>
        <xdr:cNvPr id="19" name="Círculo Parcial 18">
          <a:extLst>
            <a:ext uri="{FF2B5EF4-FFF2-40B4-BE49-F238E27FC236}">
              <a16:creationId xmlns:a16="http://schemas.microsoft.com/office/drawing/2014/main" id="{00000000-0008-0000-0900-000013000000}"/>
            </a:ext>
          </a:extLst>
        </xdr:cNvPr>
        <xdr:cNvSpPr/>
      </xdr:nvSpPr>
      <xdr:spPr>
        <a:xfrm>
          <a:off x="723900" y="5019675"/>
          <a:ext cx="571500" cy="581025"/>
        </a:xfrm>
        <a:prstGeom prst="pie">
          <a:avLst>
            <a:gd name="adj1" fmla="val 2667460"/>
            <a:gd name="adj2" fmla="val 16200000"/>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editAs="absolute">
    <xdr:from>
      <xdr:col>3</xdr:col>
      <xdr:colOff>2085975</xdr:colOff>
      <xdr:row>1</xdr:row>
      <xdr:rowOff>142875</xdr:rowOff>
    </xdr:from>
    <xdr:to>
      <xdr:col>4</xdr:col>
      <xdr:colOff>784725</xdr:colOff>
      <xdr:row>2</xdr:row>
      <xdr:rowOff>13875</xdr:rowOff>
    </xdr:to>
    <xdr:sp macro="" textlink="">
      <xdr:nvSpPr>
        <xdr:cNvPr id="27" name="Retângulo 26">
          <a:hlinkClick xmlns:r="http://schemas.openxmlformats.org/officeDocument/2006/relationships" r:id="rId13"/>
          <a:extLst>
            <a:ext uri="{FF2B5EF4-FFF2-40B4-BE49-F238E27FC236}">
              <a16:creationId xmlns:a16="http://schemas.microsoft.com/office/drawing/2014/main" id="{00000000-0008-0000-0900-00001B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Metas</a:t>
          </a: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Retirar do Modo Sistema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3</xdr:col>
      <xdr:colOff>209550</xdr:colOff>
      <xdr:row>0</xdr:row>
      <xdr:rowOff>85725</xdr:rowOff>
    </xdr:from>
    <xdr:to>
      <xdr:col>3</xdr:col>
      <xdr:colOff>1289550</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1314450</xdr:colOff>
      <xdr:row>0</xdr:row>
      <xdr:rowOff>85725</xdr:rowOff>
    </xdr:from>
    <xdr:to>
      <xdr:col>3</xdr:col>
      <xdr:colOff>2394450</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2419350</xdr:colOff>
      <xdr:row>0</xdr:row>
      <xdr:rowOff>85725</xdr:rowOff>
    </xdr:from>
    <xdr:to>
      <xdr:col>3</xdr:col>
      <xdr:colOff>3499350</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A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3</xdr:col>
      <xdr:colOff>4629150</xdr:colOff>
      <xdr:row>0</xdr:row>
      <xdr:rowOff>85725</xdr:rowOff>
    </xdr:from>
    <xdr:to>
      <xdr:col>5</xdr:col>
      <xdr:colOff>298950</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A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323850</xdr:colOff>
      <xdr:row>0</xdr:row>
      <xdr:rowOff>85725</xdr:rowOff>
    </xdr:from>
    <xdr:to>
      <xdr:col>7</xdr:col>
      <xdr:colOff>184650</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A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209550</xdr:colOff>
      <xdr:row>0</xdr:row>
      <xdr:rowOff>85725</xdr:rowOff>
    </xdr:from>
    <xdr:to>
      <xdr:col>9</xdr:col>
      <xdr:colOff>70350</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A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1495425</xdr:colOff>
      <xdr:row>0</xdr:row>
      <xdr:rowOff>371475</xdr:rowOff>
    </xdr:from>
    <xdr:to>
      <xdr:col>3</xdr:col>
      <xdr:colOff>2215425</xdr:colOff>
      <xdr:row>0</xdr:row>
      <xdr:rowOff>388425</xdr:rowOff>
    </xdr:to>
    <xdr:sp macro="" textlink="">
      <xdr:nvSpPr>
        <xdr:cNvPr id="9" name="Retângulo 8">
          <a:extLst>
            <a:ext uri="{FF2B5EF4-FFF2-40B4-BE49-F238E27FC236}">
              <a16:creationId xmlns:a16="http://schemas.microsoft.com/office/drawing/2014/main" id="{00000000-0008-0000-0A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3524250</xdr:colOff>
      <xdr:row>0</xdr:row>
      <xdr:rowOff>85725</xdr:rowOff>
    </xdr:from>
    <xdr:to>
      <xdr:col>3</xdr:col>
      <xdr:colOff>4604250</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2" name="Agrupar 11">
          <a:extLst>
            <a:ext uri="{FF2B5EF4-FFF2-40B4-BE49-F238E27FC236}">
              <a16:creationId xmlns:a16="http://schemas.microsoft.com/office/drawing/2014/main" id="{00000000-0008-0000-0A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0A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0A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0A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3</xdr:col>
          <xdr:colOff>0</xdr:colOff>
          <xdr:row>2</xdr:row>
          <xdr:rowOff>371475</xdr:rowOff>
        </xdr:from>
        <xdr:to>
          <xdr:col>3</xdr:col>
          <xdr:colOff>1076325</xdr:colOff>
          <xdr:row>4</xdr:row>
          <xdr:rowOff>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1152525</xdr:colOff>
      <xdr:row>3</xdr:row>
      <xdr:rowOff>0</xdr:rowOff>
    </xdr:from>
    <xdr:to>
      <xdr:col>3</xdr:col>
      <xdr:colOff>1152525</xdr:colOff>
      <xdr:row>4</xdr:row>
      <xdr:rowOff>0</xdr:rowOff>
    </xdr:to>
    <xdr:cxnSp macro="">
      <xdr:nvCxnSpPr>
        <xdr:cNvPr id="20" name="Conector reto 19">
          <a:extLst>
            <a:ext uri="{FF2B5EF4-FFF2-40B4-BE49-F238E27FC236}">
              <a16:creationId xmlns:a16="http://schemas.microsoft.com/office/drawing/2014/main" id="{00000000-0008-0000-0A00-000014000000}"/>
            </a:ext>
          </a:extLst>
        </xdr:cNvPr>
        <xdr:cNvCxnSpPr/>
      </xdr:nvCxnSpPr>
      <xdr:spPr>
        <a:xfrm flipV="1">
          <a:off x="2428875" y="1200150"/>
          <a:ext cx="0" cy="276225"/>
        </a:xfrm>
        <a:prstGeom prst="line">
          <a:avLst/>
        </a:prstGeom>
        <a:ln>
          <a:solidFill>
            <a:schemeClr val="bg1">
              <a:lumMod val="50000"/>
            </a:schemeClr>
          </a:solidFill>
        </a:ln>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1142999</xdr:colOff>
      <xdr:row>3</xdr:row>
      <xdr:rowOff>0</xdr:rowOff>
    </xdr:from>
    <xdr:to>
      <xdr:col>3</xdr:col>
      <xdr:colOff>2222999</xdr:colOff>
      <xdr:row>3</xdr:row>
      <xdr:rowOff>1</xdr:rowOff>
    </xdr:to>
    <xdr:cxnSp macro="">
      <xdr:nvCxnSpPr>
        <xdr:cNvPr id="24" name="Conector reto 23">
          <a:extLst>
            <a:ext uri="{FF2B5EF4-FFF2-40B4-BE49-F238E27FC236}">
              <a16:creationId xmlns:a16="http://schemas.microsoft.com/office/drawing/2014/main" id="{00000000-0008-0000-0A00-000018000000}"/>
            </a:ext>
          </a:extLst>
        </xdr:cNvPr>
        <xdr:cNvCxnSpPr/>
      </xdr:nvCxnSpPr>
      <xdr:spPr>
        <a:xfrm flipV="1">
          <a:off x="2419349" y="1200150"/>
          <a:ext cx="1080000" cy="1"/>
        </a:xfrm>
        <a:prstGeom prst="line">
          <a:avLst/>
        </a:prstGeom>
        <a:ln>
          <a:solidFill>
            <a:schemeClr val="bg1">
              <a:lumMod val="50000"/>
            </a:schemeClr>
          </a:solidFill>
        </a:ln>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3</xdr:col>
          <xdr:colOff>2219325</xdr:colOff>
          <xdr:row>2</xdr:row>
          <xdr:rowOff>371475</xdr:rowOff>
        </xdr:from>
        <xdr:to>
          <xdr:col>3</xdr:col>
          <xdr:colOff>3295650</xdr:colOff>
          <xdr:row>4</xdr:row>
          <xdr:rowOff>0</xdr:rowOff>
        </xdr:to>
        <xdr:sp macro="" textlink="">
          <xdr:nvSpPr>
            <xdr:cNvPr id="7172" name="Drop Dow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1152524</xdr:colOff>
      <xdr:row>3</xdr:row>
      <xdr:rowOff>266700</xdr:rowOff>
    </xdr:from>
    <xdr:to>
      <xdr:col>3</xdr:col>
      <xdr:colOff>2232524</xdr:colOff>
      <xdr:row>3</xdr:row>
      <xdr:rowOff>266701</xdr:rowOff>
    </xdr:to>
    <xdr:cxnSp macro="">
      <xdr:nvCxnSpPr>
        <xdr:cNvPr id="28" name="Conector reto 27">
          <a:extLst>
            <a:ext uri="{FF2B5EF4-FFF2-40B4-BE49-F238E27FC236}">
              <a16:creationId xmlns:a16="http://schemas.microsoft.com/office/drawing/2014/main" id="{00000000-0008-0000-0A00-00001C000000}"/>
            </a:ext>
          </a:extLst>
        </xdr:cNvPr>
        <xdr:cNvCxnSpPr/>
      </xdr:nvCxnSpPr>
      <xdr:spPr>
        <a:xfrm flipV="1">
          <a:off x="2428874" y="1466850"/>
          <a:ext cx="1080000" cy="1"/>
        </a:xfrm>
        <a:prstGeom prst="line">
          <a:avLst/>
        </a:prstGeom>
        <a:ln>
          <a:solidFill>
            <a:schemeClr val="bg1">
              <a:lumMod val="85000"/>
            </a:schemeClr>
          </a:solidFill>
        </a:ln>
      </xdr:spPr>
      <xdr:style>
        <a:lnRef idx="1">
          <a:schemeClr val="accent3"/>
        </a:lnRef>
        <a:fillRef idx="0">
          <a:schemeClr val="accent3"/>
        </a:fillRef>
        <a:effectRef idx="0">
          <a:schemeClr val="accent3"/>
        </a:effectRef>
        <a:fontRef idx="minor">
          <a:schemeClr val="tx1"/>
        </a:fontRef>
      </xdr:style>
    </xdr:cxnSp>
    <xdr:clientData/>
  </xdr:twoCellAnchor>
  <xdr:oneCellAnchor>
    <xdr:from>
      <xdr:col>3</xdr:col>
      <xdr:colOff>1162049</xdr:colOff>
      <xdr:row>3</xdr:row>
      <xdr:rowOff>9525</xdr:rowOff>
    </xdr:from>
    <xdr:ext cx="1057275" cy="248851"/>
    <xdr:sp macro="" textlink="">
      <xdr:nvSpPr>
        <xdr:cNvPr id="23" name="CaixaDeTexto 22">
          <a:extLst>
            <a:ext uri="{FF2B5EF4-FFF2-40B4-BE49-F238E27FC236}">
              <a16:creationId xmlns:a16="http://schemas.microsoft.com/office/drawing/2014/main" id="{00000000-0008-0000-0A00-000017000000}"/>
            </a:ext>
          </a:extLst>
        </xdr:cNvPr>
        <xdr:cNvSpPr txBox="1"/>
      </xdr:nvSpPr>
      <xdr:spPr>
        <a:xfrm>
          <a:off x="2438399" y="1209675"/>
          <a:ext cx="1057275" cy="24885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chemeClr val="tx1">
                  <a:lumMod val="65000"/>
                  <a:lumOff val="35000"/>
                </a:schemeClr>
              </a:solidFill>
            </a:rPr>
            <a:t>Ano</a:t>
          </a:r>
          <a:r>
            <a:rPr lang="pt-BR" sz="1000" baseline="0">
              <a:solidFill>
                <a:schemeClr val="tx1">
                  <a:lumMod val="65000"/>
                  <a:lumOff val="35000"/>
                </a:schemeClr>
              </a:solidFill>
            </a:rPr>
            <a:t> 02</a:t>
          </a:r>
          <a:endParaRPr lang="pt-BR" sz="1000">
            <a:solidFill>
              <a:schemeClr val="tx1">
                <a:lumMod val="65000"/>
                <a:lumOff val="35000"/>
              </a:schemeClr>
            </a:solidFill>
          </a:endParaRPr>
        </a:p>
      </xdr:txBody>
    </xdr:sp>
    <xdr:clientData/>
  </xdr:oneCellAnchor>
  <xdr:twoCellAnchor editAs="absolute">
    <xdr:from>
      <xdr:col>3</xdr:col>
      <xdr:colOff>3362324</xdr:colOff>
      <xdr:row>3</xdr:row>
      <xdr:rowOff>0</xdr:rowOff>
    </xdr:from>
    <xdr:to>
      <xdr:col>4</xdr:col>
      <xdr:colOff>1724</xdr:colOff>
      <xdr:row>3</xdr:row>
      <xdr:rowOff>1</xdr:rowOff>
    </xdr:to>
    <xdr:cxnSp macro="">
      <xdr:nvCxnSpPr>
        <xdr:cNvPr id="30" name="Conector reto 29">
          <a:extLst>
            <a:ext uri="{FF2B5EF4-FFF2-40B4-BE49-F238E27FC236}">
              <a16:creationId xmlns:a16="http://schemas.microsoft.com/office/drawing/2014/main" id="{00000000-0008-0000-0A00-00001E000000}"/>
            </a:ext>
          </a:extLst>
        </xdr:cNvPr>
        <xdr:cNvCxnSpPr/>
      </xdr:nvCxnSpPr>
      <xdr:spPr>
        <a:xfrm flipV="1">
          <a:off x="4638674" y="1200150"/>
          <a:ext cx="1440000" cy="1"/>
        </a:xfrm>
        <a:prstGeom prst="line">
          <a:avLst/>
        </a:prstGeom>
        <a:ln>
          <a:solidFill>
            <a:schemeClr val="bg1">
              <a:lumMod val="50000"/>
            </a:schemeClr>
          </a:solidFill>
        </a:ln>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3362324</xdr:colOff>
      <xdr:row>3</xdr:row>
      <xdr:rowOff>266700</xdr:rowOff>
    </xdr:from>
    <xdr:to>
      <xdr:col>4</xdr:col>
      <xdr:colOff>1724</xdr:colOff>
      <xdr:row>3</xdr:row>
      <xdr:rowOff>266701</xdr:rowOff>
    </xdr:to>
    <xdr:cxnSp macro="">
      <xdr:nvCxnSpPr>
        <xdr:cNvPr id="31" name="Conector reto 30">
          <a:extLst>
            <a:ext uri="{FF2B5EF4-FFF2-40B4-BE49-F238E27FC236}">
              <a16:creationId xmlns:a16="http://schemas.microsoft.com/office/drawing/2014/main" id="{00000000-0008-0000-0A00-00001F000000}"/>
            </a:ext>
          </a:extLst>
        </xdr:cNvPr>
        <xdr:cNvCxnSpPr/>
      </xdr:nvCxnSpPr>
      <xdr:spPr>
        <a:xfrm flipV="1">
          <a:off x="4638674" y="1466850"/>
          <a:ext cx="1440000" cy="1"/>
        </a:xfrm>
        <a:prstGeom prst="line">
          <a:avLst/>
        </a:prstGeom>
        <a:ln>
          <a:solidFill>
            <a:schemeClr val="bg1">
              <a:lumMod val="85000"/>
            </a:schemeClr>
          </a:solidFill>
        </a:ln>
      </xdr:spPr>
      <xdr:style>
        <a:lnRef idx="1">
          <a:schemeClr val="accent3"/>
        </a:lnRef>
        <a:fillRef idx="0">
          <a:schemeClr val="accent3"/>
        </a:fillRef>
        <a:effectRef idx="0">
          <a:schemeClr val="accent3"/>
        </a:effectRef>
        <a:fontRef idx="minor">
          <a:schemeClr val="tx1"/>
        </a:fontRef>
      </xdr:style>
    </xdr:cxnSp>
    <xdr:clientData/>
  </xdr:twoCellAnchor>
  <xdr:oneCellAnchor>
    <xdr:from>
      <xdr:col>3</xdr:col>
      <xdr:colOff>3381375</xdr:colOff>
      <xdr:row>3</xdr:row>
      <xdr:rowOff>9525</xdr:rowOff>
    </xdr:from>
    <xdr:ext cx="1409700" cy="248851"/>
    <xdr:sp macro="" textlink="">
      <xdr:nvSpPr>
        <xdr:cNvPr id="32" name="CaixaDeTexto 31">
          <a:extLst>
            <a:ext uri="{FF2B5EF4-FFF2-40B4-BE49-F238E27FC236}">
              <a16:creationId xmlns:a16="http://schemas.microsoft.com/office/drawing/2014/main" id="{00000000-0008-0000-0A00-000020000000}"/>
            </a:ext>
          </a:extLst>
        </xdr:cNvPr>
        <xdr:cNvSpPr txBox="1"/>
      </xdr:nvSpPr>
      <xdr:spPr>
        <a:xfrm>
          <a:off x="4657725" y="1209675"/>
          <a:ext cx="1409700" cy="24885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chemeClr val="tx1">
                  <a:lumMod val="65000"/>
                  <a:lumOff val="35000"/>
                </a:schemeClr>
              </a:solidFill>
            </a:rPr>
            <a:t>Data Apresentação</a:t>
          </a:r>
        </a:p>
      </xdr:txBody>
    </xdr:sp>
    <xdr:clientData/>
  </xdr:oneCellAnchor>
  <xdr:twoCellAnchor editAs="absolute">
    <xdr:from>
      <xdr:col>3</xdr:col>
      <xdr:colOff>3371850</xdr:colOff>
      <xdr:row>3</xdr:row>
      <xdr:rowOff>0</xdr:rowOff>
    </xdr:from>
    <xdr:to>
      <xdr:col>3</xdr:col>
      <xdr:colOff>3371850</xdr:colOff>
      <xdr:row>4</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flipV="1">
          <a:off x="4648200" y="1200150"/>
          <a:ext cx="0" cy="276225"/>
        </a:xfrm>
        <a:prstGeom prst="line">
          <a:avLst/>
        </a:prstGeom>
        <a:ln>
          <a:solidFill>
            <a:schemeClr val="bg1">
              <a:lumMod val="50000"/>
            </a:schemeClr>
          </a:solidFill>
        </a:ln>
      </xdr:spPr>
      <xdr:style>
        <a:lnRef idx="3">
          <a:schemeClr val="accent3"/>
        </a:lnRef>
        <a:fillRef idx="0">
          <a:schemeClr val="accent3"/>
        </a:fillRef>
        <a:effectRef idx="2">
          <a:schemeClr val="accent3"/>
        </a:effectRef>
        <a:fontRef idx="minor">
          <a:schemeClr val="tx1"/>
        </a:fontRef>
      </xdr:style>
    </xdr:cxnSp>
    <xdr:clientData/>
  </xdr:twoCellAnchor>
  <xdr:oneCellAnchor>
    <xdr:from>
      <xdr:col>2</xdr:col>
      <xdr:colOff>9525</xdr:colOff>
      <xdr:row>3</xdr:row>
      <xdr:rowOff>9525</xdr:rowOff>
    </xdr:from>
    <xdr:ext cx="552908" cy="248851"/>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238125" y="1209675"/>
          <a:ext cx="55290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65000"/>
                  <a:lumOff val="35000"/>
                </a:schemeClr>
              </a:solidFill>
            </a:rPr>
            <a:t>Ano</a:t>
          </a:r>
          <a:r>
            <a:rPr lang="pt-BR" sz="1000" baseline="0">
              <a:solidFill>
                <a:schemeClr val="tx1">
                  <a:lumMod val="65000"/>
                  <a:lumOff val="35000"/>
                </a:schemeClr>
              </a:solidFill>
            </a:rPr>
            <a:t> 01</a:t>
          </a:r>
          <a:endParaRPr lang="pt-BR" sz="1000">
            <a:solidFill>
              <a:schemeClr val="tx1">
                <a:lumMod val="65000"/>
                <a:lumOff val="35000"/>
              </a:schemeClr>
            </a:solidFill>
          </a:endParaRPr>
        </a:p>
      </xdr:txBody>
    </xdr:sp>
    <xdr:clientData/>
  </xdr:oneCellAnchor>
  <mc:AlternateContent xmlns:mc="http://schemas.openxmlformats.org/markup-compatibility/2006">
    <mc:Choice xmlns:a14="http://schemas.microsoft.com/office/drawing/2010/main" Requires="a14">
      <xdr:twoCellAnchor editAs="absolute">
        <xdr:from>
          <xdr:col>4</xdr:col>
          <xdr:colOff>0</xdr:colOff>
          <xdr:row>2</xdr:row>
          <xdr:rowOff>371475</xdr:rowOff>
        </xdr:from>
        <xdr:to>
          <xdr:col>5</xdr:col>
          <xdr:colOff>114300</xdr:colOff>
          <xdr:row>4</xdr:row>
          <xdr:rowOff>0</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2</xdr:row>
          <xdr:rowOff>371475</xdr:rowOff>
        </xdr:from>
        <xdr:to>
          <xdr:col>6</xdr:col>
          <xdr:colOff>238125</xdr:colOff>
          <xdr:row>4</xdr:row>
          <xdr:rowOff>0</xdr:rowOff>
        </xdr:to>
        <xdr:sp macro="" textlink="">
          <xdr:nvSpPr>
            <xdr:cNvPr id="7174" name="Drop Down 6"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xdr:row>
          <xdr:rowOff>371475</xdr:rowOff>
        </xdr:from>
        <xdr:to>
          <xdr:col>8</xdr:col>
          <xdr:colOff>104775</xdr:colOff>
          <xdr:row>4</xdr:row>
          <xdr:rowOff>0</xdr:rowOff>
        </xdr:to>
        <xdr:sp macro="" textlink="">
          <xdr:nvSpPr>
            <xdr:cNvPr id="7175" name="Drop Down 7" hidden="1">
              <a:extLst>
                <a:ext uri="{63B3BB69-23CF-44E3-9099-C40C66FF867C}">
                  <a14:compatExt spid="_x0000_s7175"/>
                </a:ext>
                <a:ext uri="{FF2B5EF4-FFF2-40B4-BE49-F238E27FC236}">
                  <a16:creationId xmlns:a16="http://schemas.microsoft.com/office/drawing/2014/main" id="{00000000-0008-0000-0A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742950</xdr:colOff>
      <xdr:row>1</xdr:row>
      <xdr:rowOff>142875</xdr:rowOff>
    </xdr:from>
    <xdr:to>
      <xdr:col>3</xdr:col>
      <xdr:colOff>775200</xdr:colOff>
      <xdr:row>2</xdr:row>
      <xdr:rowOff>13875</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0A00-000023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790575</xdr:colOff>
      <xdr:row>1</xdr:row>
      <xdr:rowOff>142875</xdr:rowOff>
    </xdr:from>
    <xdr:to>
      <xdr:col>3</xdr:col>
      <xdr:colOff>1870575</xdr:colOff>
      <xdr:row>2</xdr:row>
      <xdr:rowOff>13875</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0A00-000024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Empresa</a:t>
          </a:r>
        </a:p>
      </xdr:txBody>
    </xdr:sp>
    <xdr:clientData/>
  </xdr:twoCellAnchor>
  <xdr:twoCellAnchor editAs="absolute">
    <xdr:from>
      <xdr:col>3</xdr:col>
      <xdr:colOff>1885950</xdr:colOff>
      <xdr:row>1</xdr:row>
      <xdr:rowOff>142875</xdr:rowOff>
    </xdr:from>
    <xdr:to>
      <xdr:col>3</xdr:col>
      <xdr:colOff>2965950</xdr:colOff>
      <xdr:row>2</xdr:row>
      <xdr:rowOff>13875</xdr:rowOff>
    </xdr:to>
    <xdr:sp macro="" textlink="">
      <xdr:nvSpPr>
        <xdr:cNvPr id="37" name="Retângulo 36">
          <a:hlinkClick xmlns:r="http://schemas.openxmlformats.org/officeDocument/2006/relationships" r:id="rId9"/>
          <a:extLst>
            <a:ext uri="{FF2B5EF4-FFF2-40B4-BE49-F238E27FC236}">
              <a16:creationId xmlns:a16="http://schemas.microsoft.com/office/drawing/2014/main" id="{00000000-0008-0000-0A00-000025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Metas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0B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0B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0B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0B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0B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19050</xdr:colOff>
      <xdr:row>0</xdr:row>
      <xdr:rowOff>371475</xdr:rowOff>
    </xdr:from>
    <xdr:to>
      <xdr:col>4</xdr:col>
      <xdr:colOff>739050</xdr:colOff>
      <xdr:row>0</xdr:row>
      <xdr:rowOff>388425</xdr:rowOff>
    </xdr:to>
    <xdr:sp macro="" textlink="">
      <xdr:nvSpPr>
        <xdr:cNvPr id="9" name="Retângulo 8">
          <a:extLst>
            <a:ext uri="{FF2B5EF4-FFF2-40B4-BE49-F238E27FC236}">
              <a16:creationId xmlns:a16="http://schemas.microsoft.com/office/drawing/2014/main" id="{00000000-0008-0000-0B00-000009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B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2" name="Agrupar 11">
          <a:extLst>
            <a:ext uri="{FF2B5EF4-FFF2-40B4-BE49-F238E27FC236}">
              <a16:creationId xmlns:a16="http://schemas.microsoft.com/office/drawing/2014/main" id="{00000000-0008-0000-0B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0B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0B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31" name="Retângulo 30">
          <a:hlinkClick xmlns:r="http://schemas.openxmlformats.org/officeDocument/2006/relationships" r:id="rId2"/>
          <a:extLst>
            <a:ext uri="{FF2B5EF4-FFF2-40B4-BE49-F238E27FC236}">
              <a16:creationId xmlns:a16="http://schemas.microsoft.com/office/drawing/2014/main" id="{00000000-0008-0000-0B00-00001F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123825</xdr:colOff>
      <xdr:row>1</xdr:row>
      <xdr:rowOff>142875</xdr:rowOff>
    </xdr:from>
    <xdr:to>
      <xdr:col>4</xdr:col>
      <xdr:colOff>394200</xdr:colOff>
      <xdr:row>2</xdr:row>
      <xdr:rowOff>13875</xdr:rowOff>
    </xdr:to>
    <xdr:sp macro="" textlink="">
      <xdr:nvSpPr>
        <xdr:cNvPr id="32" name="Retângulo 31">
          <a:hlinkClick xmlns:r="http://schemas.openxmlformats.org/officeDocument/2006/relationships" r:id="rId8"/>
          <a:extLst>
            <a:ext uri="{FF2B5EF4-FFF2-40B4-BE49-F238E27FC236}">
              <a16:creationId xmlns:a16="http://schemas.microsoft.com/office/drawing/2014/main" id="{00000000-0008-0000-0B00-00002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4</xdr:col>
      <xdr:colOff>409575</xdr:colOff>
      <xdr:row>1</xdr:row>
      <xdr:rowOff>142875</xdr:rowOff>
    </xdr:from>
    <xdr:to>
      <xdr:col>5</xdr:col>
      <xdr:colOff>679950</xdr:colOff>
      <xdr:row>2</xdr:row>
      <xdr:rowOff>13875</xdr:rowOff>
    </xdr:to>
    <xdr:sp macro="" textlink="">
      <xdr:nvSpPr>
        <xdr:cNvPr id="33" name="Retângulo 32">
          <a:hlinkClick xmlns:r="http://schemas.openxmlformats.org/officeDocument/2006/relationships" r:id="rId9"/>
          <a:extLst>
            <a:ext uri="{FF2B5EF4-FFF2-40B4-BE49-F238E27FC236}">
              <a16:creationId xmlns:a16="http://schemas.microsoft.com/office/drawing/2014/main" id="{00000000-0008-0000-0B00-000021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Metas</a:t>
          </a:r>
        </a:p>
      </xdr:txBody>
    </xdr:sp>
    <xdr:clientData/>
  </xdr:twoCellAnchor>
  <xdr:twoCellAnchor>
    <xdr:from>
      <xdr:col>1</xdr:col>
      <xdr:colOff>104775</xdr:colOff>
      <xdr:row>2</xdr:row>
      <xdr:rowOff>314325</xdr:rowOff>
    </xdr:from>
    <xdr:to>
      <xdr:col>2</xdr:col>
      <xdr:colOff>1250475</xdr:colOff>
      <xdr:row>2</xdr:row>
      <xdr:rowOff>602325</xdr:rowOff>
    </xdr:to>
    <xdr:sp macro="" textlink="'BH (2)'!C4">
      <xdr:nvSpPr>
        <xdr:cNvPr id="2" name="Retângulo 1">
          <a:hlinkClick xmlns:r="http://schemas.openxmlformats.org/officeDocument/2006/relationships" r:id="rId9"/>
          <a:extLst>
            <a:ext uri="{FF2B5EF4-FFF2-40B4-BE49-F238E27FC236}">
              <a16:creationId xmlns:a16="http://schemas.microsoft.com/office/drawing/2014/main" id="{00000000-0008-0000-0B00-000002000000}"/>
            </a:ext>
          </a:extLst>
        </xdr:cNvPr>
        <xdr:cNvSpPr/>
      </xdr:nvSpPr>
      <xdr:spPr>
        <a:xfrm>
          <a:off x="219075" y="1133475"/>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2C81047-3EA3-4A20-A6FB-67DE25C6654B}" type="TxLink">
            <a:rPr lang="en-US" sz="1000" b="0" i="0" u="none" strike="noStrike">
              <a:solidFill>
                <a:schemeClr val="bg1"/>
              </a:solidFill>
              <a:latin typeface="Calibri"/>
              <a:cs typeface="Calibri"/>
            </a:rPr>
            <a:pPr algn="ctr"/>
            <a:t>2025</a:t>
          </a:fld>
          <a:endParaRPr lang="pt-BR" sz="1000">
            <a:solidFill>
              <a:schemeClr val="bg1"/>
            </a:solidFill>
          </a:endParaRPr>
        </a:p>
      </xdr:txBody>
    </xdr:sp>
    <xdr:clientData/>
  </xdr:twoCellAnchor>
  <xdr:twoCellAnchor>
    <xdr:from>
      <xdr:col>1</xdr:col>
      <xdr:colOff>104775</xdr:colOff>
      <xdr:row>2</xdr:row>
      <xdr:rowOff>628650</xdr:rowOff>
    </xdr:from>
    <xdr:to>
      <xdr:col>4</xdr:col>
      <xdr:colOff>22350</xdr:colOff>
      <xdr:row>2</xdr:row>
      <xdr:rowOff>628650</xdr:rowOff>
    </xdr:to>
    <xdr:cxnSp macro="">
      <xdr:nvCxnSpPr>
        <xdr:cNvPr id="16" name="Conector reto 15">
          <a:extLst>
            <a:ext uri="{FF2B5EF4-FFF2-40B4-BE49-F238E27FC236}">
              <a16:creationId xmlns:a16="http://schemas.microsoft.com/office/drawing/2014/main" id="{00000000-0008-0000-0B00-000010000000}"/>
            </a:ext>
          </a:extLst>
        </xdr:cNvPr>
        <xdr:cNvCxnSpPr/>
      </xdr:nvCxnSpPr>
      <xdr:spPr>
        <a:xfrm>
          <a:off x="219075" y="1447800"/>
          <a:ext cx="255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2</xdr:col>
      <xdr:colOff>1276350</xdr:colOff>
      <xdr:row>2</xdr:row>
      <xdr:rowOff>314325</xdr:rowOff>
    </xdr:from>
    <xdr:to>
      <xdr:col>4</xdr:col>
      <xdr:colOff>12225</xdr:colOff>
      <xdr:row>2</xdr:row>
      <xdr:rowOff>602325</xdr:rowOff>
    </xdr:to>
    <xdr:sp macro="" textlink="'BH (2)'!C5">
      <xdr:nvSpPr>
        <xdr:cNvPr id="19" name="Retângulo 18">
          <a:hlinkClick xmlns:r="http://schemas.openxmlformats.org/officeDocument/2006/relationships" r:id="rId10"/>
          <a:extLst>
            <a:ext uri="{FF2B5EF4-FFF2-40B4-BE49-F238E27FC236}">
              <a16:creationId xmlns:a16="http://schemas.microsoft.com/office/drawing/2014/main" id="{00000000-0008-0000-0B00-000013000000}"/>
            </a:ext>
          </a:extLst>
        </xdr:cNvPr>
        <xdr:cNvSpPr/>
      </xdr:nvSpPr>
      <xdr:spPr>
        <a:xfrm>
          <a:off x="1504950" y="1133475"/>
          <a:ext cx="126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0D68F0-0B37-42BB-BB17-369542938761}" type="TxLink">
            <a:rPr lang="en-US" sz="1000" b="0" i="0" u="none" strike="noStrike">
              <a:solidFill>
                <a:schemeClr val="tx1">
                  <a:lumMod val="50000"/>
                  <a:lumOff val="50000"/>
                </a:schemeClr>
              </a:solidFill>
              <a:latin typeface="Calibri"/>
              <a:cs typeface="Calibri"/>
            </a:rPr>
            <a:pPr algn="ctr"/>
            <a:t>2026</a:t>
          </a:fld>
          <a:endParaRPr lang="pt-BR" sz="1000">
            <a:solidFill>
              <a:schemeClr val="tx1">
                <a:lumMod val="50000"/>
                <a:lumOff val="50000"/>
              </a:schemeClr>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19050</xdr:colOff>
      <xdr:row>0</xdr:row>
      <xdr:rowOff>371475</xdr:rowOff>
    </xdr:from>
    <xdr:to>
      <xdr:col>4</xdr:col>
      <xdr:colOff>739050</xdr:colOff>
      <xdr:row>0</xdr:row>
      <xdr:rowOff>388425</xdr:rowOff>
    </xdr:to>
    <xdr:sp macro="" textlink="">
      <xdr:nvSpPr>
        <xdr:cNvPr id="8" name="Retângulo 7">
          <a:extLst>
            <a:ext uri="{FF2B5EF4-FFF2-40B4-BE49-F238E27FC236}">
              <a16:creationId xmlns:a16="http://schemas.microsoft.com/office/drawing/2014/main" id="{00000000-0008-0000-0C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0" name="Agrupar 9">
          <a:extLst>
            <a:ext uri="{FF2B5EF4-FFF2-40B4-BE49-F238E27FC236}">
              <a16:creationId xmlns:a16="http://schemas.microsoft.com/office/drawing/2014/main" id="{00000000-0008-0000-0C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0C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0C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0C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14" name="Retângulo 13">
          <a:hlinkClick xmlns:r="http://schemas.openxmlformats.org/officeDocument/2006/relationships" r:id="rId2"/>
          <a:extLst>
            <a:ext uri="{FF2B5EF4-FFF2-40B4-BE49-F238E27FC236}">
              <a16:creationId xmlns:a16="http://schemas.microsoft.com/office/drawing/2014/main" id="{00000000-0008-0000-0C00-00000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3</xdr:col>
      <xdr:colOff>123825</xdr:colOff>
      <xdr:row>1</xdr:row>
      <xdr:rowOff>142875</xdr:rowOff>
    </xdr:from>
    <xdr:to>
      <xdr:col>4</xdr:col>
      <xdr:colOff>394200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4</xdr:col>
      <xdr:colOff>409575</xdr:colOff>
      <xdr:row>1</xdr:row>
      <xdr:rowOff>142875</xdr:rowOff>
    </xdr:from>
    <xdr:to>
      <xdr:col>5</xdr:col>
      <xdr:colOff>679950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C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Metas</a:t>
          </a:r>
        </a:p>
      </xdr:txBody>
    </xdr:sp>
    <xdr:clientData/>
  </xdr:twoCellAnchor>
  <xdr:twoCellAnchor>
    <xdr:from>
      <xdr:col>1</xdr:col>
      <xdr:colOff>104775</xdr:colOff>
      <xdr:row>2</xdr:row>
      <xdr:rowOff>314325</xdr:rowOff>
    </xdr:from>
    <xdr:to>
      <xdr:col>2</xdr:col>
      <xdr:colOff>1250475</xdr:colOff>
      <xdr:row>2</xdr:row>
      <xdr:rowOff>602325</xdr:rowOff>
    </xdr:to>
    <xdr:sp macro="" textlink="'BH (2)'!C4">
      <xdr:nvSpPr>
        <xdr:cNvPr id="17" name="Retângulo 16">
          <a:hlinkClick xmlns:r="http://schemas.openxmlformats.org/officeDocument/2006/relationships" r:id="rId9"/>
          <a:extLst>
            <a:ext uri="{FF2B5EF4-FFF2-40B4-BE49-F238E27FC236}">
              <a16:creationId xmlns:a16="http://schemas.microsoft.com/office/drawing/2014/main" id="{00000000-0008-0000-0C00-000011000000}"/>
            </a:ext>
          </a:extLst>
        </xdr:cNvPr>
        <xdr:cNvSpPr/>
      </xdr:nvSpPr>
      <xdr:spPr>
        <a:xfrm>
          <a:off x="219075" y="1133475"/>
          <a:ext cx="1260000" cy="288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2C81047-3EA3-4A20-A6FB-67DE25C6654B}" type="TxLink">
            <a:rPr lang="en-US" sz="1000" b="0" i="0" u="none" strike="noStrike">
              <a:solidFill>
                <a:schemeClr val="tx1">
                  <a:lumMod val="50000"/>
                  <a:lumOff val="50000"/>
                </a:schemeClr>
              </a:solidFill>
              <a:latin typeface="Calibri"/>
              <a:cs typeface="Calibri"/>
            </a:rPr>
            <a:pPr algn="ctr"/>
            <a:t>2025</a:t>
          </a:fld>
          <a:endParaRPr lang="pt-BR" sz="1000">
            <a:solidFill>
              <a:schemeClr val="tx1">
                <a:lumMod val="50000"/>
                <a:lumOff val="50000"/>
              </a:schemeClr>
            </a:solidFill>
          </a:endParaRPr>
        </a:p>
      </xdr:txBody>
    </xdr:sp>
    <xdr:clientData/>
  </xdr:twoCellAnchor>
  <xdr:twoCellAnchor>
    <xdr:from>
      <xdr:col>1</xdr:col>
      <xdr:colOff>104775</xdr:colOff>
      <xdr:row>2</xdr:row>
      <xdr:rowOff>628650</xdr:rowOff>
    </xdr:from>
    <xdr:to>
      <xdr:col>4</xdr:col>
      <xdr:colOff>22350</xdr:colOff>
      <xdr:row>2</xdr:row>
      <xdr:rowOff>628650</xdr:rowOff>
    </xdr:to>
    <xdr:cxnSp macro="">
      <xdr:nvCxnSpPr>
        <xdr:cNvPr id="18" name="Conector reto 17">
          <a:extLst>
            <a:ext uri="{FF2B5EF4-FFF2-40B4-BE49-F238E27FC236}">
              <a16:creationId xmlns:a16="http://schemas.microsoft.com/office/drawing/2014/main" id="{00000000-0008-0000-0C00-000012000000}"/>
            </a:ext>
          </a:extLst>
        </xdr:cNvPr>
        <xdr:cNvCxnSpPr/>
      </xdr:nvCxnSpPr>
      <xdr:spPr>
        <a:xfrm>
          <a:off x="219075" y="1447800"/>
          <a:ext cx="255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2</xdr:col>
      <xdr:colOff>1276350</xdr:colOff>
      <xdr:row>2</xdr:row>
      <xdr:rowOff>314325</xdr:rowOff>
    </xdr:from>
    <xdr:to>
      <xdr:col>4</xdr:col>
      <xdr:colOff>12225</xdr:colOff>
      <xdr:row>2</xdr:row>
      <xdr:rowOff>602325</xdr:rowOff>
    </xdr:to>
    <xdr:sp macro="" textlink="'BH (2)'!C5">
      <xdr:nvSpPr>
        <xdr:cNvPr id="19" name="Retângulo 18">
          <a:hlinkClick xmlns:r="http://schemas.openxmlformats.org/officeDocument/2006/relationships" r:id="rId10"/>
          <a:extLst>
            <a:ext uri="{FF2B5EF4-FFF2-40B4-BE49-F238E27FC236}">
              <a16:creationId xmlns:a16="http://schemas.microsoft.com/office/drawing/2014/main" id="{00000000-0008-0000-0C00-000013000000}"/>
            </a:ext>
          </a:extLst>
        </xdr:cNvPr>
        <xdr:cNvSpPr/>
      </xdr:nvSpPr>
      <xdr:spPr>
        <a:xfrm>
          <a:off x="1504950" y="1133475"/>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0D68F0-0B37-42BB-BB17-369542938761}" type="TxLink">
            <a:rPr lang="en-US" sz="1000" b="0" i="0" u="none" strike="noStrike">
              <a:solidFill>
                <a:schemeClr val="bg1"/>
              </a:solidFill>
              <a:latin typeface="Calibri"/>
              <a:cs typeface="Calibri"/>
            </a:rPr>
            <a:pPr algn="ctr"/>
            <a:t>2026</a:t>
          </a:fld>
          <a:endParaRPr lang="pt-BR" sz="10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323850</xdr:colOff>
      <xdr:row>0</xdr:row>
      <xdr:rowOff>371475</xdr:rowOff>
    </xdr:from>
    <xdr:to>
      <xdr:col>6</xdr:col>
      <xdr:colOff>234225</xdr:colOff>
      <xdr:row>0</xdr:row>
      <xdr:rowOff>388425</xdr:rowOff>
    </xdr:to>
    <xdr:sp macro="" textlink="">
      <xdr:nvSpPr>
        <xdr:cNvPr id="8" name="Retângulo 7">
          <a:extLst>
            <a:ext uri="{FF2B5EF4-FFF2-40B4-BE49-F238E27FC236}">
              <a16:creationId xmlns:a16="http://schemas.microsoft.com/office/drawing/2014/main" id="{00000000-0008-0000-0D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108450</xdr:colOff>
      <xdr:row>2</xdr:row>
      <xdr:rowOff>13875</xdr:rowOff>
    </xdr:to>
    <xdr:sp macro="" textlink="'BH (2)'!C4">
      <xdr:nvSpPr>
        <xdr:cNvPr id="10" name="Retângulo 9">
          <a:hlinkClick xmlns:r="http://schemas.openxmlformats.org/officeDocument/2006/relationships" r:id="rId3"/>
          <a:extLst>
            <a:ext uri="{FF2B5EF4-FFF2-40B4-BE49-F238E27FC236}">
              <a16:creationId xmlns:a16="http://schemas.microsoft.com/office/drawing/2014/main" id="{00000000-0008-0000-0D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6F0E860-B7B3-4ADD-A428-1617D652C81C}" type="TxLink">
            <a:rPr lang="en-US" sz="1000" b="0" i="0" u="none" strike="noStrike">
              <a:solidFill>
                <a:srgbClr val="404040"/>
              </a:solidFill>
              <a:latin typeface="Calibri"/>
              <a:cs typeface="Calibri"/>
            </a:rPr>
            <a:pPr algn="ctr"/>
            <a:t>2025</a:t>
          </a:fld>
          <a:endParaRPr lang="pt-BR" sz="1000" b="0">
            <a:solidFill>
              <a:schemeClr val="tx1"/>
            </a:solidFill>
          </a:endParaRPr>
        </a:p>
      </xdr:txBody>
    </xdr:sp>
    <xdr:clientData/>
  </xdr:twoCellAnchor>
  <xdr:twoCellAnchor editAs="absolute">
    <xdr:from>
      <xdr:col>1</xdr:col>
      <xdr:colOff>5072</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D00-00000B000000}"/>
            </a:ext>
          </a:extLst>
        </xdr:cNvPr>
        <xdr:cNvGrpSpPr/>
      </xdr:nvGrpSpPr>
      <xdr:grpSpPr>
        <a:xfrm>
          <a:off x="119372" y="0"/>
          <a:ext cx="897587" cy="428625"/>
          <a:chOff x="142504" y="66675"/>
          <a:chExt cx="903030" cy="534208"/>
        </a:xfrm>
      </xdr:grpSpPr>
      <xdr:sp macro="" textlink="">
        <xdr:nvSpPr>
          <xdr:cNvPr id="12" name="CaixaDeTexto 11">
            <a:extLst>
              <a:ext uri="{FF2B5EF4-FFF2-40B4-BE49-F238E27FC236}">
                <a16:creationId xmlns:a16="http://schemas.microsoft.com/office/drawing/2014/main" id="{00000000-0008-0000-0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123825</xdr:colOff>
      <xdr:row>1</xdr:row>
      <xdr:rowOff>142875</xdr:rowOff>
    </xdr:from>
    <xdr:to>
      <xdr:col>4</xdr:col>
      <xdr:colOff>394200</xdr:colOff>
      <xdr:row>2</xdr:row>
      <xdr:rowOff>13875</xdr:rowOff>
    </xdr:to>
    <xdr:sp macro="" textlink="'BH (2)'!C5">
      <xdr:nvSpPr>
        <xdr:cNvPr id="15" name="Retângulo 14">
          <a:hlinkClick xmlns:r="http://schemas.openxmlformats.org/officeDocument/2006/relationships" r:id="rId8"/>
          <a:extLst>
            <a:ext uri="{FF2B5EF4-FFF2-40B4-BE49-F238E27FC236}">
              <a16:creationId xmlns:a16="http://schemas.microsoft.com/office/drawing/2014/main" id="{00000000-0008-0000-0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C515E5B-0B08-4850-B9A1-A15497F3F69D}" type="TxLink">
            <a:rPr lang="en-US" sz="1000" b="0" i="0" u="none" strike="noStrike">
              <a:solidFill>
                <a:schemeClr val="bg1"/>
              </a:solidFill>
              <a:latin typeface="Calibri"/>
              <a:cs typeface="Calibri"/>
            </a:rPr>
            <a:pPr algn="ctr"/>
            <a:t>2026</a:t>
          </a:fld>
          <a:endParaRPr lang="pt-BR" sz="1000" b="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323850</xdr:colOff>
      <xdr:row>0</xdr:row>
      <xdr:rowOff>371475</xdr:rowOff>
    </xdr:from>
    <xdr:to>
      <xdr:col>6</xdr:col>
      <xdr:colOff>234225</xdr:colOff>
      <xdr:row>0</xdr:row>
      <xdr:rowOff>388425</xdr:rowOff>
    </xdr:to>
    <xdr:sp macro="" textlink="">
      <xdr:nvSpPr>
        <xdr:cNvPr id="8" name="Retângulo 7">
          <a:extLst>
            <a:ext uri="{FF2B5EF4-FFF2-40B4-BE49-F238E27FC236}">
              <a16:creationId xmlns:a16="http://schemas.microsoft.com/office/drawing/2014/main" id="{00000000-0008-0000-0E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108450</xdr:colOff>
      <xdr:row>2</xdr:row>
      <xdr:rowOff>13875</xdr:rowOff>
    </xdr:to>
    <xdr:sp macro="" textlink="'BH (2)'!C4">
      <xdr:nvSpPr>
        <xdr:cNvPr id="10" name="Retângulo 9">
          <a:hlinkClick xmlns:r="http://schemas.openxmlformats.org/officeDocument/2006/relationships" r:id="rId3"/>
          <a:extLst>
            <a:ext uri="{FF2B5EF4-FFF2-40B4-BE49-F238E27FC236}">
              <a16:creationId xmlns:a16="http://schemas.microsoft.com/office/drawing/2014/main" id="{00000000-0008-0000-0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6F0E860-B7B3-4ADD-A428-1617D652C81C}" type="TxLink">
            <a:rPr lang="en-US" sz="1000" b="0" i="0" u="none" strike="noStrike">
              <a:solidFill>
                <a:schemeClr val="bg1"/>
              </a:solidFill>
              <a:latin typeface="Calibri"/>
              <a:cs typeface="Calibri"/>
            </a:rPr>
            <a:pPr algn="ctr"/>
            <a:t>2025</a:t>
          </a:fld>
          <a:endParaRPr lang="pt-BR" sz="1000" b="0">
            <a:solidFill>
              <a:schemeClr val="bg1"/>
            </a:solidFill>
          </a:endParaRP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123825</xdr:colOff>
      <xdr:row>1</xdr:row>
      <xdr:rowOff>142875</xdr:rowOff>
    </xdr:from>
    <xdr:to>
      <xdr:col>4</xdr:col>
      <xdr:colOff>394200</xdr:colOff>
      <xdr:row>2</xdr:row>
      <xdr:rowOff>13875</xdr:rowOff>
    </xdr:to>
    <xdr:sp macro="" textlink="'BH (2)'!C5">
      <xdr:nvSpPr>
        <xdr:cNvPr id="15" name="Retângulo 14">
          <a:hlinkClick xmlns:r="http://schemas.openxmlformats.org/officeDocument/2006/relationships" r:id="rId8"/>
          <a:extLst>
            <a:ext uri="{FF2B5EF4-FFF2-40B4-BE49-F238E27FC236}">
              <a16:creationId xmlns:a16="http://schemas.microsoft.com/office/drawing/2014/main" id="{00000000-0008-0000-0E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C515E5B-0B08-4850-B9A1-A15497F3F69D}" type="TxLink">
            <a:rPr lang="en-US" sz="1000" b="0" i="0" u="none" strike="noStrike">
              <a:solidFill>
                <a:srgbClr val="404040"/>
              </a:solidFill>
              <a:latin typeface="Calibri"/>
              <a:cs typeface="Calibri"/>
            </a:rPr>
            <a:pPr algn="ctr"/>
            <a:t>2026</a:t>
          </a:fld>
          <a:endParaRPr lang="pt-BR" sz="1000" b="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619125</xdr:colOff>
      <xdr:row>0</xdr:row>
      <xdr:rowOff>371475</xdr:rowOff>
    </xdr:from>
    <xdr:to>
      <xdr:col>7</xdr:col>
      <xdr:colOff>529500</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Resultados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2</xdr:col>
      <xdr:colOff>19050</xdr:colOff>
      <xdr:row>2</xdr:row>
      <xdr:rowOff>123825</xdr:rowOff>
    </xdr:from>
    <xdr:ext cx="444737" cy="248851"/>
    <xdr:sp macro="" textlink="'BH (2)'!C4">
      <xdr:nvSpPr>
        <xdr:cNvPr id="16" name="CaixaDeTexto 15">
          <a:extLst>
            <a:ext uri="{FF2B5EF4-FFF2-40B4-BE49-F238E27FC236}">
              <a16:creationId xmlns:a16="http://schemas.microsoft.com/office/drawing/2014/main" id="{00000000-0008-0000-0F00-000010000000}"/>
            </a:ext>
          </a:extLst>
        </xdr:cNvPr>
        <xdr:cNvSpPr txBox="1"/>
      </xdr:nvSpPr>
      <xdr:spPr>
        <a:xfrm>
          <a:off x="247650" y="94297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017A9F1-FDFD-469F-9EBC-C7D85B214D05}" type="TxLink">
            <a:rPr lang="en-US" sz="1000" b="0" i="0" u="none" strike="noStrike">
              <a:solidFill>
                <a:schemeClr val="tx1"/>
              </a:solidFill>
              <a:latin typeface="Calibri"/>
              <a:cs typeface="Calibri"/>
            </a:rPr>
            <a:pPr/>
            <a:t>2025</a:t>
          </a:fld>
          <a:endParaRPr lang="pt-BR" sz="1100" b="0">
            <a:solidFill>
              <a:schemeClr val="tx1"/>
            </a:solidFill>
          </a:endParaRPr>
        </a:p>
      </xdr:txBody>
    </xdr:sp>
    <xdr:clientData/>
  </xdr:oneCellAnchor>
  <xdr:oneCellAnchor>
    <xdr:from>
      <xdr:col>2</xdr:col>
      <xdr:colOff>19050</xdr:colOff>
      <xdr:row>9</xdr:row>
      <xdr:rowOff>123825</xdr:rowOff>
    </xdr:from>
    <xdr:ext cx="444737" cy="248851"/>
    <xdr:sp macro="" textlink="'BH (2)'!C5">
      <xdr:nvSpPr>
        <xdr:cNvPr id="17" name="CaixaDeTexto 16">
          <a:extLst>
            <a:ext uri="{FF2B5EF4-FFF2-40B4-BE49-F238E27FC236}">
              <a16:creationId xmlns:a16="http://schemas.microsoft.com/office/drawing/2014/main" id="{00000000-0008-0000-0F00-000011000000}"/>
            </a:ext>
          </a:extLst>
        </xdr:cNvPr>
        <xdr:cNvSpPr txBox="1"/>
      </xdr:nvSpPr>
      <xdr:spPr>
        <a:xfrm>
          <a:off x="247650" y="94297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4FDCFAC2-BEE5-4DC5-8B35-BC5981B5CFD4}" type="TxLink">
            <a:rPr lang="en-US" sz="1000" b="0" i="0" u="none" strike="noStrike">
              <a:solidFill>
                <a:schemeClr val="tx1"/>
              </a:solidFill>
              <a:latin typeface="Calibri"/>
              <a:ea typeface="+mn-ea"/>
              <a:cs typeface="Calibri"/>
            </a:rPr>
            <a:pPr marL="0" indent="0"/>
            <a:t>2026</a:t>
          </a:fld>
          <a:endParaRPr lang="pt-BR" sz="1000" b="0" i="0" u="none" strike="noStrike">
            <a:solidFill>
              <a:schemeClr val="tx1"/>
            </a:solidFill>
            <a:latin typeface="Calibri"/>
            <a:ea typeface="+mn-ea"/>
            <a:cs typeface="Calibri"/>
          </a:endParaRPr>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95250</xdr:colOff>
      <xdr:row>0</xdr:row>
      <xdr:rowOff>371475</xdr:rowOff>
    </xdr:from>
    <xdr:to>
      <xdr:col>9</xdr:col>
      <xdr:colOff>5625</xdr:colOff>
      <xdr:row>0</xdr:row>
      <xdr:rowOff>388425</xdr:rowOff>
    </xdr:to>
    <xdr:sp macro="" textlink="">
      <xdr:nvSpPr>
        <xdr:cNvPr id="8" name="Retângulo 7">
          <a:extLst>
            <a:ext uri="{FF2B5EF4-FFF2-40B4-BE49-F238E27FC236}">
              <a16:creationId xmlns:a16="http://schemas.microsoft.com/office/drawing/2014/main" id="{00000000-0008-0000-10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0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Confronto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123825</xdr:colOff>
      <xdr:row>1</xdr:row>
      <xdr:rowOff>142875</xdr:rowOff>
    </xdr:from>
    <xdr:to>
      <xdr:col>4</xdr:col>
      <xdr:colOff>394200</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0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Evolução</a:t>
          </a:r>
        </a:p>
      </xdr:txBody>
    </xdr:sp>
    <xdr:clientData/>
  </xdr:twoCellAnchor>
  <xdr:twoCellAnchor editAs="absolute">
    <xdr:from>
      <xdr:col>4</xdr:col>
      <xdr:colOff>409575</xdr:colOff>
      <xdr:row>1</xdr:row>
      <xdr:rowOff>142875</xdr:rowOff>
    </xdr:from>
    <xdr:to>
      <xdr:col>5</xdr:col>
      <xdr:colOff>679950</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10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5</xdr:col>
      <xdr:colOff>695325</xdr:colOff>
      <xdr:row>1</xdr:row>
      <xdr:rowOff>142875</xdr:rowOff>
    </xdr:from>
    <xdr:to>
      <xdr:col>7</xdr:col>
      <xdr:colOff>156075</xdr:colOff>
      <xdr:row>2</xdr:row>
      <xdr:rowOff>13875</xdr:rowOff>
    </xdr:to>
    <xdr:sp macro="" textlink="">
      <xdr:nvSpPr>
        <xdr:cNvPr id="18" name="Retângulo 17">
          <a:hlinkClick xmlns:r="http://schemas.openxmlformats.org/officeDocument/2006/relationships" r:id="rId10"/>
          <a:extLst>
            <a:ext uri="{FF2B5EF4-FFF2-40B4-BE49-F238E27FC236}">
              <a16:creationId xmlns:a16="http://schemas.microsoft.com/office/drawing/2014/main" id="{00000000-0008-0000-1000-000012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2</xdr:col>
      <xdr:colOff>19050</xdr:colOff>
      <xdr:row>2</xdr:row>
      <xdr:rowOff>123825</xdr:rowOff>
    </xdr:from>
    <xdr:ext cx="444737" cy="248851"/>
    <xdr:sp macro="" textlink="'BH (2)'!C4">
      <xdr:nvSpPr>
        <xdr:cNvPr id="20" name="CaixaDeTexto 19">
          <a:extLst>
            <a:ext uri="{FF2B5EF4-FFF2-40B4-BE49-F238E27FC236}">
              <a16:creationId xmlns:a16="http://schemas.microsoft.com/office/drawing/2014/main" id="{00000000-0008-0000-1000-000014000000}"/>
            </a:ext>
          </a:extLst>
        </xdr:cNvPr>
        <xdr:cNvSpPr txBox="1"/>
      </xdr:nvSpPr>
      <xdr:spPr>
        <a:xfrm>
          <a:off x="247650" y="94297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017A9F1-FDFD-469F-9EBC-C7D85B214D05}" type="TxLink">
            <a:rPr lang="en-US" sz="1000" b="0" i="0" u="none" strike="noStrike">
              <a:solidFill>
                <a:schemeClr val="tx1"/>
              </a:solidFill>
              <a:latin typeface="Calibri"/>
              <a:cs typeface="Calibri"/>
            </a:rPr>
            <a:pPr/>
            <a:t>2025</a:t>
          </a:fld>
          <a:endParaRPr lang="pt-BR" sz="1100" b="0">
            <a:solidFill>
              <a:schemeClr val="tx1"/>
            </a:solidFill>
          </a:endParaRPr>
        </a:p>
      </xdr:txBody>
    </xdr:sp>
    <xdr:clientData/>
  </xdr:oneCellAnchor>
  <xdr:oneCellAnchor>
    <xdr:from>
      <xdr:col>2</xdr:col>
      <xdr:colOff>19050</xdr:colOff>
      <xdr:row>22</xdr:row>
      <xdr:rowOff>123825</xdr:rowOff>
    </xdr:from>
    <xdr:ext cx="444737" cy="248851"/>
    <xdr:sp macro="" textlink="'BH (2)'!C5">
      <xdr:nvSpPr>
        <xdr:cNvPr id="21" name="CaixaDeTexto 20">
          <a:extLst>
            <a:ext uri="{FF2B5EF4-FFF2-40B4-BE49-F238E27FC236}">
              <a16:creationId xmlns:a16="http://schemas.microsoft.com/office/drawing/2014/main" id="{00000000-0008-0000-1000-000015000000}"/>
            </a:ext>
          </a:extLst>
        </xdr:cNvPr>
        <xdr:cNvSpPr txBox="1"/>
      </xdr:nvSpPr>
      <xdr:spPr>
        <a:xfrm>
          <a:off x="247650" y="94297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A86B448-EE31-4E6A-8D63-FB8AB9F167D6}" type="TxLink">
            <a:rPr lang="en-US" sz="1000" b="0" i="0" u="none" strike="noStrike">
              <a:solidFill>
                <a:schemeClr val="tx1"/>
              </a:solidFill>
              <a:latin typeface="Calibri"/>
              <a:cs typeface="Calibri"/>
            </a:rPr>
            <a:pPr/>
            <a:t>2026</a:t>
          </a:fld>
          <a:endParaRPr lang="pt-BR" sz="1100" b="0">
            <a:solidFill>
              <a:schemeClr val="tx1"/>
            </a:solidFill>
          </a:endParaRPr>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95250</xdr:colOff>
      <xdr:row>0</xdr:row>
      <xdr:rowOff>371475</xdr:rowOff>
    </xdr:from>
    <xdr:to>
      <xdr:col>9</xdr:col>
      <xdr:colOff>5625</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36" name="Retângulo 35">
          <a:hlinkClick xmlns:r="http://schemas.openxmlformats.org/officeDocument/2006/relationships" r:id="rId4"/>
          <a:extLst>
            <a:ext uri="{FF2B5EF4-FFF2-40B4-BE49-F238E27FC236}">
              <a16:creationId xmlns:a16="http://schemas.microsoft.com/office/drawing/2014/main" id="{00000000-0008-0000-1100-00002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Confronto</a:t>
          </a:r>
        </a:p>
      </xdr:txBody>
    </xdr:sp>
    <xdr:clientData/>
  </xdr:twoCellAnchor>
  <xdr:twoCellAnchor editAs="absolute">
    <xdr:from>
      <xdr:col>3</xdr:col>
      <xdr:colOff>123825</xdr:colOff>
      <xdr:row>1</xdr:row>
      <xdr:rowOff>142875</xdr:rowOff>
    </xdr:from>
    <xdr:to>
      <xdr:col>4</xdr:col>
      <xdr:colOff>394200</xdr:colOff>
      <xdr:row>2</xdr:row>
      <xdr:rowOff>13875</xdr:rowOff>
    </xdr:to>
    <xdr:sp macro="" textlink="">
      <xdr:nvSpPr>
        <xdr:cNvPr id="37" name="Retângulo 36">
          <a:hlinkClick xmlns:r="http://schemas.openxmlformats.org/officeDocument/2006/relationships" r:id="rId8"/>
          <a:extLst>
            <a:ext uri="{FF2B5EF4-FFF2-40B4-BE49-F238E27FC236}">
              <a16:creationId xmlns:a16="http://schemas.microsoft.com/office/drawing/2014/main" id="{00000000-0008-0000-1100-000025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Evolução</a:t>
          </a:r>
        </a:p>
      </xdr:txBody>
    </xdr:sp>
    <xdr:clientData/>
  </xdr:twoCellAnchor>
  <xdr:twoCellAnchor editAs="absolute">
    <xdr:from>
      <xdr:col>4</xdr:col>
      <xdr:colOff>409575</xdr:colOff>
      <xdr:row>1</xdr:row>
      <xdr:rowOff>142875</xdr:rowOff>
    </xdr:from>
    <xdr:to>
      <xdr:col>5</xdr:col>
      <xdr:colOff>679950</xdr:colOff>
      <xdr:row>2</xdr:row>
      <xdr:rowOff>13875</xdr:rowOff>
    </xdr:to>
    <xdr:sp macro="" textlink="">
      <xdr:nvSpPr>
        <xdr:cNvPr id="38" name="Retângulo 37">
          <a:hlinkClick xmlns:r="http://schemas.openxmlformats.org/officeDocument/2006/relationships" r:id="rId9"/>
          <a:extLst>
            <a:ext uri="{FF2B5EF4-FFF2-40B4-BE49-F238E27FC236}">
              <a16:creationId xmlns:a16="http://schemas.microsoft.com/office/drawing/2014/main" id="{00000000-0008-0000-1100-000026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5</xdr:col>
      <xdr:colOff>695325</xdr:colOff>
      <xdr:row>1</xdr:row>
      <xdr:rowOff>142875</xdr:rowOff>
    </xdr:from>
    <xdr:to>
      <xdr:col>7</xdr:col>
      <xdr:colOff>156075</xdr:colOff>
      <xdr:row>2</xdr:row>
      <xdr:rowOff>13875</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1100-000027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twoCellAnchor>
    <xdr:from>
      <xdr:col>15</xdr:col>
      <xdr:colOff>0</xdr:colOff>
      <xdr:row>2</xdr:row>
      <xdr:rowOff>171450</xdr:rowOff>
    </xdr:from>
    <xdr:to>
      <xdr:col>15</xdr:col>
      <xdr:colOff>0</xdr:colOff>
      <xdr:row>13</xdr:row>
      <xdr:rowOff>250875</xdr:rowOff>
    </xdr:to>
    <xdr:cxnSp macro="">
      <xdr:nvCxnSpPr>
        <xdr:cNvPr id="42" name="Conector reto 41">
          <a:extLst>
            <a:ext uri="{FF2B5EF4-FFF2-40B4-BE49-F238E27FC236}">
              <a16:creationId xmlns:a16="http://schemas.microsoft.com/office/drawing/2014/main" id="{00000000-0008-0000-1100-00002A000000}"/>
            </a:ext>
          </a:extLst>
        </xdr:cNvPr>
        <xdr:cNvCxnSpPr/>
      </xdr:nvCxnSpPr>
      <xdr:spPr>
        <a:xfrm>
          <a:off x="11658600" y="990600"/>
          <a:ext cx="0" cy="468000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0</xdr:col>
      <xdr:colOff>0</xdr:colOff>
      <xdr:row>12</xdr:row>
      <xdr:rowOff>0</xdr:rowOff>
    </xdr:from>
    <xdr:to>
      <xdr:col>16</xdr:col>
      <xdr:colOff>491775</xdr:colOff>
      <xdr:row>12</xdr:row>
      <xdr:rowOff>0</xdr:rowOff>
    </xdr:to>
    <xdr:cxnSp macro="">
      <xdr:nvCxnSpPr>
        <xdr:cNvPr id="43" name="Conector reto 42">
          <a:extLst>
            <a:ext uri="{FF2B5EF4-FFF2-40B4-BE49-F238E27FC236}">
              <a16:creationId xmlns:a16="http://schemas.microsoft.com/office/drawing/2014/main" id="{00000000-0008-0000-1100-00002B000000}"/>
            </a:ext>
          </a:extLst>
        </xdr:cNvPr>
        <xdr:cNvCxnSpPr/>
      </xdr:nvCxnSpPr>
      <xdr:spPr>
        <a:xfrm>
          <a:off x="0" y="4981575"/>
          <a:ext cx="1296000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5</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133350</xdr:colOff>
      <xdr:row>0</xdr:row>
      <xdr:rowOff>85725</xdr:rowOff>
    </xdr:from>
    <xdr:to>
      <xdr:col>6</xdr:col>
      <xdr:colOff>403725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723900</xdr:colOff>
      <xdr:row>0</xdr:row>
      <xdr:rowOff>85725</xdr:rowOff>
    </xdr:from>
    <xdr:to>
      <xdr:col>9</xdr:col>
      <xdr:colOff>184650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209550</xdr:colOff>
      <xdr:row>0</xdr:row>
      <xdr:rowOff>85725</xdr:rowOff>
    </xdr:from>
    <xdr:to>
      <xdr:col>10</xdr:col>
      <xdr:colOff>479925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504825</xdr:colOff>
      <xdr:row>0</xdr:row>
      <xdr:rowOff>85725</xdr:rowOff>
    </xdr:from>
    <xdr:to>
      <xdr:col>11</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95250</xdr:colOff>
      <xdr:row>0</xdr:row>
      <xdr:rowOff>371475</xdr:rowOff>
    </xdr:from>
    <xdr:to>
      <xdr:col>9</xdr:col>
      <xdr:colOff>5625</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428625</xdr:colOff>
      <xdr:row>0</xdr:row>
      <xdr:rowOff>85725</xdr:rowOff>
    </xdr:from>
    <xdr:to>
      <xdr:col>7</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0" name="Agrupar 9">
          <a:extLst>
            <a:ext uri="{FF2B5EF4-FFF2-40B4-BE49-F238E27FC236}">
              <a16:creationId xmlns:a16="http://schemas.microsoft.com/office/drawing/2014/main" id="{00000000-0008-0000-12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2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2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32" name="Retângulo 31">
          <a:hlinkClick xmlns:r="http://schemas.openxmlformats.org/officeDocument/2006/relationships" r:id="rId4"/>
          <a:extLst>
            <a:ext uri="{FF2B5EF4-FFF2-40B4-BE49-F238E27FC236}">
              <a16:creationId xmlns:a16="http://schemas.microsoft.com/office/drawing/2014/main" id="{00000000-0008-0000-1200-000020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Confronto</a:t>
          </a:r>
        </a:p>
      </xdr:txBody>
    </xdr:sp>
    <xdr:clientData/>
  </xdr:twoCellAnchor>
  <xdr:twoCellAnchor editAs="absolute">
    <xdr:from>
      <xdr:col>3</xdr:col>
      <xdr:colOff>123825</xdr:colOff>
      <xdr:row>1</xdr:row>
      <xdr:rowOff>142875</xdr:rowOff>
    </xdr:from>
    <xdr:to>
      <xdr:col>4</xdr:col>
      <xdr:colOff>394200</xdr:colOff>
      <xdr:row>2</xdr:row>
      <xdr:rowOff>13875</xdr:rowOff>
    </xdr:to>
    <xdr:sp macro="" textlink="">
      <xdr:nvSpPr>
        <xdr:cNvPr id="33" name="Retângulo 32">
          <a:hlinkClick xmlns:r="http://schemas.openxmlformats.org/officeDocument/2006/relationships" r:id="rId8"/>
          <a:extLst>
            <a:ext uri="{FF2B5EF4-FFF2-40B4-BE49-F238E27FC236}">
              <a16:creationId xmlns:a16="http://schemas.microsoft.com/office/drawing/2014/main" id="{00000000-0008-0000-1200-000021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Evolução</a:t>
          </a:r>
        </a:p>
      </xdr:txBody>
    </xdr:sp>
    <xdr:clientData/>
  </xdr:twoCellAnchor>
  <xdr:twoCellAnchor editAs="absolute">
    <xdr:from>
      <xdr:col>4</xdr:col>
      <xdr:colOff>409575</xdr:colOff>
      <xdr:row>1</xdr:row>
      <xdr:rowOff>142875</xdr:rowOff>
    </xdr:from>
    <xdr:to>
      <xdr:col>5</xdr:col>
      <xdr:colOff>679950</xdr:colOff>
      <xdr:row>2</xdr:row>
      <xdr:rowOff>13875</xdr:rowOff>
    </xdr:to>
    <xdr:sp macro="" textlink="">
      <xdr:nvSpPr>
        <xdr:cNvPr id="34" name="Retângulo 33">
          <a:hlinkClick xmlns:r="http://schemas.openxmlformats.org/officeDocument/2006/relationships" r:id="rId9"/>
          <a:extLst>
            <a:ext uri="{FF2B5EF4-FFF2-40B4-BE49-F238E27FC236}">
              <a16:creationId xmlns:a16="http://schemas.microsoft.com/office/drawing/2014/main" id="{00000000-0008-0000-1200-000022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xdr:twoCellAnchor editAs="absolute">
    <xdr:from>
      <xdr:col>5</xdr:col>
      <xdr:colOff>695325</xdr:colOff>
      <xdr:row>1</xdr:row>
      <xdr:rowOff>142875</xdr:rowOff>
    </xdr:from>
    <xdr:to>
      <xdr:col>7</xdr:col>
      <xdr:colOff>156075</xdr:colOff>
      <xdr:row>2</xdr:row>
      <xdr:rowOff>13875</xdr:rowOff>
    </xdr:to>
    <xdr:sp macro="" textlink="">
      <xdr:nvSpPr>
        <xdr:cNvPr id="35" name="Retângulo 34">
          <a:hlinkClick xmlns:r="http://schemas.openxmlformats.org/officeDocument/2006/relationships" r:id="rId10"/>
          <a:extLst>
            <a:ext uri="{FF2B5EF4-FFF2-40B4-BE49-F238E27FC236}">
              <a16:creationId xmlns:a16="http://schemas.microsoft.com/office/drawing/2014/main" id="{00000000-0008-0000-1200-000023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2</xdr:col>
      <xdr:colOff>19050</xdr:colOff>
      <xdr:row>2</xdr:row>
      <xdr:rowOff>123825</xdr:rowOff>
    </xdr:from>
    <xdr:ext cx="444737" cy="248851"/>
    <xdr:sp macro="" textlink="'BH (2)'!C4">
      <xdr:nvSpPr>
        <xdr:cNvPr id="37" name="CaixaDeTexto 36">
          <a:extLst>
            <a:ext uri="{FF2B5EF4-FFF2-40B4-BE49-F238E27FC236}">
              <a16:creationId xmlns:a16="http://schemas.microsoft.com/office/drawing/2014/main" id="{00000000-0008-0000-1200-000025000000}"/>
            </a:ext>
          </a:extLst>
        </xdr:cNvPr>
        <xdr:cNvSpPr txBox="1"/>
      </xdr:nvSpPr>
      <xdr:spPr>
        <a:xfrm>
          <a:off x="247650" y="94297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017A9F1-FDFD-469F-9EBC-C7D85B214D05}" type="TxLink">
            <a:rPr lang="en-US" sz="1000" b="0" i="0" u="none" strike="noStrike">
              <a:solidFill>
                <a:schemeClr val="tx1"/>
              </a:solidFill>
              <a:latin typeface="Calibri"/>
              <a:cs typeface="Calibri"/>
            </a:rPr>
            <a:pPr/>
            <a:t>2025</a:t>
          </a:fld>
          <a:endParaRPr lang="pt-BR" sz="1100" b="0">
            <a:solidFill>
              <a:schemeClr val="tx1"/>
            </a:solidFill>
          </a:endParaRPr>
        </a:p>
      </xdr:txBody>
    </xdr:sp>
    <xdr:clientData/>
  </xdr:oneCellAnchor>
  <xdr:oneCellAnchor>
    <xdr:from>
      <xdr:col>2</xdr:col>
      <xdr:colOff>19050</xdr:colOff>
      <xdr:row>10</xdr:row>
      <xdr:rowOff>171450</xdr:rowOff>
    </xdr:from>
    <xdr:ext cx="444737" cy="248851"/>
    <xdr:sp macro="" textlink="'BH (2)'!C5">
      <xdr:nvSpPr>
        <xdr:cNvPr id="38" name="CaixaDeTexto 37">
          <a:extLst>
            <a:ext uri="{FF2B5EF4-FFF2-40B4-BE49-F238E27FC236}">
              <a16:creationId xmlns:a16="http://schemas.microsoft.com/office/drawing/2014/main" id="{00000000-0008-0000-1200-000026000000}"/>
            </a:ext>
          </a:extLst>
        </xdr:cNvPr>
        <xdr:cNvSpPr txBox="1"/>
      </xdr:nvSpPr>
      <xdr:spPr>
        <a:xfrm>
          <a:off x="247650" y="427672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25B264B-5583-4024-B6DD-25E3366B0991}" type="TxLink">
            <a:rPr lang="en-US" sz="1000" b="0" i="0" u="none" strike="noStrike">
              <a:solidFill>
                <a:schemeClr val="tx1"/>
              </a:solidFill>
              <a:latin typeface="Calibri"/>
              <a:cs typeface="Calibri"/>
            </a:rPr>
            <a:pPr/>
            <a:t>2026</a:t>
          </a:fld>
          <a:endParaRPr lang="pt-BR" sz="1100" b="0">
            <a:solidFill>
              <a:schemeClr val="tx1"/>
            </a:solidFill>
          </a:endParaRPr>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4</xdr:col>
      <xdr:colOff>0</xdr:colOff>
      <xdr:row>15</xdr:row>
      <xdr:rowOff>171449</xdr:rowOff>
    </xdr:from>
    <xdr:to>
      <xdr:col>10</xdr:col>
      <xdr:colOff>819150</xdr:colOff>
      <xdr:row>30</xdr:row>
      <xdr:rowOff>49949</xdr:rowOff>
    </xdr:to>
    <xdr:sp macro="" textlink="'BH (2)'!C27">
      <xdr:nvSpPr>
        <xdr:cNvPr id="21" name="Retângulo 20">
          <a:extLst>
            <a:ext uri="{FF2B5EF4-FFF2-40B4-BE49-F238E27FC236}">
              <a16:creationId xmlns:a16="http://schemas.microsoft.com/office/drawing/2014/main" id="{00000000-0008-0000-1300-000015000000}"/>
            </a:ext>
          </a:extLst>
        </xdr:cNvPr>
        <xdr:cNvSpPr/>
      </xdr:nvSpPr>
      <xdr:spPr>
        <a:xfrm>
          <a:off x="1019175" y="3467099"/>
          <a:ext cx="5334000" cy="2736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52DD6B-12B4-4322-B9C2-A05F1EF903BD}" type="TxLink">
            <a:rPr lang="en-US" sz="2400" b="0" i="0" u="none" strike="noStrike">
              <a:solidFill>
                <a:srgbClr val="01B8AA"/>
              </a:solidFill>
              <a:latin typeface="Calibri"/>
              <a:cs typeface="Calibri"/>
            </a:rPr>
            <a:pPr algn="ctr"/>
            <a:t>67.220,00</a:t>
          </a:fld>
          <a:endParaRPr lang="pt-BR" sz="2400" b="0">
            <a:solidFill>
              <a:srgbClr val="01B8AA"/>
            </a:solidFill>
          </a:endParaRPr>
        </a:p>
      </xdr:txBody>
    </xdr:sp>
    <xdr:clientData/>
  </xdr:twoCellAnchor>
  <xdr:twoCellAnchor>
    <xdr:from>
      <xdr:col>10</xdr:col>
      <xdr:colOff>876300</xdr:colOff>
      <xdr:row>15</xdr:row>
      <xdr:rowOff>171450</xdr:rowOff>
    </xdr:from>
    <xdr:to>
      <xdr:col>20</xdr:col>
      <xdr:colOff>1</xdr:colOff>
      <xdr:row>30</xdr:row>
      <xdr:rowOff>49950</xdr:rowOff>
    </xdr:to>
    <xdr:sp macro="" textlink="'BH (2)'!C34">
      <xdr:nvSpPr>
        <xdr:cNvPr id="23" name="Retângulo 22">
          <a:extLst>
            <a:ext uri="{FF2B5EF4-FFF2-40B4-BE49-F238E27FC236}">
              <a16:creationId xmlns:a16="http://schemas.microsoft.com/office/drawing/2014/main" id="{00000000-0008-0000-1300-000017000000}"/>
            </a:ext>
          </a:extLst>
        </xdr:cNvPr>
        <xdr:cNvSpPr/>
      </xdr:nvSpPr>
      <xdr:spPr>
        <a:xfrm>
          <a:off x="6410325" y="3467100"/>
          <a:ext cx="5219701" cy="2736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88A50DD-2F62-4CF1-8FC3-097F579F11CA}" type="TxLink">
            <a:rPr lang="en-US" sz="2400" b="0" i="0" u="none" strike="noStrike">
              <a:solidFill>
                <a:srgbClr val="FB5A56"/>
              </a:solidFill>
              <a:latin typeface="Calibri"/>
              <a:ea typeface="+mn-ea"/>
              <a:cs typeface="Calibri"/>
            </a:rPr>
            <a:pPr marL="0" indent="0" algn="ctr"/>
            <a:t>11.040,00</a:t>
          </a:fld>
          <a:endParaRPr lang="pt-BR" sz="2400" b="0" i="0" u="none" strike="noStrike">
            <a:solidFill>
              <a:srgbClr val="FB5A56"/>
            </a:solidFill>
            <a:latin typeface="Calibri"/>
            <a:ea typeface="+mn-ea"/>
            <a:cs typeface="Calibri"/>
          </a:endParaRPr>
        </a:p>
      </xdr:txBody>
    </xdr:sp>
    <xdr:clientData/>
  </xdr:twoCellAnchor>
  <xdr:twoCellAnchor>
    <xdr:from>
      <xdr:col>10</xdr:col>
      <xdr:colOff>876300</xdr:colOff>
      <xdr:row>30</xdr:row>
      <xdr:rowOff>104775</xdr:rowOff>
    </xdr:from>
    <xdr:to>
      <xdr:col>19</xdr:col>
      <xdr:colOff>161926</xdr:colOff>
      <xdr:row>44</xdr:row>
      <xdr:rowOff>173775</xdr:rowOff>
    </xdr:to>
    <xdr:sp macro="" textlink="'BH (2)'!C35">
      <xdr:nvSpPr>
        <xdr:cNvPr id="24" name="Retângulo 23">
          <a:extLst>
            <a:ext uri="{FF2B5EF4-FFF2-40B4-BE49-F238E27FC236}">
              <a16:creationId xmlns:a16="http://schemas.microsoft.com/office/drawing/2014/main" id="{00000000-0008-0000-1300-000018000000}"/>
            </a:ext>
          </a:extLst>
        </xdr:cNvPr>
        <xdr:cNvSpPr/>
      </xdr:nvSpPr>
      <xdr:spPr>
        <a:xfrm>
          <a:off x="6410325" y="6257925"/>
          <a:ext cx="5200651" cy="2736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41C9658-B4F0-4E3D-BF5F-72D7F1D01FDB}" type="TxLink">
            <a:rPr lang="en-US" sz="2400" b="0" i="0" u="none" strike="noStrike">
              <a:solidFill>
                <a:schemeClr val="tx1">
                  <a:lumMod val="75000"/>
                  <a:lumOff val="25000"/>
                </a:schemeClr>
              </a:solidFill>
              <a:latin typeface="Calibri"/>
              <a:ea typeface="+mn-ea"/>
              <a:cs typeface="Calibri"/>
            </a:rPr>
            <a:pPr marL="0" indent="0" algn="ctr"/>
            <a:t>10.355,00</a:t>
          </a:fld>
          <a:endParaRPr lang="pt-BR" sz="2400" b="0" i="0" u="none" strike="noStrike">
            <a:solidFill>
              <a:schemeClr val="tx1">
                <a:lumMod val="75000"/>
                <a:lumOff val="25000"/>
              </a:schemeClr>
            </a:solidFill>
            <a:latin typeface="Calibri"/>
            <a:ea typeface="+mn-ea"/>
            <a:cs typeface="Calibri"/>
          </a:endParaRPr>
        </a:p>
      </xdr:txBody>
    </xdr:sp>
    <xdr:clientData/>
  </xdr:twoCellAnchor>
  <xdr:twoCellAnchor>
    <xdr:from>
      <xdr:col>4</xdr:col>
      <xdr:colOff>0</xdr:colOff>
      <xdr:row>30</xdr:row>
      <xdr:rowOff>104775</xdr:rowOff>
    </xdr:from>
    <xdr:to>
      <xdr:col>10</xdr:col>
      <xdr:colOff>819150</xdr:colOff>
      <xdr:row>44</xdr:row>
      <xdr:rowOff>173775</xdr:rowOff>
    </xdr:to>
    <xdr:sp macro="" textlink="'BH (2)'!C39">
      <xdr:nvSpPr>
        <xdr:cNvPr id="93" name="Retângulo 92">
          <a:extLst>
            <a:ext uri="{FF2B5EF4-FFF2-40B4-BE49-F238E27FC236}">
              <a16:creationId xmlns:a16="http://schemas.microsoft.com/office/drawing/2014/main" id="{00000000-0008-0000-1300-00005D000000}"/>
            </a:ext>
          </a:extLst>
        </xdr:cNvPr>
        <xdr:cNvSpPr/>
      </xdr:nvSpPr>
      <xdr:spPr>
        <a:xfrm>
          <a:off x="1019175" y="6257925"/>
          <a:ext cx="5334000" cy="2736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05433E6-F2E1-4161-9EE1-82A3B4759EB8}" type="TxLink">
            <a:rPr lang="en-US" sz="2400" b="0" i="0" u="none" strike="noStrike">
              <a:solidFill>
                <a:srgbClr val="FB5A56"/>
              </a:solidFill>
              <a:latin typeface="Calibri"/>
              <a:ea typeface="+mn-ea"/>
              <a:cs typeface="Calibri"/>
            </a:rPr>
            <a:pPr marL="0" indent="0" algn="ctr"/>
            <a:t>45.825,00</a:t>
          </a:fld>
          <a:endParaRPr lang="pt-BR" sz="2400" b="0" i="0" u="none" strike="noStrike">
            <a:solidFill>
              <a:srgbClr val="FB5A56"/>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15</xdr:col>
          <xdr:colOff>85725</xdr:colOff>
          <xdr:row>13</xdr:row>
          <xdr:rowOff>152400</xdr:rowOff>
        </xdr:from>
        <xdr:to>
          <xdr:col>16</xdr:col>
          <xdr:colOff>552450</xdr:colOff>
          <xdr:row>15</xdr:row>
          <xdr:rowOff>57150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1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581025</xdr:colOff>
          <xdr:row>13</xdr:row>
          <xdr:rowOff>152400</xdr:rowOff>
        </xdr:from>
        <xdr:to>
          <xdr:col>20</xdr:col>
          <xdr:colOff>9525</xdr:colOff>
          <xdr:row>15</xdr:row>
          <xdr:rowOff>57150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15</xdr:row>
      <xdr:rowOff>184886</xdr:rowOff>
    </xdr:from>
    <xdr:to>
      <xdr:col>10</xdr:col>
      <xdr:colOff>820350</xdr:colOff>
      <xdr:row>17</xdr:row>
      <xdr:rowOff>60623</xdr:rowOff>
    </xdr:to>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1019175" y="3480536"/>
          <a:ext cx="5335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Receita de Vendas</a:t>
          </a:r>
        </a:p>
      </xdr:txBody>
    </xdr:sp>
    <xdr:clientData/>
  </xdr:twoCellAnchor>
  <xdr:twoCellAnchor editAs="absolute">
    <xdr:from>
      <xdr:col>10</xdr:col>
      <xdr:colOff>885825</xdr:colOff>
      <xdr:row>15</xdr:row>
      <xdr:rowOff>184886</xdr:rowOff>
    </xdr:from>
    <xdr:to>
      <xdr:col>20</xdr:col>
      <xdr:colOff>9825</xdr:colOff>
      <xdr:row>17</xdr:row>
      <xdr:rowOff>60623</xdr:rowOff>
    </xdr:to>
    <xdr:sp macro="" textlink="">
      <xdr:nvSpPr>
        <xdr:cNvPr id="27" name="CaixaDeTexto 26">
          <a:extLst>
            <a:ext uri="{FF2B5EF4-FFF2-40B4-BE49-F238E27FC236}">
              <a16:creationId xmlns:a16="http://schemas.microsoft.com/office/drawing/2014/main" id="{00000000-0008-0000-1300-00001B000000}"/>
            </a:ext>
          </a:extLst>
        </xdr:cNvPr>
        <xdr:cNvSpPr txBox="1"/>
      </xdr:nvSpPr>
      <xdr:spPr>
        <a:xfrm>
          <a:off x="6419850" y="3480536"/>
          <a:ext cx="5220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Impostos sobre o Lucro</a:t>
          </a:r>
        </a:p>
      </xdr:txBody>
    </xdr:sp>
    <xdr:clientData/>
  </xdr:twoCellAnchor>
  <xdr:twoCellAnchor editAs="absolute">
    <xdr:from>
      <xdr:col>10</xdr:col>
      <xdr:colOff>885825</xdr:colOff>
      <xdr:row>30</xdr:row>
      <xdr:rowOff>127736</xdr:rowOff>
    </xdr:from>
    <xdr:to>
      <xdr:col>20</xdr:col>
      <xdr:colOff>9825</xdr:colOff>
      <xdr:row>32</xdr:row>
      <xdr:rowOff>3473</xdr:rowOff>
    </xdr:to>
    <xdr:sp macro="" textlink="">
      <xdr:nvSpPr>
        <xdr:cNvPr id="28" name="CaixaDeTexto 27">
          <a:extLst>
            <a:ext uri="{FF2B5EF4-FFF2-40B4-BE49-F238E27FC236}">
              <a16:creationId xmlns:a16="http://schemas.microsoft.com/office/drawing/2014/main" id="{00000000-0008-0000-1300-00001C000000}"/>
            </a:ext>
          </a:extLst>
        </xdr:cNvPr>
        <xdr:cNvSpPr txBox="1"/>
      </xdr:nvSpPr>
      <xdr:spPr>
        <a:xfrm>
          <a:off x="6419850" y="6280886"/>
          <a:ext cx="5220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Lucro ou</a:t>
          </a:r>
          <a:r>
            <a:rPr lang="pt-BR" sz="1000" baseline="0">
              <a:solidFill>
                <a:schemeClr val="tx1">
                  <a:lumMod val="65000"/>
                  <a:lumOff val="35000"/>
                </a:schemeClr>
              </a:solidFill>
            </a:rPr>
            <a:t> Prejuízo Líquido</a:t>
          </a:r>
          <a:endParaRPr lang="pt-BR" sz="1000">
            <a:solidFill>
              <a:schemeClr val="tx1">
                <a:lumMod val="65000"/>
                <a:lumOff val="35000"/>
              </a:schemeClr>
            </a:solidFill>
          </a:endParaRPr>
        </a:p>
      </xdr:txBody>
    </xdr:sp>
    <xdr:clientData/>
  </xdr:twoCellAnchor>
  <xdr:twoCellAnchor editAs="absolute">
    <xdr:from>
      <xdr:col>4</xdr:col>
      <xdr:colOff>0</xdr:colOff>
      <xdr:row>27</xdr:row>
      <xdr:rowOff>70586</xdr:rowOff>
    </xdr:from>
    <xdr:to>
      <xdr:col>10</xdr:col>
      <xdr:colOff>820350</xdr:colOff>
      <xdr:row>28</xdr:row>
      <xdr:rowOff>136823</xdr:rowOff>
    </xdr:to>
    <xdr:sp macro="" textlink="'BH (2)'!D41">
      <xdr:nvSpPr>
        <xdr:cNvPr id="32" name="CaixaDeTexto 31">
          <a:extLst>
            <a:ext uri="{FF2B5EF4-FFF2-40B4-BE49-F238E27FC236}">
              <a16:creationId xmlns:a16="http://schemas.microsoft.com/office/drawing/2014/main" id="{00000000-0008-0000-1300-000020000000}"/>
            </a:ext>
          </a:extLst>
        </xdr:cNvPr>
        <xdr:cNvSpPr txBox="1"/>
      </xdr:nvSpPr>
      <xdr:spPr>
        <a:xfrm>
          <a:off x="1019175" y="5652236"/>
          <a:ext cx="5335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61A09045-7A09-4482-8470-E3D0D43E5CBF}" type="TxLink">
            <a:rPr lang="en-US" sz="1000" b="0" i="0" u="none" strike="noStrike">
              <a:solidFill>
                <a:srgbClr val="404040"/>
              </a:solidFill>
              <a:latin typeface="Calibri"/>
              <a:cs typeface="Calibri"/>
            </a:rPr>
            <a:pPr algn="ctr"/>
            <a:t>Diminuiu</a:t>
          </a:fld>
          <a:endParaRPr lang="pt-BR" sz="1000">
            <a:solidFill>
              <a:schemeClr val="tx1">
                <a:lumMod val="65000"/>
                <a:lumOff val="35000"/>
              </a:schemeClr>
            </a:solidFill>
          </a:endParaRPr>
        </a:p>
      </xdr:txBody>
    </xdr:sp>
    <xdr:clientData/>
  </xdr:twoCellAnchor>
  <xdr:twoCellAnchor editAs="absolute">
    <xdr:from>
      <xdr:col>10</xdr:col>
      <xdr:colOff>876300</xdr:colOff>
      <xdr:row>27</xdr:row>
      <xdr:rowOff>80111</xdr:rowOff>
    </xdr:from>
    <xdr:to>
      <xdr:col>20</xdr:col>
      <xdr:colOff>300</xdr:colOff>
      <xdr:row>28</xdr:row>
      <xdr:rowOff>146348</xdr:rowOff>
    </xdr:to>
    <xdr:sp macro="" textlink="'BH (2)'!D43">
      <xdr:nvSpPr>
        <xdr:cNvPr id="34" name="CaixaDeTexto 33">
          <a:extLst>
            <a:ext uri="{FF2B5EF4-FFF2-40B4-BE49-F238E27FC236}">
              <a16:creationId xmlns:a16="http://schemas.microsoft.com/office/drawing/2014/main" id="{00000000-0008-0000-1300-000022000000}"/>
            </a:ext>
          </a:extLst>
        </xdr:cNvPr>
        <xdr:cNvSpPr txBox="1"/>
      </xdr:nvSpPr>
      <xdr:spPr>
        <a:xfrm>
          <a:off x="6410325" y="5661761"/>
          <a:ext cx="5220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F4F6816F-85E7-4994-9DF2-376C9DA32E6A}" type="TxLink">
            <a:rPr lang="en-US" sz="1000" b="0" i="0" u="none" strike="noStrike">
              <a:solidFill>
                <a:srgbClr val="404040"/>
              </a:solidFill>
              <a:latin typeface="Calibri"/>
              <a:cs typeface="Calibri"/>
            </a:rPr>
            <a:pPr algn="ctr"/>
            <a:t>Diminuiu</a:t>
          </a:fld>
          <a:endParaRPr lang="pt-BR" sz="1000">
            <a:solidFill>
              <a:schemeClr val="tx1">
                <a:lumMod val="65000"/>
                <a:lumOff val="35000"/>
              </a:schemeClr>
            </a:solidFill>
          </a:endParaRPr>
        </a:p>
      </xdr:txBody>
    </xdr:sp>
    <xdr:clientData/>
  </xdr:twoCellAnchor>
  <xdr:twoCellAnchor editAs="absolute">
    <xdr:from>
      <xdr:col>10</xdr:col>
      <xdr:colOff>885825</xdr:colOff>
      <xdr:row>42</xdr:row>
      <xdr:rowOff>13436</xdr:rowOff>
    </xdr:from>
    <xdr:to>
      <xdr:col>20</xdr:col>
      <xdr:colOff>9825</xdr:colOff>
      <xdr:row>43</xdr:row>
      <xdr:rowOff>79673</xdr:rowOff>
    </xdr:to>
    <xdr:sp macro="" textlink="'BH (2)'!D44">
      <xdr:nvSpPr>
        <xdr:cNvPr id="35" name="CaixaDeTexto 34">
          <a:extLst>
            <a:ext uri="{FF2B5EF4-FFF2-40B4-BE49-F238E27FC236}">
              <a16:creationId xmlns:a16="http://schemas.microsoft.com/office/drawing/2014/main" id="{00000000-0008-0000-1300-000023000000}"/>
            </a:ext>
          </a:extLst>
        </xdr:cNvPr>
        <xdr:cNvSpPr txBox="1"/>
      </xdr:nvSpPr>
      <xdr:spPr>
        <a:xfrm>
          <a:off x="6419850" y="8452586"/>
          <a:ext cx="5220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7B315890-B00C-4542-AD6D-4338543E875B}" type="TxLink">
            <a:rPr lang="en-US" sz="1000" b="0" i="0" u="none" strike="noStrike">
              <a:solidFill>
                <a:srgbClr val="404040"/>
              </a:solidFill>
              <a:latin typeface="Calibri"/>
              <a:cs typeface="Calibri"/>
            </a:rPr>
            <a:pPr algn="ctr"/>
            <a:t>Aumentou</a:t>
          </a:fld>
          <a:endParaRPr lang="pt-BR" sz="1000">
            <a:solidFill>
              <a:schemeClr val="tx1">
                <a:lumMod val="65000"/>
                <a:lumOff val="35000"/>
              </a:schemeClr>
            </a:solidFill>
          </a:endParaRPr>
        </a:p>
      </xdr:txBody>
    </xdr:sp>
    <xdr:clientData/>
  </xdr:twoCellAnchor>
  <xdr:twoCellAnchor editAs="absolute">
    <xdr:from>
      <xdr:col>4</xdr:col>
      <xdr:colOff>9525</xdr:colOff>
      <xdr:row>28</xdr:row>
      <xdr:rowOff>89636</xdr:rowOff>
    </xdr:from>
    <xdr:to>
      <xdr:col>10</xdr:col>
      <xdr:colOff>829875</xdr:colOff>
      <xdr:row>29</xdr:row>
      <xdr:rowOff>155873</xdr:rowOff>
    </xdr:to>
    <xdr:sp macro="" textlink="'BH (2)'!C41">
      <xdr:nvSpPr>
        <xdr:cNvPr id="36" name="CaixaDeTexto 35">
          <a:extLst>
            <a:ext uri="{FF2B5EF4-FFF2-40B4-BE49-F238E27FC236}">
              <a16:creationId xmlns:a16="http://schemas.microsoft.com/office/drawing/2014/main" id="{00000000-0008-0000-1300-000024000000}"/>
            </a:ext>
          </a:extLst>
        </xdr:cNvPr>
        <xdr:cNvSpPr txBox="1"/>
      </xdr:nvSpPr>
      <xdr:spPr>
        <a:xfrm>
          <a:off x="1028700" y="5861786"/>
          <a:ext cx="5335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1BE362B1-548C-4867-BB16-7DFE910670DB}" type="TxLink">
            <a:rPr lang="en-US" sz="1000" b="0" i="0" u="none" strike="noStrike">
              <a:solidFill>
                <a:srgbClr val="000000"/>
              </a:solidFill>
              <a:latin typeface="Calibri"/>
              <a:cs typeface="Calibri"/>
            </a:rPr>
            <a:pPr algn="ctr"/>
            <a:t>-2%</a:t>
          </a:fld>
          <a:endParaRPr lang="pt-BR" sz="1000">
            <a:solidFill>
              <a:schemeClr val="tx1">
                <a:lumMod val="65000"/>
                <a:lumOff val="35000"/>
              </a:schemeClr>
            </a:solidFill>
          </a:endParaRPr>
        </a:p>
      </xdr:txBody>
    </xdr:sp>
    <xdr:clientData/>
  </xdr:twoCellAnchor>
  <xdr:twoCellAnchor editAs="absolute">
    <xdr:from>
      <xdr:col>10</xdr:col>
      <xdr:colOff>885825</xdr:colOff>
      <xdr:row>28</xdr:row>
      <xdr:rowOff>99161</xdr:rowOff>
    </xdr:from>
    <xdr:to>
      <xdr:col>20</xdr:col>
      <xdr:colOff>9825</xdr:colOff>
      <xdr:row>29</xdr:row>
      <xdr:rowOff>165398</xdr:rowOff>
    </xdr:to>
    <xdr:sp macro="" textlink="'BH (2)'!C43">
      <xdr:nvSpPr>
        <xdr:cNvPr id="38" name="CaixaDeTexto 37">
          <a:extLst>
            <a:ext uri="{FF2B5EF4-FFF2-40B4-BE49-F238E27FC236}">
              <a16:creationId xmlns:a16="http://schemas.microsoft.com/office/drawing/2014/main" id="{00000000-0008-0000-1300-000026000000}"/>
            </a:ext>
          </a:extLst>
        </xdr:cNvPr>
        <xdr:cNvSpPr txBox="1"/>
      </xdr:nvSpPr>
      <xdr:spPr>
        <a:xfrm>
          <a:off x="6419850" y="5871311"/>
          <a:ext cx="5220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B2526A7C-B502-4396-B298-6271A28DB7F1}" type="TxLink">
            <a:rPr lang="en-US" sz="1000" b="0" i="0" u="none" strike="noStrike">
              <a:solidFill>
                <a:srgbClr val="000000"/>
              </a:solidFill>
              <a:latin typeface="Calibri"/>
              <a:cs typeface="Calibri"/>
            </a:rPr>
            <a:pPr algn="ctr"/>
            <a:t>-11%</a:t>
          </a:fld>
          <a:endParaRPr lang="pt-BR" sz="1000">
            <a:solidFill>
              <a:schemeClr val="tx1">
                <a:lumMod val="65000"/>
                <a:lumOff val="35000"/>
              </a:schemeClr>
            </a:solidFill>
          </a:endParaRPr>
        </a:p>
      </xdr:txBody>
    </xdr:sp>
    <xdr:clientData/>
  </xdr:twoCellAnchor>
  <xdr:twoCellAnchor editAs="absolute">
    <xdr:from>
      <xdr:col>10</xdr:col>
      <xdr:colOff>895350</xdr:colOff>
      <xdr:row>43</xdr:row>
      <xdr:rowOff>32486</xdr:rowOff>
    </xdr:from>
    <xdr:to>
      <xdr:col>20</xdr:col>
      <xdr:colOff>19350</xdr:colOff>
      <xdr:row>44</xdr:row>
      <xdr:rowOff>98723</xdr:rowOff>
    </xdr:to>
    <xdr:sp macro="" textlink="'BH (2)'!C44">
      <xdr:nvSpPr>
        <xdr:cNvPr id="39" name="CaixaDeTexto 38">
          <a:extLst>
            <a:ext uri="{FF2B5EF4-FFF2-40B4-BE49-F238E27FC236}">
              <a16:creationId xmlns:a16="http://schemas.microsoft.com/office/drawing/2014/main" id="{00000000-0008-0000-1300-000027000000}"/>
            </a:ext>
          </a:extLst>
        </xdr:cNvPr>
        <xdr:cNvSpPr txBox="1"/>
      </xdr:nvSpPr>
      <xdr:spPr>
        <a:xfrm>
          <a:off x="6429375" y="8662136"/>
          <a:ext cx="5220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96D66662-BAFB-4FA8-A4D0-E387E6691362}" type="TxLink">
            <a:rPr lang="en-US" sz="1000" b="0" i="0" u="none" strike="noStrike">
              <a:solidFill>
                <a:srgbClr val="000000"/>
              </a:solidFill>
              <a:latin typeface="Calibri"/>
              <a:cs typeface="Calibri"/>
            </a:rPr>
            <a:pPr algn="ctr"/>
            <a:t>95%</a:t>
          </a:fld>
          <a:endParaRPr lang="pt-BR" sz="1000">
            <a:solidFill>
              <a:schemeClr val="tx1">
                <a:lumMod val="65000"/>
                <a:lumOff val="3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142875</xdr:colOff>
          <xdr:row>3</xdr:row>
          <xdr:rowOff>104775</xdr:rowOff>
        </xdr:from>
        <xdr:to>
          <xdr:col>21</xdr:col>
          <xdr:colOff>0</xdr:colOff>
          <xdr:row>4</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a:t>
              </a:r>
            </a:p>
          </xdr:txBody>
        </xdr:sp>
        <xdr:clientData fPrintsWithSheet="0"/>
      </xdr:twoCellAnchor>
    </mc:Choice>
    <mc:Fallback/>
  </mc:AlternateContent>
  <xdr:twoCellAnchor editAs="absolute">
    <xdr:from>
      <xdr:col>3</xdr:col>
      <xdr:colOff>133350</xdr:colOff>
      <xdr:row>1</xdr:row>
      <xdr:rowOff>142875</xdr:rowOff>
    </xdr:from>
    <xdr:to>
      <xdr:col>4</xdr:col>
      <xdr:colOff>1032375</xdr:colOff>
      <xdr:row>2</xdr:row>
      <xdr:rowOff>13875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1300-000003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Confronto</a:t>
          </a:r>
        </a:p>
      </xdr:txBody>
    </xdr: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1300-000004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Evolução</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1300-000005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7</xdr:col>
      <xdr:colOff>552450</xdr:colOff>
      <xdr:row>1</xdr:row>
      <xdr:rowOff>142875</xdr:rowOff>
    </xdr:from>
    <xdr:to>
      <xdr:col>9</xdr:col>
      <xdr:colOff>413250</xdr:colOff>
      <xdr:row>2</xdr:row>
      <xdr:rowOff>13875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1300-000006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xdr:twoCellAnchor editAs="absolute">
    <xdr:from>
      <xdr:col>4</xdr:col>
      <xdr:colOff>466725</xdr:colOff>
      <xdr:row>0</xdr:row>
      <xdr:rowOff>85725</xdr:rowOff>
    </xdr:from>
    <xdr:to>
      <xdr:col>5</xdr:col>
      <xdr:colOff>508500</xdr:colOff>
      <xdr:row>0</xdr:row>
      <xdr:rowOff>373725</xdr:rowOff>
    </xdr:to>
    <xdr:sp macro="" textlink="">
      <xdr:nvSpPr>
        <xdr:cNvPr id="8" name="Retângulo 7">
          <a:hlinkClick xmlns:r="http://schemas.openxmlformats.org/officeDocument/2006/relationships" r:id="rId5"/>
          <a:extLst>
            <a:ext uri="{FF2B5EF4-FFF2-40B4-BE49-F238E27FC236}">
              <a16:creationId xmlns:a16="http://schemas.microsoft.com/office/drawing/2014/main" id="{00000000-0008-0000-1300-000008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9" name="Retângulo 8">
          <a:hlinkClick xmlns:r="http://schemas.openxmlformats.org/officeDocument/2006/relationships" r:id="rId6"/>
          <a:extLst>
            <a:ext uri="{FF2B5EF4-FFF2-40B4-BE49-F238E27FC236}">
              <a16:creationId xmlns:a16="http://schemas.microsoft.com/office/drawing/2014/main" id="{00000000-0008-0000-1300-000009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300-00000A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11" name="Retângulo 10">
          <a:hlinkClick xmlns:r="http://schemas.openxmlformats.org/officeDocument/2006/relationships" r:id="rId1"/>
          <a:extLst>
            <a:ext uri="{FF2B5EF4-FFF2-40B4-BE49-F238E27FC236}">
              <a16:creationId xmlns:a16="http://schemas.microsoft.com/office/drawing/2014/main" id="{00000000-0008-0000-1300-00000B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12" name="Retângulo 11">
          <a:hlinkClick xmlns:r="http://schemas.openxmlformats.org/officeDocument/2006/relationships" r:id="rId8"/>
          <a:extLst>
            <a:ext uri="{FF2B5EF4-FFF2-40B4-BE49-F238E27FC236}">
              <a16:creationId xmlns:a16="http://schemas.microsoft.com/office/drawing/2014/main" id="{00000000-0008-0000-1300-00000C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00000000-0008-0000-1300-00000D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14" name="Retângulo 13">
          <a:extLst>
            <a:ext uri="{FF2B5EF4-FFF2-40B4-BE49-F238E27FC236}">
              <a16:creationId xmlns:a16="http://schemas.microsoft.com/office/drawing/2014/main" id="{00000000-0008-0000-1300-00000E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15" name="Retângulo 14">
          <a:hlinkClick xmlns:r="http://schemas.openxmlformats.org/officeDocument/2006/relationships" r:id="rId10"/>
          <a:extLst>
            <a:ext uri="{FF2B5EF4-FFF2-40B4-BE49-F238E27FC236}">
              <a16:creationId xmlns:a16="http://schemas.microsoft.com/office/drawing/2014/main" id="{00000000-0008-0000-1300-00000F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7" name="Agrupar 16">
          <a:extLst>
            <a:ext uri="{FF2B5EF4-FFF2-40B4-BE49-F238E27FC236}">
              <a16:creationId xmlns:a16="http://schemas.microsoft.com/office/drawing/2014/main" id="{00000000-0008-0000-1300-000011000000}"/>
            </a:ext>
          </a:extLst>
        </xdr:cNvPr>
        <xdr:cNvGrpSpPr/>
      </xdr:nvGrpSpPr>
      <xdr:grpSpPr>
        <a:xfrm>
          <a:off x="113929" y="0"/>
          <a:ext cx="903030" cy="428625"/>
          <a:chOff x="142504" y="66675"/>
          <a:chExt cx="903030" cy="534208"/>
        </a:xfrm>
      </xdr:grpSpPr>
      <xdr:sp macro="" textlink="">
        <xdr:nvSpPr>
          <xdr:cNvPr id="18" name="CaixaDeTexto 17">
            <a:extLst>
              <a:ext uri="{FF2B5EF4-FFF2-40B4-BE49-F238E27FC236}">
                <a16:creationId xmlns:a16="http://schemas.microsoft.com/office/drawing/2014/main" id="{00000000-0008-0000-1300-000012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9" name="Meio-quadro 18">
            <a:extLst>
              <a:ext uri="{FF2B5EF4-FFF2-40B4-BE49-F238E27FC236}">
                <a16:creationId xmlns:a16="http://schemas.microsoft.com/office/drawing/2014/main" id="{00000000-0008-0000-1300-000013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0" name="Meio-quadro 19">
            <a:extLst>
              <a:ext uri="{FF2B5EF4-FFF2-40B4-BE49-F238E27FC236}">
                <a16:creationId xmlns:a16="http://schemas.microsoft.com/office/drawing/2014/main" id="{00000000-0008-0000-1300-000014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4</xdr:col>
      <xdr:colOff>9524</xdr:colOff>
      <xdr:row>54</xdr:row>
      <xdr:rowOff>0</xdr:rowOff>
    </xdr:from>
    <xdr:to>
      <xdr:col>7</xdr:col>
      <xdr:colOff>63074</xdr:colOff>
      <xdr:row>60</xdr:row>
      <xdr:rowOff>117000</xdr:rowOff>
    </xdr:to>
    <xdr:sp macro="" textlink="'BH (2)'!C68">
      <xdr:nvSpPr>
        <xdr:cNvPr id="64" name="Retângulo 63">
          <a:extLst>
            <a:ext uri="{FF2B5EF4-FFF2-40B4-BE49-F238E27FC236}">
              <a16:creationId xmlns:a16="http://schemas.microsoft.com/office/drawing/2014/main" id="{00000000-0008-0000-1300-000040000000}"/>
            </a:ext>
          </a:extLst>
        </xdr:cNvPr>
        <xdr:cNvSpPr/>
      </xdr:nvSpPr>
      <xdr:spPr>
        <a:xfrm>
          <a:off x="1028699" y="10725150"/>
          <a:ext cx="27396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FBB942C-0E29-4272-B202-B881651F50FF}" type="TxLink">
            <a:rPr lang="en-US" sz="2400" b="0" i="0" u="none" strike="noStrike">
              <a:solidFill>
                <a:srgbClr val="FFFFFF"/>
              </a:solidFill>
              <a:latin typeface="Calibri"/>
              <a:ea typeface="+mn-ea"/>
              <a:cs typeface="Calibri"/>
            </a:rPr>
            <a:pPr marL="0" indent="0" algn="ctr"/>
            <a:t>8.000,00</a:t>
          </a:fld>
          <a:endParaRPr lang="pt-BR" sz="2400" b="0" i="0" u="none" strike="noStrike">
            <a:solidFill>
              <a:schemeClr val="bg1"/>
            </a:solidFill>
            <a:latin typeface="Calibri"/>
            <a:ea typeface="+mn-ea"/>
            <a:cs typeface="Calibri"/>
          </a:endParaRPr>
        </a:p>
      </xdr:txBody>
    </xdr:sp>
    <xdr:clientData/>
  </xdr:twoCellAnchor>
  <xdr:twoCellAnchor editAs="absolute">
    <xdr:from>
      <xdr:col>4</xdr:col>
      <xdr:colOff>0</xdr:colOff>
      <xdr:row>54</xdr:row>
      <xdr:rowOff>3911</xdr:rowOff>
    </xdr:from>
    <xdr:to>
      <xdr:col>7</xdr:col>
      <xdr:colOff>53550</xdr:colOff>
      <xdr:row>55</xdr:row>
      <xdr:rowOff>70148</xdr:rowOff>
    </xdr:to>
    <xdr:sp macro="" textlink="">
      <xdr:nvSpPr>
        <xdr:cNvPr id="65" name="CaixaDeTexto 64">
          <a:extLst>
            <a:ext uri="{FF2B5EF4-FFF2-40B4-BE49-F238E27FC236}">
              <a16:creationId xmlns:a16="http://schemas.microsoft.com/office/drawing/2014/main" id="{00000000-0008-0000-1300-000041000000}"/>
            </a:ext>
          </a:extLst>
        </xdr:cNvPr>
        <xdr:cNvSpPr txBox="1"/>
      </xdr:nvSpPr>
      <xdr:spPr>
        <a:xfrm>
          <a:off x="1019175" y="1072906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 a Receber</a:t>
          </a:r>
        </a:p>
      </xdr:txBody>
    </xdr:sp>
    <xdr:clientData/>
  </xdr:twoCellAnchor>
  <xdr:twoCellAnchor editAs="absolute">
    <xdr:from>
      <xdr:col>4</xdr:col>
      <xdr:colOff>0</xdr:colOff>
      <xdr:row>58</xdr:row>
      <xdr:rowOff>13436</xdr:rowOff>
    </xdr:from>
    <xdr:to>
      <xdr:col>7</xdr:col>
      <xdr:colOff>53550</xdr:colOff>
      <xdr:row>59</xdr:row>
      <xdr:rowOff>79673</xdr:rowOff>
    </xdr:to>
    <xdr:sp macro="" textlink="'BH (2)'!E68">
      <xdr:nvSpPr>
        <xdr:cNvPr id="66" name="CaixaDeTexto 65">
          <a:extLst>
            <a:ext uri="{FF2B5EF4-FFF2-40B4-BE49-F238E27FC236}">
              <a16:creationId xmlns:a16="http://schemas.microsoft.com/office/drawing/2014/main" id="{00000000-0008-0000-1300-000042000000}"/>
            </a:ext>
          </a:extLst>
        </xdr:cNvPr>
        <xdr:cNvSpPr txBox="1"/>
      </xdr:nvSpPr>
      <xdr:spPr>
        <a:xfrm>
          <a:off x="1019175" y="1150058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3C460FA-D0A7-48C4-9941-7C62B7428E5C}" type="TxLink">
            <a:rPr lang="en-US" sz="1000" b="0" i="0" u="none" strike="noStrike">
              <a:solidFill>
                <a:schemeClr val="bg1"/>
              </a:solidFill>
              <a:latin typeface="Calibri"/>
              <a:cs typeface="Calibri"/>
            </a:rPr>
            <a:pPr algn="ctr"/>
            <a:t>Aguardando</a:t>
          </a:fld>
          <a:endParaRPr lang="pt-BR" sz="1000">
            <a:solidFill>
              <a:schemeClr val="bg1"/>
            </a:solidFill>
          </a:endParaRPr>
        </a:p>
      </xdr:txBody>
    </xdr:sp>
    <xdr:clientData/>
  </xdr:twoCellAnchor>
  <xdr:twoCellAnchor editAs="absolute">
    <xdr:from>
      <xdr:col>4</xdr:col>
      <xdr:colOff>9525</xdr:colOff>
      <xdr:row>59</xdr:row>
      <xdr:rowOff>32486</xdr:rowOff>
    </xdr:from>
    <xdr:to>
      <xdr:col>7</xdr:col>
      <xdr:colOff>63075</xdr:colOff>
      <xdr:row>60</xdr:row>
      <xdr:rowOff>98723</xdr:rowOff>
    </xdr:to>
    <xdr:sp macro="" textlink="'BH (2)'!F68">
      <xdr:nvSpPr>
        <xdr:cNvPr id="67" name="CaixaDeTexto 66">
          <a:extLst>
            <a:ext uri="{FF2B5EF4-FFF2-40B4-BE49-F238E27FC236}">
              <a16:creationId xmlns:a16="http://schemas.microsoft.com/office/drawing/2014/main" id="{00000000-0008-0000-1300-000043000000}"/>
            </a:ext>
          </a:extLst>
        </xdr:cNvPr>
        <xdr:cNvSpPr txBox="1"/>
      </xdr:nvSpPr>
      <xdr:spPr>
        <a:xfrm>
          <a:off x="1028700" y="1171013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C0F4D916-8B11-4D0B-8987-A9A332D4A228}" type="TxLink">
            <a:rPr lang="en-US" sz="1000" b="0" i="0" u="none" strike="noStrike">
              <a:solidFill>
                <a:srgbClr val="FFFFFF"/>
              </a:solidFill>
              <a:latin typeface="Calibri"/>
              <a:cs typeface="Calibri"/>
            </a:rPr>
            <a:pPr algn="ctr"/>
            <a:t>0%</a:t>
          </a:fld>
          <a:endParaRPr lang="pt-BR" sz="1000">
            <a:solidFill>
              <a:schemeClr val="bg1"/>
            </a:solidFill>
          </a:endParaRPr>
        </a:p>
      </xdr:txBody>
    </xdr:sp>
    <xdr:clientData/>
  </xdr:twoCellAnchor>
  <xdr:twoCellAnchor>
    <xdr:from>
      <xdr:col>7</xdr:col>
      <xdr:colOff>123824</xdr:colOff>
      <xdr:row>54</xdr:row>
      <xdr:rowOff>0</xdr:rowOff>
    </xdr:from>
    <xdr:to>
      <xdr:col>10</xdr:col>
      <xdr:colOff>1034624</xdr:colOff>
      <xdr:row>60</xdr:row>
      <xdr:rowOff>117000</xdr:rowOff>
    </xdr:to>
    <xdr:sp macro="" textlink="'BH (2)'!C67">
      <xdr:nvSpPr>
        <xdr:cNvPr id="68" name="Retângulo 67">
          <a:extLst>
            <a:ext uri="{FF2B5EF4-FFF2-40B4-BE49-F238E27FC236}">
              <a16:creationId xmlns:a16="http://schemas.microsoft.com/office/drawing/2014/main" id="{00000000-0008-0000-1300-000044000000}"/>
            </a:ext>
          </a:extLst>
        </xdr:cNvPr>
        <xdr:cNvSpPr/>
      </xdr:nvSpPr>
      <xdr:spPr>
        <a:xfrm>
          <a:off x="3829049" y="10725150"/>
          <a:ext cx="27396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D95AE96-8B27-4E6C-837C-4CB0F699C87E}" type="TxLink">
            <a:rPr lang="en-US" sz="2400" b="0" i="0" u="none" strike="noStrike">
              <a:solidFill>
                <a:srgbClr val="FFFFFF"/>
              </a:solidFill>
              <a:latin typeface="Calibri"/>
              <a:ea typeface="+mn-ea"/>
              <a:cs typeface="Calibri"/>
            </a:rPr>
            <a:pPr marL="0" indent="0" algn="ctr"/>
            <a:t>7.800,00</a:t>
          </a:fld>
          <a:endParaRPr lang="pt-BR" sz="2400" b="0" i="0" u="none" strike="noStrike">
            <a:solidFill>
              <a:schemeClr val="bg1"/>
            </a:solidFill>
            <a:latin typeface="Calibri"/>
            <a:ea typeface="+mn-ea"/>
            <a:cs typeface="Calibri"/>
          </a:endParaRPr>
        </a:p>
      </xdr:txBody>
    </xdr:sp>
    <xdr:clientData/>
  </xdr:twoCellAnchor>
  <xdr:twoCellAnchor editAs="absolute">
    <xdr:from>
      <xdr:col>7</xdr:col>
      <xdr:colOff>114300</xdr:colOff>
      <xdr:row>54</xdr:row>
      <xdr:rowOff>3911</xdr:rowOff>
    </xdr:from>
    <xdr:to>
      <xdr:col>10</xdr:col>
      <xdr:colOff>1025100</xdr:colOff>
      <xdr:row>55</xdr:row>
      <xdr:rowOff>70148</xdr:rowOff>
    </xdr:to>
    <xdr:sp macro="" textlink="">
      <xdr:nvSpPr>
        <xdr:cNvPr id="69" name="CaixaDeTexto 68">
          <a:extLst>
            <a:ext uri="{FF2B5EF4-FFF2-40B4-BE49-F238E27FC236}">
              <a16:creationId xmlns:a16="http://schemas.microsoft.com/office/drawing/2014/main" id="{00000000-0008-0000-1300-000045000000}"/>
            </a:ext>
          </a:extLst>
        </xdr:cNvPr>
        <xdr:cNvSpPr txBox="1"/>
      </xdr:nvSpPr>
      <xdr:spPr>
        <a:xfrm>
          <a:off x="3819525" y="1072906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a:t>
          </a:r>
          <a:r>
            <a:rPr lang="pt-BR" sz="1000" baseline="0">
              <a:solidFill>
                <a:schemeClr val="bg1"/>
              </a:solidFill>
            </a:rPr>
            <a:t> a Pagar</a:t>
          </a:r>
          <a:endParaRPr lang="pt-BR" sz="1000">
            <a:solidFill>
              <a:schemeClr val="bg1"/>
            </a:solidFill>
          </a:endParaRPr>
        </a:p>
      </xdr:txBody>
    </xdr:sp>
    <xdr:clientData/>
  </xdr:twoCellAnchor>
  <xdr:twoCellAnchor editAs="absolute">
    <xdr:from>
      <xdr:col>7</xdr:col>
      <xdr:colOff>114300</xdr:colOff>
      <xdr:row>58</xdr:row>
      <xdr:rowOff>13436</xdr:rowOff>
    </xdr:from>
    <xdr:to>
      <xdr:col>10</xdr:col>
      <xdr:colOff>1025100</xdr:colOff>
      <xdr:row>59</xdr:row>
      <xdr:rowOff>79673</xdr:rowOff>
    </xdr:to>
    <xdr:sp macro="" textlink="'BH (2)'!E67">
      <xdr:nvSpPr>
        <xdr:cNvPr id="70" name="CaixaDeTexto 69">
          <a:extLst>
            <a:ext uri="{FF2B5EF4-FFF2-40B4-BE49-F238E27FC236}">
              <a16:creationId xmlns:a16="http://schemas.microsoft.com/office/drawing/2014/main" id="{00000000-0008-0000-1300-000046000000}"/>
            </a:ext>
          </a:extLst>
        </xdr:cNvPr>
        <xdr:cNvSpPr txBox="1"/>
      </xdr:nvSpPr>
      <xdr:spPr>
        <a:xfrm>
          <a:off x="3819525" y="1150058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7FA10967-3BF7-4199-BCEB-59A21DDBAB1B}" type="TxLink">
            <a:rPr lang="en-US" sz="1000" b="0" i="0" u="none" strike="noStrike">
              <a:solidFill>
                <a:schemeClr val="bg1"/>
              </a:solidFill>
              <a:latin typeface="Calibri"/>
              <a:cs typeface="Calibri"/>
            </a:rPr>
            <a:pPr algn="ctr"/>
            <a:t>Aguardando</a:t>
          </a:fld>
          <a:endParaRPr lang="pt-BR" sz="1000">
            <a:solidFill>
              <a:schemeClr val="bg1"/>
            </a:solidFill>
          </a:endParaRPr>
        </a:p>
      </xdr:txBody>
    </xdr:sp>
    <xdr:clientData/>
  </xdr:twoCellAnchor>
  <xdr:twoCellAnchor editAs="absolute">
    <xdr:from>
      <xdr:col>7</xdr:col>
      <xdr:colOff>123825</xdr:colOff>
      <xdr:row>59</xdr:row>
      <xdr:rowOff>32486</xdr:rowOff>
    </xdr:from>
    <xdr:to>
      <xdr:col>10</xdr:col>
      <xdr:colOff>1034625</xdr:colOff>
      <xdr:row>60</xdr:row>
      <xdr:rowOff>98723</xdr:rowOff>
    </xdr:to>
    <xdr:sp macro="" textlink="'BH (2)'!F67">
      <xdr:nvSpPr>
        <xdr:cNvPr id="71" name="CaixaDeTexto 70">
          <a:extLst>
            <a:ext uri="{FF2B5EF4-FFF2-40B4-BE49-F238E27FC236}">
              <a16:creationId xmlns:a16="http://schemas.microsoft.com/office/drawing/2014/main" id="{00000000-0008-0000-1300-000047000000}"/>
            </a:ext>
          </a:extLst>
        </xdr:cNvPr>
        <xdr:cNvSpPr txBox="1"/>
      </xdr:nvSpPr>
      <xdr:spPr>
        <a:xfrm>
          <a:off x="3829050" y="1171013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AF4489FD-BFE4-40DA-89CB-53A42183FEA6}" type="TxLink">
            <a:rPr lang="en-US" sz="1000" b="0" i="0" u="none" strike="noStrike">
              <a:solidFill>
                <a:srgbClr val="FFFFFF"/>
              </a:solidFill>
              <a:latin typeface="Calibri"/>
              <a:cs typeface="Calibri"/>
            </a:rPr>
            <a:pPr algn="ctr"/>
            <a:t>0%</a:t>
          </a:fld>
          <a:endParaRPr lang="pt-BR" sz="1000">
            <a:solidFill>
              <a:schemeClr val="bg1"/>
            </a:solidFill>
          </a:endParaRPr>
        </a:p>
      </xdr:txBody>
    </xdr:sp>
    <xdr:clientData/>
  </xdr:twoCellAnchor>
  <xdr:twoCellAnchor>
    <xdr:from>
      <xdr:col>4</xdr:col>
      <xdr:colOff>9527</xdr:colOff>
      <xdr:row>60</xdr:row>
      <xdr:rowOff>171450</xdr:rowOff>
    </xdr:from>
    <xdr:to>
      <xdr:col>7</xdr:col>
      <xdr:colOff>63077</xdr:colOff>
      <xdr:row>71</xdr:row>
      <xdr:rowOff>133350</xdr:rowOff>
    </xdr:to>
    <xdr:graphicFrame macro="">
      <xdr:nvGraphicFramePr>
        <xdr:cNvPr id="72" name="Gráfico 71">
          <a:extLst>
            <a:ext uri="{FF2B5EF4-FFF2-40B4-BE49-F238E27FC236}">
              <a16:creationId xmlns:a16="http://schemas.microsoft.com/office/drawing/2014/main" id="{00000000-0008-0000-1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4</xdr:col>
      <xdr:colOff>19051</xdr:colOff>
      <xdr:row>63</xdr:row>
      <xdr:rowOff>146786</xdr:rowOff>
    </xdr:from>
    <xdr:to>
      <xdr:col>7</xdr:col>
      <xdr:colOff>72601</xdr:colOff>
      <xdr:row>65</xdr:row>
      <xdr:rowOff>114300</xdr:rowOff>
    </xdr:to>
    <xdr:sp macro="" textlink="">
      <xdr:nvSpPr>
        <xdr:cNvPr id="73" name="CaixaDeTexto 72">
          <a:extLst>
            <a:ext uri="{FF2B5EF4-FFF2-40B4-BE49-F238E27FC236}">
              <a16:creationId xmlns:a16="http://schemas.microsoft.com/office/drawing/2014/main" id="{00000000-0008-0000-1300-000049000000}"/>
            </a:ext>
          </a:extLst>
        </xdr:cNvPr>
        <xdr:cNvSpPr txBox="1"/>
      </xdr:nvSpPr>
      <xdr:spPr>
        <a:xfrm>
          <a:off x="1038226" y="12586436"/>
          <a:ext cx="2739600"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Percentual da </a:t>
          </a:r>
        </a:p>
        <a:p>
          <a:pPr algn="ctr"/>
          <a:r>
            <a:rPr lang="pt-BR" sz="1000">
              <a:solidFill>
                <a:schemeClr val="tx1">
                  <a:lumMod val="65000"/>
                  <a:lumOff val="35000"/>
                </a:schemeClr>
              </a:solidFill>
            </a:rPr>
            <a:t>Receita Realizada</a:t>
          </a:r>
        </a:p>
      </xdr:txBody>
    </xdr:sp>
    <xdr:clientData/>
  </xdr:twoCellAnchor>
  <xdr:oneCellAnchor>
    <xdr:from>
      <xdr:col>4</xdr:col>
      <xdr:colOff>9526</xdr:colOff>
      <xdr:row>65</xdr:row>
      <xdr:rowOff>47625</xdr:rowOff>
    </xdr:from>
    <xdr:ext cx="2739600" cy="468013"/>
    <xdr:sp macro="" textlink="'BH (2)'!C72">
      <xdr:nvSpPr>
        <xdr:cNvPr id="74" name="CaixaDeTexto 73">
          <a:extLst>
            <a:ext uri="{FF2B5EF4-FFF2-40B4-BE49-F238E27FC236}">
              <a16:creationId xmlns:a16="http://schemas.microsoft.com/office/drawing/2014/main" id="{00000000-0008-0000-1300-00004A000000}"/>
            </a:ext>
          </a:extLst>
        </xdr:cNvPr>
        <xdr:cNvSpPr txBox="1"/>
      </xdr:nvSpPr>
      <xdr:spPr>
        <a:xfrm>
          <a:off x="1028701" y="12868275"/>
          <a:ext cx="27396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9C4503F-B3F7-403A-92A7-16D3B0D017CE}" type="TxLink">
            <a:rPr lang="en-US" sz="2800" b="0" i="0" u="none" strike="noStrike">
              <a:solidFill>
                <a:schemeClr val="tx1">
                  <a:lumMod val="65000"/>
                  <a:lumOff val="35000"/>
                </a:schemeClr>
              </a:solidFill>
              <a:latin typeface="Calibri"/>
              <a:ea typeface="+mn-ea"/>
              <a:cs typeface="Calibri"/>
            </a:rPr>
            <a:pPr marL="0" indent="0" algn="ctr"/>
            <a:t>42%</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7</xdr:col>
      <xdr:colOff>133352</xdr:colOff>
      <xdr:row>60</xdr:row>
      <xdr:rowOff>171450</xdr:rowOff>
    </xdr:from>
    <xdr:to>
      <xdr:col>11</xdr:col>
      <xdr:colOff>5927</xdr:colOff>
      <xdr:row>71</xdr:row>
      <xdr:rowOff>133350</xdr:rowOff>
    </xdr:to>
    <xdr:graphicFrame macro="">
      <xdr:nvGraphicFramePr>
        <xdr:cNvPr id="75" name="Gráfico 74">
          <a:extLst>
            <a:ext uri="{FF2B5EF4-FFF2-40B4-BE49-F238E27FC236}">
              <a16:creationId xmlns:a16="http://schemas.microsoft.com/office/drawing/2014/main" id="{00000000-0008-0000-13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7</xdr:col>
      <xdr:colOff>142876</xdr:colOff>
      <xdr:row>63</xdr:row>
      <xdr:rowOff>146786</xdr:rowOff>
    </xdr:from>
    <xdr:to>
      <xdr:col>11</xdr:col>
      <xdr:colOff>15451</xdr:colOff>
      <xdr:row>65</xdr:row>
      <xdr:rowOff>114300</xdr:rowOff>
    </xdr:to>
    <xdr:sp macro="" textlink="">
      <xdr:nvSpPr>
        <xdr:cNvPr id="76" name="CaixaDeTexto 75">
          <a:extLst>
            <a:ext uri="{FF2B5EF4-FFF2-40B4-BE49-F238E27FC236}">
              <a16:creationId xmlns:a16="http://schemas.microsoft.com/office/drawing/2014/main" id="{00000000-0008-0000-1300-00004C000000}"/>
            </a:ext>
          </a:extLst>
        </xdr:cNvPr>
        <xdr:cNvSpPr txBox="1"/>
      </xdr:nvSpPr>
      <xdr:spPr>
        <a:xfrm>
          <a:off x="3848101" y="12586436"/>
          <a:ext cx="2739600"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Percentual da</a:t>
          </a:r>
        </a:p>
        <a:p>
          <a:pPr algn="ctr"/>
          <a:r>
            <a:rPr lang="pt-BR" sz="1000">
              <a:solidFill>
                <a:schemeClr val="tx1">
                  <a:lumMod val="65000"/>
                  <a:lumOff val="35000"/>
                </a:schemeClr>
              </a:solidFill>
            </a:rPr>
            <a:t>Despesa</a:t>
          </a:r>
          <a:r>
            <a:rPr lang="pt-BR" sz="1000" baseline="0">
              <a:solidFill>
                <a:schemeClr val="tx1">
                  <a:lumMod val="65000"/>
                  <a:lumOff val="35000"/>
                </a:schemeClr>
              </a:solidFill>
            </a:rPr>
            <a:t> Realizada</a:t>
          </a:r>
          <a:endParaRPr lang="pt-BR" sz="1000">
            <a:solidFill>
              <a:schemeClr val="tx1">
                <a:lumMod val="65000"/>
                <a:lumOff val="35000"/>
              </a:schemeClr>
            </a:solidFill>
          </a:endParaRPr>
        </a:p>
      </xdr:txBody>
    </xdr:sp>
    <xdr:clientData/>
  </xdr:twoCellAnchor>
  <xdr:oneCellAnchor>
    <xdr:from>
      <xdr:col>7</xdr:col>
      <xdr:colOff>133351</xdr:colOff>
      <xdr:row>65</xdr:row>
      <xdr:rowOff>47625</xdr:rowOff>
    </xdr:from>
    <xdr:ext cx="2739600" cy="468013"/>
    <xdr:sp macro="" textlink="'BH (2)'!C74">
      <xdr:nvSpPr>
        <xdr:cNvPr id="77" name="CaixaDeTexto 76">
          <a:extLst>
            <a:ext uri="{FF2B5EF4-FFF2-40B4-BE49-F238E27FC236}">
              <a16:creationId xmlns:a16="http://schemas.microsoft.com/office/drawing/2014/main" id="{00000000-0008-0000-1300-00004D000000}"/>
            </a:ext>
          </a:extLst>
        </xdr:cNvPr>
        <xdr:cNvSpPr txBox="1"/>
      </xdr:nvSpPr>
      <xdr:spPr>
        <a:xfrm>
          <a:off x="3838576" y="12868275"/>
          <a:ext cx="27396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5E3D34A7-CB26-4EBB-BB99-A7C18948CB16}" type="TxLink">
            <a:rPr lang="en-US" sz="2800" b="0" i="0" u="none" strike="noStrike">
              <a:solidFill>
                <a:schemeClr val="tx1">
                  <a:lumMod val="65000"/>
                  <a:lumOff val="35000"/>
                </a:schemeClr>
              </a:solidFill>
              <a:latin typeface="Calibri"/>
              <a:ea typeface="+mn-ea"/>
              <a:cs typeface="Calibri"/>
            </a:rPr>
            <a:pPr marL="0" indent="0" algn="ctr"/>
            <a:t>70%</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4</xdr:col>
      <xdr:colOff>19049</xdr:colOff>
      <xdr:row>72</xdr:row>
      <xdr:rowOff>0</xdr:rowOff>
    </xdr:from>
    <xdr:to>
      <xdr:col>7</xdr:col>
      <xdr:colOff>72599</xdr:colOff>
      <xdr:row>85</xdr:row>
      <xdr:rowOff>0</xdr:rowOff>
    </xdr:to>
    <xdr:sp macro="" textlink="'BH (2)'!C71">
      <xdr:nvSpPr>
        <xdr:cNvPr id="78" name="Retângulo 77">
          <a:extLst>
            <a:ext uri="{FF2B5EF4-FFF2-40B4-BE49-F238E27FC236}">
              <a16:creationId xmlns:a16="http://schemas.microsoft.com/office/drawing/2014/main" id="{00000000-0008-0000-1300-00004E000000}"/>
            </a:ext>
          </a:extLst>
        </xdr:cNvPr>
        <xdr:cNvSpPr/>
      </xdr:nvSpPr>
      <xdr:spPr>
        <a:xfrm>
          <a:off x="1038224" y="14154150"/>
          <a:ext cx="2739600" cy="2476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1CEF4CED-86B4-4F08-931B-294548FA9FB1}" type="TxLink">
            <a:rPr lang="en-US" sz="2400" b="0" i="0" u="none" strike="noStrike">
              <a:solidFill>
                <a:schemeClr val="tx1">
                  <a:lumMod val="75000"/>
                  <a:lumOff val="25000"/>
                </a:schemeClr>
              </a:solidFill>
              <a:latin typeface="Calibri"/>
              <a:ea typeface="+mn-ea"/>
              <a:cs typeface="Calibri"/>
            </a:rPr>
            <a:pPr marL="0" indent="0" algn="ctr"/>
            <a:t>28.000,00</a:t>
          </a:fld>
          <a:endParaRPr lang="pt-BR" sz="24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4</xdr:col>
      <xdr:colOff>28575</xdr:colOff>
      <xdr:row>79</xdr:row>
      <xdr:rowOff>175361</xdr:rowOff>
    </xdr:from>
    <xdr:to>
      <xdr:col>7</xdr:col>
      <xdr:colOff>82125</xdr:colOff>
      <xdr:row>81</xdr:row>
      <xdr:rowOff>51098</xdr:rowOff>
    </xdr:to>
    <xdr:sp macro="" textlink="'BH (2)'!B71">
      <xdr:nvSpPr>
        <xdr:cNvPr id="79" name="CaixaDeTexto 78">
          <a:extLst>
            <a:ext uri="{FF2B5EF4-FFF2-40B4-BE49-F238E27FC236}">
              <a16:creationId xmlns:a16="http://schemas.microsoft.com/office/drawing/2014/main" id="{00000000-0008-0000-1300-00004F000000}"/>
            </a:ext>
          </a:extLst>
        </xdr:cNvPr>
        <xdr:cNvSpPr txBox="1"/>
      </xdr:nvSpPr>
      <xdr:spPr>
        <a:xfrm>
          <a:off x="1047750" y="1566301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89629AF0-D432-42A2-B609-5355EFCE85F0}" type="TxLink">
            <a:rPr lang="en-US" sz="1000" b="0" i="0" u="none" strike="noStrike">
              <a:solidFill>
                <a:schemeClr val="tx1">
                  <a:lumMod val="75000"/>
                  <a:lumOff val="25000"/>
                </a:schemeClr>
              </a:solidFill>
              <a:latin typeface="Calibri"/>
              <a:cs typeface="Calibri"/>
            </a:rPr>
            <a:pPr algn="ctr"/>
            <a:t>Receita Esperada</a:t>
          </a:fld>
          <a:endParaRPr lang="pt-BR" sz="1000">
            <a:solidFill>
              <a:schemeClr val="tx1">
                <a:lumMod val="75000"/>
                <a:lumOff val="25000"/>
              </a:schemeClr>
            </a:solidFill>
          </a:endParaRPr>
        </a:p>
      </xdr:txBody>
    </xdr:sp>
    <xdr:clientData/>
  </xdr:twoCellAnchor>
  <xdr:twoCellAnchor>
    <xdr:from>
      <xdr:col>7</xdr:col>
      <xdr:colOff>133349</xdr:colOff>
      <xdr:row>72</xdr:row>
      <xdr:rowOff>0</xdr:rowOff>
    </xdr:from>
    <xdr:to>
      <xdr:col>11</xdr:col>
      <xdr:colOff>5924</xdr:colOff>
      <xdr:row>85</xdr:row>
      <xdr:rowOff>0</xdr:rowOff>
    </xdr:to>
    <xdr:sp macro="" textlink="'BH (2)'!C73">
      <xdr:nvSpPr>
        <xdr:cNvPr id="80" name="Retângulo 79">
          <a:extLst>
            <a:ext uri="{FF2B5EF4-FFF2-40B4-BE49-F238E27FC236}">
              <a16:creationId xmlns:a16="http://schemas.microsoft.com/office/drawing/2014/main" id="{00000000-0008-0000-1300-000050000000}"/>
            </a:ext>
          </a:extLst>
        </xdr:cNvPr>
        <xdr:cNvSpPr/>
      </xdr:nvSpPr>
      <xdr:spPr>
        <a:xfrm>
          <a:off x="3838574" y="14154150"/>
          <a:ext cx="2739600" cy="2476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C894A0DA-289F-4C49-8C73-5635A59F15F4}" type="TxLink">
            <a:rPr lang="en-US" sz="2400" b="0" i="0" u="none" strike="noStrike">
              <a:solidFill>
                <a:schemeClr val="tx1">
                  <a:lumMod val="75000"/>
                  <a:lumOff val="25000"/>
                </a:schemeClr>
              </a:solidFill>
              <a:latin typeface="Calibri"/>
              <a:ea typeface="+mn-ea"/>
              <a:cs typeface="Calibri"/>
            </a:rPr>
            <a:pPr marL="0" indent="0" algn="ctr"/>
            <a:t>15.000,00</a:t>
          </a:fld>
          <a:endParaRPr lang="pt-BR" sz="24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7</xdr:col>
      <xdr:colOff>142875</xdr:colOff>
      <xdr:row>79</xdr:row>
      <xdr:rowOff>175361</xdr:rowOff>
    </xdr:from>
    <xdr:to>
      <xdr:col>11</xdr:col>
      <xdr:colOff>15450</xdr:colOff>
      <xdr:row>81</xdr:row>
      <xdr:rowOff>51098</xdr:rowOff>
    </xdr:to>
    <xdr:sp macro="" textlink="'BH (2)'!B73">
      <xdr:nvSpPr>
        <xdr:cNvPr id="81" name="CaixaDeTexto 80">
          <a:extLst>
            <a:ext uri="{FF2B5EF4-FFF2-40B4-BE49-F238E27FC236}">
              <a16:creationId xmlns:a16="http://schemas.microsoft.com/office/drawing/2014/main" id="{00000000-0008-0000-1300-000051000000}"/>
            </a:ext>
          </a:extLst>
        </xdr:cNvPr>
        <xdr:cNvSpPr txBox="1"/>
      </xdr:nvSpPr>
      <xdr:spPr>
        <a:xfrm>
          <a:off x="3848100" y="1566301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C0E7FB0E-E431-4BAE-ADAB-2BC85AEA9FC3}" type="TxLink">
            <a:rPr lang="en-US" sz="1000" b="0" i="0" u="none" strike="noStrike">
              <a:solidFill>
                <a:schemeClr val="tx1">
                  <a:lumMod val="75000"/>
                  <a:lumOff val="25000"/>
                </a:schemeClr>
              </a:solidFill>
              <a:latin typeface="Calibri"/>
              <a:cs typeface="Calibri"/>
            </a:rPr>
            <a:pPr algn="ctr"/>
            <a:t>Despesa Esperada</a:t>
          </a:fld>
          <a:endParaRPr lang="pt-BR" sz="1000">
            <a:solidFill>
              <a:schemeClr val="tx1">
                <a:lumMod val="75000"/>
                <a:lumOff val="25000"/>
              </a:schemeClr>
            </a:solidFill>
          </a:endParaRPr>
        </a:p>
      </xdr:txBody>
    </xdr:sp>
    <xdr:clientData/>
  </xdr:twoCellAnchor>
  <xdr:twoCellAnchor>
    <xdr:from>
      <xdr:col>11</xdr:col>
      <xdr:colOff>57151</xdr:colOff>
      <xdr:row>53</xdr:row>
      <xdr:rowOff>180975</xdr:rowOff>
    </xdr:from>
    <xdr:to>
      <xdr:col>19</xdr:col>
      <xdr:colOff>161925</xdr:colOff>
      <xdr:row>69</xdr:row>
      <xdr:rowOff>48975</xdr:rowOff>
    </xdr:to>
    <xdr:graphicFrame macro="">
      <xdr:nvGraphicFramePr>
        <xdr:cNvPr id="82" name="Gráfico 81">
          <a:extLst>
            <a:ext uri="{FF2B5EF4-FFF2-40B4-BE49-F238E27FC236}">
              <a16:creationId xmlns:a16="http://schemas.microsoft.com/office/drawing/2014/main" id="{00000000-0008-0000-13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11</xdr:col>
      <xdr:colOff>66674</xdr:colOff>
      <xdr:row>59</xdr:row>
      <xdr:rowOff>42011</xdr:rowOff>
    </xdr:from>
    <xdr:to>
      <xdr:col>19</xdr:col>
      <xdr:colOff>172274</xdr:colOff>
      <xdr:row>61</xdr:row>
      <xdr:rowOff>9525</xdr:rowOff>
    </xdr:to>
    <xdr:sp macro="" textlink="">
      <xdr:nvSpPr>
        <xdr:cNvPr id="83" name="CaixaDeTexto 82">
          <a:extLst>
            <a:ext uri="{FF2B5EF4-FFF2-40B4-BE49-F238E27FC236}">
              <a16:creationId xmlns:a16="http://schemas.microsoft.com/office/drawing/2014/main" id="{00000000-0008-0000-1300-000053000000}"/>
            </a:ext>
          </a:extLst>
        </xdr:cNvPr>
        <xdr:cNvSpPr txBox="1"/>
      </xdr:nvSpPr>
      <xdr:spPr>
        <a:xfrm>
          <a:off x="6638924" y="11719661"/>
          <a:ext cx="4982400"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Margem</a:t>
          </a:r>
          <a:r>
            <a:rPr lang="pt-BR" sz="1000" baseline="0">
              <a:solidFill>
                <a:schemeClr val="tx1">
                  <a:lumMod val="65000"/>
                  <a:lumOff val="35000"/>
                </a:schemeClr>
              </a:solidFill>
            </a:rPr>
            <a:t> </a:t>
          </a:r>
          <a:r>
            <a:rPr lang="pt-BR" sz="1000">
              <a:solidFill>
                <a:schemeClr val="tx1">
                  <a:lumMod val="65000"/>
                  <a:lumOff val="35000"/>
                </a:schemeClr>
              </a:solidFill>
            </a:rPr>
            <a:t>Bruta</a:t>
          </a:r>
        </a:p>
      </xdr:txBody>
    </xdr:sp>
    <xdr:clientData/>
  </xdr:twoCellAnchor>
  <xdr:oneCellAnchor>
    <xdr:from>
      <xdr:col>11</xdr:col>
      <xdr:colOff>57149</xdr:colOff>
      <xdr:row>60</xdr:row>
      <xdr:rowOff>104775</xdr:rowOff>
    </xdr:from>
    <xdr:ext cx="4982400" cy="468013"/>
    <xdr:sp macro="" textlink="'BH (2)'!C62">
      <xdr:nvSpPr>
        <xdr:cNvPr id="84" name="CaixaDeTexto 83">
          <a:extLst>
            <a:ext uri="{FF2B5EF4-FFF2-40B4-BE49-F238E27FC236}">
              <a16:creationId xmlns:a16="http://schemas.microsoft.com/office/drawing/2014/main" id="{00000000-0008-0000-1300-000054000000}"/>
            </a:ext>
          </a:extLst>
        </xdr:cNvPr>
        <xdr:cNvSpPr txBox="1"/>
      </xdr:nvSpPr>
      <xdr:spPr>
        <a:xfrm>
          <a:off x="6629399" y="11972925"/>
          <a:ext cx="49824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DED656D6-EE66-44AE-85EA-E80F0B27575F}" type="TxLink">
            <a:rPr lang="en-US" sz="2800" b="0" i="0" u="none" strike="noStrike">
              <a:solidFill>
                <a:schemeClr val="tx1">
                  <a:lumMod val="65000"/>
                  <a:lumOff val="35000"/>
                </a:schemeClr>
              </a:solidFill>
              <a:latin typeface="Calibri"/>
              <a:ea typeface="+mn-ea"/>
              <a:cs typeface="Calibri"/>
            </a:rPr>
            <a:pPr marL="0" indent="0" algn="ctr"/>
            <a:t>45%</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11</xdr:col>
      <xdr:colOff>76201</xdr:colOff>
      <xdr:row>69</xdr:row>
      <xdr:rowOff>114300</xdr:rowOff>
    </xdr:from>
    <xdr:to>
      <xdr:col>20</xdr:col>
      <xdr:colOff>826</xdr:colOff>
      <xdr:row>84</xdr:row>
      <xdr:rowOff>172800</xdr:rowOff>
    </xdr:to>
    <xdr:graphicFrame macro="">
      <xdr:nvGraphicFramePr>
        <xdr:cNvPr id="85" name="Gráfico 84">
          <a:extLst>
            <a:ext uri="{FF2B5EF4-FFF2-40B4-BE49-F238E27FC236}">
              <a16:creationId xmlns:a16="http://schemas.microsoft.com/office/drawing/2014/main" id="{00000000-0008-0000-13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11</xdr:col>
      <xdr:colOff>85724</xdr:colOff>
      <xdr:row>74</xdr:row>
      <xdr:rowOff>165836</xdr:rowOff>
    </xdr:from>
    <xdr:to>
      <xdr:col>20</xdr:col>
      <xdr:colOff>10349</xdr:colOff>
      <xdr:row>76</xdr:row>
      <xdr:rowOff>133350</xdr:rowOff>
    </xdr:to>
    <xdr:sp macro="" textlink="">
      <xdr:nvSpPr>
        <xdr:cNvPr id="86" name="CaixaDeTexto 85">
          <a:extLst>
            <a:ext uri="{FF2B5EF4-FFF2-40B4-BE49-F238E27FC236}">
              <a16:creationId xmlns:a16="http://schemas.microsoft.com/office/drawing/2014/main" id="{00000000-0008-0000-1300-000056000000}"/>
            </a:ext>
          </a:extLst>
        </xdr:cNvPr>
        <xdr:cNvSpPr txBox="1"/>
      </xdr:nvSpPr>
      <xdr:spPr>
        <a:xfrm>
          <a:off x="6657974" y="14700986"/>
          <a:ext cx="4982400"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Margem</a:t>
          </a:r>
          <a:r>
            <a:rPr lang="pt-BR" sz="1000" baseline="0">
              <a:solidFill>
                <a:schemeClr val="tx1">
                  <a:lumMod val="65000"/>
                  <a:lumOff val="35000"/>
                </a:schemeClr>
              </a:solidFill>
            </a:rPr>
            <a:t> </a:t>
          </a:r>
          <a:r>
            <a:rPr lang="pt-BR" sz="1000">
              <a:solidFill>
                <a:schemeClr val="tx1">
                  <a:lumMod val="65000"/>
                  <a:lumOff val="35000"/>
                </a:schemeClr>
              </a:solidFill>
            </a:rPr>
            <a:t>Operacional</a:t>
          </a:r>
        </a:p>
      </xdr:txBody>
    </xdr:sp>
    <xdr:clientData/>
  </xdr:twoCellAnchor>
  <xdr:oneCellAnchor>
    <xdr:from>
      <xdr:col>11</xdr:col>
      <xdr:colOff>76199</xdr:colOff>
      <xdr:row>76</xdr:row>
      <xdr:rowOff>38100</xdr:rowOff>
    </xdr:from>
    <xdr:ext cx="4982400" cy="468013"/>
    <xdr:sp macro="" textlink="'BH (2)'!C63">
      <xdr:nvSpPr>
        <xdr:cNvPr id="87" name="CaixaDeTexto 86">
          <a:extLst>
            <a:ext uri="{FF2B5EF4-FFF2-40B4-BE49-F238E27FC236}">
              <a16:creationId xmlns:a16="http://schemas.microsoft.com/office/drawing/2014/main" id="{00000000-0008-0000-1300-000057000000}"/>
            </a:ext>
          </a:extLst>
        </xdr:cNvPr>
        <xdr:cNvSpPr txBox="1"/>
      </xdr:nvSpPr>
      <xdr:spPr>
        <a:xfrm>
          <a:off x="6648449" y="14954250"/>
          <a:ext cx="49824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4BE37F33-DF4B-4F93-8A41-9ADFA6E01AF2}" type="TxLink">
            <a:rPr lang="en-US" sz="2800" b="0" i="0" u="none" strike="noStrike">
              <a:solidFill>
                <a:schemeClr val="tx1">
                  <a:lumMod val="65000"/>
                  <a:lumOff val="35000"/>
                </a:schemeClr>
              </a:solidFill>
              <a:latin typeface="Calibri"/>
              <a:ea typeface="+mn-ea"/>
              <a:cs typeface="Calibri"/>
            </a:rPr>
            <a:pPr marL="0" indent="0" algn="ctr"/>
            <a:t>32%</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editAs="absolute">
    <xdr:from>
      <xdr:col>4</xdr:col>
      <xdr:colOff>9525</xdr:colOff>
      <xdr:row>30</xdr:row>
      <xdr:rowOff>118211</xdr:rowOff>
    </xdr:from>
    <xdr:to>
      <xdr:col>10</xdr:col>
      <xdr:colOff>829875</xdr:colOff>
      <xdr:row>31</xdr:row>
      <xdr:rowOff>184448</xdr:rowOff>
    </xdr:to>
    <xdr:sp macro="" textlink="">
      <xdr:nvSpPr>
        <xdr:cNvPr id="94" name="CaixaDeTexto 93">
          <a:extLst>
            <a:ext uri="{FF2B5EF4-FFF2-40B4-BE49-F238E27FC236}">
              <a16:creationId xmlns:a16="http://schemas.microsoft.com/office/drawing/2014/main" id="{00000000-0008-0000-1300-00005E000000}"/>
            </a:ext>
          </a:extLst>
        </xdr:cNvPr>
        <xdr:cNvSpPr txBox="1"/>
      </xdr:nvSpPr>
      <xdr:spPr>
        <a:xfrm>
          <a:off x="1028700" y="6271361"/>
          <a:ext cx="5335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Deduções + Custos + Despesas</a:t>
          </a:r>
        </a:p>
      </xdr:txBody>
    </xdr:sp>
    <xdr:clientData/>
  </xdr:twoCellAnchor>
  <xdr:twoCellAnchor editAs="absolute">
    <xdr:from>
      <xdr:col>4</xdr:col>
      <xdr:colOff>0</xdr:colOff>
      <xdr:row>42</xdr:row>
      <xdr:rowOff>3911</xdr:rowOff>
    </xdr:from>
    <xdr:to>
      <xdr:col>10</xdr:col>
      <xdr:colOff>820350</xdr:colOff>
      <xdr:row>43</xdr:row>
      <xdr:rowOff>70148</xdr:rowOff>
    </xdr:to>
    <xdr:sp macro="" textlink="'BH (2)'!D42">
      <xdr:nvSpPr>
        <xdr:cNvPr id="95" name="CaixaDeTexto 94">
          <a:extLst>
            <a:ext uri="{FF2B5EF4-FFF2-40B4-BE49-F238E27FC236}">
              <a16:creationId xmlns:a16="http://schemas.microsoft.com/office/drawing/2014/main" id="{00000000-0008-0000-1300-00005F000000}"/>
            </a:ext>
          </a:extLst>
        </xdr:cNvPr>
        <xdr:cNvSpPr txBox="1"/>
      </xdr:nvSpPr>
      <xdr:spPr>
        <a:xfrm>
          <a:off x="1019175" y="8443061"/>
          <a:ext cx="5335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8059D4E3-115A-46F2-A87B-04521D635B64}" type="TxLink">
            <a:rPr lang="en-US" sz="1000" b="0" i="0" u="none" strike="noStrike">
              <a:solidFill>
                <a:srgbClr val="404040"/>
              </a:solidFill>
              <a:latin typeface="Calibri"/>
              <a:cs typeface="Calibri"/>
            </a:rPr>
            <a:pPr algn="ctr"/>
            <a:t>Diminuiu</a:t>
          </a:fld>
          <a:endParaRPr lang="pt-BR" sz="1000">
            <a:solidFill>
              <a:schemeClr val="tx1">
                <a:lumMod val="65000"/>
                <a:lumOff val="35000"/>
              </a:schemeClr>
            </a:solidFill>
          </a:endParaRPr>
        </a:p>
      </xdr:txBody>
    </xdr:sp>
    <xdr:clientData/>
  </xdr:twoCellAnchor>
  <xdr:twoCellAnchor editAs="absolute">
    <xdr:from>
      <xdr:col>4</xdr:col>
      <xdr:colOff>9525</xdr:colOff>
      <xdr:row>43</xdr:row>
      <xdr:rowOff>22961</xdr:rowOff>
    </xdr:from>
    <xdr:to>
      <xdr:col>10</xdr:col>
      <xdr:colOff>829875</xdr:colOff>
      <xdr:row>44</xdr:row>
      <xdr:rowOff>89198</xdr:rowOff>
    </xdr:to>
    <xdr:sp macro="" textlink="'BH (2)'!C42">
      <xdr:nvSpPr>
        <xdr:cNvPr id="96" name="CaixaDeTexto 95">
          <a:extLst>
            <a:ext uri="{FF2B5EF4-FFF2-40B4-BE49-F238E27FC236}">
              <a16:creationId xmlns:a16="http://schemas.microsoft.com/office/drawing/2014/main" id="{00000000-0008-0000-1300-000060000000}"/>
            </a:ext>
          </a:extLst>
        </xdr:cNvPr>
        <xdr:cNvSpPr txBox="1"/>
      </xdr:nvSpPr>
      <xdr:spPr>
        <a:xfrm>
          <a:off x="1028700" y="8652611"/>
          <a:ext cx="5335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3446236-3E6E-4314-BD7C-B7973E8EADFC}" type="TxLink">
            <a:rPr lang="en-US" sz="1000" b="0" i="0" u="none" strike="noStrike">
              <a:solidFill>
                <a:srgbClr val="000000"/>
              </a:solidFill>
              <a:latin typeface="Calibri"/>
              <a:cs typeface="Calibri"/>
            </a:rPr>
            <a:pPr algn="ctr"/>
            <a:t>-10%</a:t>
          </a:fld>
          <a:endParaRPr lang="pt-BR" sz="1000">
            <a:solidFill>
              <a:schemeClr val="tx1">
                <a:lumMod val="65000"/>
                <a:lumOff val="35000"/>
              </a:schemeClr>
            </a:solidFill>
          </a:endParaRPr>
        </a:p>
      </xdr:txBody>
    </xdr:sp>
    <xdr:clientData/>
  </xdr:twoCellAnchor>
  <xdr:twoCellAnchor>
    <xdr:from>
      <xdr:col>9</xdr:col>
      <xdr:colOff>190500</xdr:colOff>
      <xdr:row>23</xdr:row>
      <xdr:rowOff>152400</xdr:rowOff>
    </xdr:from>
    <xdr:to>
      <xdr:col>12</xdr:col>
      <xdr:colOff>453075</xdr:colOff>
      <xdr:row>37</xdr:row>
      <xdr:rowOff>5400</xdr:rowOff>
    </xdr:to>
    <xdr:sp macro="" textlink="">
      <xdr:nvSpPr>
        <xdr:cNvPr id="11264" name="Elipse 11263">
          <a:extLst>
            <a:ext uri="{FF2B5EF4-FFF2-40B4-BE49-F238E27FC236}">
              <a16:creationId xmlns:a16="http://schemas.microsoft.com/office/drawing/2014/main" id="{00000000-0008-0000-1300-0000002C0000}"/>
            </a:ext>
          </a:extLst>
        </xdr:cNvPr>
        <xdr:cNvSpPr/>
      </xdr:nvSpPr>
      <xdr:spPr>
        <a:xfrm>
          <a:off x="5114925" y="4972050"/>
          <a:ext cx="2520000" cy="252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485776</xdr:colOff>
      <xdr:row>21</xdr:row>
      <xdr:rowOff>161925</xdr:rowOff>
    </xdr:from>
    <xdr:to>
      <xdr:col>15</xdr:col>
      <xdr:colOff>28576</xdr:colOff>
      <xdr:row>38</xdr:row>
      <xdr:rowOff>142875</xdr:rowOff>
    </xdr:to>
    <xdr:grpSp>
      <xdr:nvGrpSpPr>
        <xdr:cNvPr id="2" name="Agrupar 1">
          <a:extLst>
            <a:ext uri="{FF2B5EF4-FFF2-40B4-BE49-F238E27FC236}">
              <a16:creationId xmlns:a16="http://schemas.microsoft.com/office/drawing/2014/main" id="{00000000-0008-0000-1300-000002000000}"/>
            </a:ext>
          </a:extLst>
        </xdr:cNvPr>
        <xdr:cNvGrpSpPr/>
      </xdr:nvGrpSpPr>
      <xdr:grpSpPr>
        <a:xfrm>
          <a:off x="3581401" y="4600575"/>
          <a:ext cx="5457825" cy="3219450"/>
          <a:chOff x="1600201" y="3114675"/>
          <a:chExt cx="5457825" cy="3219450"/>
        </a:xfrm>
      </xdr:grpSpPr>
      <xdr:graphicFrame macro="">
        <xdr:nvGraphicFramePr>
          <xdr:cNvPr id="29" name="Gráfico 28">
            <a:extLst>
              <a:ext uri="{FF2B5EF4-FFF2-40B4-BE49-F238E27FC236}">
                <a16:creationId xmlns:a16="http://schemas.microsoft.com/office/drawing/2014/main" id="{00000000-0008-0000-1300-00001D000000}"/>
              </a:ext>
            </a:extLst>
          </xdr:cNvPr>
          <xdr:cNvGraphicFramePr>
            <a:graphicFrameLocks/>
          </xdr:cNvGraphicFramePr>
        </xdr:nvGraphicFramePr>
        <xdr:xfrm>
          <a:off x="1600201" y="3114675"/>
          <a:ext cx="5457825" cy="3219450"/>
        </xdr:xfrm>
        <a:graphic>
          <a:graphicData uri="http://schemas.openxmlformats.org/drawingml/2006/chart">
            <c:chart xmlns:c="http://schemas.openxmlformats.org/drawingml/2006/chart" xmlns:r="http://schemas.openxmlformats.org/officeDocument/2006/relationships" r:id="rId15"/>
          </a:graphicData>
        </a:graphic>
      </xdr:graphicFrame>
      <xdr:sp macro="" textlink="'BH (2)'!C37">
        <xdr:nvSpPr>
          <xdr:cNvPr id="30" name="CaixaDeTexto 29">
            <a:extLst>
              <a:ext uri="{FF2B5EF4-FFF2-40B4-BE49-F238E27FC236}">
                <a16:creationId xmlns:a16="http://schemas.microsoft.com/office/drawing/2014/main" id="{00000000-0008-0000-1300-00001E000000}"/>
              </a:ext>
            </a:extLst>
          </xdr:cNvPr>
          <xdr:cNvSpPr txBox="1"/>
        </xdr:nvSpPr>
        <xdr:spPr>
          <a:xfrm>
            <a:off x="3124202" y="4505325"/>
            <a:ext cx="25527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A1FD999D-EB09-4E97-B5C1-CBE1659FB8D4}" type="TxLink">
              <a:rPr lang="en-US" sz="4000" b="0" i="0" u="none" strike="noStrike">
                <a:solidFill>
                  <a:schemeClr val="tx1">
                    <a:lumMod val="65000"/>
                    <a:lumOff val="35000"/>
                  </a:schemeClr>
                </a:solidFill>
                <a:latin typeface="Calibri"/>
                <a:cs typeface="Calibri"/>
              </a:rPr>
              <a:pPr algn="ctr"/>
              <a:t>15%</a:t>
            </a:fld>
            <a:endParaRPr lang="pt-BR" sz="4800" b="0">
              <a:solidFill>
                <a:schemeClr val="tx1">
                  <a:lumMod val="65000"/>
                  <a:lumOff val="35000"/>
                </a:schemeClr>
              </a:solidFill>
            </a:endParaRPr>
          </a:p>
        </xdr:txBody>
      </xdr:sp>
      <xdr:sp macro="" textlink="">
        <xdr:nvSpPr>
          <xdr:cNvPr id="31" name="CaixaDeTexto 30">
            <a:extLst>
              <a:ext uri="{FF2B5EF4-FFF2-40B4-BE49-F238E27FC236}">
                <a16:creationId xmlns:a16="http://schemas.microsoft.com/office/drawing/2014/main" id="{00000000-0008-0000-1300-00001F000000}"/>
              </a:ext>
            </a:extLst>
          </xdr:cNvPr>
          <xdr:cNvSpPr txBox="1"/>
        </xdr:nvSpPr>
        <xdr:spPr>
          <a:xfrm>
            <a:off x="3114676" y="419491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Lucratividade do Mês</a:t>
            </a:r>
          </a:p>
        </xdr:txBody>
      </xdr:sp>
    </xdr:grpSp>
    <xdr:clientData/>
  </xdr:twoCellAnchor>
  <xdr:twoCellAnchor editAs="oneCell">
    <xdr:from>
      <xdr:col>4</xdr:col>
      <xdr:colOff>942975</xdr:colOff>
      <xdr:row>73</xdr:row>
      <xdr:rowOff>171450</xdr:rowOff>
    </xdr:from>
    <xdr:to>
      <xdr:col>5</xdr:col>
      <xdr:colOff>819150</xdr:colOff>
      <xdr:row>78</xdr:row>
      <xdr:rowOff>133350</xdr:rowOff>
    </xdr:to>
    <xdr:pic>
      <xdr:nvPicPr>
        <xdr:cNvPr id="11269" name="Gráfico 11268" descr="Carteira">
          <a:extLst>
            <a:ext uri="{FF2B5EF4-FFF2-40B4-BE49-F238E27FC236}">
              <a16:creationId xmlns:a16="http://schemas.microsoft.com/office/drawing/2014/main" id="{00000000-0008-0000-1300-0000052C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962150" y="14516100"/>
          <a:ext cx="914400" cy="914400"/>
        </a:xfrm>
        <a:prstGeom prst="rect">
          <a:avLst/>
        </a:prstGeom>
      </xdr:spPr>
    </xdr:pic>
    <xdr:clientData/>
  </xdr:twoCellAnchor>
  <xdr:twoCellAnchor editAs="oneCell">
    <xdr:from>
      <xdr:col>8</xdr:col>
      <xdr:colOff>445275</xdr:colOff>
      <xdr:row>73</xdr:row>
      <xdr:rowOff>150000</xdr:rowOff>
    </xdr:from>
    <xdr:to>
      <xdr:col>10</xdr:col>
      <xdr:colOff>140475</xdr:colOff>
      <xdr:row>78</xdr:row>
      <xdr:rowOff>111900</xdr:rowOff>
    </xdr:to>
    <xdr:pic>
      <xdr:nvPicPr>
        <xdr:cNvPr id="11271" name="Gráfico 11270" descr="Dinheiro">
          <a:extLst>
            <a:ext uri="{FF2B5EF4-FFF2-40B4-BE49-F238E27FC236}">
              <a16:creationId xmlns:a16="http://schemas.microsoft.com/office/drawing/2014/main" id="{00000000-0008-0000-1300-0000072C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760100" y="14494650"/>
          <a:ext cx="914400"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5</xdr:col>
          <xdr:colOff>38100</xdr:colOff>
          <xdr:row>95</xdr:row>
          <xdr:rowOff>95250</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id="{00000000-0008-0000-1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19048</xdr:colOff>
      <xdr:row>95</xdr:row>
      <xdr:rowOff>171450</xdr:rowOff>
    </xdr:from>
    <xdr:to>
      <xdr:col>6</xdr:col>
      <xdr:colOff>26998</xdr:colOff>
      <xdr:row>102</xdr:row>
      <xdr:rowOff>97950</xdr:rowOff>
    </xdr:to>
    <xdr:sp macro="" textlink="'BH (2)'!O89">
      <xdr:nvSpPr>
        <xdr:cNvPr id="105" name="Retângulo 104">
          <a:extLst>
            <a:ext uri="{FF2B5EF4-FFF2-40B4-BE49-F238E27FC236}">
              <a16:creationId xmlns:a16="http://schemas.microsoft.com/office/drawing/2014/main" id="{00000000-0008-0000-1300-000069000000}"/>
            </a:ext>
          </a:extLst>
        </xdr:cNvPr>
        <xdr:cNvSpPr/>
      </xdr:nvSpPr>
      <xdr:spPr>
        <a:xfrm>
          <a:off x="1038223" y="18707100"/>
          <a:ext cx="20844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F9A5683-513E-4D34-A22E-6C351E6EDF68}" type="TxLink">
            <a:rPr lang="en-US" sz="2400" b="0" i="0" u="none" strike="noStrike">
              <a:solidFill>
                <a:srgbClr val="FFFFFF"/>
              </a:solidFill>
              <a:latin typeface="Calibri"/>
              <a:ea typeface="+mn-ea"/>
              <a:cs typeface="Calibri"/>
            </a:rPr>
            <a:pPr marL="0" indent="0" algn="ctr"/>
            <a:t>992.235,00</a:t>
          </a:fld>
          <a:endParaRPr lang="pt-BR" sz="2400" b="0" i="0" u="none" strike="noStrike">
            <a:solidFill>
              <a:schemeClr val="bg1"/>
            </a:solidFill>
            <a:latin typeface="Calibri"/>
            <a:ea typeface="+mn-ea"/>
            <a:cs typeface="Calibri"/>
          </a:endParaRPr>
        </a:p>
      </xdr:txBody>
    </xdr:sp>
    <xdr:clientData/>
  </xdr:twoCellAnchor>
  <xdr:twoCellAnchor editAs="absolute">
    <xdr:from>
      <xdr:col>4</xdr:col>
      <xdr:colOff>9525</xdr:colOff>
      <xdr:row>95</xdr:row>
      <xdr:rowOff>175361</xdr:rowOff>
    </xdr:from>
    <xdr:to>
      <xdr:col>6</xdr:col>
      <xdr:colOff>17475</xdr:colOff>
      <xdr:row>97</xdr:row>
      <xdr:rowOff>51098</xdr:rowOff>
    </xdr:to>
    <xdr:sp macro="" textlink="">
      <xdr:nvSpPr>
        <xdr:cNvPr id="106" name="CaixaDeTexto 105">
          <a:extLst>
            <a:ext uri="{FF2B5EF4-FFF2-40B4-BE49-F238E27FC236}">
              <a16:creationId xmlns:a16="http://schemas.microsoft.com/office/drawing/2014/main" id="{00000000-0008-0000-1300-00006A000000}"/>
            </a:ext>
          </a:extLst>
        </xdr:cNvPr>
        <xdr:cNvSpPr txBox="1"/>
      </xdr:nvSpPr>
      <xdr:spPr>
        <a:xfrm>
          <a:off x="1028700" y="18711011"/>
          <a:ext cx="20844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da</a:t>
          </a:r>
          <a:r>
            <a:rPr lang="pt-BR" sz="1000" baseline="0">
              <a:solidFill>
                <a:schemeClr val="bg1"/>
              </a:solidFill>
            </a:rPr>
            <a:t> Receita Anual</a:t>
          </a:r>
          <a:endParaRPr lang="pt-BR" sz="1000">
            <a:solidFill>
              <a:schemeClr val="bg1"/>
            </a:solidFill>
          </a:endParaRPr>
        </a:p>
      </xdr:txBody>
    </xdr:sp>
    <xdr:clientData/>
  </xdr:twoCellAnchor>
  <xdr:twoCellAnchor>
    <xdr:from>
      <xdr:col>6</xdr:col>
      <xdr:colOff>76199</xdr:colOff>
      <xdr:row>95</xdr:row>
      <xdr:rowOff>171450</xdr:rowOff>
    </xdr:from>
    <xdr:to>
      <xdr:col>9</xdr:col>
      <xdr:colOff>331799</xdr:colOff>
      <xdr:row>102</xdr:row>
      <xdr:rowOff>97950</xdr:rowOff>
    </xdr:to>
    <xdr:sp macro="" textlink="'BH (2)'!O90">
      <xdr:nvSpPr>
        <xdr:cNvPr id="107" name="Retângulo 106">
          <a:extLst>
            <a:ext uri="{FF2B5EF4-FFF2-40B4-BE49-F238E27FC236}">
              <a16:creationId xmlns:a16="http://schemas.microsoft.com/office/drawing/2014/main" id="{00000000-0008-0000-1300-00006B000000}"/>
            </a:ext>
          </a:extLst>
        </xdr:cNvPr>
        <xdr:cNvSpPr/>
      </xdr:nvSpPr>
      <xdr:spPr>
        <a:xfrm>
          <a:off x="3171824" y="18707100"/>
          <a:ext cx="20844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A1BF119-757C-4AF1-9BD1-525149BD3E85}" type="TxLink">
            <a:rPr lang="en-US" sz="2400" b="0" i="0" u="none" strike="noStrike">
              <a:solidFill>
                <a:srgbClr val="FFFFFF"/>
              </a:solidFill>
              <a:latin typeface="Calibri"/>
              <a:ea typeface="+mn-ea"/>
              <a:cs typeface="Calibri"/>
            </a:rPr>
            <a:pPr marL="0" indent="0" algn="ctr"/>
            <a:t>737.532,00</a:t>
          </a:fld>
          <a:endParaRPr lang="pt-BR" sz="2400" b="0" i="0" u="none" strike="noStrike">
            <a:solidFill>
              <a:schemeClr val="bg1"/>
            </a:solidFill>
            <a:latin typeface="Calibri"/>
            <a:ea typeface="+mn-ea"/>
            <a:cs typeface="Calibri"/>
          </a:endParaRPr>
        </a:p>
      </xdr:txBody>
    </xdr:sp>
    <xdr:clientData/>
  </xdr:twoCellAnchor>
  <xdr:twoCellAnchor editAs="absolute">
    <xdr:from>
      <xdr:col>6</xdr:col>
      <xdr:colOff>66675</xdr:colOff>
      <xdr:row>95</xdr:row>
      <xdr:rowOff>175361</xdr:rowOff>
    </xdr:from>
    <xdr:to>
      <xdr:col>9</xdr:col>
      <xdr:colOff>322275</xdr:colOff>
      <xdr:row>97</xdr:row>
      <xdr:rowOff>51098</xdr:rowOff>
    </xdr:to>
    <xdr:sp macro="" textlink="">
      <xdr:nvSpPr>
        <xdr:cNvPr id="108" name="CaixaDeTexto 107">
          <a:extLst>
            <a:ext uri="{FF2B5EF4-FFF2-40B4-BE49-F238E27FC236}">
              <a16:creationId xmlns:a16="http://schemas.microsoft.com/office/drawing/2014/main" id="{00000000-0008-0000-1300-00006C000000}"/>
            </a:ext>
          </a:extLst>
        </xdr:cNvPr>
        <xdr:cNvSpPr txBox="1"/>
      </xdr:nvSpPr>
      <xdr:spPr>
        <a:xfrm>
          <a:off x="3162300" y="18711011"/>
          <a:ext cx="20844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da</a:t>
          </a:r>
          <a:r>
            <a:rPr lang="pt-BR" sz="1000" baseline="0">
              <a:solidFill>
                <a:schemeClr val="bg1"/>
              </a:solidFill>
            </a:rPr>
            <a:t> Despesa Anual</a:t>
          </a:r>
          <a:endParaRPr lang="pt-BR" sz="1000">
            <a:solidFill>
              <a:schemeClr val="bg1"/>
            </a:solidFill>
          </a:endParaRPr>
        </a:p>
      </xdr:txBody>
    </xdr:sp>
    <xdr:clientData/>
  </xdr:twoCellAnchor>
  <xdr:twoCellAnchor>
    <xdr:from>
      <xdr:col>9</xdr:col>
      <xdr:colOff>371473</xdr:colOff>
      <xdr:row>95</xdr:row>
      <xdr:rowOff>171450</xdr:rowOff>
    </xdr:from>
    <xdr:to>
      <xdr:col>12</xdr:col>
      <xdr:colOff>198448</xdr:colOff>
      <xdr:row>102</xdr:row>
      <xdr:rowOff>97950</xdr:rowOff>
    </xdr:to>
    <xdr:sp macro="" textlink="'BH (2)'!O91">
      <xdr:nvSpPr>
        <xdr:cNvPr id="109" name="Retângulo 108">
          <a:extLst>
            <a:ext uri="{FF2B5EF4-FFF2-40B4-BE49-F238E27FC236}">
              <a16:creationId xmlns:a16="http://schemas.microsoft.com/office/drawing/2014/main" id="{00000000-0008-0000-1300-00006D000000}"/>
            </a:ext>
          </a:extLst>
        </xdr:cNvPr>
        <xdr:cNvSpPr/>
      </xdr:nvSpPr>
      <xdr:spPr>
        <a:xfrm>
          <a:off x="5295898" y="18707100"/>
          <a:ext cx="20844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2DE27987-8004-4531-8277-715AE6CBE566}" type="TxLink">
            <a:rPr lang="en-US" sz="2400" b="0" i="0" u="none" strike="noStrike">
              <a:solidFill>
                <a:srgbClr val="FFFFFF"/>
              </a:solidFill>
              <a:latin typeface="Calibri"/>
              <a:ea typeface="+mn-ea"/>
              <a:cs typeface="Calibri"/>
            </a:rPr>
            <a:pPr marL="0" indent="0" algn="ctr"/>
            <a:t>254.703,00</a:t>
          </a:fld>
          <a:endParaRPr lang="pt-BR" sz="2400" b="0" i="0" u="none" strike="noStrike">
            <a:solidFill>
              <a:schemeClr val="bg1"/>
            </a:solidFill>
            <a:latin typeface="Calibri"/>
            <a:ea typeface="+mn-ea"/>
            <a:cs typeface="Calibri"/>
          </a:endParaRPr>
        </a:p>
      </xdr:txBody>
    </xdr:sp>
    <xdr:clientData/>
  </xdr:twoCellAnchor>
  <xdr:twoCellAnchor editAs="absolute">
    <xdr:from>
      <xdr:col>9</xdr:col>
      <xdr:colOff>361950</xdr:colOff>
      <xdr:row>95</xdr:row>
      <xdr:rowOff>175361</xdr:rowOff>
    </xdr:from>
    <xdr:to>
      <xdr:col>12</xdr:col>
      <xdr:colOff>188925</xdr:colOff>
      <xdr:row>97</xdr:row>
      <xdr:rowOff>51098</xdr:rowOff>
    </xdr:to>
    <xdr:sp macro="" textlink="">
      <xdr:nvSpPr>
        <xdr:cNvPr id="110" name="CaixaDeTexto 109">
          <a:extLst>
            <a:ext uri="{FF2B5EF4-FFF2-40B4-BE49-F238E27FC236}">
              <a16:creationId xmlns:a16="http://schemas.microsoft.com/office/drawing/2014/main" id="{00000000-0008-0000-1300-00006E000000}"/>
            </a:ext>
          </a:extLst>
        </xdr:cNvPr>
        <xdr:cNvSpPr txBox="1"/>
      </xdr:nvSpPr>
      <xdr:spPr>
        <a:xfrm>
          <a:off x="5286375" y="18711011"/>
          <a:ext cx="20844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Lucro ou Prejuízo Líquido</a:t>
          </a:r>
        </a:p>
      </xdr:txBody>
    </xdr:sp>
    <xdr:clientData/>
  </xdr:twoCellAnchor>
  <xdr:twoCellAnchor>
    <xdr:from>
      <xdr:col>12</xdr:col>
      <xdr:colOff>238124</xdr:colOff>
      <xdr:row>95</xdr:row>
      <xdr:rowOff>171450</xdr:rowOff>
    </xdr:from>
    <xdr:to>
      <xdr:col>15</xdr:col>
      <xdr:colOff>493724</xdr:colOff>
      <xdr:row>102</xdr:row>
      <xdr:rowOff>97950</xdr:rowOff>
    </xdr:to>
    <xdr:sp macro="" textlink="'BH (2)'!O52">
      <xdr:nvSpPr>
        <xdr:cNvPr id="111" name="Retângulo 110">
          <a:extLst>
            <a:ext uri="{FF2B5EF4-FFF2-40B4-BE49-F238E27FC236}">
              <a16:creationId xmlns:a16="http://schemas.microsoft.com/office/drawing/2014/main" id="{00000000-0008-0000-1300-00006F000000}"/>
            </a:ext>
          </a:extLst>
        </xdr:cNvPr>
        <xdr:cNvSpPr/>
      </xdr:nvSpPr>
      <xdr:spPr>
        <a:xfrm>
          <a:off x="7419974" y="18707100"/>
          <a:ext cx="20844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70D15BB-5852-4866-8846-C59547B8B171}" type="TxLink">
            <a:rPr lang="en-US" sz="2400" b="0" i="0" u="none" strike="noStrike">
              <a:solidFill>
                <a:srgbClr val="FFFFFF"/>
              </a:solidFill>
              <a:latin typeface="Calibri"/>
              <a:ea typeface="+mn-ea"/>
              <a:cs typeface="Calibri"/>
            </a:rPr>
            <a:pPr marL="0" indent="0" algn="ctr"/>
            <a:t>22.900,00</a:t>
          </a:fld>
          <a:endParaRPr lang="pt-BR" sz="2400" b="0" i="0" u="none" strike="noStrike">
            <a:solidFill>
              <a:schemeClr val="bg1"/>
            </a:solidFill>
            <a:latin typeface="Calibri"/>
            <a:ea typeface="+mn-ea"/>
            <a:cs typeface="Calibri"/>
          </a:endParaRPr>
        </a:p>
      </xdr:txBody>
    </xdr:sp>
    <xdr:clientData/>
  </xdr:twoCellAnchor>
  <xdr:twoCellAnchor editAs="absolute">
    <xdr:from>
      <xdr:col>12</xdr:col>
      <xdr:colOff>228600</xdr:colOff>
      <xdr:row>95</xdr:row>
      <xdr:rowOff>175361</xdr:rowOff>
    </xdr:from>
    <xdr:to>
      <xdr:col>15</xdr:col>
      <xdr:colOff>484200</xdr:colOff>
      <xdr:row>97</xdr:row>
      <xdr:rowOff>51098</xdr:rowOff>
    </xdr:to>
    <xdr:sp macro="" textlink="">
      <xdr:nvSpPr>
        <xdr:cNvPr id="112" name="CaixaDeTexto 111">
          <a:extLst>
            <a:ext uri="{FF2B5EF4-FFF2-40B4-BE49-F238E27FC236}">
              <a16:creationId xmlns:a16="http://schemas.microsoft.com/office/drawing/2014/main" id="{00000000-0008-0000-1300-000070000000}"/>
            </a:ext>
          </a:extLst>
        </xdr:cNvPr>
        <xdr:cNvSpPr txBox="1"/>
      </xdr:nvSpPr>
      <xdr:spPr>
        <a:xfrm>
          <a:off x="7410450" y="18711011"/>
          <a:ext cx="20844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a:t>
          </a:r>
          <a:r>
            <a:rPr lang="pt-BR" sz="1000" baseline="0">
              <a:solidFill>
                <a:schemeClr val="bg1"/>
              </a:solidFill>
            </a:rPr>
            <a:t> a Pagar</a:t>
          </a:r>
          <a:endParaRPr lang="pt-BR" sz="1000">
            <a:solidFill>
              <a:schemeClr val="bg1"/>
            </a:solidFill>
          </a:endParaRPr>
        </a:p>
      </xdr:txBody>
    </xdr:sp>
    <xdr:clientData/>
  </xdr:twoCellAnchor>
  <xdr:twoCellAnchor>
    <xdr:from>
      <xdr:col>15</xdr:col>
      <xdr:colOff>533399</xdr:colOff>
      <xdr:row>95</xdr:row>
      <xdr:rowOff>171450</xdr:rowOff>
    </xdr:from>
    <xdr:to>
      <xdr:col>19</xdr:col>
      <xdr:colOff>179399</xdr:colOff>
      <xdr:row>102</xdr:row>
      <xdr:rowOff>97950</xdr:rowOff>
    </xdr:to>
    <xdr:sp macro="" textlink="'BH (2)'!O53">
      <xdr:nvSpPr>
        <xdr:cNvPr id="113" name="Retângulo 112">
          <a:extLst>
            <a:ext uri="{FF2B5EF4-FFF2-40B4-BE49-F238E27FC236}">
              <a16:creationId xmlns:a16="http://schemas.microsoft.com/office/drawing/2014/main" id="{00000000-0008-0000-1300-000071000000}"/>
            </a:ext>
          </a:extLst>
        </xdr:cNvPr>
        <xdr:cNvSpPr/>
      </xdr:nvSpPr>
      <xdr:spPr>
        <a:xfrm>
          <a:off x="9544049" y="18707100"/>
          <a:ext cx="20844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63B00D3-6D12-4193-A069-065592567D69}" type="TxLink">
            <a:rPr lang="en-US" sz="2400" b="0" i="0" u="none" strike="noStrike">
              <a:solidFill>
                <a:srgbClr val="FFFFFF"/>
              </a:solidFill>
              <a:latin typeface="Calibri"/>
              <a:ea typeface="+mn-ea"/>
              <a:cs typeface="Calibri"/>
            </a:rPr>
            <a:pPr marL="0" indent="0" algn="ctr"/>
            <a:t>25.500,00</a:t>
          </a:fld>
          <a:endParaRPr lang="pt-BR" sz="2400" b="0" i="0" u="none" strike="noStrike">
            <a:solidFill>
              <a:schemeClr val="bg1"/>
            </a:solidFill>
            <a:latin typeface="Calibri"/>
            <a:ea typeface="+mn-ea"/>
            <a:cs typeface="Calibri"/>
          </a:endParaRPr>
        </a:p>
      </xdr:txBody>
    </xdr:sp>
    <xdr:clientData/>
  </xdr:twoCellAnchor>
  <xdr:twoCellAnchor editAs="absolute">
    <xdr:from>
      <xdr:col>15</xdr:col>
      <xdr:colOff>523875</xdr:colOff>
      <xdr:row>95</xdr:row>
      <xdr:rowOff>175361</xdr:rowOff>
    </xdr:from>
    <xdr:to>
      <xdr:col>19</xdr:col>
      <xdr:colOff>169875</xdr:colOff>
      <xdr:row>97</xdr:row>
      <xdr:rowOff>51098</xdr:rowOff>
    </xdr:to>
    <xdr:sp macro="" textlink="">
      <xdr:nvSpPr>
        <xdr:cNvPr id="114" name="CaixaDeTexto 113">
          <a:extLst>
            <a:ext uri="{FF2B5EF4-FFF2-40B4-BE49-F238E27FC236}">
              <a16:creationId xmlns:a16="http://schemas.microsoft.com/office/drawing/2014/main" id="{00000000-0008-0000-1300-000072000000}"/>
            </a:ext>
          </a:extLst>
        </xdr:cNvPr>
        <xdr:cNvSpPr txBox="1"/>
      </xdr:nvSpPr>
      <xdr:spPr>
        <a:xfrm>
          <a:off x="9534525" y="18711011"/>
          <a:ext cx="20844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a:t>
          </a:r>
          <a:r>
            <a:rPr lang="pt-BR" sz="1000" baseline="0">
              <a:solidFill>
                <a:schemeClr val="bg1"/>
              </a:solidFill>
            </a:rPr>
            <a:t> a Receber</a:t>
          </a:r>
          <a:endParaRPr lang="pt-BR" sz="1000">
            <a:solidFill>
              <a:schemeClr val="bg1"/>
            </a:solidFill>
          </a:endParaRPr>
        </a:p>
      </xdr:txBody>
    </xdr:sp>
    <xdr:clientData/>
  </xdr:twoCellAnchor>
  <xdr:twoCellAnchor>
    <xdr:from>
      <xdr:col>4</xdr:col>
      <xdr:colOff>19050</xdr:colOff>
      <xdr:row>102</xdr:row>
      <xdr:rowOff>152399</xdr:rowOff>
    </xdr:from>
    <xdr:to>
      <xdr:col>20</xdr:col>
      <xdr:colOff>10200</xdr:colOff>
      <xdr:row>115</xdr:row>
      <xdr:rowOff>142875</xdr:rowOff>
    </xdr:to>
    <xdr:graphicFrame macro="">
      <xdr:nvGraphicFramePr>
        <xdr:cNvPr id="115" name="Gráfico 114">
          <a:extLst>
            <a:ext uri="{FF2B5EF4-FFF2-40B4-BE49-F238E27FC236}">
              <a16:creationId xmlns:a16="http://schemas.microsoft.com/office/drawing/2014/main" id="{00000000-0008-0000-13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9525</xdr:colOff>
      <xdr:row>115</xdr:row>
      <xdr:rowOff>190499</xdr:rowOff>
    </xdr:from>
    <xdr:to>
      <xdr:col>20</xdr:col>
      <xdr:colOff>675</xdr:colOff>
      <xdr:row>125</xdr:row>
      <xdr:rowOff>9524</xdr:rowOff>
    </xdr:to>
    <xdr:graphicFrame macro="">
      <xdr:nvGraphicFramePr>
        <xdr:cNvPr id="116" name="Gráfico 115">
          <a:extLst>
            <a:ext uri="{FF2B5EF4-FFF2-40B4-BE49-F238E27FC236}">
              <a16:creationId xmlns:a16="http://schemas.microsoft.com/office/drawing/2014/main" id="{00000000-0008-0000-1300-00007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19049</xdr:colOff>
      <xdr:row>135</xdr:row>
      <xdr:rowOff>171450</xdr:rowOff>
    </xdr:from>
    <xdr:to>
      <xdr:col>10</xdr:col>
      <xdr:colOff>767399</xdr:colOff>
      <xdr:row>142</xdr:row>
      <xdr:rowOff>97950</xdr:rowOff>
    </xdr:to>
    <xdr:sp macro="" textlink="'BH (2)'!O114">
      <xdr:nvSpPr>
        <xdr:cNvPr id="117" name="Retângulo 116">
          <a:extLst>
            <a:ext uri="{FF2B5EF4-FFF2-40B4-BE49-F238E27FC236}">
              <a16:creationId xmlns:a16="http://schemas.microsoft.com/office/drawing/2014/main" id="{00000000-0008-0000-1300-000075000000}"/>
            </a:ext>
          </a:extLst>
        </xdr:cNvPr>
        <xdr:cNvSpPr/>
      </xdr:nvSpPr>
      <xdr:spPr>
        <a:xfrm>
          <a:off x="1038224" y="26327100"/>
          <a:ext cx="52632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95A44B5-E330-4573-9746-119FC0624638}" type="TxLink">
            <a:rPr lang="en-US" sz="2400" b="0" i="0" u="none" strike="noStrike">
              <a:solidFill>
                <a:schemeClr val="bg1"/>
              </a:solidFill>
              <a:latin typeface="Calibri"/>
              <a:ea typeface="+mn-ea"/>
              <a:cs typeface="Calibri"/>
            </a:rPr>
            <a:pPr marL="0" indent="0" algn="ctr"/>
            <a:t>235.703,00</a:t>
          </a:fld>
          <a:endParaRPr lang="pt-BR" sz="2400" b="0" i="0" u="none" strike="noStrike">
            <a:solidFill>
              <a:schemeClr val="bg1"/>
            </a:solidFill>
            <a:latin typeface="Calibri"/>
            <a:ea typeface="+mn-ea"/>
            <a:cs typeface="Calibri"/>
          </a:endParaRPr>
        </a:p>
      </xdr:txBody>
    </xdr:sp>
    <xdr:clientData/>
  </xdr:twoCellAnchor>
  <xdr:twoCellAnchor editAs="absolute">
    <xdr:from>
      <xdr:col>4</xdr:col>
      <xdr:colOff>9526</xdr:colOff>
      <xdr:row>135</xdr:row>
      <xdr:rowOff>175361</xdr:rowOff>
    </xdr:from>
    <xdr:to>
      <xdr:col>10</xdr:col>
      <xdr:colOff>757876</xdr:colOff>
      <xdr:row>137</xdr:row>
      <xdr:rowOff>51098</xdr:rowOff>
    </xdr:to>
    <xdr:sp macro="" textlink="">
      <xdr:nvSpPr>
        <xdr:cNvPr id="118" name="CaixaDeTexto 117">
          <a:extLst>
            <a:ext uri="{FF2B5EF4-FFF2-40B4-BE49-F238E27FC236}">
              <a16:creationId xmlns:a16="http://schemas.microsoft.com/office/drawing/2014/main" id="{00000000-0008-0000-1300-000076000000}"/>
            </a:ext>
          </a:extLst>
        </xdr:cNvPr>
        <xdr:cNvSpPr txBox="1"/>
      </xdr:nvSpPr>
      <xdr:spPr>
        <a:xfrm>
          <a:off x="1028701" y="26331011"/>
          <a:ext cx="5263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6</xdr:col>
          <xdr:colOff>85725</xdr:colOff>
          <xdr:row>135</xdr:row>
          <xdr:rowOff>95250</xdr:rowOff>
        </xdr:to>
        <xdr:sp macro="" textlink="">
          <xdr:nvSpPr>
            <xdr:cNvPr id="7" name="Drop Down 5" hidden="1">
              <a:extLst>
                <a:ext uri="{63B3BB69-23CF-44E3-9099-C40C66FF867C}">
                  <a14:compatExt spid="_x0000_s11269"/>
                </a:ext>
                <a:ext uri="{FF2B5EF4-FFF2-40B4-BE49-F238E27FC236}">
                  <a16:creationId xmlns:a16="http://schemas.microsoft.com/office/drawing/2014/main" id="{00000000-0008-0000-1300-000007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828674</xdr:colOff>
      <xdr:row>135</xdr:row>
      <xdr:rowOff>171450</xdr:rowOff>
    </xdr:from>
    <xdr:to>
      <xdr:col>19</xdr:col>
      <xdr:colOff>176849</xdr:colOff>
      <xdr:row>142</xdr:row>
      <xdr:rowOff>97950</xdr:rowOff>
    </xdr:to>
    <xdr:sp macro="" textlink="'BH (2)'!O118">
      <xdr:nvSpPr>
        <xdr:cNvPr id="120" name="Retângulo 119">
          <a:extLst>
            <a:ext uri="{FF2B5EF4-FFF2-40B4-BE49-F238E27FC236}">
              <a16:creationId xmlns:a16="http://schemas.microsoft.com/office/drawing/2014/main" id="{00000000-0008-0000-1300-000078000000}"/>
            </a:ext>
          </a:extLst>
        </xdr:cNvPr>
        <xdr:cNvSpPr/>
      </xdr:nvSpPr>
      <xdr:spPr>
        <a:xfrm>
          <a:off x="6362699" y="26327100"/>
          <a:ext cx="52632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DDA543D-7253-4E4F-8B32-D9330F78774A}" type="TxLink">
            <a:rPr lang="en-US" sz="2400" b="0" i="0" u="none" strike="noStrike">
              <a:solidFill>
                <a:srgbClr val="FFFFFF"/>
              </a:solidFill>
              <a:latin typeface="Calibri"/>
              <a:ea typeface="+mn-ea"/>
              <a:cs typeface="Calibri"/>
            </a:rPr>
            <a:pPr marL="0" indent="0" algn="ctr"/>
            <a:t>173.025,00</a:t>
          </a:fld>
          <a:endParaRPr lang="pt-BR" sz="2400" b="0" i="0" u="none" strike="noStrike">
            <a:solidFill>
              <a:schemeClr val="bg1"/>
            </a:solidFill>
            <a:latin typeface="Calibri"/>
            <a:ea typeface="+mn-ea"/>
            <a:cs typeface="Calibri"/>
          </a:endParaRPr>
        </a:p>
      </xdr:txBody>
    </xdr:sp>
    <xdr:clientData/>
  </xdr:twoCellAnchor>
  <xdr:twoCellAnchor editAs="absolute">
    <xdr:from>
      <xdr:col>10</xdr:col>
      <xdr:colOff>819151</xdr:colOff>
      <xdr:row>135</xdr:row>
      <xdr:rowOff>175361</xdr:rowOff>
    </xdr:from>
    <xdr:to>
      <xdr:col>19</xdr:col>
      <xdr:colOff>167326</xdr:colOff>
      <xdr:row>137</xdr:row>
      <xdr:rowOff>51098</xdr:rowOff>
    </xdr:to>
    <xdr:sp macro="" textlink="">
      <xdr:nvSpPr>
        <xdr:cNvPr id="121" name="CaixaDeTexto 120">
          <a:extLst>
            <a:ext uri="{FF2B5EF4-FFF2-40B4-BE49-F238E27FC236}">
              <a16:creationId xmlns:a16="http://schemas.microsoft.com/office/drawing/2014/main" id="{00000000-0008-0000-1300-000079000000}"/>
            </a:ext>
          </a:extLst>
        </xdr:cNvPr>
        <xdr:cNvSpPr txBox="1"/>
      </xdr:nvSpPr>
      <xdr:spPr>
        <a:xfrm>
          <a:off x="6353176" y="26331011"/>
          <a:ext cx="5263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xdr:twoCellAnchor>
    <xdr:from>
      <xdr:col>4</xdr:col>
      <xdr:colOff>9525</xdr:colOff>
      <xdr:row>142</xdr:row>
      <xdr:rowOff>152399</xdr:rowOff>
    </xdr:from>
    <xdr:to>
      <xdr:col>20</xdr:col>
      <xdr:colOff>675</xdr:colOff>
      <xdr:row>153</xdr:row>
      <xdr:rowOff>144899</xdr:rowOff>
    </xdr:to>
    <xdr:graphicFrame macro="">
      <xdr:nvGraphicFramePr>
        <xdr:cNvPr id="122" name="Gráfico 121">
          <a:extLst>
            <a:ext uri="{FF2B5EF4-FFF2-40B4-BE49-F238E27FC236}">
              <a16:creationId xmlns:a16="http://schemas.microsoft.com/office/drawing/2014/main" id="{00000000-0008-0000-13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9526</xdr:colOff>
      <xdr:row>154</xdr:row>
      <xdr:rowOff>9525</xdr:rowOff>
    </xdr:from>
    <xdr:to>
      <xdr:col>20</xdr:col>
      <xdr:colOff>676</xdr:colOff>
      <xdr:row>165</xdr:row>
      <xdr:rowOff>2025</xdr:rowOff>
    </xdr:to>
    <xdr:graphicFrame macro="">
      <xdr:nvGraphicFramePr>
        <xdr:cNvPr id="123" name="Gráfico 122">
          <a:extLst>
            <a:ext uri="{FF2B5EF4-FFF2-40B4-BE49-F238E27FC236}">
              <a16:creationId xmlns:a16="http://schemas.microsoft.com/office/drawing/2014/main" id="{00000000-0008-0000-13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oneCellAnchor>
    <xdr:from>
      <xdr:col>18</xdr:col>
      <xdr:colOff>333376</xdr:colOff>
      <xdr:row>142</xdr:row>
      <xdr:rowOff>152400</xdr:rowOff>
    </xdr:from>
    <xdr:ext cx="444737" cy="248851"/>
    <xdr:sp macro="" textlink="'BH (2)'!C4">
      <xdr:nvSpPr>
        <xdr:cNvPr id="124" name="CaixaDeTexto 123">
          <a:extLst>
            <a:ext uri="{FF2B5EF4-FFF2-40B4-BE49-F238E27FC236}">
              <a16:creationId xmlns:a16="http://schemas.microsoft.com/office/drawing/2014/main" id="{00000000-0008-0000-1300-00007C000000}"/>
            </a:ext>
          </a:extLst>
        </xdr:cNvPr>
        <xdr:cNvSpPr txBox="1"/>
      </xdr:nvSpPr>
      <xdr:spPr>
        <a:xfrm>
          <a:off x="11172826" y="27641550"/>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BE46261-2A3C-495A-9DDC-4BADD13EDCF9}" type="TxLink">
            <a:rPr lang="en-US" sz="1000" b="0" i="0" u="none" strike="noStrike">
              <a:solidFill>
                <a:schemeClr val="tx1"/>
              </a:solidFill>
              <a:latin typeface="Calibri"/>
              <a:cs typeface="Calibri"/>
            </a:rPr>
            <a:pPr/>
            <a:t>2025</a:t>
          </a:fld>
          <a:endParaRPr lang="pt-BR" sz="1100">
            <a:solidFill>
              <a:schemeClr val="tx1"/>
            </a:solidFill>
          </a:endParaRPr>
        </a:p>
      </xdr:txBody>
    </xdr:sp>
    <xdr:clientData/>
  </xdr:oneCellAnchor>
  <xdr:oneCellAnchor>
    <xdr:from>
      <xdr:col>18</xdr:col>
      <xdr:colOff>323851</xdr:colOff>
      <xdr:row>154</xdr:row>
      <xdr:rowOff>19050</xdr:rowOff>
    </xdr:from>
    <xdr:ext cx="444737" cy="248851"/>
    <xdr:sp macro="" textlink="'BH (2)'!C5">
      <xdr:nvSpPr>
        <xdr:cNvPr id="125" name="CaixaDeTexto 124">
          <a:extLst>
            <a:ext uri="{FF2B5EF4-FFF2-40B4-BE49-F238E27FC236}">
              <a16:creationId xmlns:a16="http://schemas.microsoft.com/office/drawing/2014/main" id="{00000000-0008-0000-1300-00007D000000}"/>
            </a:ext>
          </a:extLst>
        </xdr:cNvPr>
        <xdr:cNvSpPr txBox="1"/>
      </xdr:nvSpPr>
      <xdr:spPr>
        <a:xfrm>
          <a:off x="11163301" y="29794200"/>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D92882D-3730-4FE9-A66B-DB5879A90BA0}" type="TxLink">
            <a:rPr lang="en-US" sz="1000" b="0" i="0" u="none" strike="noStrike">
              <a:solidFill>
                <a:srgbClr val="404040"/>
              </a:solidFill>
              <a:latin typeface="Calibri"/>
              <a:cs typeface="Calibri"/>
            </a:rPr>
            <a:pPr/>
            <a:t>2026</a:t>
          </a:fld>
          <a:endParaRPr lang="pt-BR" sz="1100">
            <a:solidFill>
              <a:schemeClr val="tx1"/>
            </a:solidFill>
          </a:endParaRPr>
        </a:p>
      </xdr:txBody>
    </xdr:sp>
    <xdr:clientData/>
  </xdr:oneCellAnchor>
  <xdr:oneCellAnchor>
    <xdr:from>
      <xdr:col>4</xdr:col>
      <xdr:colOff>9525</xdr:colOff>
      <xdr:row>140</xdr:row>
      <xdr:rowOff>152400</xdr:rowOff>
    </xdr:from>
    <xdr:ext cx="5263200" cy="248851"/>
    <xdr:sp macro="" textlink="'BH (2)'!C4">
      <xdr:nvSpPr>
        <xdr:cNvPr id="126" name="CaixaDeTexto 125">
          <a:extLst>
            <a:ext uri="{FF2B5EF4-FFF2-40B4-BE49-F238E27FC236}">
              <a16:creationId xmlns:a16="http://schemas.microsoft.com/office/drawing/2014/main" id="{00000000-0008-0000-1300-00007E000000}"/>
            </a:ext>
          </a:extLst>
        </xdr:cNvPr>
        <xdr:cNvSpPr txBox="1"/>
      </xdr:nvSpPr>
      <xdr:spPr>
        <a:xfrm>
          <a:off x="1028700" y="27260550"/>
          <a:ext cx="5263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BE46261-2A3C-495A-9DDC-4BADD13EDCF9}" type="TxLink">
            <a:rPr lang="en-US" sz="1000" b="0" i="0" u="none" strike="noStrike">
              <a:solidFill>
                <a:schemeClr val="bg1"/>
              </a:solidFill>
              <a:latin typeface="Calibri"/>
              <a:cs typeface="Calibri"/>
            </a:rPr>
            <a:pPr algn="ctr"/>
            <a:t>2025</a:t>
          </a:fld>
          <a:endParaRPr lang="pt-BR" sz="1100">
            <a:solidFill>
              <a:schemeClr val="bg1"/>
            </a:solidFill>
          </a:endParaRPr>
        </a:p>
      </xdr:txBody>
    </xdr:sp>
    <xdr:clientData/>
  </xdr:oneCellAnchor>
  <xdr:oneCellAnchor>
    <xdr:from>
      <xdr:col>10</xdr:col>
      <xdr:colOff>828675</xdr:colOff>
      <xdr:row>140</xdr:row>
      <xdr:rowOff>142875</xdr:rowOff>
    </xdr:from>
    <xdr:ext cx="5263200" cy="248851"/>
    <xdr:sp macro="" textlink="'BH (2)'!C5">
      <xdr:nvSpPr>
        <xdr:cNvPr id="127" name="CaixaDeTexto 126">
          <a:extLst>
            <a:ext uri="{FF2B5EF4-FFF2-40B4-BE49-F238E27FC236}">
              <a16:creationId xmlns:a16="http://schemas.microsoft.com/office/drawing/2014/main" id="{00000000-0008-0000-1300-00007F000000}"/>
            </a:ext>
          </a:extLst>
        </xdr:cNvPr>
        <xdr:cNvSpPr txBox="1"/>
      </xdr:nvSpPr>
      <xdr:spPr>
        <a:xfrm>
          <a:off x="6362700" y="27251025"/>
          <a:ext cx="5263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B5D2B961-3C7B-4B47-9698-A656A9A3FBC1}" type="TxLink">
            <a:rPr lang="en-US" sz="1000" b="0" i="0" u="none" strike="noStrike">
              <a:solidFill>
                <a:schemeClr val="bg1"/>
              </a:solidFill>
              <a:latin typeface="Calibri"/>
              <a:cs typeface="Calibri"/>
            </a:rPr>
            <a:pPr algn="ctr"/>
            <a:t>2026</a:t>
          </a:fld>
          <a:endParaRPr lang="pt-BR" sz="1100">
            <a:solidFill>
              <a:schemeClr val="bg1"/>
            </a:solidFill>
          </a:endParaRPr>
        </a:p>
      </xdr:txBody>
    </xdr:sp>
    <xdr:clientData/>
  </xdr:oneCellAnchor>
  <xdr:twoCellAnchor>
    <xdr:from>
      <xdr:col>4</xdr:col>
      <xdr:colOff>9524</xdr:colOff>
      <xdr:row>175</xdr:row>
      <xdr:rowOff>171450</xdr:rowOff>
    </xdr:from>
    <xdr:to>
      <xdr:col>10</xdr:col>
      <xdr:colOff>757874</xdr:colOff>
      <xdr:row>182</xdr:row>
      <xdr:rowOff>97950</xdr:rowOff>
    </xdr:to>
    <xdr:sp macro="" textlink="'BH (2)'!O122">
      <xdr:nvSpPr>
        <xdr:cNvPr id="128" name="Retângulo 127">
          <a:extLst>
            <a:ext uri="{FF2B5EF4-FFF2-40B4-BE49-F238E27FC236}">
              <a16:creationId xmlns:a16="http://schemas.microsoft.com/office/drawing/2014/main" id="{00000000-0008-0000-1300-000080000000}"/>
            </a:ext>
          </a:extLst>
        </xdr:cNvPr>
        <xdr:cNvSpPr/>
      </xdr:nvSpPr>
      <xdr:spPr>
        <a:xfrm>
          <a:off x="1028699" y="33947100"/>
          <a:ext cx="52632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5EA62C4-DAA5-4937-A10F-CB5607F26CD3}" type="TxLink">
            <a:rPr lang="en-US" sz="2400" b="0" i="0" u="none" strike="noStrike">
              <a:solidFill>
                <a:schemeClr val="bg1"/>
              </a:solidFill>
              <a:latin typeface="Calibri"/>
              <a:ea typeface="+mn-ea"/>
              <a:cs typeface="Calibri"/>
            </a:rPr>
            <a:pPr marL="0" indent="0" algn="ctr"/>
            <a:t>320,51%</a:t>
          </a:fld>
          <a:endParaRPr lang="pt-BR" sz="2400" b="0" i="0" u="none" strike="noStrike">
            <a:solidFill>
              <a:schemeClr val="bg1"/>
            </a:solidFill>
            <a:latin typeface="Calibri"/>
            <a:ea typeface="+mn-ea"/>
            <a:cs typeface="Calibri"/>
          </a:endParaRPr>
        </a:p>
      </xdr:txBody>
    </xdr:sp>
    <xdr:clientData/>
  </xdr:twoCellAnchor>
  <xdr:twoCellAnchor editAs="absolute">
    <xdr:from>
      <xdr:col>4</xdr:col>
      <xdr:colOff>1</xdr:colOff>
      <xdr:row>175</xdr:row>
      <xdr:rowOff>175361</xdr:rowOff>
    </xdr:from>
    <xdr:to>
      <xdr:col>10</xdr:col>
      <xdr:colOff>748351</xdr:colOff>
      <xdr:row>177</xdr:row>
      <xdr:rowOff>51098</xdr:rowOff>
    </xdr:to>
    <xdr:sp macro="" textlink="">
      <xdr:nvSpPr>
        <xdr:cNvPr id="129" name="CaixaDeTexto 128">
          <a:extLst>
            <a:ext uri="{FF2B5EF4-FFF2-40B4-BE49-F238E27FC236}">
              <a16:creationId xmlns:a16="http://schemas.microsoft.com/office/drawing/2014/main" id="{00000000-0008-0000-1300-000081000000}"/>
            </a:ext>
          </a:extLst>
        </xdr:cNvPr>
        <xdr:cNvSpPr txBox="1"/>
      </xdr:nvSpPr>
      <xdr:spPr>
        <a:xfrm>
          <a:off x="1019176" y="33951011"/>
          <a:ext cx="5263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174</xdr:row>
          <xdr:rowOff>0</xdr:rowOff>
        </xdr:from>
        <xdr:to>
          <xdr:col>6</xdr:col>
          <xdr:colOff>85725</xdr:colOff>
          <xdr:row>175</xdr:row>
          <xdr:rowOff>95250</xdr:rowOff>
        </xdr:to>
        <xdr:sp macro="" textlink="">
          <xdr:nvSpPr>
            <xdr:cNvPr id="11270" name="Drop Down 6" hidden="1">
              <a:extLst>
                <a:ext uri="{63B3BB69-23CF-44E3-9099-C40C66FF867C}">
                  <a14:compatExt spid="_x0000_s11270"/>
                </a:ext>
                <a:ext uri="{FF2B5EF4-FFF2-40B4-BE49-F238E27FC236}">
                  <a16:creationId xmlns:a16="http://schemas.microsoft.com/office/drawing/2014/main" id="{00000000-0008-0000-13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819149</xdr:colOff>
      <xdr:row>175</xdr:row>
      <xdr:rowOff>171450</xdr:rowOff>
    </xdr:from>
    <xdr:to>
      <xdr:col>19</xdr:col>
      <xdr:colOff>167324</xdr:colOff>
      <xdr:row>182</xdr:row>
      <xdr:rowOff>97950</xdr:rowOff>
    </xdr:to>
    <xdr:sp macro="" textlink="'BH (2)'!O126">
      <xdr:nvSpPr>
        <xdr:cNvPr id="131" name="Retângulo 130">
          <a:extLst>
            <a:ext uri="{FF2B5EF4-FFF2-40B4-BE49-F238E27FC236}">
              <a16:creationId xmlns:a16="http://schemas.microsoft.com/office/drawing/2014/main" id="{00000000-0008-0000-1300-000083000000}"/>
            </a:ext>
          </a:extLst>
        </xdr:cNvPr>
        <xdr:cNvSpPr/>
      </xdr:nvSpPr>
      <xdr:spPr>
        <a:xfrm>
          <a:off x="6353174" y="33947100"/>
          <a:ext cx="52632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2B3B777-1672-48A2-A58A-11AA7AA137F2}" type="TxLink">
            <a:rPr lang="en-US" sz="2400" b="0" i="0" u="none" strike="noStrike">
              <a:solidFill>
                <a:schemeClr val="bg1"/>
              </a:solidFill>
              <a:latin typeface="Calibri"/>
              <a:ea typeface="+mn-ea"/>
              <a:cs typeface="Calibri"/>
            </a:rPr>
            <a:pPr marL="0" indent="0" algn="ctr"/>
            <a:t>261,48%</a:t>
          </a:fld>
          <a:endParaRPr lang="pt-BR" sz="2400" b="0" i="0" u="none" strike="noStrike">
            <a:solidFill>
              <a:schemeClr val="bg1"/>
            </a:solidFill>
            <a:latin typeface="Calibri"/>
            <a:ea typeface="+mn-ea"/>
            <a:cs typeface="Calibri"/>
          </a:endParaRPr>
        </a:p>
      </xdr:txBody>
    </xdr:sp>
    <xdr:clientData/>
  </xdr:twoCellAnchor>
  <xdr:twoCellAnchor editAs="absolute">
    <xdr:from>
      <xdr:col>10</xdr:col>
      <xdr:colOff>809626</xdr:colOff>
      <xdr:row>175</xdr:row>
      <xdr:rowOff>175361</xdr:rowOff>
    </xdr:from>
    <xdr:to>
      <xdr:col>19</xdr:col>
      <xdr:colOff>157801</xdr:colOff>
      <xdr:row>177</xdr:row>
      <xdr:rowOff>51098</xdr:rowOff>
    </xdr:to>
    <xdr:sp macro="" textlink="">
      <xdr:nvSpPr>
        <xdr:cNvPr id="132" name="CaixaDeTexto 131">
          <a:extLst>
            <a:ext uri="{FF2B5EF4-FFF2-40B4-BE49-F238E27FC236}">
              <a16:creationId xmlns:a16="http://schemas.microsoft.com/office/drawing/2014/main" id="{00000000-0008-0000-1300-000084000000}"/>
            </a:ext>
          </a:extLst>
        </xdr:cNvPr>
        <xdr:cNvSpPr txBox="1"/>
      </xdr:nvSpPr>
      <xdr:spPr>
        <a:xfrm>
          <a:off x="6343651" y="33951011"/>
          <a:ext cx="52632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xdr:twoCellAnchor>
    <xdr:from>
      <xdr:col>4</xdr:col>
      <xdr:colOff>0</xdr:colOff>
      <xdr:row>182</xdr:row>
      <xdr:rowOff>152399</xdr:rowOff>
    </xdr:from>
    <xdr:to>
      <xdr:col>19</xdr:col>
      <xdr:colOff>172125</xdr:colOff>
      <xdr:row>193</xdr:row>
      <xdr:rowOff>144899</xdr:rowOff>
    </xdr:to>
    <xdr:graphicFrame macro="">
      <xdr:nvGraphicFramePr>
        <xdr:cNvPr id="133" name="Gráfico 132">
          <a:extLst>
            <a:ext uri="{FF2B5EF4-FFF2-40B4-BE49-F238E27FC236}">
              <a16:creationId xmlns:a16="http://schemas.microsoft.com/office/drawing/2014/main" id="{00000000-0008-0000-1300-00008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4</xdr:col>
      <xdr:colOff>1</xdr:colOff>
      <xdr:row>194</xdr:row>
      <xdr:rowOff>9525</xdr:rowOff>
    </xdr:from>
    <xdr:to>
      <xdr:col>19</xdr:col>
      <xdr:colOff>172126</xdr:colOff>
      <xdr:row>205</xdr:row>
      <xdr:rowOff>2025</xdr:rowOff>
    </xdr:to>
    <xdr:graphicFrame macro="">
      <xdr:nvGraphicFramePr>
        <xdr:cNvPr id="134" name="Gráfico 133">
          <a:extLst>
            <a:ext uri="{FF2B5EF4-FFF2-40B4-BE49-F238E27FC236}">
              <a16:creationId xmlns:a16="http://schemas.microsoft.com/office/drawing/2014/main" id="{00000000-0008-0000-1300-00008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oneCellAnchor>
    <xdr:from>
      <xdr:col>18</xdr:col>
      <xdr:colOff>323851</xdr:colOff>
      <xdr:row>182</xdr:row>
      <xdr:rowOff>152400</xdr:rowOff>
    </xdr:from>
    <xdr:ext cx="444737" cy="248851"/>
    <xdr:sp macro="" textlink="'BH (2)'!C4">
      <xdr:nvSpPr>
        <xdr:cNvPr id="135" name="CaixaDeTexto 134">
          <a:extLst>
            <a:ext uri="{FF2B5EF4-FFF2-40B4-BE49-F238E27FC236}">
              <a16:creationId xmlns:a16="http://schemas.microsoft.com/office/drawing/2014/main" id="{00000000-0008-0000-1300-000087000000}"/>
            </a:ext>
          </a:extLst>
        </xdr:cNvPr>
        <xdr:cNvSpPr txBox="1"/>
      </xdr:nvSpPr>
      <xdr:spPr>
        <a:xfrm>
          <a:off x="11163301" y="35261550"/>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BE46261-2A3C-495A-9DDC-4BADD13EDCF9}" type="TxLink">
            <a:rPr lang="en-US" sz="1000" b="0" i="0" u="none" strike="noStrike">
              <a:solidFill>
                <a:schemeClr val="tx1"/>
              </a:solidFill>
              <a:latin typeface="Calibri"/>
              <a:cs typeface="Calibri"/>
            </a:rPr>
            <a:pPr/>
            <a:t>2025</a:t>
          </a:fld>
          <a:endParaRPr lang="pt-BR" sz="1100">
            <a:solidFill>
              <a:schemeClr val="tx1"/>
            </a:solidFill>
          </a:endParaRPr>
        </a:p>
      </xdr:txBody>
    </xdr:sp>
    <xdr:clientData/>
  </xdr:oneCellAnchor>
  <xdr:oneCellAnchor>
    <xdr:from>
      <xdr:col>18</xdr:col>
      <xdr:colOff>314326</xdr:colOff>
      <xdr:row>194</xdr:row>
      <xdr:rowOff>9525</xdr:rowOff>
    </xdr:from>
    <xdr:ext cx="444737" cy="248851"/>
    <xdr:sp macro="" textlink="'BH (2)'!C5">
      <xdr:nvSpPr>
        <xdr:cNvPr id="136" name="CaixaDeTexto 135">
          <a:extLst>
            <a:ext uri="{FF2B5EF4-FFF2-40B4-BE49-F238E27FC236}">
              <a16:creationId xmlns:a16="http://schemas.microsoft.com/office/drawing/2014/main" id="{00000000-0008-0000-1300-000088000000}"/>
            </a:ext>
          </a:extLst>
        </xdr:cNvPr>
        <xdr:cNvSpPr txBox="1"/>
      </xdr:nvSpPr>
      <xdr:spPr>
        <a:xfrm>
          <a:off x="11153776" y="37404675"/>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D92882D-3730-4FE9-A66B-DB5879A90BA0}" type="TxLink">
            <a:rPr lang="en-US" sz="1000" b="0" i="0" u="none" strike="noStrike">
              <a:solidFill>
                <a:srgbClr val="404040"/>
              </a:solidFill>
              <a:latin typeface="Calibri"/>
              <a:cs typeface="Calibri"/>
            </a:rPr>
            <a:pPr/>
            <a:t>2026</a:t>
          </a:fld>
          <a:endParaRPr lang="pt-BR" sz="1100">
            <a:solidFill>
              <a:schemeClr val="tx1"/>
            </a:solidFill>
          </a:endParaRPr>
        </a:p>
      </xdr:txBody>
    </xdr:sp>
    <xdr:clientData/>
  </xdr:oneCellAnchor>
  <xdr:oneCellAnchor>
    <xdr:from>
      <xdr:col>4</xdr:col>
      <xdr:colOff>0</xdr:colOff>
      <xdr:row>180</xdr:row>
      <xdr:rowOff>152400</xdr:rowOff>
    </xdr:from>
    <xdr:ext cx="5263200" cy="248851"/>
    <xdr:sp macro="" textlink="'BH (2)'!C4">
      <xdr:nvSpPr>
        <xdr:cNvPr id="137" name="CaixaDeTexto 136">
          <a:extLst>
            <a:ext uri="{FF2B5EF4-FFF2-40B4-BE49-F238E27FC236}">
              <a16:creationId xmlns:a16="http://schemas.microsoft.com/office/drawing/2014/main" id="{00000000-0008-0000-1300-000089000000}"/>
            </a:ext>
          </a:extLst>
        </xdr:cNvPr>
        <xdr:cNvSpPr txBox="1"/>
      </xdr:nvSpPr>
      <xdr:spPr>
        <a:xfrm>
          <a:off x="1019175" y="34880550"/>
          <a:ext cx="5263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BE46261-2A3C-495A-9DDC-4BADD13EDCF9}" type="TxLink">
            <a:rPr lang="en-US" sz="1000" b="0" i="0" u="none" strike="noStrike">
              <a:solidFill>
                <a:schemeClr val="bg1"/>
              </a:solidFill>
              <a:latin typeface="Calibri"/>
              <a:cs typeface="Calibri"/>
            </a:rPr>
            <a:pPr algn="ctr"/>
            <a:t>2025</a:t>
          </a:fld>
          <a:endParaRPr lang="pt-BR" sz="1100">
            <a:solidFill>
              <a:schemeClr val="bg1"/>
            </a:solidFill>
          </a:endParaRPr>
        </a:p>
      </xdr:txBody>
    </xdr:sp>
    <xdr:clientData/>
  </xdr:oneCellAnchor>
  <xdr:oneCellAnchor>
    <xdr:from>
      <xdr:col>10</xdr:col>
      <xdr:colOff>819150</xdr:colOff>
      <xdr:row>180</xdr:row>
      <xdr:rowOff>142875</xdr:rowOff>
    </xdr:from>
    <xdr:ext cx="5263200" cy="248851"/>
    <xdr:sp macro="" textlink="'BH (2)'!C5">
      <xdr:nvSpPr>
        <xdr:cNvPr id="138" name="CaixaDeTexto 137">
          <a:extLst>
            <a:ext uri="{FF2B5EF4-FFF2-40B4-BE49-F238E27FC236}">
              <a16:creationId xmlns:a16="http://schemas.microsoft.com/office/drawing/2014/main" id="{00000000-0008-0000-1300-00008A000000}"/>
            </a:ext>
          </a:extLst>
        </xdr:cNvPr>
        <xdr:cNvSpPr txBox="1"/>
      </xdr:nvSpPr>
      <xdr:spPr>
        <a:xfrm>
          <a:off x="6353175" y="34871025"/>
          <a:ext cx="5263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B5D2B961-3C7B-4B47-9698-A656A9A3FBC1}" type="TxLink">
            <a:rPr lang="en-US" sz="1000" b="0" i="0" u="none" strike="noStrike">
              <a:solidFill>
                <a:schemeClr val="bg1"/>
              </a:solidFill>
              <a:latin typeface="Calibri"/>
              <a:cs typeface="Calibri"/>
            </a:rPr>
            <a:pPr algn="ctr"/>
            <a:t>2026</a:t>
          </a:fld>
          <a:endParaRPr lang="pt-BR" sz="1100">
            <a:solidFill>
              <a:schemeClr val="bg1"/>
            </a:solidFill>
          </a:endParaRPr>
        </a:p>
      </xdr:txBody>
    </xdr:sp>
    <xdr:clientData/>
  </xdr:oneCellAnchor>
  <xdr:oneCellAnchor>
    <xdr:from>
      <xdr:col>4</xdr:col>
      <xdr:colOff>9525</xdr:colOff>
      <xdr:row>13</xdr:row>
      <xdr:rowOff>162447</xdr:rowOff>
    </xdr:from>
    <xdr:ext cx="5334000" cy="288000"/>
    <xdr:sp macro="" textlink="Cad!D6">
      <xdr:nvSpPr>
        <xdr:cNvPr id="11275" name="CaixaDeTexto 11274">
          <a:extLst>
            <a:ext uri="{FF2B5EF4-FFF2-40B4-BE49-F238E27FC236}">
              <a16:creationId xmlns:a16="http://schemas.microsoft.com/office/drawing/2014/main" id="{00000000-0008-0000-1300-00000B2C0000}"/>
            </a:ext>
          </a:extLst>
        </xdr:cNvPr>
        <xdr:cNvSpPr txBox="1"/>
      </xdr:nvSpPr>
      <xdr:spPr>
        <a:xfrm>
          <a:off x="1028700" y="3077097"/>
          <a:ext cx="5334000" cy="2880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ECC7E680-9A77-4C85-A406-4D1E8150F00E}" type="TxLink">
            <a:rPr lang="en-US" sz="1000" b="0" i="0" u="none" strike="noStrike">
              <a:solidFill>
                <a:schemeClr val="tx1"/>
              </a:solidFill>
              <a:latin typeface="Calibri"/>
              <a:cs typeface="Calibri"/>
            </a:rPr>
            <a:pPr algn="l"/>
            <a:t>Empresa exemplo da Planilha LTDA</a:t>
          </a:fld>
          <a:endParaRPr lang="pt-BR" sz="1100">
            <a:solidFill>
              <a:schemeClr val="tx1"/>
            </a:solidFill>
          </a:endParaRPr>
        </a:p>
      </xdr:txBody>
    </xdr:sp>
    <xdr:clientData/>
  </xdr:oneCellAnchor>
  <xdr:oneCellAnchor>
    <xdr:from>
      <xdr:col>10</xdr:col>
      <xdr:colOff>876300</xdr:colOff>
      <xdr:row>13</xdr:row>
      <xdr:rowOff>162447</xdr:rowOff>
    </xdr:from>
    <xdr:ext cx="2657475" cy="288000"/>
    <xdr:sp macro="" textlink="'BH (2)'!B9">
      <xdr:nvSpPr>
        <xdr:cNvPr id="140" name="CaixaDeTexto 139">
          <a:extLst>
            <a:ext uri="{FF2B5EF4-FFF2-40B4-BE49-F238E27FC236}">
              <a16:creationId xmlns:a16="http://schemas.microsoft.com/office/drawing/2014/main" id="{00000000-0008-0000-1300-00008C000000}"/>
            </a:ext>
          </a:extLst>
        </xdr:cNvPr>
        <xdr:cNvSpPr txBox="1"/>
      </xdr:nvSpPr>
      <xdr:spPr>
        <a:xfrm>
          <a:off x="6410325" y="3077097"/>
          <a:ext cx="2657475" cy="2880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6B9ED25E-BD5E-479F-AFAD-CD82DE0AECE7}" type="TxLink">
            <a:rPr lang="en-US" sz="1000" b="0" i="0" u="none" strike="noStrike">
              <a:solidFill>
                <a:schemeClr val="tx1"/>
              </a:solidFill>
              <a:latin typeface="Calibri"/>
              <a:cs typeface="Calibri"/>
            </a:rPr>
            <a:pPr algn="l"/>
            <a:t>8/Jan/2026</a:t>
          </a:fld>
          <a:endParaRPr lang="pt-BR" sz="1100">
            <a:solidFill>
              <a:schemeClr val="tx1"/>
            </a:solidFill>
          </a:endParaRPr>
        </a:p>
      </xdr:txBody>
    </xdr:sp>
    <xdr:clientData/>
  </xdr:oneCellAnchor>
  <xdr:oneCellAnchor>
    <xdr:from>
      <xdr:col>3</xdr:col>
      <xdr:colOff>9525</xdr:colOff>
      <xdr:row>3</xdr:row>
      <xdr:rowOff>95250</xdr:rowOff>
    </xdr:from>
    <xdr:ext cx="3433248" cy="248851"/>
    <xdr:sp macro="" textlink="">
      <xdr:nvSpPr>
        <xdr:cNvPr id="16" name="CaixaDeTexto 15">
          <a:extLst>
            <a:ext uri="{FF2B5EF4-FFF2-40B4-BE49-F238E27FC236}">
              <a16:creationId xmlns:a16="http://schemas.microsoft.com/office/drawing/2014/main" id="{00000000-0008-0000-1300-000010000000}"/>
            </a:ext>
          </a:extLst>
        </xdr:cNvPr>
        <xdr:cNvSpPr txBox="1"/>
      </xdr:nvSpPr>
      <xdr:spPr>
        <a:xfrm>
          <a:off x="847725" y="1104900"/>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wsDr>
</file>

<file path=xl/drawings/drawing17.xml><?xml version="1.0" encoding="utf-8"?>
<xdr:wsDr xmlns:xdr="http://schemas.openxmlformats.org/drawingml/2006/spreadsheetDrawing" xmlns:a="http://schemas.openxmlformats.org/drawingml/2006/main">
  <xdr:twoCellAnchor>
    <xdr:from>
      <xdr:col>1</xdr:col>
      <xdr:colOff>104773</xdr:colOff>
      <xdr:row>4</xdr:row>
      <xdr:rowOff>76200</xdr:rowOff>
    </xdr:from>
    <xdr:to>
      <xdr:col>6</xdr:col>
      <xdr:colOff>85724</xdr:colOff>
      <xdr:row>7</xdr:row>
      <xdr:rowOff>21750</xdr:rowOff>
    </xdr:to>
    <xdr:sp macro="" textlink="'BH (2)'!C27">
      <xdr:nvSpPr>
        <xdr:cNvPr id="17" name="Retângulo 16">
          <a:extLst>
            <a:ext uri="{FF2B5EF4-FFF2-40B4-BE49-F238E27FC236}">
              <a16:creationId xmlns:a16="http://schemas.microsoft.com/office/drawing/2014/main" id="{00000000-0008-0000-1400-000011000000}"/>
            </a:ext>
          </a:extLst>
        </xdr:cNvPr>
        <xdr:cNvSpPr/>
      </xdr:nvSpPr>
      <xdr:spPr>
        <a:xfrm>
          <a:off x="219073" y="1552575"/>
          <a:ext cx="2533651"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52DD6B-12B4-4322-B9C2-A05F1EF903BD}" type="TxLink">
            <a:rPr lang="en-US" sz="2400" b="0" i="0" u="none" strike="noStrike">
              <a:solidFill>
                <a:srgbClr val="01B8AA"/>
              </a:solidFill>
              <a:latin typeface="Calibri"/>
              <a:cs typeface="Calibri"/>
            </a:rPr>
            <a:pPr algn="ctr"/>
            <a:t>67.220,00</a:t>
          </a:fld>
          <a:endParaRPr lang="pt-BR" sz="2400" b="0">
            <a:solidFill>
              <a:srgbClr val="01B8AA"/>
            </a:solidFill>
          </a:endParaRPr>
        </a:p>
      </xdr:txBody>
    </xdr:sp>
    <xdr:clientData/>
  </xdr:twoCellAnchor>
  <xdr:twoCellAnchor>
    <xdr:from>
      <xdr:col>1</xdr:col>
      <xdr:colOff>104773</xdr:colOff>
      <xdr:row>7</xdr:row>
      <xdr:rowOff>76200</xdr:rowOff>
    </xdr:from>
    <xdr:to>
      <xdr:col>6</xdr:col>
      <xdr:colOff>85724</xdr:colOff>
      <xdr:row>10</xdr:row>
      <xdr:rowOff>21750</xdr:rowOff>
    </xdr:to>
    <xdr:sp macro="" textlink="'BH (2)'!C39">
      <xdr:nvSpPr>
        <xdr:cNvPr id="21" name="Retângulo 20">
          <a:extLst>
            <a:ext uri="{FF2B5EF4-FFF2-40B4-BE49-F238E27FC236}">
              <a16:creationId xmlns:a16="http://schemas.microsoft.com/office/drawing/2014/main" id="{00000000-0008-0000-1400-000015000000}"/>
            </a:ext>
          </a:extLst>
        </xdr:cNvPr>
        <xdr:cNvSpPr/>
      </xdr:nvSpPr>
      <xdr:spPr>
        <a:xfrm>
          <a:off x="219073" y="2867025"/>
          <a:ext cx="2533651"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05433E6-F2E1-4161-9EE1-82A3B4759EB8}" type="TxLink">
            <a:rPr lang="en-US" sz="2400" b="0" i="0" u="none" strike="noStrike">
              <a:solidFill>
                <a:srgbClr val="FB5A56"/>
              </a:solidFill>
              <a:latin typeface="Calibri"/>
              <a:ea typeface="+mn-ea"/>
              <a:cs typeface="Calibri"/>
            </a:rPr>
            <a:pPr marL="0" indent="0" algn="ctr"/>
            <a:t>45.825,00</a:t>
          </a:fld>
          <a:endParaRPr lang="pt-BR" sz="2400" b="0" i="0" u="none" strike="noStrike">
            <a:solidFill>
              <a:srgbClr val="FB5A56"/>
            </a:solidFill>
            <a:latin typeface="Calibri"/>
            <a:ea typeface="+mn-ea"/>
            <a:cs typeface="Calibri"/>
          </a:endParaRPr>
        </a:p>
      </xdr:txBody>
    </xdr:sp>
    <xdr:clientData/>
  </xdr:twoCellAnchor>
  <xdr:twoCellAnchor>
    <xdr:from>
      <xdr:col>8</xdr:col>
      <xdr:colOff>523873</xdr:colOff>
      <xdr:row>4</xdr:row>
      <xdr:rowOff>76200</xdr:rowOff>
    </xdr:from>
    <xdr:to>
      <xdr:col>13</xdr:col>
      <xdr:colOff>9524</xdr:colOff>
      <xdr:row>7</xdr:row>
      <xdr:rowOff>21750</xdr:rowOff>
    </xdr:to>
    <xdr:sp macro="" textlink="'BH (2)'!C34">
      <xdr:nvSpPr>
        <xdr:cNvPr id="22" name="Retângulo 21">
          <a:extLst>
            <a:ext uri="{FF2B5EF4-FFF2-40B4-BE49-F238E27FC236}">
              <a16:creationId xmlns:a16="http://schemas.microsoft.com/office/drawing/2014/main" id="{00000000-0008-0000-1400-000016000000}"/>
            </a:ext>
          </a:extLst>
        </xdr:cNvPr>
        <xdr:cNvSpPr/>
      </xdr:nvSpPr>
      <xdr:spPr>
        <a:xfrm>
          <a:off x="4410073" y="1552575"/>
          <a:ext cx="2533651"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88A50DD-2F62-4CF1-8FC3-097F579F11CA}" type="TxLink">
            <a:rPr lang="en-US" sz="2400" b="0" i="0" u="none" strike="noStrike">
              <a:solidFill>
                <a:srgbClr val="FB5A56"/>
              </a:solidFill>
              <a:latin typeface="Calibri"/>
              <a:ea typeface="+mn-ea"/>
              <a:cs typeface="Calibri"/>
            </a:rPr>
            <a:pPr marL="0" indent="0" algn="ctr"/>
            <a:t>11.040,00</a:t>
          </a:fld>
          <a:endParaRPr lang="pt-BR" sz="2400" b="0" i="0" u="none" strike="noStrike">
            <a:solidFill>
              <a:srgbClr val="FB5A56"/>
            </a:solidFill>
            <a:latin typeface="Calibri"/>
            <a:ea typeface="+mn-ea"/>
            <a:cs typeface="Calibri"/>
          </a:endParaRPr>
        </a:p>
      </xdr:txBody>
    </xdr:sp>
    <xdr:clientData/>
  </xdr:twoCellAnchor>
  <xdr:twoCellAnchor>
    <xdr:from>
      <xdr:col>8</xdr:col>
      <xdr:colOff>523873</xdr:colOff>
      <xdr:row>7</xdr:row>
      <xdr:rowOff>76200</xdr:rowOff>
    </xdr:from>
    <xdr:to>
      <xdr:col>13</xdr:col>
      <xdr:colOff>9524</xdr:colOff>
      <xdr:row>10</xdr:row>
      <xdr:rowOff>21750</xdr:rowOff>
    </xdr:to>
    <xdr:sp macro="" textlink="'BH (2)'!C35">
      <xdr:nvSpPr>
        <xdr:cNvPr id="23" name="Retângulo 22">
          <a:extLst>
            <a:ext uri="{FF2B5EF4-FFF2-40B4-BE49-F238E27FC236}">
              <a16:creationId xmlns:a16="http://schemas.microsoft.com/office/drawing/2014/main" id="{00000000-0008-0000-1400-000017000000}"/>
            </a:ext>
          </a:extLst>
        </xdr:cNvPr>
        <xdr:cNvSpPr/>
      </xdr:nvSpPr>
      <xdr:spPr>
        <a:xfrm>
          <a:off x="4410073" y="2867025"/>
          <a:ext cx="2533651"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41C9658-B4F0-4E3D-BF5F-72D7F1D01FDB}" type="TxLink">
            <a:rPr lang="en-US" sz="2400" b="0" i="0" u="none" strike="noStrike">
              <a:solidFill>
                <a:schemeClr val="tx1">
                  <a:lumMod val="75000"/>
                  <a:lumOff val="25000"/>
                </a:schemeClr>
              </a:solidFill>
              <a:latin typeface="Calibri"/>
              <a:ea typeface="+mn-ea"/>
              <a:cs typeface="Calibri"/>
            </a:rPr>
            <a:pPr marL="0" indent="0" algn="ctr"/>
            <a:t>10.355,00</a:t>
          </a:fld>
          <a:endParaRPr lang="pt-BR" sz="2400" b="0" i="0" u="none" strike="noStrike">
            <a:solidFill>
              <a:schemeClr val="tx1">
                <a:lumMod val="75000"/>
                <a:lumOff val="25000"/>
              </a:schemeClr>
            </a:solidFill>
            <a:latin typeface="Calibri"/>
            <a:ea typeface="+mn-ea"/>
            <a:cs typeface="Calibri"/>
          </a:endParaRPr>
        </a:p>
      </xdr:txBody>
    </xdr:sp>
    <xdr:clientData/>
  </xdr:twoCellAnchor>
  <xdr:twoCellAnchor>
    <xdr:from>
      <xdr:col>5</xdr:col>
      <xdr:colOff>276224</xdr:colOff>
      <xdr:row>4</xdr:row>
      <xdr:rowOff>95249</xdr:rowOff>
    </xdr:from>
    <xdr:to>
      <xdr:col>9</xdr:col>
      <xdr:colOff>357824</xdr:colOff>
      <xdr:row>9</xdr:row>
      <xdr:rowOff>424499</xdr:rowOff>
    </xdr:to>
    <xdr:sp macro="" textlink="">
      <xdr:nvSpPr>
        <xdr:cNvPr id="19" name="Elipse 18">
          <a:extLst>
            <a:ext uri="{FF2B5EF4-FFF2-40B4-BE49-F238E27FC236}">
              <a16:creationId xmlns:a16="http://schemas.microsoft.com/office/drawing/2014/main" id="{00000000-0008-0000-1400-000013000000}"/>
            </a:ext>
          </a:extLst>
        </xdr:cNvPr>
        <xdr:cNvSpPr/>
      </xdr:nvSpPr>
      <xdr:spPr>
        <a:xfrm>
          <a:off x="2333624" y="1571624"/>
          <a:ext cx="2520000" cy="252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4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4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Painel</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4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Orçamento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3</xdr:col>
          <xdr:colOff>457200</xdr:colOff>
          <xdr:row>4</xdr:row>
          <xdr:rowOff>0</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xdr:row>
          <xdr:rowOff>333375</xdr:rowOff>
        </xdr:from>
        <xdr:to>
          <xdr:col>6</xdr:col>
          <xdr:colOff>95250</xdr:colOff>
          <xdr:row>4</xdr:row>
          <xdr:rowOff>0</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104774</xdr:colOff>
      <xdr:row>4</xdr:row>
      <xdr:rowOff>89636</xdr:rowOff>
    </xdr:from>
    <xdr:to>
      <xdr:col>6</xdr:col>
      <xdr:colOff>84305</xdr:colOff>
      <xdr:row>4</xdr:row>
      <xdr:rowOff>346373</xdr:rowOff>
    </xdr:to>
    <xdr:sp macro="" textlink="">
      <xdr:nvSpPr>
        <xdr:cNvPr id="18" name="CaixaDeTexto 17">
          <a:extLst>
            <a:ext uri="{FF2B5EF4-FFF2-40B4-BE49-F238E27FC236}">
              <a16:creationId xmlns:a16="http://schemas.microsoft.com/office/drawing/2014/main" id="{00000000-0008-0000-1400-000012000000}"/>
            </a:ext>
          </a:extLst>
        </xdr:cNvPr>
        <xdr:cNvSpPr txBox="1"/>
      </xdr:nvSpPr>
      <xdr:spPr>
        <a:xfrm>
          <a:off x="219074" y="156601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Receita de Vendas</a:t>
          </a:r>
        </a:p>
      </xdr:txBody>
    </xdr:sp>
    <xdr:clientData/>
  </xdr:twoCellAnchor>
  <xdr:twoCellAnchor editAs="absolute">
    <xdr:from>
      <xdr:col>1</xdr:col>
      <xdr:colOff>104774</xdr:colOff>
      <xdr:row>7</xdr:row>
      <xdr:rowOff>89636</xdr:rowOff>
    </xdr:from>
    <xdr:to>
      <xdr:col>6</xdr:col>
      <xdr:colOff>84305</xdr:colOff>
      <xdr:row>7</xdr:row>
      <xdr:rowOff>346373</xdr:rowOff>
    </xdr:to>
    <xdr:sp macro="" textlink="">
      <xdr:nvSpPr>
        <xdr:cNvPr id="25" name="CaixaDeTexto 24">
          <a:extLst>
            <a:ext uri="{FF2B5EF4-FFF2-40B4-BE49-F238E27FC236}">
              <a16:creationId xmlns:a16="http://schemas.microsoft.com/office/drawing/2014/main" id="{00000000-0008-0000-1400-000019000000}"/>
            </a:ext>
          </a:extLst>
        </xdr:cNvPr>
        <xdr:cNvSpPr txBox="1"/>
      </xdr:nvSpPr>
      <xdr:spPr>
        <a:xfrm>
          <a:off x="219074" y="288046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Deduções + Custos + Despesas</a:t>
          </a:r>
        </a:p>
      </xdr:txBody>
    </xdr:sp>
    <xdr:clientData/>
  </xdr:twoCellAnchor>
  <xdr:twoCellAnchor editAs="absolute">
    <xdr:from>
      <xdr:col>8</xdr:col>
      <xdr:colOff>514349</xdr:colOff>
      <xdr:row>4</xdr:row>
      <xdr:rowOff>80111</xdr:rowOff>
    </xdr:from>
    <xdr:to>
      <xdr:col>12</xdr:col>
      <xdr:colOff>608180</xdr:colOff>
      <xdr:row>4</xdr:row>
      <xdr:rowOff>336848</xdr:rowOff>
    </xdr:to>
    <xdr:sp macro="" textlink="">
      <xdr:nvSpPr>
        <xdr:cNvPr id="26" name="CaixaDeTexto 25">
          <a:extLst>
            <a:ext uri="{FF2B5EF4-FFF2-40B4-BE49-F238E27FC236}">
              <a16:creationId xmlns:a16="http://schemas.microsoft.com/office/drawing/2014/main" id="{00000000-0008-0000-1400-00001A000000}"/>
            </a:ext>
          </a:extLst>
        </xdr:cNvPr>
        <xdr:cNvSpPr txBox="1"/>
      </xdr:nvSpPr>
      <xdr:spPr>
        <a:xfrm>
          <a:off x="4400549" y="155648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Impostos sobre o Lucro</a:t>
          </a:r>
        </a:p>
      </xdr:txBody>
    </xdr:sp>
    <xdr:clientData/>
  </xdr:twoCellAnchor>
  <xdr:twoCellAnchor editAs="absolute">
    <xdr:from>
      <xdr:col>8</xdr:col>
      <xdr:colOff>514349</xdr:colOff>
      <xdr:row>7</xdr:row>
      <xdr:rowOff>80111</xdr:rowOff>
    </xdr:from>
    <xdr:to>
      <xdr:col>12</xdr:col>
      <xdr:colOff>608180</xdr:colOff>
      <xdr:row>7</xdr:row>
      <xdr:rowOff>336848</xdr:rowOff>
    </xdr:to>
    <xdr:sp macro="" textlink="">
      <xdr:nvSpPr>
        <xdr:cNvPr id="27" name="CaixaDeTexto 26">
          <a:extLst>
            <a:ext uri="{FF2B5EF4-FFF2-40B4-BE49-F238E27FC236}">
              <a16:creationId xmlns:a16="http://schemas.microsoft.com/office/drawing/2014/main" id="{00000000-0008-0000-1400-00001B000000}"/>
            </a:ext>
          </a:extLst>
        </xdr:cNvPr>
        <xdr:cNvSpPr txBox="1"/>
      </xdr:nvSpPr>
      <xdr:spPr>
        <a:xfrm>
          <a:off x="4400549" y="287093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Lucro ou</a:t>
          </a:r>
          <a:r>
            <a:rPr lang="pt-BR" sz="1000" baseline="0">
              <a:solidFill>
                <a:schemeClr val="tx1">
                  <a:lumMod val="65000"/>
                  <a:lumOff val="35000"/>
                </a:schemeClr>
              </a:solidFill>
            </a:rPr>
            <a:t> Prejuízo Líquido</a:t>
          </a:r>
          <a:endParaRPr lang="pt-BR" sz="1000">
            <a:solidFill>
              <a:schemeClr val="tx1">
                <a:lumMod val="65000"/>
                <a:lumOff val="35000"/>
              </a:schemeClr>
            </a:solidFill>
          </a:endParaRPr>
        </a:p>
      </xdr:txBody>
    </xdr:sp>
    <xdr:clientData/>
  </xdr:twoCellAnchor>
  <xdr:twoCellAnchor>
    <xdr:from>
      <xdr:col>2</xdr:col>
      <xdr:colOff>571499</xdr:colOff>
      <xdr:row>3</xdr:row>
      <xdr:rowOff>0</xdr:rowOff>
    </xdr:from>
    <xdr:to>
      <xdr:col>11</xdr:col>
      <xdr:colOff>542924</xdr:colOff>
      <xdr:row>10</xdr:row>
      <xdr:rowOff>314325</xdr:rowOff>
    </xdr:to>
    <xdr:graphicFrame macro="">
      <xdr:nvGraphicFramePr>
        <xdr:cNvPr id="28" name="Gráfico 27">
          <a:extLst>
            <a:ext uri="{FF2B5EF4-FFF2-40B4-BE49-F238E27FC236}">
              <a16:creationId xmlns:a16="http://schemas.microsoft.com/office/drawing/2014/main" id="{00000000-0008-0000-1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5</xdr:col>
      <xdr:colOff>266700</xdr:colOff>
      <xdr:row>6</xdr:row>
      <xdr:rowOff>238125</xdr:rowOff>
    </xdr:from>
    <xdr:ext cx="2552700" cy="468013"/>
    <xdr:sp macro="" textlink="'BH (2)'!C37">
      <xdr:nvSpPr>
        <xdr:cNvPr id="20" name="CaixaDeTexto 19">
          <a:extLst>
            <a:ext uri="{FF2B5EF4-FFF2-40B4-BE49-F238E27FC236}">
              <a16:creationId xmlns:a16="http://schemas.microsoft.com/office/drawing/2014/main" id="{00000000-0008-0000-1400-000014000000}"/>
            </a:ext>
          </a:extLst>
        </xdr:cNvPr>
        <xdr:cNvSpPr txBox="1"/>
      </xdr:nvSpPr>
      <xdr:spPr>
        <a:xfrm>
          <a:off x="2324100" y="2590800"/>
          <a:ext cx="25527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A1FD999D-EB09-4E97-B5C1-CBE1659FB8D4}" type="TxLink">
            <a:rPr lang="en-US" sz="4000" b="0" i="0" u="none" strike="noStrike">
              <a:solidFill>
                <a:schemeClr val="tx1">
                  <a:lumMod val="65000"/>
                  <a:lumOff val="35000"/>
                </a:schemeClr>
              </a:solidFill>
              <a:latin typeface="Calibri"/>
              <a:cs typeface="Calibri"/>
            </a:rPr>
            <a:pPr algn="ctr"/>
            <a:t>15%</a:t>
          </a:fld>
          <a:endParaRPr lang="pt-BR" sz="4800" b="0">
            <a:solidFill>
              <a:schemeClr val="tx1">
                <a:lumMod val="65000"/>
                <a:lumOff val="35000"/>
              </a:schemeClr>
            </a:solidFill>
          </a:endParaRPr>
        </a:p>
      </xdr:txBody>
    </xdr:sp>
    <xdr:clientData/>
  </xdr:oneCellAnchor>
  <xdr:twoCellAnchor editAs="absolute">
    <xdr:from>
      <xdr:col>5</xdr:col>
      <xdr:colOff>257174</xdr:colOff>
      <xdr:row>5</xdr:row>
      <xdr:rowOff>365861</xdr:rowOff>
    </xdr:from>
    <xdr:to>
      <xdr:col>9</xdr:col>
      <xdr:colOff>351005</xdr:colOff>
      <xdr:row>6</xdr:row>
      <xdr:rowOff>184448</xdr:rowOff>
    </xdr:to>
    <xdr:sp macro="" textlink="">
      <xdr:nvSpPr>
        <xdr:cNvPr id="30" name="CaixaDeTexto 29">
          <a:extLst>
            <a:ext uri="{FF2B5EF4-FFF2-40B4-BE49-F238E27FC236}">
              <a16:creationId xmlns:a16="http://schemas.microsoft.com/office/drawing/2014/main" id="{00000000-0008-0000-1400-00001E000000}"/>
            </a:ext>
          </a:extLst>
        </xdr:cNvPr>
        <xdr:cNvSpPr txBox="1"/>
      </xdr:nvSpPr>
      <xdr:spPr>
        <a:xfrm>
          <a:off x="2314574" y="228038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Lucratividade</a:t>
          </a:r>
        </a:p>
      </xdr:txBody>
    </xdr:sp>
    <xdr:clientData/>
  </xdr:twoCellAnchor>
  <xdr:twoCellAnchor editAs="absolute">
    <xdr:from>
      <xdr:col>1</xdr:col>
      <xdr:colOff>104774</xdr:colOff>
      <xdr:row>5</xdr:row>
      <xdr:rowOff>423011</xdr:rowOff>
    </xdr:from>
    <xdr:to>
      <xdr:col>6</xdr:col>
      <xdr:colOff>84305</xdr:colOff>
      <xdr:row>6</xdr:row>
      <xdr:rowOff>241598</xdr:rowOff>
    </xdr:to>
    <xdr:sp macro="" textlink="'BH (2)'!D41">
      <xdr:nvSpPr>
        <xdr:cNvPr id="31" name="CaixaDeTexto 30">
          <a:extLst>
            <a:ext uri="{FF2B5EF4-FFF2-40B4-BE49-F238E27FC236}">
              <a16:creationId xmlns:a16="http://schemas.microsoft.com/office/drawing/2014/main" id="{00000000-0008-0000-1400-00001F000000}"/>
            </a:ext>
          </a:extLst>
        </xdr:cNvPr>
        <xdr:cNvSpPr txBox="1"/>
      </xdr:nvSpPr>
      <xdr:spPr>
        <a:xfrm>
          <a:off x="219074" y="233753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61A09045-7A09-4482-8470-E3D0D43E5CBF}" type="TxLink">
            <a:rPr lang="en-US" sz="1000" b="0" i="0" u="none" strike="noStrike">
              <a:solidFill>
                <a:srgbClr val="404040"/>
              </a:solidFill>
              <a:latin typeface="Calibri"/>
              <a:cs typeface="Calibri"/>
            </a:rPr>
            <a:pPr algn="ctr"/>
            <a:t>Diminuiu</a:t>
          </a:fld>
          <a:endParaRPr lang="pt-BR" sz="1000">
            <a:solidFill>
              <a:schemeClr val="tx1">
                <a:lumMod val="65000"/>
                <a:lumOff val="35000"/>
              </a:schemeClr>
            </a:solidFill>
          </a:endParaRPr>
        </a:p>
      </xdr:txBody>
    </xdr:sp>
    <xdr:clientData/>
  </xdr:twoCellAnchor>
  <xdr:twoCellAnchor editAs="absolute">
    <xdr:from>
      <xdr:col>1</xdr:col>
      <xdr:colOff>104774</xdr:colOff>
      <xdr:row>8</xdr:row>
      <xdr:rowOff>423011</xdr:rowOff>
    </xdr:from>
    <xdr:to>
      <xdr:col>6</xdr:col>
      <xdr:colOff>84305</xdr:colOff>
      <xdr:row>9</xdr:row>
      <xdr:rowOff>241598</xdr:rowOff>
    </xdr:to>
    <xdr:sp macro="" textlink="'BH (2)'!D42">
      <xdr:nvSpPr>
        <xdr:cNvPr id="32" name="CaixaDeTexto 31">
          <a:extLst>
            <a:ext uri="{FF2B5EF4-FFF2-40B4-BE49-F238E27FC236}">
              <a16:creationId xmlns:a16="http://schemas.microsoft.com/office/drawing/2014/main" id="{00000000-0008-0000-1400-000020000000}"/>
            </a:ext>
          </a:extLst>
        </xdr:cNvPr>
        <xdr:cNvSpPr txBox="1"/>
      </xdr:nvSpPr>
      <xdr:spPr>
        <a:xfrm>
          <a:off x="219074" y="365198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8059D4E3-115A-46F2-A87B-04521D635B64}" type="TxLink">
            <a:rPr lang="en-US" sz="1000" b="0" i="0" u="none" strike="noStrike">
              <a:solidFill>
                <a:srgbClr val="404040"/>
              </a:solidFill>
              <a:latin typeface="Calibri"/>
              <a:cs typeface="Calibri"/>
            </a:rPr>
            <a:pPr algn="ctr"/>
            <a:t>Diminuiu</a:t>
          </a:fld>
          <a:endParaRPr lang="pt-BR" sz="1000">
            <a:solidFill>
              <a:schemeClr val="tx1">
                <a:lumMod val="65000"/>
                <a:lumOff val="35000"/>
              </a:schemeClr>
            </a:solidFill>
          </a:endParaRPr>
        </a:p>
      </xdr:txBody>
    </xdr:sp>
    <xdr:clientData/>
  </xdr:twoCellAnchor>
  <xdr:twoCellAnchor editAs="absolute">
    <xdr:from>
      <xdr:col>8</xdr:col>
      <xdr:colOff>514349</xdr:colOff>
      <xdr:row>5</xdr:row>
      <xdr:rowOff>413486</xdr:rowOff>
    </xdr:from>
    <xdr:to>
      <xdr:col>12</xdr:col>
      <xdr:colOff>608180</xdr:colOff>
      <xdr:row>6</xdr:row>
      <xdr:rowOff>232073</xdr:rowOff>
    </xdr:to>
    <xdr:sp macro="" textlink="'BH (2)'!D43">
      <xdr:nvSpPr>
        <xdr:cNvPr id="33" name="CaixaDeTexto 32">
          <a:extLst>
            <a:ext uri="{FF2B5EF4-FFF2-40B4-BE49-F238E27FC236}">
              <a16:creationId xmlns:a16="http://schemas.microsoft.com/office/drawing/2014/main" id="{00000000-0008-0000-1400-000021000000}"/>
            </a:ext>
          </a:extLst>
        </xdr:cNvPr>
        <xdr:cNvSpPr txBox="1"/>
      </xdr:nvSpPr>
      <xdr:spPr>
        <a:xfrm>
          <a:off x="4400549" y="232801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F4F6816F-85E7-4994-9DF2-376C9DA32E6A}" type="TxLink">
            <a:rPr lang="en-US" sz="1000" b="0" i="0" u="none" strike="noStrike">
              <a:solidFill>
                <a:srgbClr val="404040"/>
              </a:solidFill>
              <a:latin typeface="Calibri"/>
              <a:cs typeface="Calibri"/>
            </a:rPr>
            <a:pPr algn="ctr"/>
            <a:t>Diminuiu</a:t>
          </a:fld>
          <a:endParaRPr lang="pt-BR" sz="1000">
            <a:solidFill>
              <a:schemeClr val="tx1">
                <a:lumMod val="65000"/>
                <a:lumOff val="35000"/>
              </a:schemeClr>
            </a:solidFill>
          </a:endParaRPr>
        </a:p>
      </xdr:txBody>
    </xdr:sp>
    <xdr:clientData/>
  </xdr:twoCellAnchor>
  <xdr:twoCellAnchor editAs="absolute">
    <xdr:from>
      <xdr:col>8</xdr:col>
      <xdr:colOff>514349</xdr:colOff>
      <xdr:row>8</xdr:row>
      <xdr:rowOff>413486</xdr:rowOff>
    </xdr:from>
    <xdr:to>
      <xdr:col>12</xdr:col>
      <xdr:colOff>608180</xdr:colOff>
      <xdr:row>9</xdr:row>
      <xdr:rowOff>232073</xdr:rowOff>
    </xdr:to>
    <xdr:sp macro="" textlink="'BH (2)'!D44">
      <xdr:nvSpPr>
        <xdr:cNvPr id="34" name="CaixaDeTexto 33">
          <a:extLst>
            <a:ext uri="{FF2B5EF4-FFF2-40B4-BE49-F238E27FC236}">
              <a16:creationId xmlns:a16="http://schemas.microsoft.com/office/drawing/2014/main" id="{00000000-0008-0000-1400-000022000000}"/>
            </a:ext>
          </a:extLst>
        </xdr:cNvPr>
        <xdr:cNvSpPr txBox="1"/>
      </xdr:nvSpPr>
      <xdr:spPr>
        <a:xfrm>
          <a:off x="4400549" y="364246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7B315890-B00C-4542-AD6D-4338543E875B}" type="TxLink">
            <a:rPr lang="en-US" sz="1000" b="0" i="0" u="none" strike="noStrike">
              <a:solidFill>
                <a:srgbClr val="404040"/>
              </a:solidFill>
              <a:latin typeface="Calibri"/>
              <a:cs typeface="Calibri"/>
            </a:rPr>
            <a:pPr algn="ctr"/>
            <a:t>Aumentou</a:t>
          </a:fld>
          <a:endParaRPr lang="pt-BR" sz="1000">
            <a:solidFill>
              <a:schemeClr val="tx1">
                <a:lumMod val="65000"/>
                <a:lumOff val="35000"/>
              </a:schemeClr>
            </a:solidFill>
          </a:endParaRPr>
        </a:p>
      </xdr:txBody>
    </xdr:sp>
    <xdr:clientData/>
  </xdr:twoCellAnchor>
  <xdr:twoCellAnchor editAs="absolute">
    <xdr:from>
      <xdr:col>1</xdr:col>
      <xdr:colOff>114299</xdr:colOff>
      <xdr:row>6</xdr:row>
      <xdr:rowOff>194411</xdr:rowOff>
    </xdr:from>
    <xdr:to>
      <xdr:col>6</xdr:col>
      <xdr:colOff>93830</xdr:colOff>
      <xdr:row>7</xdr:row>
      <xdr:rowOff>12998</xdr:rowOff>
    </xdr:to>
    <xdr:sp macro="" textlink="'BH (2)'!C41">
      <xdr:nvSpPr>
        <xdr:cNvPr id="35" name="CaixaDeTexto 34">
          <a:extLst>
            <a:ext uri="{FF2B5EF4-FFF2-40B4-BE49-F238E27FC236}">
              <a16:creationId xmlns:a16="http://schemas.microsoft.com/office/drawing/2014/main" id="{00000000-0008-0000-1400-000023000000}"/>
            </a:ext>
          </a:extLst>
        </xdr:cNvPr>
        <xdr:cNvSpPr txBox="1"/>
      </xdr:nvSpPr>
      <xdr:spPr>
        <a:xfrm>
          <a:off x="228599" y="254708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1BE362B1-548C-4867-BB16-7DFE910670DB}" type="TxLink">
            <a:rPr lang="en-US" sz="1000" b="0" i="0" u="none" strike="noStrike">
              <a:solidFill>
                <a:srgbClr val="000000"/>
              </a:solidFill>
              <a:latin typeface="Calibri"/>
              <a:cs typeface="Calibri"/>
            </a:rPr>
            <a:pPr algn="ctr"/>
            <a:t>-2%</a:t>
          </a:fld>
          <a:endParaRPr lang="pt-BR" sz="1000">
            <a:solidFill>
              <a:schemeClr val="tx1">
                <a:lumMod val="65000"/>
                <a:lumOff val="35000"/>
              </a:schemeClr>
            </a:solidFill>
          </a:endParaRPr>
        </a:p>
      </xdr:txBody>
    </xdr:sp>
    <xdr:clientData/>
  </xdr:twoCellAnchor>
  <xdr:twoCellAnchor editAs="absolute">
    <xdr:from>
      <xdr:col>1</xdr:col>
      <xdr:colOff>114299</xdr:colOff>
      <xdr:row>9</xdr:row>
      <xdr:rowOff>194411</xdr:rowOff>
    </xdr:from>
    <xdr:to>
      <xdr:col>6</xdr:col>
      <xdr:colOff>93830</xdr:colOff>
      <xdr:row>10</xdr:row>
      <xdr:rowOff>12998</xdr:rowOff>
    </xdr:to>
    <xdr:sp macro="" textlink="'BH (2)'!C42">
      <xdr:nvSpPr>
        <xdr:cNvPr id="36" name="CaixaDeTexto 35">
          <a:extLst>
            <a:ext uri="{FF2B5EF4-FFF2-40B4-BE49-F238E27FC236}">
              <a16:creationId xmlns:a16="http://schemas.microsoft.com/office/drawing/2014/main" id="{00000000-0008-0000-1400-000024000000}"/>
            </a:ext>
          </a:extLst>
        </xdr:cNvPr>
        <xdr:cNvSpPr txBox="1"/>
      </xdr:nvSpPr>
      <xdr:spPr>
        <a:xfrm>
          <a:off x="228599" y="3861536"/>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3446236-3E6E-4314-BD7C-B7973E8EADFC}" type="TxLink">
            <a:rPr lang="en-US" sz="1000" b="0" i="0" u="none" strike="noStrike">
              <a:solidFill>
                <a:srgbClr val="000000"/>
              </a:solidFill>
              <a:latin typeface="Calibri"/>
              <a:cs typeface="Calibri"/>
            </a:rPr>
            <a:pPr algn="ctr"/>
            <a:t>-10%</a:t>
          </a:fld>
          <a:endParaRPr lang="pt-BR" sz="1000">
            <a:solidFill>
              <a:schemeClr val="tx1">
                <a:lumMod val="65000"/>
                <a:lumOff val="35000"/>
              </a:schemeClr>
            </a:solidFill>
          </a:endParaRPr>
        </a:p>
      </xdr:txBody>
    </xdr:sp>
    <xdr:clientData/>
  </xdr:twoCellAnchor>
  <xdr:twoCellAnchor editAs="absolute">
    <xdr:from>
      <xdr:col>8</xdr:col>
      <xdr:colOff>523874</xdr:colOff>
      <xdr:row>6</xdr:row>
      <xdr:rowOff>184886</xdr:rowOff>
    </xdr:from>
    <xdr:to>
      <xdr:col>13</xdr:col>
      <xdr:colOff>8105</xdr:colOff>
      <xdr:row>7</xdr:row>
      <xdr:rowOff>3473</xdr:rowOff>
    </xdr:to>
    <xdr:sp macro="" textlink="'BH (2)'!C43">
      <xdr:nvSpPr>
        <xdr:cNvPr id="37" name="CaixaDeTexto 36">
          <a:extLst>
            <a:ext uri="{FF2B5EF4-FFF2-40B4-BE49-F238E27FC236}">
              <a16:creationId xmlns:a16="http://schemas.microsoft.com/office/drawing/2014/main" id="{00000000-0008-0000-1400-000025000000}"/>
            </a:ext>
          </a:extLst>
        </xdr:cNvPr>
        <xdr:cNvSpPr txBox="1"/>
      </xdr:nvSpPr>
      <xdr:spPr>
        <a:xfrm>
          <a:off x="4410074" y="253756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B2526A7C-B502-4396-B298-6271A28DB7F1}" type="TxLink">
            <a:rPr lang="en-US" sz="1000" b="0" i="0" u="none" strike="noStrike">
              <a:solidFill>
                <a:srgbClr val="000000"/>
              </a:solidFill>
              <a:latin typeface="Calibri"/>
              <a:cs typeface="Calibri"/>
            </a:rPr>
            <a:pPr algn="ctr"/>
            <a:t>-11%</a:t>
          </a:fld>
          <a:endParaRPr lang="pt-BR" sz="1000">
            <a:solidFill>
              <a:schemeClr val="tx1">
                <a:lumMod val="65000"/>
                <a:lumOff val="35000"/>
              </a:schemeClr>
            </a:solidFill>
          </a:endParaRPr>
        </a:p>
      </xdr:txBody>
    </xdr:sp>
    <xdr:clientData/>
  </xdr:twoCellAnchor>
  <xdr:twoCellAnchor editAs="absolute">
    <xdr:from>
      <xdr:col>8</xdr:col>
      <xdr:colOff>523874</xdr:colOff>
      <xdr:row>9</xdr:row>
      <xdr:rowOff>184886</xdr:rowOff>
    </xdr:from>
    <xdr:to>
      <xdr:col>13</xdr:col>
      <xdr:colOff>8105</xdr:colOff>
      <xdr:row>10</xdr:row>
      <xdr:rowOff>3473</xdr:rowOff>
    </xdr:to>
    <xdr:sp macro="" textlink="'BH (2)'!C44">
      <xdr:nvSpPr>
        <xdr:cNvPr id="38" name="CaixaDeTexto 37">
          <a:extLst>
            <a:ext uri="{FF2B5EF4-FFF2-40B4-BE49-F238E27FC236}">
              <a16:creationId xmlns:a16="http://schemas.microsoft.com/office/drawing/2014/main" id="{00000000-0008-0000-1400-000026000000}"/>
            </a:ext>
          </a:extLst>
        </xdr:cNvPr>
        <xdr:cNvSpPr txBox="1"/>
      </xdr:nvSpPr>
      <xdr:spPr>
        <a:xfrm>
          <a:off x="4410074" y="3852011"/>
          <a:ext cx="253223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96D66662-BAFB-4FA8-A4D0-E387E6691362}" type="TxLink">
            <a:rPr lang="en-US" sz="1000" b="0" i="0" u="none" strike="noStrike">
              <a:solidFill>
                <a:srgbClr val="000000"/>
              </a:solidFill>
              <a:latin typeface="Calibri"/>
              <a:cs typeface="Calibri"/>
            </a:rPr>
            <a:pPr algn="ctr"/>
            <a:t>95%</a:t>
          </a:fld>
          <a:endParaRPr lang="pt-BR" sz="1000">
            <a:solidFill>
              <a:schemeClr val="tx1">
                <a:lumMod val="65000"/>
                <a:lumOff val="35000"/>
              </a:schemeClr>
            </a:solidFill>
          </a:endParaRPr>
        </a:p>
      </xdr:txBody>
    </xdr:sp>
    <xdr:clientData/>
  </xdr:twoCellAnchor>
  <xdr:twoCellAnchor>
    <xdr:from>
      <xdr:col>2</xdr:col>
      <xdr:colOff>1</xdr:colOff>
      <xdr:row>10</xdr:row>
      <xdr:rowOff>76200</xdr:rowOff>
    </xdr:from>
    <xdr:to>
      <xdr:col>7</xdr:col>
      <xdr:colOff>285751</xdr:colOff>
      <xdr:row>14</xdr:row>
      <xdr:rowOff>381000</xdr:rowOff>
    </xdr:to>
    <xdr:graphicFrame macro="">
      <xdr:nvGraphicFramePr>
        <xdr:cNvPr id="39" name="Gráfico 38">
          <a:extLst>
            <a:ext uri="{FF2B5EF4-FFF2-40B4-BE49-F238E27FC236}">
              <a16:creationId xmlns:a16="http://schemas.microsoft.com/office/drawing/2014/main" id="{00000000-0008-0000-1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xdr:col>
      <xdr:colOff>9525</xdr:colOff>
      <xdr:row>11</xdr:row>
      <xdr:rowOff>232511</xdr:rowOff>
    </xdr:from>
    <xdr:to>
      <xdr:col>7</xdr:col>
      <xdr:colOff>276224</xdr:colOff>
      <xdr:row>12</xdr:row>
      <xdr:rowOff>142875</xdr:rowOff>
    </xdr:to>
    <xdr:sp macro="" textlink="">
      <xdr:nvSpPr>
        <xdr:cNvPr id="42" name="CaixaDeTexto 41">
          <a:extLst>
            <a:ext uri="{FF2B5EF4-FFF2-40B4-BE49-F238E27FC236}">
              <a16:creationId xmlns:a16="http://schemas.microsoft.com/office/drawing/2014/main" id="{00000000-0008-0000-1400-00002A000000}"/>
            </a:ext>
          </a:extLst>
        </xdr:cNvPr>
        <xdr:cNvSpPr txBox="1"/>
      </xdr:nvSpPr>
      <xdr:spPr>
        <a:xfrm>
          <a:off x="238125" y="4775936"/>
          <a:ext cx="3314699"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Margem</a:t>
          </a:r>
          <a:r>
            <a:rPr lang="pt-BR" sz="1000" baseline="0">
              <a:solidFill>
                <a:schemeClr val="tx1">
                  <a:lumMod val="65000"/>
                  <a:lumOff val="35000"/>
                </a:schemeClr>
              </a:solidFill>
            </a:rPr>
            <a:t> </a:t>
          </a:r>
          <a:r>
            <a:rPr lang="pt-BR" sz="1000">
              <a:solidFill>
                <a:schemeClr val="tx1">
                  <a:lumMod val="65000"/>
                  <a:lumOff val="35000"/>
                </a:schemeClr>
              </a:solidFill>
            </a:rPr>
            <a:t>Bruta</a:t>
          </a:r>
        </a:p>
      </xdr:txBody>
    </xdr:sp>
    <xdr:clientData/>
  </xdr:twoCellAnchor>
  <xdr:oneCellAnchor>
    <xdr:from>
      <xdr:col>2</xdr:col>
      <xdr:colOff>0</xdr:colOff>
      <xdr:row>12</xdr:row>
      <xdr:rowOff>47625</xdr:rowOff>
    </xdr:from>
    <xdr:ext cx="3324225" cy="468013"/>
    <xdr:sp macro="" textlink="'BH (2)'!C62">
      <xdr:nvSpPr>
        <xdr:cNvPr id="43" name="CaixaDeTexto 42">
          <a:extLst>
            <a:ext uri="{FF2B5EF4-FFF2-40B4-BE49-F238E27FC236}">
              <a16:creationId xmlns:a16="http://schemas.microsoft.com/office/drawing/2014/main" id="{00000000-0008-0000-1400-00002B000000}"/>
            </a:ext>
          </a:extLst>
        </xdr:cNvPr>
        <xdr:cNvSpPr txBox="1"/>
      </xdr:nvSpPr>
      <xdr:spPr>
        <a:xfrm>
          <a:off x="228600" y="5029200"/>
          <a:ext cx="3324225"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DED656D6-EE66-44AE-85EA-E80F0B27575F}" type="TxLink">
            <a:rPr lang="en-US" sz="2800" b="0" i="0" u="none" strike="noStrike">
              <a:solidFill>
                <a:schemeClr val="tx1">
                  <a:lumMod val="65000"/>
                  <a:lumOff val="35000"/>
                </a:schemeClr>
              </a:solidFill>
              <a:latin typeface="Calibri"/>
              <a:ea typeface="+mn-ea"/>
              <a:cs typeface="Calibri"/>
            </a:rPr>
            <a:pPr marL="0" indent="0" algn="ctr"/>
            <a:t>45%</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7</xdr:col>
      <xdr:colOff>342901</xdr:colOff>
      <xdr:row>10</xdr:row>
      <xdr:rowOff>76200</xdr:rowOff>
    </xdr:from>
    <xdr:to>
      <xdr:col>13</xdr:col>
      <xdr:colOff>19051</xdr:colOff>
      <xdr:row>14</xdr:row>
      <xdr:rowOff>381000</xdr:rowOff>
    </xdr:to>
    <xdr:graphicFrame macro="">
      <xdr:nvGraphicFramePr>
        <xdr:cNvPr id="44" name="Gráfico 43">
          <a:extLst>
            <a:ext uri="{FF2B5EF4-FFF2-40B4-BE49-F238E27FC236}">
              <a16:creationId xmlns:a16="http://schemas.microsoft.com/office/drawing/2014/main" id="{00000000-0008-0000-14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7</xdr:col>
      <xdr:colOff>352425</xdr:colOff>
      <xdr:row>11</xdr:row>
      <xdr:rowOff>232511</xdr:rowOff>
    </xdr:from>
    <xdr:to>
      <xdr:col>13</xdr:col>
      <xdr:colOff>9524</xdr:colOff>
      <xdr:row>12</xdr:row>
      <xdr:rowOff>142875</xdr:rowOff>
    </xdr:to>
    <xdr:sp macro="" textlink="">
      <xdr:nvSpPr>
        <xdr:cNvPr id="45" name="CaixaDeTexto 44">
          <a:extLst>
            <a:ext uri="{FF2B5EF4-FFF2-40B4-BE49-F238E27FC236}">
              <a16:creationId xmlns:a16="http://schemas.microsoft.com/office/drawing/2014/main" id="{00000000-0008-0000-1400-00002D000000}"/>
            </a:ext>
          </a:extLst>
        </xdr:cNvPr>
        <xdr:cNvSpPr txBox="1"/>
      </xdr:nvSpPr>
      <xdr:spPr>
        <a:xfrm>
          <a:off x="3629025" y="4775936"/>
          <a:ext cx="3314699"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Margem</a:t>
          </a:r>
          <a:r>
            <a:rPr lang="pt-BR" sz="1000" baseline="0">
              <a:solidFill>
                <a:schemeClr val="tx1">
                  <a:lumMod val="65000"/>
                  <a:lumOff val="35000"/>
                </a:schemeClr>
              </a:solidFill>
            </a:rPr>
            <a:t> </a:t>
          </a:r>
          <a:r>
            <a:rPr lang="pt-BR" sz="1000">
              <a:solidFill>
                <a:schemeClr val="tx1">
                  <a:lumMod val="65000"/>
                  <a:lumOff val="35000"/>
                </a:schemeClr>
              </a:solidFill>
            </a:rPr>
            <a:t>Operacional</a:t>
          </a:r>
        </a:p>
      </xdr:txBody>
    </xdr:sp>
    <xdr:clientData/>
  </xdr:twoCellAnchor>
  <xdr:oneCellAnchor>
    <xdr:from>
      <xdr:col>7</xdr:col>
      <xdr:colOff>342900</xdr:colOff>
      <xdr:row>12</xdr:row>
      <xdr:rowOff>47625</xdr:rowOff>
    </xdr:from>
    <xdr:ext cx="3324225" cy="468013"/>
    <xdr:sp macro="" textlink="'BH (2)'!C63">
      <xdr:nvSpPr>
        <xdr:cNvPr id="46" name="CaixaDeTexto 45">
          <a:extLst>
            <a:ext uri="{FF2B5EF4-FFF2-40B4-BE49-F238E27FC236}">
              <a16:creationId xmlns:a16="http://schemas.microsoft.com/office/drawing/2014/main" id="{00000000-0008-0000-1400-00002E000000}"/>
            </a:ext>
          </a:extLst>
        </xdr:cNvPr>
        <xdr:cNvSpPr txBox="1"/>
      </xdr:nvSpPr>
      <xdr:spPr>
        <a:xfrm>
          <a:off x="3619500" y="5029200"/>
          <a:ext cx="3324225"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4BE37F33-DF4B-4F93-8A41-9ADFA6E01AF2}" type="TxLink">
            <a:rPr lang="en-US" sz="2800" b="0" i="0" u="none" strike="noStrike">
              <a:solidFill>
                <a:schemeClr val="tx1">
                  <a:lumMod val="65000"/>
                  <a:lumOff val="35000"/>
                </a:schemeClr>
              </a:solidFill>
              <a:latin typeface="Calibri"/>
              <a:ea typeface="+mn-ea"/>
              <a:cs typeface="Calibri"/>
            </a:rPr>
            <a:pPr marL="0" indent="0" algn="ctr"/>
            <a:t>32%</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13</xdr:col>
      <xdr:colOff>66673</xdr:colOff>
      <xdr:row>4</xdr:row>
      <xdr:rowOff>76200</xdr:rowOff>
    </xdr:from>
    <xdr:to>
      <xdr:col>17</xdr:col>
      <xdr:colOff>367873</xdr:colOff>
      <xdr:row>7</xdr:row>
      <xdr:rowOff>21750</xdr:rowOff>
    </xdr:to>
    <xdr:sp macro="" textlink="'BH (2)'!C68">
      <xdr:nvSpPr>
        <xdr:cNvPr id="47" name="Retângulo 46">
          <a:extLst>
            <a:ext uri="{FF2B5EF4-FFF2-40B4-BE49-F238E27FC236}">
              <a16:creationId xmlns:a16="http://schemas.microsoft.com/office/drawing/2014/main" id="{00000000-0008-0000-1400-00002F000000}"/>
            </a:ext>
          </a:extLst>
        </xdr:cNvPr>
        <xdr:cNvSpPr/>
      </xdr:nvSpPr>
      <xdr:spPr>
        <a:xfrm>
          <a:off x="7000873" y="1552575"/>
          <a:ext cx="27396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FBB942C-0E29-4272-B202-B881651F50FF}" type="TxLink">
            <a:rPr lang="en-US" sz="2400" b="0" i="0" u="none" strike="noStrike">
              <a:solidFill>
                <a:srgbClr val="FFFFFF"/>
              </a:solidFill>
              <a:latin typeface="Calibri"/>
              <a:ea typeface="+mn-ea"/>
              <a:cs typeface="Calibri"/>
            </a:rPr>
            <a:pPr marL="0" indent="0" algn="ctr"/>
            <a:t>8.000,00</a:t>
          </a:fld>
          <a:endParaRPr lang="pt-BR" sz="2400" b="0" i="0" u="none" strike="noStrike">
            <a:solidFill>
              <a:schemeClr val="bg1"/>
            </a:solidFill>
            <a:latin typeface="Calibri"/>
            <a:ea typeface="+mn-ea"/>
            <a:cs typeface="Calibri"/>
          </a:endParaRPr>
        </a:p>
      </xdr:txBody>
    </xdr:sp>
    <xdr:clientData/>
  </xdr:twoCellAnchor>
  <xdr:twoCellAnchor editAs="absolute">
    <xdr:from>
      <xdr:col>13</xdr:col>
      <xdr:colOff>57149</xdr:colOff>
      <xdr:row>4</xdr:row>
      <xdr:rowOff>80111</xdr:rowOff>
    </xdr:from>
    <xdr:to>
      <xdr:col>17</xdr:col>
      <xdr:colOff>358349</xdr:colOff>
      <xdr:row>4</xdr:row>
      <xdr:rowOff>336848</xdr:rowOff>
    </xdr:to>
    <xdr:sp macro="" textlink="">
      <xdr:nvSpPr>
        <xdr:cNvPr id="48" name="CaixaDeTexto 47">
          <a:extLst>
            <a:ext uri="{FF2B5EF4-FFF2-40B4-BE49-F238E27FC236}">
              <a16:creationId xmlns:a16="http://schemas.microsoft.com/office/drawing/2014/main" id="{00000000-0008-0000-1400-000030000000}"/>
            </a:ext>
          </a:extLst>
        </xdr:cNvPr>
        <xdr:cNvSpPr txBox="1"/>
      </xdr:nvSpPr>
      <xdr:spPr>
        <a:xfrm>
          <a:off x="6991349" y="155648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 a Receber</a:t>
          </a:r>
        </a:p>
      </xdr:txBody>
    </xdr:sp>
    <xdr:clientData/>
  </xdr:twoCellAnchor>
  <xdr:twoCellAnchor editAs="absolute">
    <xdr:from>
      <xdr:col>13</xdr:col>
      <xdr:colOff>57149</xdr:colOff>
      <xdr:row>5</xdr:row>
      <xdr:rowOff>413486</xdr:rowOff>
    </xdr:from>
    <xdr:to>
      <xdr:col>17</xdr:col>
      <xdr:colOff>358349</xdr:colOff>
      <xdr:row>6</xdr:row>
      <xdr:rowOff>232073</xdr:rowOff>
    </xdr:to>
    <xdr:sp macro="" textlink="'BH (2)'!E68">
      <xdr:nvSpPr>
        <xdr:cNvPr id="49" name="CaixaDeTexto 48">
          <a:extLst>
            <a:ext uri="{FF2B5EF4-FFF2-40B4-BE49-F238E27FC236}">
              <a16:creationId xmlns:a16="http://schemas.microsoft.com/office/drawing/2014/main" id="{00000000-0008-0000-1400-000031000000}"/>
            </a:ext>
          </a:extLst>
        </xdr:cNvPr>
        <xdr:cNvSpPr txBox="1"/>
      </xdr:nvSpPr>
      <xdr:spPr>
        <a:xfrm>
          <a:off x="6991349" y="232801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3C460FA-D0A7-48C4-9941-7C62B7428E5C}" type="TxLink">
            <a:rPr lang="en-US" sz="1000" b="0" i="0" u="none" strike="noStrike">
              <a:solidFill>
                <a:schemeClr val="bg1"/>
              </a:solidFill>
              <a:latin typeface="Calibri"/>
              <a:cs typeface="Calibri"/>
            </a:rPr>
            <a:pPr algn="ctr"/>
            <a:t>Aguardando</a:t>
          </a:fld>
          <a:endParaRPr lang="pt-BR" sz="1000">
            <a:solidFill>
              <a:schemeClr val="bg1"/>
            </a:solidFill>
          </a:endParaRPr>
        </a:p>
      </xdr:txBody>
    </xdr:sp>
    <xdr:clientData/>
  </xdr:twoCellAnchor>
  <xdr:twoCellAnchor editAs="absolute">
    <xdr:from>
      <xdr:col>13</xdr:col>
      <xdr:colOff>66674</xdr:colOff>
      <xdr:row>6</xdr:row>
      <xdr:rowOff>184886</xdr:rowOff>
    </xdr:from>
    <xdr:to>
      <xdr:col>17</xdr:col>
      <xdr:colOff>367874</xdr:colOff>
      <xdr:row>7</xdr:row>
      <xdr:rowOff>3473</xdr:rowOff>
    </xdr:to>
    <xdr:sp macro="" textlink="'BH (2)'!F68">
      <xdr:nvSpPr>
        <xdr:cNvPr id="50" name="CaixaDeTexto 49">
          <a:extLst>
            <a:ext uri="{FF2B5EF4-FFF2-40B4-BE49-F238E27FC236}">
              <a16:creationId xmlns:a16="http://schemas.microsoft.com/office/drawing/2014/main" id="{00000000-0008-0000-1400-000032000000}"/>
            </a:ext>
          </a:extLst>
        </xdr:cNvPr>
        <xdr:cNvSpPr txBox="1"/>
      </xdr:nvSpPr>
      <xdr:spPr>
        <a:xfrm>
          <a:off x="7000874" y="253756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C0F4D916-8B11-4D0B-8987-A9A332D4A228}" type="TxLink">
            <a:rPr lang="en-US" sz="1000" b="0" i="0" u="none" strike="noStrike">
              <a:solidFill>
                <a:srgbClr val="FFFFFF"/>
              </a:solidFill>
              <a:latin typeface="Calibri"/>
              <a:cs typeface="Calibri"/>
            </a:rPr>
            <a:pPr algn="ctr"/>
            <a:t>0%</a:t>
          </a:fld>
          <a:endParaRPr lang="pt-BR" sz="1000">
            <a:solidFill>
              <a:schemeClr val="bg1"/>
            </a:solidFill>
          </a:endParaRPr>
        </a:p>
      </xdr:txBody>
    </xdr:sp>
    <xdr:clientData/>
  </xdr:twoCellAnchor>
  <xdr:twoCellAnchor>
    <xdr:from>
      <xdr:col>17</xdr:col>
      <xdr:colOff>428623</xdr:colOff>
      <xdr:row>4</xdr:row>
      <xdr:rowOff>76200</xdr:rowOff>
    </xdr:from>
    <xdr:to>
      <xdr:col>22</xdr:col>
      <xdr:colOff>120223</xdr:colOff>
      <xdr:row>7</xdr:row>
      <xdr:rowOff>21750</xdr:rowOff>
    </xdr:to>
    <xdr:sp macro="" textlink="'BH (2)'!C67">
      <xdr:nvSpPr>
        <xdr:cNvPr id="55" name="Retângulo 54">
          <a:extLst>
            <a:ext uri="{FF2B5EF4-FFF2-40B4-BE49-F238E27FC236}">
              <a16:creationId xmlns:a16="http://schemas.microsoft.com/office/drawing/2014/main" id="{00000000-0008-0000-1400-000037000000}"/>
            </a:ext>
          </a:extLst>
        </xdr:cNvPr>
        <xdr:cNvSpPr/>
      </xdr:nvSpPr>
      <xdr:spPr>
        <a:xfrm>
          <a:off x="9801223" y="1552575"/>
          <a:ext cx="27396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D95AE96-8B27-4E6C-837C-4CB0F699C87E}" type="TxLink">
            <a:rPr lang="en-US" sz="2400" b="0" i="0" u="none" strike="noStrike">
              <a:solidFill>
                <a:srgbClr val="FFFFFF"/>
              </a:solidFill>
              <a:latin typeface="Calibri"/>
              <a:ea typeface="+mn-ea"/>
              <a:cs typeface="Calibri"/>
            </a:rPr>
            <a:pPr marL="0" indent="0" algn="ctr"/>
            <a:t>7.800,00</a:t>
          </a:fld>
          <a:endParaRPr lang="pt-BR" sz="2400" b="0" i="0" u="none" strike="noStrike">
            <a:solidFill>
              <a:schemeClr val="bg1"/>
            </a:solidFill>
            <a:latin typeface="Calibri"/>
            <a:ea typeface="+mn-ea"/>
            <a:cs typeface="Calibri"/>
          </a:endParaRPr>
        </a:p>
      </xdr:txBody>
    </xdr:sp>
    <xdr:clientData/>
  </xdr:twoCellAnchor>
  <xdr:twoCellAnchor editAs="absolute">
    <xdr:from>
      <xdr:col>17</xdr:col>
      <xdr:colOff>419099</xdr:colOff>
      <xdr:row>4</xdr:row>
      <xdr:rowOff>80111</xdr:rowOff>
    </xdr:from>
    <xdr:to>
      <xdr:col>22</xdr:col>
      <xdr:colOff>110699</xdr:colOff>
      <xdr:row>4</xdr:row>
      <xdr:rowOff>336848</xdr:rowOff>
    </xdr:to>
    <xdr:sp macro="" textlink="">
      <xdr:nvSpPr>
        <xdr:cNvPr id="56" name="CaixaDeTexto 55">
          <a:extLst>
            <a:ext uri="{FF2B5EF4-FFF2-40B4-BE49-F238E27FC236}">
              <a16:creationId xmlns:a16="http://schemas.microsoft.com/office/drawing/2014/main" id="{00000000-0008-0000-1400-000038000000}"/>
            </a:ext>
          </a:extLst>
        </xdr:cNvPr>
        <xdr:cNvSpPr txBox="1"/>
      </xdr:nvSpPr>
      <xdr:spPr>
        <a:xfrm>
          <a:off x="9791699" y="155648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a:t>
          </a:r>
          <a:r>
            <a:rPr lang="pt-BR" sz="1000" baseline="0">
              <a:solidFill>
                <a:schemeClr val="bg1"/>
              </a:solidFill>
            </a:rPr>
            <a:t> a Pagar</a:t>
          </a:r>
          <a:endParaRPr lang="pt-BR" sz="1000">
            <a:solidFill>
              <a:schemeClr val="bg1"/>
            </a:solidFill>
          </a:endParaRPr>
        </a:p>
      </xdr:txBody>
    </xdr:sp>
    <xdr:clientData/>
  </xdr:twoCellAnchor>
  <xdr:twoCellAnchor editAs="absolute">
    <xdr:from>
      <xdr:col>17</xdr:col>
      <xdr:colOff>419099</xdr:colOff>
      <xdr:row>5</xdr:row>
      <xdr:rowOff>413486</xdr:rowOff>
    </xdr:from>
    <xdr:to>
      <xdr:col>22</xdr:col>
      <xdr:colOff>110699</xdr:colOff>
      <xdr:row>6</xdr:row>
      <xdr:rowOff>232073</xdr:rowOff>
    </xdr:to>
    <xdr:sp macro="" textlink="'BH (2)'!E67">
      <xdr:nvSpPr>
        <xdr:cNvPr id="57" name="CaixaDeTexto 56">
          <a:extLst>
            <a:ext uri="{FF2B5EF4-FFF2-40B4-BE49-F238E27FC236}">
              <a16:creationId xmlns:a16="http://schemas.microsoft.com/office/drawing/2014/main" id="{00000000-0008-0000-1400-000039000000}"/>
            </a:ext>
          </a:extLst>
        </xdr:cNvPr>
        <xdr:cNvSpPr txBox="1"/>
      </xdr:nvSpPr>
      <xdr:spPr>
        <a:xfrm>
          <a:off x="9791699" y="232801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7FA10967-3BF7-4199-BCEB-59A21DDBAB1B}" type="TxLink">
            <a:rPr lang="en-US" sz="1000" b="0" i="0" u="none" strike="noStrike">
              <a:solidFill>
                <a:schemeClr val="bg1"/>
              </a:solidFill>
              <a:latin typeface="Calibri"/>
              <a:cs typeface="Calibri"/>
            </a:rPr>
            <a:pPr algn="ctr"/>
            <a:t>Aguardando</a:t>
          </a:fld>
          <a:endParaRPr lang="pt-BR" sz="1000">
            <a:solidFill>
              <a:schemeClr val="bg1"/>
            </a:solidFill>
          </a:endParaRPr>
        </a:p>
      </xdr:txBody>
    </xdr:sp>
    <xdr:clientData/>
  </xdr:twoCellAnchor>
  <xdr:twoCellAnchor editAs="absolute">
    <xdr:from>
      <xdr:col>17</xdr:col>
      <xdr:colOff>428624</xdr:colOff>
      <xdr:row>6</xdr:row>
      <xdr:rowOff>184886</xdr:rowOff>
    </xdr:from>
    <xdr:to>
      <xdr:col>22</xdr:col>
      <xdr:colOff>120224</xdr:colOff>
      <xdr:row>7</xdr:row>
      <xdr:rowOff>3473</xdr:rowOff>
    </xdr:to>
    <xdr:sp macro="" textlink="'BH (2)'!F67">
      <xdr:nvSpPr>
        <xdr:cNvPr id="58" name="CaixaDeTexto 57">
          <a:extLst>
            <a:ext uri="{FF2B5EF4-FFF2-40B4-BE49-F238E27FC236}">
              <a16:creationId xmlns:a16="http://schemas.microsoft.com/office/drawing/2014/main" id="{00000000-0008-0000-1400-00003A000000}"/>
            </a:ext>
          </a:extLst>
        </xdr:cNvPr>
        <xdr:cNvSpPr txBox="1"/>
      </xdr:nvSpPr>
      <xdr:spPr>
        <a:xfrm>
          <a:off x="9801224" y="2537561"/>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AF4489FD-BFE4-40DA-89CB-53A42183FEA6}" type="TxLink">
            <a:rPr lang="en-US" sz="1000" b="0" i="0" u="none" strike="noStrike">
              <a:solidFill>
                <a:srgbClr val="FFFFFF"/>
              </a:solidFill>
              <a:latin typeface="Calibri"/>
              <a:cs typeface="Calibri"/>
            </a:rPr>
            <a:pPr algn="ctr"/>
            <a:t>0%</a:t>
          </a:fld>
          <a:endParaRPr lang="pt-BR" sz="1000">
            <a:solidFill>
              <a:schemeClr val="bg1"/>
            </a:solidFill>
          </a:endParaRPr>
        </a:p>
      </xdr:txBody>
    </xdr:sp>
    <xdr:clientData/>
  </xdr:twoCellAnchor>
  <xdr:twoCellAnchor>
    <xdr:from>
      <xdr:col>13</xdr:col>
      <xdr:colOff>66676</xdr:colOff>
      <xdr:row>7</xdr:row>
      <xdr:rowOff>76200</xdr:rowOff>
    </xdr:from>
    <xdr:to>
      <xdr:col>17</xdr:col>
      <xdr:colOff>367876</xdr:colOff>
      <xdr:row>11</xdr:row>
      <xdr:rowOff>381000</xdr:rowOff>
    </xdr:to>
    <xdr:graphicFrame macro="">
      <xdr:nvGraphicFramePr>
        <xdr:cNvPr id="53" name="Gráfico 52">
          <a:extLst>
            <a:ext uri="{FF2B5EF4-FFF2-40B4-BE49-F238E27FC236}">
              <a16:creationId xmlns:a16="http://schemas.microsoft.com/office/drawing/2014/main" id="{00000000-0008-0000-14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13</xdr:col>
      <xdr:colOff>76200</xdr:colOff>
      <xdr:row>8</xdr:row>
      <xdr:rowOff>184886</xdr:rowOff>
    </xdr:from>
    <xdr:to>
      <xdr:col>17</xdr:col>
      <xdr:colOff>377400</xdr:colOff>
      <xdr:row>9</xdr:row>
      <xdr:rowOff>95250</xdr:rowOff>
    </xdr:to>
    <xdr:sp macro="" textlink="">
      <xdr:nvSpPr>
        <xdr:cNvPr id="54" name="CaixaDeTexto 53">
          <a:extLst>
            <a:ext uri="{FF2B5EF4-FFF2-40B4-BE49-F238E27FC236}">
              <a16:creationId xmlns:a16="http://schemas.microsoft.com/office/drawing/2014/main" id="{00000000-0008-0000-1400-000036000000}"/>
            </a:ext>
          </a:extLst>
        </xdr:cNvPr>
        <xdr:cNvSpPr txBox="1"/>
      </xdr:nvSpPr>
      <xdr:spPr>
        <a:xfrm>
          <a:off x="7010400" y="3413861"/>
          <a:ext cx="2739600"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Percentual da </a:t>
          </a:r>
        </a:p>
        <a:p>
          <a:pPr algn="ctr"/>
          <a:r>
            <a:rPr lang="pt-BR" sz="1000">
              <a:solidFill>
                <a:schemeClr val="tx1">
                  <a:lumMod val="65000"/>
                  <a:lumOff val="35000"/>
                </a:schemeClr>
              </a:solidFill>
            </a:rPr>
            <a:t>Receita Realizada</a:t>
          </a:r>
        </a:p>
      </xdr:txBody>
    </xdr:sp>
    <xdr:clientData/>
  </xdr:twoCellAnchor>
  <xdr:oneCellAnchor>
    <xdr:from>
      <xdr:col>13</xdr:col>
      <xdr:colOff>66675</xdr:colOff>
      <xdr:row>9</xdr:row>
      <xdr:rowOff>28575</xdr:rowOff>
    </xdr:from>
    <xdr:ext cx="2739600" cy="468013"/>
    <xdr:sp macro="" textlink="'BH (2)'!C72">
      <xdr:nvSpPr>
        <xdr:cNvPr id="59" name="CaixaDeTexto 58">
          <a:extLst>
            <a:ext uri="{FF2B5EF4-FFF2-40B4-BE49-F238E27FC236}">
              <a16:creationId xmlns:a16="http://schemas.microsoft.com/office/drawing/2014/main" id="{00000000-0008-0000-1400-00003B000000}"/>
            </a:ext>
          </a:extLst>
        </xdr:cNvPr>
        <xdr:cNvSpPr txBox="1"/>
      </xdr:nvSpPr>
      <xdr:spPr>
        <a:xfrm>
          <a:off x="7000875" y="3695700"/>
          <a:ext cx="27396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9C4503F-B3F7-403A-92A7-16D3B0D017CE}" type="TxLink">
            <a:rPr lang="en-US" sz="2800" b="0" i="0" u="none" strike="noStrike">
              <a:solidFill>
                <a:schemeClr val="tx1">
                  <a:lumMod val="65000"/>
                  <a:lumOff val="35000"/>
                </a:schemeClr>
              </a:solidFill>
              <a:latin typeface="Calibri"/>
              <a:ea typeface="+mn-ea"/>
              <a:cs typeface="Calibri"/>
            </a:rPr>
            <a:pPr marL="0" indent="0" algn="ctr"/>
            <a:t>42%</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17</xdr:col>
      <xdr:colOff>438151</xdr:colOff>
      <xdr:row>7</xdr:row>
      <xdr:rowOff>76200</xdr:rowOff>
    </xdr:from>
    <xdr:to>
      <xdr:col>22</xdr:col>
      <xdr:colOff>129751</xdr:colOff>
      <xdr:row>11</xdr:row>
      <xdr:rowOff>381000</xdr:rowOff>
    </xdr:to>
    <xdr:graphicFrame macro="">
      <xdr:nvGraphicFramePr>
        <xdr:cNvPr id="60" name="Gráfico 59">
          <a:extLst>
            <a:ext uri="{FF2B5EF4-FFF2-40B4-BE49-F238E27FC236}">
              <a16:creationId xmlns:a16="http://schemas.microsoft.com/office/drawing/2014/main" id="{00000000-0008-0000-14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17</xdr:col>
      <xdr:colOff>447675</xdr:colOff>
      <xdr:row>8</xdr:row>
      <xdr:rowOff>184886</xdr:rowOff>
    </xdr:from>
    <xdr:to>
      <xdr:col>22</xdr:col>
      <xdr:colOff>139275</xdr:colOff>
      <xdr:row>9</xdr:row>
      <xdr:rowOff>95250</xdr:rowOff>
    </xdr:to>
    <xdr:sp macro="" textlink="">
      <xdr:nvSpPr>
        <xdr:cNvPr id="61" name="CaixaDeTexto 60">
          <a:extLst>
            <a:ext uri="{FF2B5EF4-FFF2-40B4-BE49-F238E27FC236}">
              <a16:creationId xmlns:a16="http://schemas.microsoft.com/office/drawing/2014/main" id="{00000000-0008-0000-1400-00003D000000}"/>
            </a:ext>
          </a:extLst>
        </xdr:cNvPr>
        <xdr:cNvSpPr txBox="1"/>
      </xdr:nvSpPr>
      <xdr:spPr>
        <a:xfrm>
          <a:off x="9820275" y="3413861"/>
          <a:ext cx="2739600" cy="3485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lumMod val="65000"/>
                  <a:lumOff val="35000"/>
                </a:schemeClr>
              </a:solidFill>
            </a:rPr>
            <a:t>Percentual da</a:t>
          </a:r>
        </a:p>
        <a:p>
          <a:pPr algn="ctr"/>
          <a:r>
            <a:rPr lang="pt-BR" sz="1000">
              <a:solidFill>
                <a:schemeClr val="tx1">
                  <a:lumMod val="65000"/>
                  <a:lumOff val="35000"/>
                </a:schemeClr>
              </a:solidFill>
            </a:rPr>
            <a:t>Despesa</a:t>
          </a:r>
          <a:r>
            <a:rPr lang="pt-BR" sz="1000" baseline="0">
              <a:solidFill>
                <a:schemeClr val="tx1">
                  <a:lumMod val="65000"/>
                  <a:lumOff val="35000"/>
                </a:schemeClr>
              </a:solidFill>
            </a:rPr>
            <a:t> Realizada</a:t>
          </a:r>
          <a:endParaRPr lang="pt-BR" sz="1000">
            <a:solidFill>
              <a:schemeClr val="tx1">
                <a:lumMod val="65000"/>
                <a:lumOff val="35000"/>
              </a:schemeClr>
            </a:solidFill>
          </a:endParaRPr>
        </a:p>
      </xdr:txBody>
    </xdr:sp>
    <xdr:clientData/>
  </xdr:twoCellAnchor>
  <xdr:oneCellAnchor>
    <xdr:from>
      <xdr:col>17</xdr:col>
      <xdr:colOff>438150</xdr:colOff>
      <xdr:row>9</xdr:row>
      <xdr:rowOff>28575</xdr:rowOff>
    </xdr:from>
    <xdr:ext cx="2739600" cy="468013"/>
    <xdr:sp macro="" textlink="'BH (2)'!C74">
      <xdr:nvSpPr>
        <xdr:cNvPr id="62" name="CaixaDeTexto 61">
          <a:extLst>
            <a:ext uri="{FF2B5EF4-FFF2-40B4-BE49-F238E27FC236}">
              <a16:creationId xmlns:a16="http://schemas.microsoft.com/office/drawing/2014/main" id="{00000000-0008-0000-1400-00003E000000}"/>
            </a:ext>
          </a:extLst>
        </xdr:cNvPr>
        <xdr:cNvSpPr txBox="1"/>
      </xdr:nvSpPr>
      <xdr:spPr>
        <a:xfrm>
          <a:off x="9810750" y="3695700"/>
          <a:ext cx="27396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5E3D34A7-CB26-4EBB-BB99-A7C18948CB16}" type="TxLink">
            <a:rPr lang="en-US" sz="2800" b="0" i="0" u="none" strike="noStrike">
              <a:solidFill>
                <a:schemeClr val="tx1">
                  <a:lumMod val="65000"/>
                  <a:lumOff val="35000"/>
                </a:schemeClr>
              </a:solidFill>
              <a:latin typeface="Calibri"/>
              <a:ea typeface="+mn-ea"/>
              <a:cs typeface="Calibri"/>
            </a:rPr>
            <a:pPr marL="0" indent="0" algn="ctr"/>
            <a:t>70%</a:t>
          </a:fld>
          <a:endParaRPr lang="pt-BR" sz="2800" b="0" i="0" u="none" strike="noStrike">
            <a:solidFill>
              <a:schemeClr val="tx1">
                <a:lumMod val="65000"/>
                <a:lumOff val="35000"/>
              </a:schemeClr>
            </a:solidFill>
            <a:latin typeface="Calibri"/>
            <a:ea typeface="+mn-ea"/>
            <a:cs typeface="Calibri"/>
          </a:endParaRPr>
        </a:p>
      </xdr:txBody>
    </xdr:sp>
    <xdr:clientData/>
  </xdr:oneCellAnchor>
  <xdr:twoCellAnchor>
    <xdr:from>
      <xdr:col>13</xdr:col>
      <xdr:colOff>76198</xdr:colOff>
      <xdr:row>12</xdr:row>
      <xdr:rowOff>0</xdr:rowOff>
    </xdr:from>
    <xdr:to>
      <xdr:col>17</xdr:col>
      <xdr:colOff>377398</xdr:colOff>
      <xdr:row>14</xdr:row>
      <xdr:rowOff>383700</xdr:rowOff>
    </xdr:to>
    <xdr:sp macro="" textlink="'BH (2)'!C71">
      <xdr:nvSpPr>
        <xdr:cNvPr id="63" name="Retângulo 62">
          <a:extLst>
            <a:ext uri="{FF2B5EF4-FFF2-40B4-BE49-F238E27FC236}">
              <a16:creationId xmlns:a16="http://schemas.microsoft.com/office/drawing/2014/main" id="{00000000-0008-0000-1400-00003F000000}"/>
            </a:ext>
          </a:extLst>
        </xdr:cNvPr>
        <xdr:cNvSpPr/>
      </xdr:nvSpPr>
      <xdr:spPr>
        <a:xfrm>
          <a:off x="7010398" y="4981575"/>
          <a:ext cx="27396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CEF4CED-86B4-4F08-931B-294548FA9FB1}" type="TxLink">
            <a:rPr lang="en-US" sz="2400" b="0" i="0" u="none" strike="noStrike">
              <a:solidFill>
                <a:schemeClr val="bg1"/>
              </a:solidFill>
              <a:latin typeface="Calibri"/>
              <a:ea typeface="+mn-ea"/>
              <a:cs typeface="Calibri"/>
            </a:rPr>
            <a:pPr marL="0" indent="0" algn="ctr"/>
            <a:t>28.000,00</a:t>
          </a:fld>
          <a:endParaRPr lang="pt-BR" sz="2400" b="0" i="0" u="none" strike="noStrike">
            <a:solidFill>
              <a:schemeClr val="bg1"/>
            </a:solidFill>
            <a:latin typeface="Calibri"/>
            <a:ea typeface="+mn-ea"/>
            <a:cs typeface="Calibri"/>
          </a:endParaRPr>
        </a:p>
      </xdr:txBody>
    </xdr:sp>
    <xdr:clientData/>
  </xdr:twoCellAnchor>
  <xdr:twoCellAnchor editAs="absolute">
    <xdr:from>
      <xdr:col>13</xdr:col>
      <xdr:colOff>66674</xdr:colOff>
      <xdr:row>12</xdr:row>
      <xdr:rowOff>3911</xdr:rowOff>
    </xdr:from>
    <xdr:to>
      <xdr:col>17</xdr:col>
      <xdr:colOff>367874</xdr:colOff>
      <xdr:row>12</xdr:row>
      <xdr:rowOff>260648</xdr:rowOff>
    </xdr:to>
    <xdr:sp macro="" textlink="'BH (2)'!B71">
      <xdr:nvSpPr>
        <xdr:cNvPr id="64" name="CaixaDeTexto 63">
          <a:extLst>
            <a:ext uri="{FF2B5EF4-FFF2-40B4-BE49-F238E27FC236}">
              <a16:creationId xmlns:a16="http://schemas.microsoft.com/office/drawing/2014/main" id="{00000000-0008-0000-1400-000040000000}"/>
            </a:ext>
          </a:extLst>
        </xdr:cNvPr>
        <xdr:cNvSpPr txBox="1"/>
      </xdr:nvSpPr>
      <xdr:spPr>
        <a:xfrm>
          <a:off x="7000874" y="498548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89629AF0-D432-42A2-B609-5355EFCE85F0}" type="TxLink">
            <a:rPr lang="en-US" sz="1000" b="0" i="0" u="none" strike="noStrike">
              <a:solidFill>
                <a:schemeClr val="bg1"/>
              </a:solidFill>
              <a:latin typeface="Calibri"/>
              <a:cs typeface="Calibri"/>
            </a:rPr>
            <a:pPr algn="ctr"/>
            <a:t>Receita Esperada</a:t>
          </a:fld>
          <a:endParaRPr lang="pt-BR" sz="1000">
            <a:solidFill>
              <a:schemeClr val="bg1"/>
            </a:solidFill>
          </a:endParaRPr>
        </a:p>
      </xdr:txBody>
    </xdr:sp>
    <xdr:clientData/>
  </xdr:twoCellAnchor>
  <xdr:twoCellAnchor>
    <xdr:from>
      <xdr:col>17</xdr:col>
      <xdr:colOff>438148</xdr:colOff>
      <xdr:row>12</xdr:row>
      <xdr:rowOff>0</xdr:rowOff>
    </xdr:from>
    <xdr:to>
      <xdr:col>22</xdr:col>
      <xdr:colOff>129748</xdr:colOff>
      <xdr:row>14</xdr:row>
      <xdr:rowOff>383700</xdr:rowOff>
    </xdr:to>
    <xdr:sp macro="" textlink="'BH (2)'!C73">
      <xdr:nvSpPr>
        <xdr:cNvPr id="65" name="Retângulo 64">
          <a:extLst>
            <a:ext uri="{FF2B5EF4-FFF2-40B4-BE49-F238E27FC236}">
              <a16:creationId xmlns:a16="http://schemas.microsoft.com/office/drawing/2014/main" id="{00000000-0008-0000-1400-000041000000}"/>
            </a:ext>
          </a:extLst>
        </xdr:cNvPr>
        <xdr:cNvSpPr/>
      </xdr:nvSpPr>
      <xdr:spPr>
        <a:xfrm>
          <a:off x="9810748" y="4981575"/>
          <a:ext cx="27396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C894A0DA-289F-4C49-8C73-5635A59F15F4}" type="TxLink">
            <a:rPr lang="en-US" sz="2400" b="0" i="0" u="none" strike="noStrike">
              <a:solidFill>
                <a:schemeClr val="bg1"/>
              </a:solidFill>
              <a:latin typeface="Calibri"/>
              <a:ea typeface="+mn-ea"/>
              <a:cs typeface="Calibri"/>
            </a:rPr>
            <a:pPr marL="0" indent="0" algn="ctr"/>
            <a:t>15.000,00</a:t>
          </a:fld>
          <a:endParaRPr lang="pt-BR" sz="2400" b="0" i="0" u="none" strike="noStrike">
            <a:solidFill>
              <a:schemeClr val="bg1"/>
            </a:solidFill>
            <a:latin typeface="Calibri"/>
            <a:ea typeface="+mn-ea"/>
            <a:cs typeface="Calibri"/>
          </a:endParaRPr>
        </a:p>
      </xdr:txBody>
    </xdr:sp>
    <xdr:clientData/>
  </xdr:twoCellAnchor>
  <xdr:twoCellAnchor editAs="absolute">
    <xdr:from>
      <xdr:col>17</xdr:col>
      <xdr:colOff>428624</xdr:colOff>
      <xdr:row>12</xdr:row>
      <xdr:rowOff>3911</xdr:rowOff>
    </xdr:from>
    <xdr:to>
      <xdr:col>22</xdr:col>
      <xdr:colOff>120224</xdr:colOff>
      <xdr:row>12</xdr:row>
      <xdr:rowOff>260648</xdr:rowOff>
    </xdr:to>
    <xdr:sp macro="" textlink="'BH (2)'!B73">
      <xdr:nvSpPr>
        <xdr:cNvPr id="66" name="CaixaDeTexto 65">
          <a:extLst>
            <a:ext uri="{FF2B5EF4-FFF2-40B4-BE49-F238E27FC236}">
              <a16:creationId xmlns:a16="http://schemas.microsoft.com/office/drawing/2014/main" id="{00000000-0008-0000-1400-000042000000}"/>
            </a:ext>
          </a:extLst>
        </xdr:cNvPr>
        <xdr:cNvSpPr txBox="1"/>
      </xdr:nvSpPr>
      <xdr:spPr>
        <a:xfrm>
          <a:off x="9801224" y="4985486"/>
          <a:ext cx="27396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C0E7FB0E-E431-4BAE-ADAB-2BC85AEA9FC3}" type="TxLink">
            <a:rPr lang="en-US" sz="1000" b="0" i="0" u="none" strike="noStrike">
              <a:solidFill>
                <a:schemeClr val="bg1"/>
              </a:solidFill>
              <a:latin typeface="Calibri"/>
              <a:cs typeface="Calibri"/>
            </a:rPr>
            <a:pPr algn="ctr"/>
            <a:t>Despesa Esperada</a:t>
          </a:fld>
          <a:endParaRPr lang="pt-BR" sz="1000">
            <a:solidFill>
              <a:schemeClr val="bg1"/>
            </a:solidFill>
          </a:endParaRP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67" name="Retângulo 66">
          <a:hlinkClick xmlns:r="http://schemas.openxmlformats.org/officeDocument/2006/relationships" r:id="rId14"/>
          <a:extLst>
            <a:ext uri="{FF2B5EF4-FFF2-40B4-BE49-F238E27FC236}">
              <a16:creationId xmlns:a16="http://schemas.microsoft.com/office/drawing/2014/main" id="{00000000-0008-0000-1400-000043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Confronto</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5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5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Painel</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500-000010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Orçamento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15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Confronto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3</xdr:col>
          <xdr:colOff>457200</xdr:colOff>
          <xdr:row>4</xdr:row>
          <xdr:rowOff>0</xdr:rowOff>
        </xdr:to>
        <xdr:sp macro="" textlink="">
          <xdr:nvSpPr>
            <xdr:cNvPr id="19457" name="Drop Down 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9523</xdr:colOff>
      <xdr:row>4</xdr:row>
      <xdr:rowOff>76200</xdr:rowOff>
    </xdr:from>
    <xdr:to>
      <xdr:col>5</xdr:col>
      <xdr:colOff>603523</xdr:colOff>
      <xdr:row>7</xdr:row>
      <xdr:rowOff>21750</xdr:rowOff>
    </xdr:to>
    <xdr:sp macro="" textlink="'BH (2)'!O89">
      <xdr:nvSpPr>
        <xdr:cNvPr id="19" name="Retângulo 18">
          <a:extLst>
            <a:ext uri="{FF2B5EF4-FFF2-40B4-BE49-F238E27FC236}">
              <a16:creationId xmlns:a16="http://schemas.microsoft.com/office/drawing/2014/main" id="{00000000-0008-0000-1500-000013000000}"/>
            </a:ext>
          </a:extLst>
        </xdr:cNvPr>
        <xdr:cNvSpPr/>
      </xdr:nvSpPr>
      <xdr:spPr>
        <a:xfrm>
          <a:off x="238123" y="1552575"/>
          <a:ext cx="24228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F9A5683-513E-4D34-A22E-6C351E6EDF68}" type="TxLink">
            <a:rPr lang="en-US" sz="2400" b="0" i="0" u="none" strike="noStrike">
              <a:solidFill>
                <a:srgbClr val="FFFFFF"/>
              </a:solidFill>
              <a:latin typeface="Calibri"/>
              <a:ea typeface="+mn-ea"/>
              <a:cs typeface="Calibri"/>
            </a:rPr>
            <a:pPr marL="0" indent="0" algn="ctr"/>
            <a:t>992.235,00</a:t>
          </a:fld>
          <a:endParaRPr lang="pt-BR" sz="2400" b="0" i="0" u="none" strike="noStrike">
            <a:solidFill>
              <a:schemeClr val="bg1"/>
            </a:solidFill>
            <a:latin typeface="Calibri"/>
            <a:ea typeface="+mn-ea"/>
            <a:cs typeface="Calibri"/>
          </a:endParaRPr>
        </a:p>
      </xdr:txBody>
    </xdr:sp>
    <xdr:clientData/>
  </xdr:twoCellAnchor>
  <xdr:twoCellAnchor editAs="absolute">
    <xdr:from>
      <xdr:col>2</xdr:col>
      <xdr:colOff>0</xdr:colOff>
      <xdr:row>4</xdr:row>
      <xdr:rowOff>80111</xdr:rowOff>
    </xdr:from>
    <xdr:to>
      <xdr:col>5</xdr:col>
      <xdr:colOff>594000</xdr:colOff>
      <xdr:row>4</xdr:row>
      <xdr:rowOff>336848</xdr:rowOff>
    </xdr:to>
    <xdr:sp macro="" textlink="">
      <xdr:nvSpPr>
        <xdr:cNvPr id="20" name="CaixaDeTexto 19">
          <a:extLst>
            <a:ext uri="{FF2B5EF4-FFF2-40B4-BE49-F238E27FC236}">
              <a16:creationId xmlns:a16="http://schemas.microsoft.com/office/drawing/2014/main" id="{00000000-0008-0000-1500-000014000000}"/>
            </a:ext>
          </a:extLst>
        </xdr:cNvPr>
        <xdr:cNvSpPr txBox="1"/>
      </xdr:nvSpPr>
      <xdr:spPr>
        <a:xfrm>
          <a:off x="228600" y="1556486"/>
          <a:ext cx="24228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da</a:t>
          </a:r>
          <a:r>
            <a:rPr lang="pt-BR" sz="1000" baseline="0">
              <a:solidFill>
                <a:schemeClr val="bg1"/>
              </a:solidFill>
            </a:rPr>
            <a:t> Receita Anual</a:t>
          </a:r>
          <a:endParaRPr lang="pt-BR" sz="1000">
            <a:solidFill>
              <a:schemeClr val="bg1"/>
            </a:solidFill>
          </a:endParaRPr>
        </a:p>
      </xdr:txBody>
    </xdr:sp>
    <xdr:clientData/>
  </xdr:twoCellAnchor>
  <xdr:twoCellAnchor>
    <xdr:from>
      <xdr:col>6</xdr:col>
      <xdr:colOff>47624</xdr:colOff>
      <xdr:row>4</xdr:row>
      <xdr:rowOff>76200</xdr:rowOff>
    </xdr:from>
    <xdr:to>
      <xdr:col>10</xdr:col>
      <xdr:colOff>32024</xdr:colOff>
      <xdr:row>7</xdr:row>
      <xdr:rowOff>21750</xdr:rowOff>
    </xdr:to>
    <xdr:sp macro="" textlink="'BH (2)'!O90">
      <xdr:nvSpPr>
        <xdr:cNvPr id="21" name="Retângulo 20">
          <a:extLst>
            <a:ext uri="{FF2B5EF4-FFF2-40B4-BE49-F238E27FC236}">
              <a16:creationId xmlns:a16="http://schemas.microsoft.com/office/drawing/2014/main" id="{00000000-0008-0000-1500-000015000000}"/>
            </a:ext>
          </a:extLst>
        </xdr:cNvPr>
        <xdr:cNvSpPr/>
      </xdr:nvSpPr>
      <xdr:spPr>
        <a:xfrm>
          <a:off x="2714624" y="1552575"/>
          <a:ext cx="24228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A1BF119-757C-4AF1-9BD1-525149BD3E85}" type="TxLink">
            <a:rPr lang="en-US" sz="2400" b="0" i="0" u="none" strike="noStrike">
              <a:solidFill>
                <a:srgbClr val="FFFFFF"/>
              </a:solidFill>
              <a:latin typeface="Calibri"/>
              <a:ea typeface="+mn-ea"/>
              <a:cs typeface="Calibri"/>
            </a:rPr>
            <a:pPr marL="0" indent="0" algn="ctr"/>
            <a:t>737.532,00</a:t>
          </a:fld>
          <a:endParaRPr lang="pt-BR" sz="2400" b="0" i="0" u="none" strike="noStrike">
            <a:solidFill>
              <a:schemeClr val="bg1"/>
            </a:solidFill>
            <a:latin typeface="Calibri"/>
            <a:ea typeface="+mn-ea"/>
            <a:cs typeface="Calibri"/>
          </a:endParaRPr>
        </a:p>
      </xdr:txBody>
    </xdr:sp>
    <xdr:clientData/>
  </xdr:twoCellAnchor>
  <xdr:twoCellAnchor editAs="absolute">
    <xdr:from>
      <xdr:col>6</xdr:col>
      <xdr:colOff>38100</xdr:colOff>
      <xdr:row>4</xdr:row>
      <xdr:rowOff>80111</xdr:rowOff>
    </xdr:from>
    <xdr:to>
      <xdr:col>10</xdr:col>
      <xdr:colOff>22500</xdr:colOff>
      <xdr:row>4</xdr:row>
      <xdr:rowOff>336848</xdr:rowOff>
    </xdr:to>
    <xdr:sp macro="" textlink="">
      <xdr:nvSpPr>
        <xdr:cNvPr id="22" name="CaixaDeTexto 21">
          <a:extLst>
            <a:ext uri="{FF2B5EF4-FFF2-40B4-BE49-F238E27FC236}">
              <a16:creationId xmlns:a16="http://schemas.microsoft.com/office/drawing/2014/main" id="{00000000-0008-0000-1500-000016000000}"/>
            </a:ext>
          </a:extLst>
        </xdr:cNvPr>
        <xdr:cNvSpPr txBox="1"/>
      </xdr:nvSpPr>
      <xdr:spPr>
        <a:xfrm>
          <a:off x="2705100" y="1556486"/>
          <a:ext cx="24228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da</a:t>
          </a:r>
          <a:r>
            <a:rPr lang="pt-BR" sz="1000" baseline="0">
              <a:solidFill>
                <a:schemeClr val="bg1"/>
              </a:solidFill>
            </a:rPr>
            <a:t> Despesa Anual</a:t>
          </a:r>
          <a:endParaRPr lang="pt-BR" sz="1000">
            <a:solidFill>
              <a:schemeClr val="bg1"/>
            </a:solidFill>
          </a:endParaRPr>
        </a:p>
      </xdr:txBody>
    </xdr:sp>
    <xdr:clientData/>
  </xdr:twoCellAnchor>
  <xdr:twoCellAnchor>
    <xdr:from>
      <xdr:col>10</xdr:col>
      <xdr:colOff>85723</xdr:colOff>
      <xdr:row>4</xdr:row>
      <xdr:rowOff>76200</xdr:rowOff>
    </xdr:from>
    <xdr:to>
      <xdr:col>14</xdr:col>
      <xdr:colOff>70123</xdr:colOff>
      <xdr:row>7</xdr:row>
      <xdr:rowOff>21750</xdr:rowOff>
    </xdr:to>
    <xdr:sp macro="" textlink="'BH (2)'!O91">
      <xdr:nvSpPr>
        <xdr:cNvPr id="23" name="Retângulo 22">
          <a:extLst>
            <a:ext uri="{FF2B5EF4-FFF2-40B4-BE49-F238E27FC236}">
              <a16:creationId xmlns:a16="http://schemas.microsoft.com/office/drawing/2014/main" id="{00000000-0008-0000-1500-000017000000}"/>
            </a:ext>
          </a:extLst>
        </xdr:cNvPr>
        <xdr:cNvSpPr/>
      </xdr:nvSpPr>
      <xdr:spPr>
        <a:xfrm>
          <a:off x="5191123" y="1552575"/>
          <a:ext cx="24228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2DE27987-8004-4531-8277-715AE6CBE566}" type="TxLink">
            <a:rPr lang="en-US" sz="2400" b="0" i="0" u="none" strike="noStrike">
              <a:solidFill>
                <a:srgbClr val="FFFFFF"/>
              </a:solidFill>
              <a:latin typeface="Calibri"/>
              <a:ea typeface="+mn-ea"/>
              <a:cs typeface="Calibri"/>
            </a:rPr>
            <a:pPr marL="0" indent="0" algn="ctr"/>
            <a:t>254.703,00</a:t>
          </a:fld>
          <a:endParaRPr lang="pt-BR" sz="2400" b="0" i="0" u="none" strike="noStrike">
            <a:solidFill>
              <a:schemeClr val="bg1"/>
            </a:solidFill>
            <a:latin typeface="Calibri"/>
            <a:ea typeface="+mn-ea"/>
            <a:cs typeface="Calibri"/>
          </a:endParaRPr>
        </a:p>
      </xdr:txBody>
    </xdr:sp>
    <xdr:clientData/>
  </xdr:twoCellAnchor>
  <xdr:twoCellAnchor editAs="absolute">
    <xdr:from>
      <xdr:col>10</xdr:col>
      <xdr:colOff>76200</xdr:colOff>
      <xdr:row>4</xdr:row>
      <xdr:rowOff>80111</xdr:rowOff>
    </xdr:from>
    <xdr:to>
      <xdr:col>14</xdr:col>
      <xdr:colOff>60600</xdr:colOff>
      <xdr:row>4</xdr:row>
      <xdr:rowOff>336848</xdr:rowOff>
    </xdr:to>
    <xdr:sp macro="" textlink="">
      <xdr:nvSpPr>
        <xdr:cNvPr id="24" name="CaixaDeTexto 23">
          <a:extLst>
            <a:ext uri="{FF2B5EF4-FFF2-40B4-BE49-F238E27FC236}">
              <a16:creationId xmlns:a16="http://schemas.microsoft.com/office/drawing/2014/main" id="{00000000-0008-0000-1500-000018000000}"/>
            </a:ext>
          </a:extLst>
        </xdr:cNvPr>
        <xdr:cNvSpPr txBox="1"/>
      </xdr:nvSpPr>
      <xdr:spPr>
        <a:xfrm>
          <a:off x="5181600" y="1556486"/>
          <a:ext cx="24228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Lucro ou Prejuízo Líquido</a:t>
          </a:r>
        </a:p>
      </xdr:txBody>
    </xdr:sp>
    <xdr:clientData/>
  </xdr:twoCellAnchor>
  <xdr:twoCellAnchor>
    <xdr:from>
      <xdr:col>14</xdr:col>
      <xdr:colOff>123824</xdr:colOff>
      <xdr:row>4</xdr:row>
      <xdr:rowOff>76200</xdr:rowOff>
    </xdr:from>
    <xdr:to>
      <xdr:col>18</xdr:col>
      <xdr:colOff>108224</xdr:colOff>
      <xdr:row>7</xdr:row>
      <xdr:rowOff>21750</xdr:rowOff>
    </xdr:to>
    <xdr:sp macro="" textlink="'BH (2)'!O52">
      <xdr:nvSpPr>
        <xdr:cNvPr id="25" name="Retângulo 24">
          <a:extLst>
            <a:ext uri="{FF2B5EF4-FFF2-40B4-BE49-F238E27FC236}">
              <a16:creationId xmlns:a16="http://schemas.microsoft.com/office/drawing/2014/main" id="{00000000-0008-0000-1500-000019000000}"/>
            </a:ext>
          </a:extLst>
        </xdr:cNvPr>
        <xdr:cNvSpPr/>
      </xdr:nvSpPr>
      <xdr:spPr>
        <a:xfrm>
          <a:off x="7667624" y="1552575"/>
          <a:ext cx="24228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70D15BB-5852-4866-8846-C59547B8B171}" type="TxLink">
            <a:rPr lang="en-US" sz="2400" b="0" i="0" u="none" strike="noStrike">
              <a:solidFill>
                <a:srgbClr val="FFFFFF"/>
              </a:solidFill>
              <a:latin typeface="Calibri"/>
              <a:ea typeface="+mn-ea"/>
              <a:cs typeface="Calibri"/>
            </a:rPr>
            <a:pPr marL="0" indent="0" algn="ctr"/>
            <a:t>22.900,00</a:t>
          </a:fld>
          <a:endParaRPr lang="pt-BR" sz="2400" b="0" i="0" u="none" strike="noStrike">
            <a:solidFill>
              <a:schemeClr val="bg1"/>
            </a:solidFill>
            <a:latin typeface="Calibri"/>
            <a:ea typeface="+mn-ea"/>
            <a:cs typeface="Calibri"/>
          </a:endParaRPr>
        </a:p>
      </xdr:txBody>
    </xdr:sp>
    <xdr:clientData/>
  </xdr:twoCellAnchor>
  <xdr:twoCellAnchor editAs="absolute">
    <xdr:from>
      <xdr:col>14</xdr:col>
      <xdr:colOff>114300</xdr:colOff>
      <xdr:row>4</xdr:row>
      <xdr:rowOff>80111</xdr:rowOff>
    </xdr:from>
    <xdr:to>
      <xdr:col>18</xdr:col>
      <xdr:colOff>98700</xdr:colOff>
      <xdr:row>4</xdr:row>
      <xdr:rowOff>336848</xdr:rowOff>
    </xdr:to>
    <xdr:sp macro="" textlink="">
      <xdr:nvSpPr>
        <xdr:cNvPr id="26" name="CaixaDeTexto 25">
          <a:extLst>
            <a:ext uri="{FF2B5EF4-FFF2-40B4-BE49-F238E27FC236}">
              <a16:creationId xmlns:a16="http://schemas.microsoft.com/office/drawing/2014/main" id="{00000000-0008-0000-1500-00001A000000}"/>
            </a:ext>
          </a:extLst>
        </xdr:cNvPr>
        <xdr:cNvSpPr txBox="1"/>
      </xdr:nvSpPr>
      <xdr:spPr>
        <a:xfrm>
          <a:off x="7658100" y="1556486"/>
          <a:ext cx="24228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a:t>
          </a:r>
          <a:r>
            <a:rPr lang="pt-BR" sz="1000" baseline="0">
              <a:solidFill>
                <a:schemeClr val="bg1"/>
              </a:solidFill>
            </a:rPr>
            <a:t> a Pagar</a:t>
          </a:r>
          <a:endParaRPr lang="pt-BR" sz="1000">
            <a:solidFill>
              <a:schemeClr val="bg1"/>
            </a:solidFill>
          </a:endParaRPr>
        </a:p>
      </xdr:txBody>
    </xdr:sp>
    <xdr:clientData/>
  </xdr:twoCellAnchor>
  <xdr:twoCellAnchor>
    <xdr:from>
      <xdr:col>18</xdr:col>
      <xdr:colOff>161924</xdr:colOff>
      <xdr:row>4</xdr:row>
      <xdr:rowOff>76200</xdr:rowOff>
    </xdr:from>
    <xdr:to>
      <xdr:col>22</xdr:col>
      <xdr:colOff>146324</xdr:colOff>
      <xdr:row>7</xdr:row>
      <xdr:rowOff>21750</xdr:rowOff>
    </xdr:to>
    <xdr:sp macro="" textlink="'BH (2)'!O53">
      <xdr:nvSpPr>
        <xdr:cNvPr id="27" name="Retângulo 26">
          <a:extLst>
            <a:ext uri="{FF2B5EF4-FFF2-40B4-BE49-F238E27FC236}">
              <a16:creationId xmlns:a16="http://schemas.microsoft.com/office/drawing/2014/main" id="{00000000-0008-0000-1500-00001B000000}"/>
            </a:ext>
          </a:extLst>
        </xdr:cNvPr>
        <xdr:cNvSpPr/>
      </xdr:nvSpPr>
      <xdr:spPr>
        <a:xfrm>
          <a:off x="10144124" y="1552575"/>
          <a:ext cx="24228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63B00D3-6D12-4193-A069-065592567D69}" type="TxLink">
            <a:rPr lang="en-US" sz="2400" b="0" i="0" u="none" strike="noStrike">
              <a:solidFill>
                <a:srgbClr val="FFFFFF"/>
              </a:solidFill>
              <a:latin typeface="Calibri"/>
              <a:ea typeface="+mn-ea"/>
              <a:cs typeface="Calibri"/>
            </a:rPr>
            <a:pPr marL="0" indent="0" algn="ctr"/>
            <a:t>25.500,00</a:t>
          </a:fld>
          <a:endParaRPr lang="pt-BR" sz="2400" b="0" i="0" u="none" strike="noStrike">
            <a:solidFill>
              <a:schemeClr val="bg1"/>
            </a:solidFill>
            <a:latin typeface="Calibri"/>
            <a:ea typeface="+mn-ea"/>
            <a:cs typeface="Calibri"/>
          </a:endParaRPr>
        </a:p>
      </xdr:txBody>
    </xdr:sp>
    <xdr:clientData/>
  </xdr:twoCellAnchor>
  <xdr:twoCellAnchor editAs="absolute">
    <xdr:from>
      <xdr:col>18</xdr:col>
      <xdr:colOff>152400</xdr:colOff>
      <xdr:row>4</xdr:row>
      <xdr:rowOff>80111</xdr:rowOff>
    </xdr:from>
    <xdr:to>
      <xdr:col>22</xdr:col>
      <xdr:colOff>136800</xdr:colOff>
      <xdr:row>4</xdr:row>
      <xdr:rowOff>336848</xdr:rowOff>
    </xdr:to>
    <xdr:sp macro="" textlink="">
      <xdr:nvSpPr>
        <xdr:cNvPr id="28" name="CaixaDeTexto 27">
          <a:extLst>
            <a:ext uri="{FF2B5EF4-FFF2-40B4-BE49-F238E27FC236}">
              <a16:creationId xmlns:a16="http://schemas.microsoft.com/office/drawing/2014/main" id="{00000000-0008-0000-1500-00001C000000}"/>
            </a:ext>
          </a:extLst>
        </xdr:cNvPr>
        <xdr:cNvSpPr txBox="1"/>
      </xdr:nvSpPr>
      <xdr:spPr>
        <a:xfrm>
          <a:off x="10134600" y="1556486"/>
          <a:ext cx="24228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Contas</a:t>
          </a:r>
          <a:r>
            <a:rPr lang="pt-BR" sz="1000" baseline="0">
              <a:solidFill>
                <a:schemeClr val="bg1"/>
              </a:solidFill>
            </a:rPr>
            <a:t> a Receber</a:t>
          </a:r>
          <a:endParaRPr lang="pt-BR" sz="1000">
            <a:solidFill>
              <a:schemeClr val="bg1"/>
            </a:solidFill>
          </a:endParaRPr>
        </a:p>
      </xdr:txBody>
    </xdr:sp>
    <xdr:clientData/>
  </xdr:twoCellAnchor>
  <xdr:twoCellAnchor>
    <xdr:from>
      <xdr:col>2</xdr:col>
      <xdr:colOff>9525</xdr:colOff>
      <xdr:row>7</xdr:row>
      <xdr:rowOff>76200</xdr:rowOff>
    </xdr:from>
    <xdr:to>
      <xdr:col>22</xdr:col>
      <xdr:colOff>122325</xdr:colOff>
      <xdr:row>11</xdr:row>
      <xdr:rowOff>303600</xdr:rowOff>
    </xdr:to>
    <xdr:graphicFrame macro="">
      <xdr:nvGraphicFramePr>
        <xdr:cNvPr id="29" name="Gráfico 28">
          <a:extLst>
            <a:ext uri="{FF2B5EF4-FFF2-40B4-BE49-F238E27FC236}">
              <a16:creationId xmlns:a16="http://schemas.microsoft.com/office/drawing/2014/main" id="{00000000-0008-0000-1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11</xdr:row>
      <xdr:rowOff>361950</xdr:rowOff>
    </xdr:from>
    <xdr:to>
      <xdr:col>22</xdr:col>
      <xdr:colOff>112800</xdr:colOff>
      <xdr:row>14</xdr:row>
      <xdr:rowOff>361950</xdr:rowOff>
    </xdr:to>
    <xdr:graphicFrame macro="">
      <xdr:nvGraphicFramePr>
        <xdr:cNvPr id="30" name="Gráfico 29">
          <a:extLst>
            <a:ext uri="{FF2B5EF4-FFF2-40B4-BE49-F238E27FC236}">
              <a16:creationId xmlns:a16="http://schemas.microsoft.com/office/drawing/2014/main" id="{00000000-0008-0000-1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6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6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Painel</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6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Orçamento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1600-000011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Confronto</a:t>
          </a:r>
        </a:p>
      </xdr:txBody>
    </xdr:sp>
    <xdr:clientData/>
  </xdr:twoCellAnchor>
  <xdr:twoCellAnchor>
    <xdr:from>
      <xdr:col>2</xdr:col>
      <xdr:colOff>9523</xdr:colOff>
      <xdr:row>4</xdr:row>
      <xdr:rowOff>76200</xdr:rowOff>
    </xdr:from>
    <xdr:to>
      <xdr:col>6</xdr:col>
      <xdr:colOff>595123</xdr:colOff>
      <xdr:row>7</xdr:row>
      <xdr:rowOff>21750</xdr:rowOff>
    </xdr:to>
    <xdr:sp macro="" textlink="'BH (2)'!O114">
      <xdr:nvSpPr>
        <xdr:cNvPr id="20" name="Retângulo 19">
          <a:extLst>
            <a:ext uri="{FF2B5EF4-FFF2-40B4-BE49-F238E27FC236}">
              <a16:creationId xmlns:a16="http://schemas.microsoft.com/office/drawing/2014/main" id="{00000000-0008-0000-1600-000014000000}"/>
            </a:ext>
          </a:extLst>
        </xdr:cNvPr>
        <xdr:cNvSpPr/>
      </xdr:nvSpPr>
      <xdr:spPr>
        <a:xfrm>
          <a:off x="238123" y="1552575"/>
          <a:ext cx="30240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95A44B5-E330-4573-9746-119FC0624638}" type="TxLink">
            <a:rPr lang="en-US" sz="2400" b="0" i="0" u="none" strike="noStrike">
              <a:solidFill>
                <a:srgbClr val="FFFFFF"/>
              </a:solidFill>
              <a:latin typeface="Calibri"/>
              <a:ea typeface="+mn-ea"/>
              <a:cs typeface="Calibri"/>
            </a:rPr>
            <a:pPr marL="0" indent="0" algn="ctr"/>
            <a:t>235.703,00</a:t>
          </a:fld>
          <a:endParaRPr lang="pt-BR" sz="2400" b="0" i="0" u="none" strike="noStrike">
            <a:solidFill>
              <a:schemeClr val="bg1"/>
            </a:solidFill>
            <a:latin typeface="Calibri"/>
            <a:ea typeface="+mn-ea"/>
            <a:cs typeface="Calibri"/>
          </a:endParaRPr>
        </a:p>
      </xdr:txBody>
    </xdr:sp>
    <xdr:clientData/>
  </xdr:twoCellAnchor>
  <xdr:twoCellAnchor editAs="absolute">
    <xdr:from>
      <xdr:col>2</xdr:col>
      <xdr:colOff>0</xdr:colOff>
      <xdr:row>4</xdr:row>
      <xdr:rowOff>80111</xdr:rowOff>
    </xdr:from>
    <xdr:to>
      <xdr:col>6</xdr:col>
      <xdr:colOff>585600</xdr:colOff>
      <xdr:row>4</xdr:row>
      <xdr:rowOff>336848</xdr:rowOff>
    </xdr:to>
    <xdr:sp macro="" textlink="">
      <xdr:nvSpPr>
        <xdr:cNvPr id="21" name="CaixaDeTexto 20">
          <a:extLst>
            <a:ext uri="{FF2B5EF4-FFF2-40B4-BE49-F238E27FC236}">
              <a16:creationId xmlns:a16="http://schemas.microsoft.com/office/drawing/2014/main" id="{00000000-0008-0000-1600-000015000000}"/>
            </a:ext>
          </a:extLst>
        </xdr:cNvPr>
        <xdr:cNvSpPr txBox="1"/>
      </xdr:nvSpPr>
      <xdr:spPr>
        <a:xfrm>
          <a:off x="228600" y="1556486"/>
          <a:ext cx="3024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6</xdr:col>
          <xdr:colOff>590550</xdr:colOff>
          <xdr:row>4</xdr:row>
          <xdr:rowOff>0</xdr:rowOff>
        </xdr:to>
        <xdr:sp macro="" textlink="">
          <xdr:nvSpPr>
            <xdr:cNvPr id="20481" name="Drop Down 1"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47623</xdr:colOff>
      <xdr:row>4</xdr:row>
      <xdr:rowOff>76200</xdr:rowOff>
    </xdr:from>
    <xdr:to>
      <xdr:col>12</xdr:col>
      <xdr:colOff>23623</xdr:colOff>
      <xdr:row>7</xdr:row>
      <xdr:rowOff>21750</xdr:rowOff>
    </xdr:to>
    <xdr:sp macro="" textlink="'BH (2)'!O118">
      <xdr:nvSpPr>
        <xdr:cNvPr id="23" name="Retângulo 22">
          <a:extLst>
            <a:ext uri="{FF2B5EF4-FFF2-40B4-BE49-F238E27FC236}">
              <a16:creationId xmlns:a16="http://schemas.microsoft.com/office/drawing/2014/main" id="{00000000-0008-0000-1600-000017000000}"/>
            </a:ext>
          </a:extLst>
        </xdr:cNvPr>
        <xdr:cNvSpPr/>
      </xdr:nvSpPr>
      <xdr:spPr>
        <a:xfrm>
          <a:off x="3324223" y="1552575"/>
          <a:ext cx="30240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DDA543D-7253-4E4F-8B32-D9330F78774A}" type="TxLink">
            <a:rPr lang="en-US" sz="2400" b="0" i="0" u="none" strike="noStrike">
              <a:solidFill>
                <a:srgbClr val="FFFFFF"/>
              </a:solidFill>
              <a:latin typeface="Calibri"/>
              <a:ea typeface="+mn-ea"/>
              <a:cs typeface="Calibri"/>
            </a:rPr>
            <a:pPr marL="0" indent="0" algn="ctr"/>
            <a:t>173.025,00</a:t>
          </a:fld>
          <a:endParaRPr lang="pt-BR" sz="2400" b="0" i="0" u="none" strike="noStrike">
            <a:solidFill>
              <a:schemeClr val="bg1"/>
            </a:solidFill>
            <a:latin typeface="Calibri"/>
            <a:ea typeface="+mn-ea"/>
            <a:cs typeface="Calibri"/>
          </a:endParaRPr>
        </a:p>
      </xdr:txBody>
    </xdr:sp>
    <xdr:clientData/>
  </xdr:twoCellAnchor>
  <xdr:twoCellAnchor editAs="absolute">
    <xdr:from>
      <xdr:col>7</xdr:col>
      <xdr:colOff>38100</xdr:colOff>
      <xdr:row>4</xdr:row>
      <xdr:rowOff>80111</xdr:rowOff>
    </xdr:from>
    <xdr:to>
      <xdr:col>12</xdr:col>
      <xdr:colOff>14100</xdr:colOff>
      <xdr:row>4</xdr:row>
      <xdr:rowOff>336848</xdr:rowOff>
    </xdr:to>
    <xdr:sp macro="" textlink="">
      <xdr:nvSpPr>
        <xdr:cNvPr id="24" name="CaixaDeTexto 23">
          <a:extLst>
            <a:ext uri="{FF2B5EF4-FFF2-40B4-BE49-F238E27FC236}">
              <a16:creationId xmlns:a16="http://schemas.microsoft.com/office/drawing/2014/main" id="{00000000-0008-0000-1600-000018000000}"/>
            </a:ext>
          </a:extLst>
        </xdr:cNvPr>
        <xdr:cNvSpPr txBox="1"/>
      </xdr:nvSpPr>
      <xdr:spPr>
        <a:xfrm>
          <a:off x="3314700" y="1556486"/>
          <a:ext cx="3024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xdr:twoCellAnchor>
    <xdr:from>
      <xdr:col>1</xdr:col>
      <xdr:colOff>114299</xdr:colOff>
      <xdr:row>7</xdr:row>
      <xdr:rowOff>76199</xdr:rowOff>
    </xdr:from>
    <xdr:to>
      <xdr:col>12</xdr:col>
      <xdr:colOff>23999</xdr:colOff>
      <xdr:row>10</xdr:row>
      <xdr:rowOff>435749</xdr:rowOff>
    </xdr:to>
    <xdr:graphicFrame macro="">
      <xdr:nvGraphicFramePr>
        <xdr:cNvPr id="25" name="Gráfico 24">
          <a:extLst>
            <a:ext uri="{FF2B5EF4-FFF2-40B4-BE49-F238E27FC236}">
              <a16:creationId xmlns:a16="http://schemas.microsoft.com/office/drawing/2014/main" id="{00000000-0008-0000-1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11</xdr:row>
      <xdr:rowOff>57150</xdr:rowOff>
    </xdr:from>
    <xdr:to>
      <xdr:col>12</xdr:col>
      <xdr:colOff>24000</xdr:colOff>
      <xdr:row>14</xdr:row>
      <xdr:rowOff>416700</xdr:rowOff>
    </xdr:to>
    <xdr:graphicFrame macro="">
      <xdr:nvGraphicFramePr>
        <xdr:cNvPr id="26" name="Gráfico 25">
          <a:extLst>
            <a:ext uri="{FF2B5EF4-FFF2-40B4-BE49-F238E27FC236}">
              <a16:creationId xmlns:a16="http://schemas.microsoft.com/office/drawing/2014/main" id="{00000000-0008-0000-1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11</xdr:col>
      <xdr:colOff>219075</xdr:colOff>
      <xdr:row>7</xdr:row>
      <xdr:rowOff>28575</xdr:rowOff>
    </xdr:from>
    <xdr:ext cx="418576" cy="233205"/>
    <xdr:sp macro="" textlink="'BH (2)'!C4">
      <xdr:nvSpPr>
        <xdr:cNvPr id="22" name="CaixaDeTexto 21">
          <a:extLst>
            <a:ext uri="{FF2B5EF4-FFF2-40B4-BE49-F238E27FC236}">
              <a16:creationId xmlns:a16="http://schemas.microsoft.com/office/drawing/2014/main" id="{00000000-0008-0000-1600-000016000000}"/>
            </a:ext>
          </a:extLst>
        </xdr:cNvPr>
        <xdr:cNvSpPr txBox="1"/>
      </xdr:nvSpPr>
      <xdr:spPr>
        <a:xfrm>
          <a:off x="5934075" y="2819400"/>
          <a:ext cx="41857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BE46261-2A3C-495A-9DDC-4BADD13EDCF9}" type="TxLink">
            <a:rPr lang="en-US" sz="900" b="0" i="0" u="none" strike="noStrike">
              <a:solidFill>
                <a:schemeClr val="tx1">
                  <a:lumMod val="50000"/>
                  <a:lumOff val="50000"/>
                </a:schemeClr>
              </a:solidFill>
              <a:latin typeface="Calibri"/>
              <a:cs typeface="Calibri"/>
            </a:rPr>
            <a:pPr/>
            <a:t>2025</a:t>
          </a:fld>
          <a:endParaRPr lang="pt-BR" sz="1050">
            <a:solidFill>
              <a:schemeClr val="tx1">
                <a:lumMod val="50000"/>
                <a:lumOff val="50000"/>
              </a:schemeClr>
            </a:solidFill>
          </a:endParaRPr>
        </a:p>
      </xdr:txBody>
    </xdr:sp>
    <xdr:clientData/>
  </xdr:oneCellAnchor>
  <xdr:oneCellAnchor>
    <xdr:from>
      <xdr:col>11</xdr:col>
      <xdr:colOff>209550</xdr:colOff>
      <xdr:row>11</xdr:row>
      <xdr:rowOff>9525</xdr:rowOff>
    </xdr:from>
    <xdr:ext cx="418576" cy="233205"/>
    <xdr:sp macro="" textlink="'BH (2)'!C5">
      <xdr:nvSpPr>
        <xdr:cNvPr id="28" name="CaixaDeTexto 27">
          <a:extLst>
            <a:ext uri="{FF2B5EF4-FFF2-40B4-BE49-F238E27FC236}">
              <a16:creationId xmlns:a16="http://schemas.microsoft.com/office/drawing/2014/main" id="{00000000-0008-0000-1600-00001C000000}"/>
            </a:ext>
          </a:extLst>
        </xdr:cNvPr>
        <xdr:cNvSpPr txBox="1"/>
      </xdr:nvSpPr>
      <xdr:spPr>
        <a:xfrm>
          <a:off x="5924550" y="4552950"/>
          <a:ext cx="41857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D92882D-3730-4FE9-A66B-DB5879A90BA0}" type="TxLink">
            <a:rPr lang="en-US" sz="900" b="0" i="0" u="none" strike="noStrike">
              <a:solidFill>
                <a:schemeClr val="tx1">
                  <a:lumMod val="50000"/>
                  <a:lumOff val="50000"/>
                </a:schemeClr>
              </a:solidFill>
              <a:latin typeface="Calibri"/>
              <a:cs typeface="Calibri"/>
            </a:rPr>
            <a:pPr/>
            <a:t>2026</a:t>
          </a:fld>
          <a:endParaRPr lang="pt-BR" sz="1050">
            <a:solidFill>
              <a:schemeClr val="tx1">
                <a:lumMod val="50000"/>
                <a:lumOff val="50000"/>
              </a:schemeClr>
            </a:solidFill>
          </a:endParaRPr>
        </a:p>
      </xdr:txBody>
    </xdr:sp>
    <xdr:clientData/>
  </xdr:oneCellAnchor>
  <xdr:oneCellAnchor>
    <xdr:from>
      <xdr:col>1</xdr:col>
      <xdr:colOff>114299</xdr:colOff>
      <xdr:row>6</xdr:row>
      <xdr:rowOff>133350</xdr:rowOff>
    </xdr:from>
    <xdr:ext cx="3024000" cy="248851"/>
    <xdr:sp macro="" textlink="'BH (2)'!C4">
      <xdr:nvSpPr>
        <xdr:cNvPr id="29" name="CaixaDeTexto 28">
          <a:extLst>
            <a:ext uri="{FF2B5EF4-FFF2-40B4-BE49-F238E27FC236}">
              <a16:creationId xmlns:a16="http://schemas.microsoft.com/office/drawing/2014/main" id="{00000000-0008-0000-1600-00001D000000}"/>
            </a:ext>
          </a:extLst>
        </xdr:cNvPr>
        <xdr:cNvSpPr txBox="1"/>
      </xdr:nvSpPr>
      <xdr:spPr>
        <a:xfrm>
          <a:off x="228599" y="2486025"/>
          <a:ext cx="302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BE46261-2A3C-495A-9DDC-4BADD13EDCF9}" type="TxLink">
            <a:rPr lang="en-US" sz="1000" b="0" i="0" u="none" strike="noStrike">
              <a:solidFill>
                <a:schemeClr val="bg1"/>
              </a:solidFill>
              <a:latin typeface="Calibri"/>
              <a:cs typeface="Calibri"/>
            </a:rPr>
            <a:pPr algn="ctr"/>
            <a:t>2025</a:t>
          </a:fld>
          <a:endParaRPr lang="pt-BR" sz="1100">
            <a:solidFill>
              <a:schemeClr val="bg1"/>
            </a:solidFill>
          </a:endParaRPr>
        </a:p>
      </xdr:txBody>
    </xdr:sp>
    <xdr:clientData/>
  </xdr:oneCellAnchor>
  <xdr:oneCellAnchor>
    <xdr:from>
      <xdr:col>7</xdr:col>
      <xdr:colOff>47624</xdr:colOff>
      <xdr:row>6</xdr:row>
      <xdr:rowOff>123825</xdr:rowOff>
    </xdr:from>
    <xdr:ext cx="3024000" cy="248851"/>
    <xdr:sp macro="" textlink="'BH (2)'!C5">
      <xdr:nvSpPr>
        <xdr:cNvPr id="30" name="CaixaDeTexto 29">
          <a:extLst>
            <a:ext uri="{FF2B5EF4-FFF2-40B4-BE49-F238E27FC236}">
              <a16:creationId xmlns:a16="http://schemas.microsoft.com/office/drawing/2014/main" id="{00000000-0008-0000-1600-00001E000000}"/>
            </a:ext>
          </a:extLst>
        </xdr:cNvPr>
        <xdr:cNvSpPr txBox="1"/>
      </xdr:nvSpPr>
      <xdr:spPr>
        <a:xfrm>
          <a:off x="3324224" y="2476500"/>
          <a:ext cx="302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B5D2B961-3C7B-4B47-9698-A656A9A3FBC1}" type="TxLink">
            <a:rPr lang="en-US" sz="1000" b="0" i="0" u="none" strike="noStrike">
              <a:solidFill>
                <a:schemeClr val="bg1"/>
              </a:solidFill>
              <a:latin typeface="Calibri"/>
              <a:cs typeface="Calibri"/>
            </a:rPr>
            <a:pPr algn="ctr"/>
            <a:t>2026</a:t>
          </a:fld>
          <a:endParaRPr lang="pt-BR" sz="1100">
            <a:solidFill>
              <a:schemeClr val="bg1"/>
            </a:solidFill>
          </a:endParaRPr>
        </a:p>
      </xdr:txBody>
    </xdr:sp>
    <xdr:clientData/>
  </xdr:oneCellAnchor>
  <xdr:twoCellAnchor>
    <xdr:from>
      <xdr:col>12</xdr:col>
      <xdr:colOff>104773</xdr:colOff>
      <xdr:row>4</xdr:row>
      <xdr:rowOff>76200</xdr:rowOff>
    </xdr:from>
    <xdr:to>
      <xdr:col>17</xdr:col>
      <xdr:colOff>80773</xdr:colOff>
      <xdr:row>7</xdr:row>
      <xdr:rowOff>21750</xdr:rowOff>
    </xdr:to>
    <xdr:sp macro="" textlink="'BH (2)'!O122">
      <xdr:nvSpPr>
        <xdr:cNvPr id="31" name="Retângulo 30">
          <a:extLst>
            <a:ext uri="{FF2B5EF4-FFF2-40B4-BE49-F238E27FC236}">
              <a16:creationId xmlns:a16="http://schemas.microsoft.com/office/drawing/2014/main" id="{00000000-0008-0000-1600-00001F000000}"/>
            </a:ext>
          </a:extLst>
        </xdr:cNvPr>
        <xdr:cNvSpPr/>
      </xdr:nvSpPr>
      <xdr:spPr>
        <a:xfrm>
          <a:off x="6429373" y="1552575"/>
          <a:ext cx="30240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5EA62C4-DAA5-4937-A10F-CB5607F26CD3}" type="TxLink">
            <a:rPr lang="en-US" sz="2400" b="0" i="0" u="none" strike="noStrike">
              <a:solidFill>
                <a:srgbClr val="FFFFFF"/>
              </a:solidFill>
              <a:latin typeface="Calibri"/>
              <a:ea typeface="+mn-ea"/>
              <a:cs typeface="Calibri"/>
            </a:rPr>
            <a:pPr marL="0" indent="0" algn="ctr"/>
            <a:t>320,51%</a:t>
          </a:fld>
          <a:endParaRPr lang="pt-BR" sz="2400" b="0" i="0" u="none" strike="noStrike">
            <a:solidFill>
              <a:schemeClr val="bg1"/>
            </a:solidFill>
            <a:latin typeface="Calibri"/>
            <a:ea typeface="+mn-ea"/>
            <a:cs typeface="Calibri"/>
          </a:endParaRPr>
        </a:p>
      </xdr:txBody>
    </xdr:sp>
    <xdr:clientData/>
  </xdr:twoCellAnchor>
  <xdr:twoCellAnchor editAs="absolute">
    <xdr:from>
      <xdr:col>12</xdr:col>
      <xdr:colOff>95250</xdr:colOff>
      <xdr:row>4</xdr:row>
      <xdr:rowOff>80111</xdr:rowOff>
    </xdr:from>
    <xdr:to>
      <xdr:col>17</xdr:col>
      <xdr:colOff>71250</xdr:colOff>
      <xdr:row>4</xdr:row>
      <xdr:rowOff>336848</xdr:rowOff>
    </xdr:to>
    <xdr:sp macro="" textlink="">
      <xdr:nvSpPr>
        <xdr:cNvPr id="32" name="CaixaDeTexto 31">
          <a:extLst>
            <a:ext uri="{FF2B5EF4-FFF2-40B4-BE49-F238E27FC236}">
              <a16:creationId xmlns:a16="http://schemas.microsoft.com/office/drawing/2014/main" id="{00000000-0008-0000-1600-000020000000}"/>
            </a:ext>
          </a:extLst>
        </xdr:cNvPr>
        <xdr:cNvSpPr txBox="1"/>
      </xdr:nvSpPr>
      <xdr:spPr>
        <a:xfrm>
          <a:off x="6419850" y="1556486"/>
          <a:ext cx="3024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12</xdr:col>
          <xdr:colOff>95250</xdr:colOff>
          <xdr:row>2</xdr:row>
          <xdr:rowOff>333375</xdr:rowOff>
        </xdr:from>
        <xdr:to>
          <xdr:col>17</xdr:col>
          <xdr:colOff>85725</xdr:colOff>
          <xdr:row>4</xdr:row>
          <xdr:rowOff>0</xdr:rowOff>
        </xdr:to>
        <xdr:sp macro="" textlink="">
          <xdr:nvSpPr>
            <xdr:cNvPr id="20482" name="Drop Down 2" hidden="1">
              <a:extLst>
                <a:ext uri="{63B3BB69-23CF-44E3-9099-C40C66FF867C}">
                  <a14:compatExt spid="_x0000_s20482"/>
                </a:ext>
                <a:ext uri="{FF2B5EF4-FFF2-40B4-BE49-F238E27FC236}">
                  <a16:creationId xmlns:a16="http://schemas.microsoft.com/office/drawing/2014/main" id="{00000000-0008-0000-16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142873</xdr:colOff>
      <xdr:row>4</xdr:row>
      <xdr:rowOff>76200</xdr:rowOff>
    </xdr:from>
    <xdr:to>
      <xdr:col>22</xdr:col>
      <xdr:colOff>118873</xdr:colOff>
      <xdr:row>7</xdr:row>
      <xdr:rowOff>21750</xdr:rowOff>
    </xdr:to>
    <xdr:sp macro="" textlink="'BH (2)'!O126">
      <xdr:nvSpPr>
        <xdr:cNvPr id="34" name="Retângulo 33">
          <a:extLst>
            <a:ext uri="{FF2B5EF4-FFF2-40B4-BE49-F238E27FC236}">
              <a16:creationId xmlns:a16="http://schemas.microsoft.com/office/drawing/2014/main" id="{00000000-0008-0000-1600-000022000000}"/>
            </a:ext>
          </a:extLst>
        </xdr:cNvPr>
        <xdr:cNvSpPr/>
      </xdr:nvSpPr>
      <xdr:spPr>
        <a:xfrm>
          <a:off x="9515473" y="1552575"/>
          <a:ext cx="30240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2B3B777-1672-48A2-A58A-11AA7AA137F2}" type="TxLink">
            <a:rPr lang="en-US" sz="2400" b="0" i="0" u="none" strike="noStrike">
              <a:solidFill>
                <a:schemeClr val="bg1"/>
              </a:solidFill>
              <a:latin typeface="Calibri"/>
              <a:ea typeface="+mn-ea"/>
              <a:cs typeface="Calibri"/>
            </a:rPr>
            <a:pPr marL="0" indent="0" algn="ctr"/>
            <a:t>261,48%</a:t>
          </a:fld>
          <a:endParaRPr lang="pt-BR" sz="2400" b="0" i="0" u="none" strike="noStrike">
            <a:solidFill>
              <a:schemeClr val="bg1"/>
            </a:solidFill>
            <a:latin typeface="Calibri"/>
            <a:ea typeface="+mn-ea"/>
            <a:cs typeface="Calibri"/>
          </a:endParaRPr>
        </a:p>
      </xdr:txBody>
    </xdr:sp>
    <xdr:clientData/>
  </xdr:twoCellAnchor>
  <xdr:twoCellAnchor editAs="absolute">
    <xdr:from>
      <xdr:col>17</xdr:col>
      <xdr:colOff>133350</xdr:colOff>
      <xdr:row>4</xdr:row>
      <xdr:rowOff>80111</xdr:rowOff>
    </xdr:from>
    <xdr:to>
      <xdr:col>22</xdr:col>
      <xdr:colOff>109350</xdr:colOff>
      <xdr:row>4</xdr:row>
      <xdr:rowOff>336848</xdr:rowOff>
    </xdr:to>
    <xdr:sp macro="" textlink="">
      <xdr:nvSpPr>
        <xdr:cNvPr id="35" name="CaixaDeTexto 34">
          <a:extLst>
            <a:ext uri="{FF2B5EF4-FFF2-40B4-BE49-F238E27FC236}">
              <a16:creationId xmlns:a16="http://schemas.microsoft.com/office/drawing/2014/main" id="{00000000-0008-0000-1600-000023000000}"/>
            </a:ext>
          </a:extLst>
        </xdr:cNvPr>
        <xdr:cNvSpPr txBox="1"/>
      </xdr:nvSpPr>
      <xdr:spPr>
        <a:xfrm>
          <a:off x="9505950" y="1556486"/>
          <a:ext cx="30240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Resultado</a:t>
          </a:r>
          <a:r>
            <a:rPr lang="pt-BR" sz="1000" baseline="0">
              <a:solidFill>
                <a:schemeClr val="bg1"/>
              </a:solidFill>
            </a:rPr>
            <a:t> Anual</a:t>
          </a:r>
          <a:endParaRPr lang="pt-BR" sz="1000">
            <a:solidFill>
              <a:schemeClr val="bg1"/>
            </a:solidFill>
          </a:endParaRPr>
        </a:p>
      </xdr:txBody>
    </xdr:sp>
    <xdr:clientData/>
  </xdr:twoCellAnchor>
  <xdr:twoCellAnchor>
    <xdr:from>
      <xdr:col>12</xdr:col>
      <xdr:colOff>95249</xdr:colOff>
      <xdr:row>7</xdr:row>
      <xdr:rowOff>76199</xdr:rowOff>
    </xdr:from>
    <xdr:to>
      <xdr:col>22</xdr:col>
      <xdr:colOff>119249</xdr:colOff>
      <xdr:row>10</xdr:row>
      <xdr:rowOff>435749</xdr:rowOff>
    </xdr:to>
    <xdr:graphicFrame macro="">
      <xdr:nvGraphicFramePr>
        <xdr:cNvPr id="36" name="Gráfico 35">
          <a:extLst>
            <a:ext uri="{FF2B5EF4-FFF2-40B4-BE49-F238E27FC236}">
              <a16:creationId xmlns:a16="http://schemas.microsoft.com/office/drawing/2014/main" id="{00000000-0008-0000-1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95250</xdr:colOff>
      <xdr:row>11</xdr:row>
      <xdr:rowOff>57150</xdr:rowOff>
    </xdr:from>
    <xdr:to>
      <xdr:col>22</xdr:col>
      <xdr:colOff>119250</xdr:colOff>
      <xdr:row>14</xdr:row>
      <xdr:rowOff>416700</xdr:rowOff>
    </xdr:to>
    <xdr:graphicFrame macro="">
      <xdr:nvGraphicFramePr>
        <xdr:cNvPr id="37" name="Gráfico 36">
          <a:extLst>
            <a:ext uri="{FF2B5EF4-FFF2-40B4-BE49-F238E27FC236}">
              <a16:creationId xmlns:a16="http://schemas.microsoft.com/office/drawing/2014/main" id="{00000000-0008-0000-1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21</xdr:col>
      <xdr:colOff>314325</xdr:colOff>
      <xdr:row>7</xdr:row>
      <xdr:rowOff>28575</xdr:rowOff>
    </xdr:from>
    <xdr:ext cx="418576" cy="233205"/>
    <xdr:sp macro="" textlink="'BH (2)'!C4">
      <xdr:nvSpPr>
        <xdr:cNvPr id="38" name="CaixaDeTexto 37">
          <a:extLst>
            <a:ext uri="{FF2B5EF4-FFF2-40B4-BE49-F238E27FC236}">
              <a16:creationId xmlns:a16="http://schemas.microsoft.com/office/drawing/2014/main" id="{00000000-0008-0000-1600-000026000000}"/>
            </a:ext>
          </a:extLst>
        </xdr:cNvPr>
        <xdr:cNvSpPr txBox="1"/>
      </xdr:nvSpPr>
      <xdr:spPr>
        <a:xfrm>
          <a:off x="12125325" y="2819400"/>
          <a:ext cx="41857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BE46261-2A3C-495A-9DDC-4BADD13EDCF9}" type="TxLink">
            <a:rPr lang="en-US" sz="900" b="0" i="0" u="none" strike="noStrike">
              <a:solidFill>
                <a:schemeClr val="tx1">
                  <a:lumMod val="50000"/>
                  <a:lumOff val="50000"/>
                </a:schemeClr>
              </a:solidFill>
              <a:latin typeface="Calibri"/>
              <a:cs typeface="Calibri"/>
            </a:rPr>
            <a:pPr/>
            <a:t>2025</a:t>
          </a:fld>
          <a:endParaRPr lang="pt-BR" sz="1050">
            <a:solidFill>
              <a:schemeClr val="tx1">
                <a:lumMod val="50000"/>
                <a:lumOff val="50000"/>
              </a:schemeClr>
            </a:solidFill>
          </a:endParaRPr>
        </a:p>
      </xdr:txBody>
    </xdr:sp>
    <xdr:clientData/>
  </xdr:oneCellAnchor>
  <xdr:oneCellAnchor>
    <xdr:from>
      <xdr:col>21</xdr:col>
      <xdr:colOff>304800</xdr:colOff>
      <xdr:row>11</xdr:row>
      <xdr:rowOff>9525</xdr:rowOff>
    </xdr:from>
    <xdr:ext cx="418576" cy="233205"/>
    <xdr:sp macro="" textlink="'BH (2)'!C5">
      <xdr:nvSpPr>
        <xdr:cNvPr id="39" name="CaixaDeTexto 38">
          <a:extLst>
            <a:ext uri="{FF2B5EF4-FFF2-40B4-BE49-F238E27FC236}">
              <a16:creationId xmlns:a16="http://schemas.microsoft.com/office/drawing/2014/main" id="{00000000-0008-0000-1600-000027000000}"/>
            </a:ext>
          </a:extLst>
        </xdr:cNvPr>
        <xdr:cNvSpPr txBox="1"/>
      </xdr:nvSpPr>
      <xdr:spPr>
        <a:xfrm>
          <a:off x="12115800" y="4552950"/>
          <a:ext cx="41857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D92882D-3730-4FE9-A66B-DB5879A90BA0}" type="TxLink">
            <a:rPr lang="en-US" sz="900" b="0" i="0" u="none" strike="noStrike">
              <a:solidFill>
                <a:schemeClr val="tx1">
                  <a:lumMod val="50000"/>
                  <a:lumOff val="50000"/>
                </a:schemeClr>
              </a:solidFill>
              <a:latin typeface="Calibri"/>
              <a:cs typeface="Calibri"/>
            </a:rPr>
            <a:pPr/>
            <a:t>2026</a:t>
          </a:fld>
          <a:endParaRPr lang="pt-BR" sz="1050">
            <a:solidFill>
              <a:schemeClr val="tx1">
                <a:lumMod val="50000"/>
                <a:lumOff val="50000"/>
              </a:schemeClr>
            </a:solidFill>
          </a:endParaRPr>
        </a:p>
      </xdr:txBody>
    </xdr:sp>
    <xdr:clientData/>
  </xdr:oneCellAnchor>
  <xdr:oneCellAnchor>
    <xdr:from>
      <xdr:col>12</xdr:col>
      <xdr:colOff>95249</xdr:colOff>
      <xdr:row>6</xdr:row>
      <xdr:rowOff>133350</xdr:rowOff>
    </xdr:from>
    <xdr:ext cx="3024000" cy="248851"/>
    <xdr:sp macro="" textlink="'BH (2)'!C4">
      <xdr:nvSpPr>
        <xdr:cNvPr id="40" name="CaixaDeTexto 39">
          <a:extLst>
            <a:ext uri="{FF2B5EF4-FFF2-40B4-BE49-F238E27FC236}">
              <a16:creationId xmlns:a16="http://schemas.microsoft.com/office/drawing/2014/main" id="{00000000-0008-0000-1600-000028000000}"/>
            </a:ext>
          </a:extLst>
        </xdr:cNvPr>
        <xdr:cNvSpPr txBox="1"/>
      </xdr:nvSpPr>
      <xdr:spPr>
        <a:xfrm>
          <a:off x="6419849" y="2486025"/>
          <a:ext cx="302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BE46261-2A3C-495A-9DDC-4BADD13EDCF9}" type="TxLink">
            <a:rPr lang="en-US" sz="1000" b="0" i="0" u="none" strike="noStrike">
              <a:solidFill>
                <a:schemeClr val="bg1"/>
              </a:solidFill>
              <a:latin typeface="Calibri"/>
              <a:cs typeface="Calibri"/>
            </a:rPr>
            <a:pPr algn="ctr"/>
            <a:t>2025</a:t>
          </a:fld>
          <a:endParaRPr lang="pt-BR" sz="1100">
            <a:solidFill>
              <a:schemeClr val="bg1"/>
            </a:solidFill>
          </a:endParaRPr>
        </a:p>
      </xdr:txBody>
    </xdr:sp>
    <xdr:clientData/>
  </xdr:oneCellAnchor>
  <xdr:oneCellAnchor>
    <xdr:from>
      <xdr:col>17</xdr:col>
      <xdr:colOff>142874</xdr:colOff>
      <xdr:row>6</xdr:row>
      <xdr:rowOff>123825</xdr:rowOff>
    </xdr:from>
    <xdr:ext cx="3024000" cy="248851"/>
    <xdr:sp macro="" textlink="'BH (2)'!C5">
      <xdr:nvSpPr>
        <xdr:cNvPr id="41" name="CaixaDeTexto 40">
          <a:extLst>
            <a:ext uri="{FF2B5EF4-FFF2-40B4-BE49-F238E27FC236}">
              <a16:creationId xmlns:a16="http://schemas.microsoft.com/office/drawing/2014/main" id="{00000000-0008-0000-1600-000029000000}"/>
            </a:ext>
          </a:extLst>
        </xdr:cNvPr>
        <xdr:cNvSpPr txBox="1"/>
      </xdr:nvSpPr>
      <xdr:spPr>
        <a:xfrm>
          <a:off x="9515474" y="2476500"/>
          <a:ext cx="302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B5D2B961-3C7B-4B47-9698-A656A9A3FBC1}" type="TxLink">
            <a:rPr lang="en-US" sz="1000" b="0" i="0" u="none" strike="noStrike">
              <a:solidFill>
                <a:schemeClr val="bg1"/>
              </a:solidFill>
              <a:latin typeface="Calibri"/>
              <a:cs typeface="Calibri"/>
            </a:rPr>
            <a:pPr algn="ctr"/>
            <a:t>2026</a:t>
          </a:fld>
          <a:endParaRPr lang="pt-BR" sz="1100">
            <a:solidFill>
              <a:schemeClr val="bg1"/>
            </a:solidFill>
          </a:endParaRPr>
        </a:p>
      </xdr:txBody>
    </xdr:sp>
    <xdr:clientData/>
  </xdr:one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5.vml"/><Relationship Id="rId1" Type="http://schemas.openxmlformats.org/officeDocument/2006/relationships/drawing" Target="../drawings/drawing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6.v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19.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2">
    <tabColor rgb="FFFFC000"/>
  </sheetPr>
  <dimension ref="B1:D55"/>
  <sheetViews>
    <sheetView showGridLines="0" topLeftCell="A33" workbookViewId="0">
      <selection activeCell="H12" sqref="H12"/>
    </sheetView>
  </sheetViews>
  <sheetFormatPr defaultColWidth="20.7109375" defaultRowHeight="24.95" customHeight="1" x14ac:dyDescent="0.25"/>
  <cols>
    <col min="1" max="1" width="6.7109375" style="20" customWidth="1"/>
    <col min="2" max="16384" width="20.7109375" style="20"/>
  </cols>
  <sheetData>
    <row r="1" spans="2:4" s="21" customFormat="1" ht="24.95" customHeight="1" x14ac:dyDescent="0.25"/>
    <row r="2" spans="2:4" s="23" customFormat="1" ht="24.95" customHeight="1" x14ac:dyDescent="0.25">
      <c r="B2" s="22" t="s">
        <v>0</v>
      </c>
    </row>
    <row r="4" spans="2:4" ht="24.95" customHeight="1" x14ac:dyDescent="0.25">
      <c r="B4" s="29"/>
      <c r="C4" s="29"/>
      <c r="D4" s="29"/>
    </row>
    <row r="5" spans="2:4" ht="24.95" customHeight="1" x14ac:dyDescent="0.25">
      <c r="B5" s="30">
        <v>2000</v>
      </c>
      <c r="C5" s="30">
        <v>1</v>
      </c>
      <c r="D5" s="30" t="s">
        <v>20</v>
      </c>
    </row>
    <row r="6" spans="2:4" ht="24.95" customHeight="1" x14ac:dyDescent="0.25">
      <c r="B6" s="30">
        <v>2001</v>
      </c>
      <c r="C6" s="30">
        <v>2</v>
      </c>
      <c r="D6" s="30" t="s">
        <v>21</v>
      </c>
    </row>
    <row r="7" spans="2:4" ht="24.95" customHeight="1" x14ac:dyDescent="0.25">
      <c r="B7" s="30">
        <v>2002</v>
      </c>
      <c r="C7" s="30">
        <v>3</v>
      </c>
      <c r="D7" s="30" t="s">
        <v>22</v>
      </c>
    </row>
    <row r="8" spans="2:4" ht="24.95" customHeight="1" x14ac:dyDescent="0.25">
      <c r="B8" s="30">
        <v>2003</v>
      </c>
      <c r="C8" s="30">
        <v>4</v>
      </c>
      <c r="D8" s="30" t="s">
        <v>23</v>
      </c>
    </row>
    <row r="9" spans="2:4" ht="24.95" customHeight="1" x14ac:dyDescent="0.25">
      <c r="B9" s="30">
        <v>2004</v>
      </c>
      <c r="C9" s="30">
        <v>5</v>
      </c>
      <c r="D9" s="30" t="s">
        <v>24</v>
      </c>
    </row>
    <row r="10" spans="2:4" ht="24.95" customHeight="1" x14ac:dyDescent="0.25">
      <c r="B10" s="30">
        <v>2005</v>
      </c>
      <c r="C10" s="30">
        <v>6</v>
      </c>
      <c r="D10" s="30" t="s">
        <v>25</v>
      </c>
    </row>
    <row r="11" spans="2:4" ht="24.95" customHeight="1" x14ac:dyDescent="0.25">
      <c r="B11" s="30">
        <v>2006</v>
      </c>
      <c r="C11" s="30">
        <v>7</v>
      </c>
      <c r="D11" s="30" t="s">
        <v>26</v>
      </c>
    </row>
    <row r="12" spans="2:4" ht="24.95" customHeight="1" x14ac:dyDescent="0.25">
      <c r="B12" s="30">
        <v>2007</v>
      </c>
      <c r="C12" s="30">
        <v>8</v>
      </c>
      <c r="D12" s="30" t="s">
        <v>27</v>
      </c>
    </row>
    <row r="13" spans="2:4" ht="24.95" customHeight="1" x14ac:dyDescent="0.25">
      <c r="B13" s="30">
        <v>2008</v>
      </c>
      <c r="C13" s="30">
        <v>9</v>
      </c>
      <c r="D13" s="30" t="s">
        <v>28</v>
      </c>
    </row>
    <row r="14" spans="2:4" ht="24.95" customHeight="1" x14ac:dyDescent="0.25">
      <c r="B14" s="30">
        <v>2009</v>
      </c>
      <c r="C14" s="30">
        <v>10</v>
      </c>
      <c r="D14" s="30" t="s">
        <v>29</v>
      </c>
    </row>
    <row r="15" spans="2:4" ht="24.95" customHeight="1" x14ac:dyDescent="0.25">
      <c r="B15" s="30">
        <v>2010</v>
      </c>
      <c r="C15" s="30">
        <v>11</v>
      </c>
      <c r="D15" s="30" t="s">
        <v>30</v>
      </c>
    </row>
    <row r="16" spans="2:4" ht="24.95" customHeight="1" x14ac:dyDescent="0.25">
      <c r="B16" s="30">
        <v>2011</v>
      </c>
      <c r="C16" s="30">
        <v>12</v>
      </c>
      <c r="D16" s="30" t="s">
        <v>31</v>
      </c>
    </row>
    <row r="17" spans="2:4" ht="24.95" customHeight="1" x14ac:dyDescent="0.25">
      <c r="B17" s="30">
        <v>2012</v>
      </c>
      <c r="C17" s="30">
        <v>13</v>
      </c>
      <c r="D17" s="20" t="s">
        <v>67</v>
      </c>
    </row>
    <row r="18" spans="2:4" ht="24.95" customHeight="1" x14ac:dyDescent="0.25">
      <c r="B18" s="30">
        <v>2013</v>
      </c>
      <c r="C18" s="30">
        <v>14</v>
      </c>
    </row>
    <row r="19" spans="2:4" ht="24.95" customHeight="1" x14ac:dyDescent="0.25">
      <c r="B19" s="30">
        <v>2014</v>
      </c>
      <c r="C19" s="30">
        <v>15</v>
      </c>
    </row>
    <row r="20" spans="2:4" ht="24.95" customHeight="1" x14ac:dyDescent="0.25">
      <c r="B20" s="30">
        <v>2015</v>
      </c>
      <c r="C20" s="30">
        <v>16</v>
      </c>
    </row>
    <row r="21" spans="2:4" ht="24.95" customHeight="1" x14ac:dyDescent="0.25">
      <c r="B21" s="30">
        <v>2016</v>
      </c>
      <c r="C21" s="30">
        <v>17</v>
      </c>
    </row>
    <row r="22" spans="2:4" ht="24.95" customHeight="1" x14ac:dyDescent="0.25">
      <c r="B22" s="30">
        <v>2017</v>
      </c>
      <c r="C22" s="30">
        <v>18</v>
      </c>
    </row>
    <row r="23" spans="2:4" ht="24.95" customHeight="1" x14ac:dyDescent="0.25">
      <c r="B23" s="30">
        <v>2018</v>
      </c>
      <c r="C23" s="30">
        <v>19</v>
      </c>
    </row>
    <row r="24" spans="2:4" ht="24.95" customHeight="1" x14ac:dyDescent="0.25">
      <c r="B24" s="30">
        <v>2019</v>
      </c>
      <c r="C24" s="30">
        <v>20</v>
      </c>
    </row>
    <row r="25" spans="2:4" ht="24.95" customHeight="1" x14ac:dyDescent="0.25">
      <c r="B25" s="30">
        <v>2020</v>
      </c>
      <c r="C25" s="30">
        <v>21</v>
      </c>
    </row>
    <row r="26" spans="2:4" ht="24.95" customHeight="1" x14ac:dyDescent="0.25">
      <c r="B26" s="30">
        <v>2021</v>
      </c>
      <c r="C26" s="30">
        <v>22</v>
      </c>
    </row>
    <row r="27" spans="2:4" ht="24.95" customHeight="1" x14ac:dyDescent="0.25">
      <c r="B27" s="30">
        <v>2022</v>
      </c>
      <c r="C27" s="30">
        <v>23</v>
      </c>
    </row>
    <row r="28" spans="2:4" ht="24.95" customHeight="1" x14ac:dyDescent="0.25">
      <c r="B28" s="30">
        <v>2023</v>
      </c>
      <c r="C28" s="30">
        <v>24</v>
      </c>
    </row>
    <row r="29" spans="2:4" ht="24.95" customHeight="1" x14ac:dyDescent="0.25">
      <c r="B29" s="30">
        <v>2024</v>
      </c>
      <c r="C29" s="30">
        <v>25</v>
      </c>
    </row>
    <row r="30" spans="2:4" ht="24.95" customHeight="1" x14ac:dyDescent="0.25">
      <c r="B30" s="30">
        <v>2025</v>
      </c>
      <c r="C30" s="30">
        <v>26</v>
      </c>
    </row>
    <row r="31" spans="2:4" ht="24.95" customHeight="1" x14ac:dyDescent="0.25">
      <c r="B31" s="30">
        <v>2026</v>
      </c>
      <c r="C31" s="30">
        <v>27</v>
      </c>
    </row>
    <row r="32" spans="2:4" ht="24.95" customHeight="1" x14ac:dyDescent="0.25">
      <c r="B32" s="30">
        <v>2027</v>
      </c>
      <c r="C32" s="30">
        <v>28</v>
      </c>
    </row>
    <row r="33" spans="2:3" ht="24.95" customHeight="1" x14ac:dyDescent="0.25">
      <c r="B33" s="30">
        <v>2028</v>
      </c>
      <c r="C33" s="30">
        <v>29</v>
      </c>
    </row>
    <row r="34" spans="2:3" ht="24.95" customHeight="1" x14ac:dyDescent="0.25">
      <c r="B34" s="30">
        <v>2029</v>
      </c>
      <c r="C34" s="30">
        <v>30</v>
      </c>
    </row>
    <row r="35" spans="2:3" ht="24.95" customHeight="1" x14ac:dyDescent="0.25">
      <c r="B35" s="30">
        <v>2030</v>
      </c>
      <c r="C35" s="30">
        <v>31</v>
      </c>
    </row>
    <row r="36" spans="2:3" ht="24.95" customHeight="1" x14ac:dyDescent="0.25">
      <c r="B36" s="30">
        <v>2031</v>
      </c>
    </row>
    <row r="37" spans="2:3" ht="24.95" customHeight="1" x14ac:dyDescent="0.25">
      <c r="B37" s="30">
        <v>2032</v>
      </c>
    </row>
    <row r="38" spans="2:3" ht="24.95" customHeight="1" x14ac:dyDescent="0.25">
      <c r="B38" s="30">
        <v>2033</v>
      </c>
    </row>
    <row r="39" spans="2:3" ht="24.95" customHeight="1" x14ac:dyDescent="0.25">
      <c r="B39" s="30">
        <v>2034</v>
      </c>
    </row>
    <row r="40" spans="2:3" ht="24.95" customHeight="1" x14ac:dyDescent="0.25">
      <c r="B40" s="30">
        <v>2035</v>
      </c>
    </row>
    <row r="41" spans="2:3" ht="24.95" customHeight="1" x14ac:dyDescent="0.25">
      <c r="B41" s="30">
        <v>2036</v>
      </c>
    </row>
    <row r="42" spans="2:3" ht="24.95" customHeight="1" x14ac:dyDescent="0.25">
      <c r="B42" s="30">
        <v>2037</v>
      </c>
    </row>
    <row r="43" spans="2:3" ht="24.95" customHeight="1" x14ac:dyDescent="0.25">
      <c r="B43" s="30">
        <v>2038</v>
      </c>
    </row>
    <row r="44" spans="2:3" ht="24.95" customHeight="1" x14ac:dyDescent="0.25">
      <c r="B44" s="30">
        <v>2039</v>
      </c>
    </row>
    <row r="45" spans="2:3" ht="24.95" customHeight="1" x14ac:dyDescent="0.25">
      <c r="B45" s="30">
        <v>2040</v>
      </c>
    </row>
    <row r="46" spans="2:3" ht="24.95" customHeight="1" x14ac:dyDescent="0.25">
      <c r="B46" s="30">
        <v>2041</v>
      </c>
    </row>
    <row r="47" spans="2:3" ht="24.95" customHeight="1" x14ac:dyDescent="0.25">
      <c r="B47" s="30">
        <v>2042</v>
      </c>
    </row>
    <row r="48" spans="2:3" ht="24.95" customHeight="1" x14ac:dyDescent="0.25">
      <c r="B48" s="30">
        <v>2043</v>
      </c>
    </row>
    <row r="49" spans="2:2" ht="24.95" customHeight="1" x14ac:dyDescent="0.25">
      <c r="B49" s="30">
        <v>2044</v>
      </c>
    </row>
    <row r="50" spans="2:2" ht="24.95" customHeight="1" x14ac:dyDescent="0.25">
      <c r="B50" s="30">
        <v>2045</v>
      </c>
    </row>
    <row r="51" spans="2:2" ht="24.95" customHeight="1" x14ac:dyDescent="0.25">
      <c r="B51" s="30">
        <v>2046</v>
      </c>
    </row>
    <row r="52" spans="2:2" ht="24.95" customHeight="1" x14ac:dyDescent="0.25">
      <c r="B52" s="30">
        <v>2047</v>
      </c>
    </row>
    <row r="53" spans="2:2" ht="24.95" customHeight="1" x14ac:dyDescent="0.25">
      <c r="B53" s="30">
        <v>2048</v>
      </c>
    </row>
    <row r="54" spans="2:2" ht="24.95" customHeight="1" x14ac:dyDescent="0.25">
      <c r="B54" s="30">
        <v>2049</v>
      </c>
    </row>
    <row r="55" spans="2:2" ht="24.95" customHeight="1" x14ac:dyDescent="0.25">
      <c r="B55" s="30">
        <v>2050</v>
      </c>
    </row>
  </sheetData>
  <phoneticPr fontId="18" type="noConversion"/>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3">
    <tabColor rgb="FFFFC000"/>
  </sheetPr>
  <dimension ref="A1:O126"/>
  <sheetViews>
    <sheetView showGridLines="0" workbookViewId="0">
      <selection activeCell="H12" sqref="H12"/>
    </sheetView>
  </sheetViews>
  <sheetFormatPr defaultColWidth="20.7109375" defaultRowHeight="24.95" customHeight="1" x14ac:dyDescent="0.25"/>
  <cols>
    <col min="1" max="1" width="6.7109375" style="20" customWidth="1"/>
    <col min="2" max="2" width="20.7109375" style="20"/>
    <col min="3" max="15" width="15.7109375" style="20" customWidth="1"/>
    <col min="16" max="16384" width="20.7109375" style="20"/>
  </cols>
  <sheetData>
    <row r="1" spans="2:15" s="21" customFormat="1" ht="24.95" customHeight="1" x14ac:dyDescent="0.25"/>
    <row r="2" spans="2:15" s="23" customFormat="1" ht="24.95" customHeight="1" x14ac:dyDescent="0.25">
      <c r="B2" s="22" t="s">
        <v>0</v>
      </c>
    </row>
    <row r="4" spans="2:15" ht="24.95" customHeight="1" x14ac:dyDescent="0.25">
      <c r="B4" s="29">
        <v>26</v>
      </c>
      <c r="C4" s="30">
        <f>INDEX('BH (1)'!$B$5:$B$55,B4)</f>
        <v>2025</v>
      </c>
    </row>
    <row r="5" spans="2:15" ht="24.95" customHeight="1" x14ac:dyDescent="0.25">
      <c r="B5" s="29">
        <v>27</v>
      </c>
      <c r="C5" s="30">
        <f>INDEX('BH (1)'!$B$5:$B$55,B5)</f>
        <v>2026</v>
      </c>
    </row>
    <row r="7" spans="2:15" ht="24.95" customHeight="1" x14ac:dyDescent="0.25">
      <c r="B7" s="29">
        <v>8</v>
      </c>
      <c r="C7" s="29">
        <v>1</v>
      </c>
      <c r="D7" s="29">
        <v>27</v>
      </c>
    </row>
    <row r="8" spans="2:15" ht="24.95" customHeight="1" x14ac:dyDescent="0.25">
      <c r="B8" s="30">
        <f>B7</f>
        <v>8</v>
      </c>
      <c r="C8" s="30" t="str">
        <f>INDEX('BH (1)'!$D$5:$D$16,'BH (2)'!C7)</f>
        <v>Jan</v>
      </c>
      <c r="D8" s="30">
        <f>INDEX('BH (1)'!$B$5:$B$55,'BH (2)'!D7)</f>
        <v>2026</v>
      </c>
    </row>
    <row r="9" spans="2:15" ht="24.95" customHeight="1" x14ac:dyDescent="0.25">
      <c r="B9" s="31" t="str">
        <f>IFERROR(B8&amp;"/"&amp;C8&amp;"/"&amp;D8,"")</f>
        <v>8/Jan/2026</v>
      </c>
    </row>
    <row r="12" spans="2:15" ht="24.95" customHeight="1" x14ac:dyDescent="0.25">
      <c r="B12" s="65">
        <v>1</v>
      </c>
      <c r="C12" s="65">
        <f>INDEX($C$4:$C$5,B12)</f>
        <v>2025</v>
      </c>
      <c r="D12" s="70">
        <f>IF(B13=1,0,IF(B13=13,0,B13-1))</f>
        <v>0</v>
      </c>
    </row>
    <row r="13" spans="2:15" ht="24.95" customHeight="1" x14ac:dyDescent="0.25">
      <c r="B13" s="65">
        <v>1</v>
      </c>
      <c r="C13" s="65" t="str">
        <f>INDEX(Ano,B13)</f>
        <v>Jan</v>
      </c>
      <c r="D13" s="65" t="str">
        <f>INDEX(Ano,D12)</f>
        <v>Set</v>
      </c>
    </row>
    <row r="14" spans="2:15" ht="24.95" customHeight="1" thickBot="1" x14ac:dyDescent="0.3"/>
    <row r="15" spans="2:15" ht="24.95" customHeight="1" x14ac:dyDescent="0.25">
      <c r="B15" s="34" t="s">
        <v>32</v>
      </c>
      <c r="C15" s="35" t="s">
        <v>20</v>
      </c>
      <c r="D15" s="35" t="s">
        <v>21</v>
      </c>
      <c r="E15" s="35" t="s">
        <v>22</v>
      </c>
      <c r="F15" s="35" t="s">
        <v>23</v>
      </c>
      <c r="G15" s="35" t="s">
        <v>24</v>
      </c>
      <c r="H15" s="35" t="s">
        <v>25</v>
      </c>
      <c r="I15" s="35" t="s">
        <v>26</v>
      </c>
      <c r="J15" s="35" t="s">
        <v>27</v>
      </c>
      <c r="K15" s="35" t="s">
        <v>28</v>
      </c>
      <c r="L15" s="35" t="s">
        <v>29</v>
      </c>
      <c r="M15" s="35" t="s">
        <v>30</v>
      </c>
      <c r="N15" s="35" t="s">
        <v>31</v>
      </c>
      <c r="O15" s="35" t="s">
        <v>67</v>
      </c>
    </row>
    <row r="16" spans="2:15" ht="24.95" customHeight="1" x14ac:dyDescent="0.25">
      <c r="B16" s="39" t="s">
        <v>34</v>
      </c>
      <c r="C16" s="33">
        <f>IF($B$12=1,Lançamentos!D5,'Lançamentos (2)'!D5)</f>
        <v>67220</v>
      </c>
      <c r="D16" s="33">
        <f>IF($B$12=1,Lançamentos!E5,'Lançamentos (2)'!E5)</f>
        <v>81003</v>
      </c>
      <c r="E16" s="33">
        <f>IF($B$12=1,Lançamentos!F5,'Lançamentos (2)'!F5)</f>
        <v>95739</v>
      </c>
      <c r="F16" s="33">
        <f>IF($B$12=1,Lançamentos!G5,'Lançamentos (2)'!G5)</f>
        <v>89852</v>
      </c>
      <c r="G16" s="33">
        <f>IF($B$12=1,Lançamentos!H5,'Lançamentos (2)'!H5)</f>
        <v>74394</v>
      </c>
      <c r="H16" s="33">
        <f>IF($B$12=1,Lançamentos!I5,'Lançamentos (2)'!I5)</f>
        <v>85476</v>
      </c>
      <c r="I16" s="33">
        <f>IF($B$12=1,Lançamentos!J5,'Lançamentos (2)'!J5)</f>
        <v>92272</v>
      </c>
      <c r="J16" s="33">
        <f>IF($B$12=1,Lançamentos!K5,'Lançamentos (2)'!K5)</f>
        <v>90754</v>
      </c>
      <c r="K16" s="33">
        <f>IF($B$12=1,Lançamentos!L5,'Lançamentos (2)'!L5)</f>
        <v>68672</v>
      </c>
      <c r="L16" s="33">
        <f>IF($B$12=1,Lançamentos!M5,'Lançamentos (2)'!M5)</f>
        <v>83177</v>
      </c>
      <c r="M16" s="33">
        <f>IF($B$12=1,Lançamentos!N5,'Lançamentos (2)'!N5)</f>
        <v>77512</v>
      </c>
      <c r="N16" s="33">
        <f>IF($B$12=1,Lançamentos!O5,'Lançamentos (2)'!O5)</f>
        <v>86164</v>
      </c>
      <c r="O16" s="43">
        <f>IF($B$12=1,Lançamentos!P5,'Lançamentos (2)'!P5)</f>
        <v>992235</v>
      </c>
    </row>
    <row r="17" spans="1:15" ht="24.95" customHeight="1" x14ac:dyDescent="0.25">
      <c r="B17" s="40" t="s">
        <v>35</v>
      </c>
      <c r="C17" s="33">
        <f>IF($B$12=1,Lançamentos!D26,'Lançamentos (2)'!D26)</f>
        <v>24541</v>
      </c>
      <c r="D17" s="33">
        <f>IF($B$12=1,Lançamentos!E26,'Lançamentos (2)'!E26)</f>
        <v>21071</v>
      </c>
      <c r="E17" s="33">
        <f>IF($B$12=1,Lançamentos!F26,'Lançamentos (2)'!F26)</f>
        <v>22345</v>
      </c>
      <c r="F17" s="33">
        <f>IF($B$12=1,Lançamentos!G26,'Lançamentos (2)'!G26)</f>
        <v>22183</v>
      </c>
      <c r="G17" s="33">
        <f>IF($B$12=1,Lançamentos!H26,'Lançamentos (2)'!H26)</f>
        <v>28736</v>
      </c>
      <c r="H17" s="33">
        <f>IF($B$12=1,Lançamentos!I26,'Lançamentos (2)'!I26)</f>
        <v>27851</v>
      </c>
      <c r="I17" s="33">
        <f>IF($B$12=1,Lançamentos!J26,'Lançamentos (2)'!J26)</f>
        <v>24767</v>
      </c>
      <c r="J17" s="33">
        <f>IF($B$12=1,Lançamentos!K26,'Lançamentos (2)'!K26)</f>
        <v>28067</v>
      </c>
      <c r="K17" s="33">
        <f>IF($B$12=1,Lançamentos!L26,'Lançamentos (2)'!L26)</f>
        <v>27399</v>
      </c>
      <c r="L17" s="33">
        <f>IF($B$12=1,Lançamentos!M26,'Lançamentos (2)'!M26)</f>
        <v>24843</v>
      </c>
      <c r="M17" s="33">
        <f>IF($B$12=1,Lançamentos!N26,'Lançamentos (2)'!N26)</f>
        <v>27796</v>
      </c>
      <c r="N17" s="33">
        <f>IF($B$12=1,Lançamentos!O26,'Lançamentos (2)'!O26)</f>
        <v>20600</v>
      </c>
      <c r="O17" s="44">
        <f>IF($B$12=1,Lançamentos!P26,'Lançamentos (2)'!P26)</f>
        <v>300199</v>
      </c>
    </row>
    <row r="18" spans="1:15" ht="24.95" customHeight="1" x14ac:dyDescent="0.25">
      <c r="B18" s="67" t="s">
        <v>36</v>
      </c>
      <c r="C18" s="68">
        <f>IF($B$12=1,Lançamentos!D47,'Lançamentos (2)'!D47)</f>
        <v>42679</v>
      </c>
      <c r="D18" s="68">
        <f>IF($B$12=1,Lançamentos!E47,'Lançamentos (2)'!E47)</f>
        <v>59932</v>
      </c>
      <c r="E18" s="68">
        <f>IF($B$12=1,Lançamentos!F47,'Lançamentos (2)'!F47)</f>
        <v>73394</v>
      </c>
      <c r="F18" s="68">
        <f>IF($B$12=1,Lançamentos!G47,'Lançamentos (2)'!G47)</f>
        <v>67669</v>
      </c>
      <c r="G18" s="68">
        <f>IF($B$12=1,Lançamentos!H47,'Lançamentos (2)'!H47)</f>
        <v>45658</v>
      </c>
      <c r="H18" s="68">
        <f>IF($B$12=1,Lançamentos!I47,'Lançamentos (2)'!I47)</f>
        <v>57625</v>
      </c>
      <c r="I18" s="68">
        <f>IF($B$12=1,Lançamentos!J47,'Lançamentos (2)'!J47)</f>
        <v>67505</v>
      </c>
      <c r="J18" s="68">
        <f>IF($B$12=1,Lançamentos!K47,'Lançamentos (2)'!K47)</f>
        <v>62687</v>
      </c>
      <c r="K18" s="68">
        <f>IF($B$12=1,Lançamentos!L47,'Lançamentos (2)'!L47)</f>
        <v>41273</v>
      </c>
      <c r="L18" s="68">
        <f>IF($B$12=1,Lançamentos!M47,'Lançamentos (2)'!M47)</f>
        <v>58334</v>
      </c>
      <c r="M18" s="68">
        <f>IF($B$12=1,Lançamentos!N47,'Lançamentos (2)'!N47)</f>
        <v>49716</v>
      </c>
      <c r="N18" s="68">
        <f>IF($B$12=1,Lançamentos!O47,'Lançamentos (2)'!O47)</f>
        <v>65564</v>
      </c>
      <c r="O18" s="44">
        <f>IF($B$12=1,Lançamentos!P47,'Lançamentos (2)'!P47)</f>
        <v>692036</v>
      </c>
    </row>
    <row r="19" spans="1:15" ht="24.95" customHeight="1" x14ac:dyDescent="0.25">
      <c r="B19" s="40" t="s">
        <v>37</v>
      </c>
      <c r="C19" s="33">
        <f>IF($B$12=1,Lançamentos!D48,'Lançamentos (2)'!D48)</f>
        <v>12605</v>
      </c>
      <c r="D19" s="33">
        <f>IF($B$12=1,Lançamentos!E48,'Lançamentos (2)'!E48)</f>
        <v>19515</v>
      </c>
      <c r="E19" s="33">
        <f>IF($B$12=1,Lançamentos!F48,'Lançamentos (2)'!F48)</f>
        <v>10420</v>
      </c>
      <c r="F19" s="33">
        <f>IF($B$12=1,Lançamentos!G48,'Lançamentos (2)'!G48)</f>
        <v>16578</v>
      </c>
      <c r="G19" s="33">
        <f>IF($B$12=1,Lançamentos!H48,'Lançamentos (2)'!H48)</f>
        <v>14640</v>
      </c>
      <c r="H19" s="33">
        <f>IF($B$12=1,Lançamentos!I48,'Lançamentos (2)'!I48)</f>
        <v>13758</v>
      </c>
      <c r="I19" s="33">
        <f>IF($B$12=1,Lançamentos!J48,'Lançamentos (2)'!J48)</f>
        <v>16478</v>
      </c>
      <c r="J19" s="33">
        <f>IF($B$12=1,Lançamentos!K48,'Lançamentos (2)'!K48)</f>
        <v>12299</v>
      </c>
      <c r="K19" s="33">
        <f>IF($B$12=1,Lançamentos!L48,'Lançamentos (2)'!L48)</f>
        <v>12488</v>
      </c>
      <c r="L19" s="33">
        <f>IF($B$12=1,Lançamentos!M48,'Lançamentos (2)'!M48)</f>
        <v>13318</v>
      </c>
      <c r="M19" s="33">
        <f>IF($B$12=1,Lançamentos!N48,'Lançamentos (2)'!N48)</f>
        <v>16178</v>
      </c>
      <c r="N19" s="33">
        <f>IF($B$12=1,Lançamentos!O48,'Lançamentos (2)'!O48)</f>
        <v>16353</v>
      </c>
      <c r="O19" s="44">
        <f>IF($B$12=1,Lançamentos!P48,'Lançamentos (2)'!P48)</f>
        <v>174630</v>
      </c>
    </row>
    <row r="20" spans="1:15" ht="24.95" customHeight="1" x14ac:dyDescent="0.25">
      <c r="B20" s="67" t="s">
        <v>38</v>
      </c>
      <c r="C20" s="68">
        <f>IF($B$12=1,Lançamentos!D69,'Lançamentos (2)'!D69)</f>
        <v>30074</v>
      </c>
      <c r="D20" s="68">
        <f>IF($B$12=1,Lançamentos!E69,'Lançamentos (2)'!E69)</f>
        <v>40417</v>
      </c>
      <c r="E20" s="68">
        <f>IF($B$12=1,Lançamentos!F69,'Lançamentos (2)'!F69)</f>
        <v>62974</v>
      </c>
      <c r="F20" s="68">
        <f>IF($B$12=1,Lançamentos!G69,'Lançamentos (2)'!G69)</f>
        <v>51091</v>
      </c>
      <c r="G20" s="68">
        <f>IF($B$12=1,Lançamentos!H69,'Lançamentos (2)'!H69)</f>
        <v>31018</v>
      </c>
      <c r="H20" s="68">
        <f>IF($B$12=1,Lançamentos!I69,'Lançamentos (2)'!I69)</f>
        <v>43867</v>
      </c>
      <c r="I20" s="68">
        <f>IF($B$12=1,Lançamentos!J69,'Lançamentos (2)'!J69)</f>
        <v>51027</v>
      </c>
      <c r="J20" s="68">
        <f>IF($B$12=1,Lançamentos!K69,'Lançamentos (2)'!K69)</f>
        <v>50388</v>
      </c>
      <c r="K20" s="68">
        <f>IF($B$12=1,Lançamentos!L69,'Lançamentos (2)'!L69)</f>
        <v>28785</v>
      </c>
      <c r="L20" s="68">
        <f>IF($B$12=1,Lançamentos!M69,'Lançamentos (2)'!M69)</f>
        <v>45016</v>
      </c>
      <c r="M20" s="68">
        <f>IF($B$12=1,Lançamentos!N69,'Lançamentos (2)'!N69)</f>
        <v>33538</v>
      </c>
      <c r="N20" s="68">
        <f>IF($B$12=1,Lançamentos!O69,'Lançamentos (2)'!O69)</f>
        <v>49211</v>
      </c>
      <c r="O20" s="44">
        <f>IF($B$12=1,Lançamentos!P69,'Lançamentos (2)'!P69)</f>
        <v>517406</v>
      </c>
    </row>
    <row r="21" spans="1:15" ht="24.95" customHeight="1" x14ac:dyDescent="0.25">
      <c r="B21" s="40" t="s">
        <v>39</v>
      </c>
      <c r="C21" s="33">
        <f>IF($B$12=1,Lançamentos!D70,'Lançamentos (2)'!D70)</f>
        <v>8679</v>
      </c>
      <c r="D21" s="33">
        <f>IF($B$12=1,Lançamentos!E70,'Lançamentos (2)'!E70)</f>
        <v>8611</v>
      </c>
      <c r="E21" s="33">
        <f>IF($B$12=1,Lançamentos!F70,'Lançamentos (2)'!F70)</f>
        <v>6929</v>
      </c>
      <c r="F21" s="33">
        <f>IF($B$12=1,Lançamentos!G70,'Lançamentos (2)'!G70)</f>
        <v>9604</v>
      </c>
      <c r="G21" s="33">
        <f>IF($B$12=1,Lançamentos!H70,'Lançamentos (2)'!H70)</f>
        <v>8909</v>
      </c>
      <c r="H21" s="33">
        <f>IF($B$12=1,Lançamentos!I70,'Lançamentos (2)'!I70)</f>
        <v>14471</v>
      </c>
      <c r="I21" s="33">
        <f>IF($B$12=1,Lançamentos!J70,'Lançamentos (2)'!J70)</f>
        <v>9028</v>
      </c>
      <c r="J21" s="33">
        <f>IF($B$12=1,Lançamentos!K70,'Lançamentos (2)'!K70)</f>
        <v>14193</v>
      </c>
      <c r="K21" s="33">
        <f>IF($B$12=1,Lançamentos!L70,'Lançamentos (2)'!L70)</f>
        <v>11078</v>
      </c>
      <c r="L21" s="33">
        <f>IF($B$12=1,Lançamentos!M70,'Lançamentos (2)'!M70)</f>
        <v>11525</v>
      </c>
      <c r="M21" s="33">
        <f>IF($B$12=1,Lançamentos!N70,'Lançamentos (2)'!N70)</f>
        <v>9398</v>
      </c>
      <c r="N21" s="33">
        <f>IF($B$12=1,Lançamentos!O70,'Lançamentos (2)'!O70)</f>
        <v>7849</v>
      </c>
      <c r="O21" s="44">
        <f>IF($B$12=1,Lançamentos!P70,'Lançamentos (2)'!P70)</f>
        <v>120274</v>
      </c>
    </row>
    <row r="22" spans="1:15" ht="24.95" customHeight="1" x14ac:dyDescent="0.25">
      <c r="B22" s="67" t="s">
        <v>40</v>
      </c>
      <c r="C22" s="68">
        <f>IF($B$12=1,Lançamentos!D91,'Lançamentos (2)'!D91)</f>
        <v>21395</v>
      </c>
      <c r="D22" s="68">
        <f>IF($B$12=1,Lançamentos!E91,'Lançamentos (2)'!E91)</f>
        <v>31806</v>
      </c>
      <c r="E22" s="68">
        <f>IF($B$12=1,Lançamentos!F91,'Lançamentos (2)'!F91)</f>
        <v>56045</v>
      </c>
      <c r="F22" s="68">
        <f>IF($B$12=1,Lançamentos!G91,'Lançamentos (2)'!G91)</f>
        <v>41487</v>
      </c>
      <c r="G22" s="68">
        <f>IF($B$12=1,Lançamentos!H91,'Lançamentos (2)'!H91)</f>
        <v>22109</v>
      </c>
      <c r="H22" s="68">
        <f>IF($B$12=1,Lançamentos!I91,'Lançamentos (2)'!I91)</f>
        <v>29396</v>
      </c>
      <c r="I22" s="68">
        <f>IF($B$12=1,Lançamentos!J91,'Lançamentos (2)'!J91)</f>
        <v>41999</v>
      </c>
      <c r="J22" s="68">
        <f>IF($B$12=1,Lançamentos!K91,'Lançamentos (2)'!K91)</f>
        <v>36195</v>
      </c>
      <c r="K22" s="68">
        <f>IF($B$12=1,Lançamentos!L91,'Lançamentos (2)'!L91)</f>
        <v>17707</v>
      </c>
      <c r="L22" s="68">
        <f>IF($B$12=1,Lançamentos!M91,'Lançamentos (2)'!M91)</f>
        <v>33491</v>
      </c>
      <c r="M22" s="68">
        <f>IF($B$12=1,Lançamentos!N91,'Lançamentos (2)'!N91)</f>
        <v>24140</v>
      </c>
      <c r="N22" s="68">
        <f>IF($B$12=1,Lançamentos!O91,'Lançamentos (2)'!O91)</f>
        <v>41362</v>
      </c>
      <c r="O22" s="44">
        <f>IF($B$12=1,Lançamentos!P91,'Lançamentos (2)'!P91)</f>
        <v>397132</v>
      </c>
    </row>
    <row r="23" spans="1:15" ht="24.95" customHeight="1" x14ac:dyDescent="0.25">
      <c r="B23" s="40" t="s">
        <v>41</v>
      </c>
      <c r="C23" s="33">
        <f>IF($B$12=1,Lançamentos!D92,'Lançamentos (2)'!D92)</f>
        <v>11040</v>
      </c>
      <c r="D23" s="33">
        <f>IF($B$12=1,Lançamentos!E92,'Lançamentos (2)'!E92)</f>
        <v>11603</v>
      </c>
      <c r="E23" s="33">
        <f>IF($B$12=1,Lançamentos!F92,'Lançamentos (2)'!F92)</f>
        <v>10947</v>
      </c>
      <c r="F23" s="33">
        <f>IF($B$12=1,Lançamentos!G92,'Lançamentos (2)'!G92)</f>
        <v>12386</v>
      </c>
      <c r="G23" s="33">
        <f>IF($B$12=1,Lançamentos!H92,'Lançamentos (2)'!H92)</f>
        <v>11760</v>
      </c>
      <c r="H23" s="33">
        <f>IF($B$12=1,Lançamentos!I92,'Lançamentos (2)'!I92)</f>
        <v>12822</v>
      </c>
      <c r="I23" s="33">
        <f>IF($B$12=1,Lançamentos!J92,'Lançamentos (2)'!J92)</f>
        <v>11253</v>
      </c>
      <c r="J23" s="33">
        <f>IF($B$12=1,Lançamentos!K92,'Lançamentos (2)'!K92)</f>
        <v>11539</v>
      </c>
      <c r="K23" s="33">
        <f>IF($B$12=1,Lançamentos!L92,'Lançamentos (2)'!L92)</f>
        <v>12406</v>
      </c>
      <c r="L23" s="33">
        <f>IF($B$12=1,Lançamentos!M92,'Lançamentos (2)'!M92)</f>
        <v>12613</v>
      </c>
      <c r="M23" s="33">
        <f>IF($B$12=1,Lançamentos!N92,'Lançamentos (2)'!N92)</f>
        <v>12286</v>
      </c>
      <c r="N23" s="33">
        <f>IF($B$12=1,Lançamentos!O92,'Lançamentos (2)'!O92)</f>
        <v>11774</v>
      </c>
      <c r="O23" s="44">
        <f>IF($B$12=1,Lançamentos!P92,'Lançamentos (2)'!P92)</f>
        <v>142429</v>
      </c>
    </row>
    <row r="24" spans="1:15" ht="24.95" customHeight="1" x14ac:dyDescent="0.25">
      <c r="B24" s="47" t="s">
        <v>57</v>
      </c>
      <c r="C24" s="48">
        <f>IF($B$12=1,Lançamentos!D113,'Lançamentos (2)'!D113)</f>
        <v>10355</v>
      </c>
      <c r="D24" s="48">
        <f>IF($B$12=1,Lançamentos!E113,'Lançamentos (2)'!E113)</f>
        <v>20203</v>
      </c>
      <c r="E24" s="48">
        <f>IF($B$12=1,Lançamentos!F113,'Lançamentos (2)'!F113)</f>
        <v>45098</v>
      </c>
      <c r="F24" s="48">
        <f>IF($B$12=1,Lançamentos!G113,'Lançamentos (2)'!G113)</f>
        <v>29101</v>
      </c>
      <c r="G24" s="48">
        <f>IF($B$12=1,Lançamentos!H113,'Lançamentos (2)'!H113)</f>
        <v>10349</v>
      </c>
      <c r="H24" s="48">
        <f>IF($B$12=1,Lançamentos!I113,'Lançamentos (2)'!I113)</f>
        <v>16574</v>
      </c>
      <c r="I24" s="48">
        <f>IF($B$12=1,Lançamentos!J113,'Lançamentos (2)'!J113)</f>
        <v>30746</v>
      </c>
      <c r="J24" s="48">
        <f>IF($B$12=1,Lançamentos!K113,'Lançamentos (2)'!K113)</f>
        <v>24656</v>
      </c>
      <c r="K24" s="48">
        <f>IF($B$12=1,Lançamentos!L113,'Lançamentos (2)'!L113)</f>
        <v>5301</v>
      </c>
      <c r="L24" s="48">
        <f>IF($B$12=1,Lançamentos!M113,'Lançamentos (2)'!M113)</f>
        <v>20878</v>
      </c>
      <c r="M24" s="48">
        <f>IF($B$12=1,Lançamentos!N113,'Lançamentos (2)'!N113)</f>
        <v>11854</v>
      </c>
      <c r="N24" s="48">
        <f>IF($B$12=1,Lançamentos!O113,'Lançamentos (2)'!O113)</f>
        <v>29588</v>
      </c>
      <c r="O24" s="49">
        <f>IF($B$12=1,Lançamentos!P113,'Lançamentos (2)'!P113)</f>
        <v>254703</v>
      </c>
    </row>
    <row r="25" spans="1:15" ht="24.95" customHeight="1" thickBot="1" x14ac:dyDescent="0.3"/>
    <row r="26" spans="1:15" ht="24.95" customHeight="1" x14ac:dyDescent="0.25">
      <c r="B26" s="34" t="s">
        <v>32</v>
      </c>
      <c r="C26" s="35" t="str">
        <f>C13</f>
        <v>Jan</v>
      </c>
      <c r="D26" s="35" t="str">
        <f>D13</f>
        <v>Set</v>
      </c>
    </row>
    <row r="27" spans="1:15" ht="24.95" customHeight="1" x14ac:dyDescent="0.25">
      <c r="A27" s="20">
        <v>2</v>
      </c>
      <c r="B27" s="39" t="s">
        <v>34</v>
      </c>
      <c r="C27" s="33">
        <f t="shared" ref="C27:C35" si="0">IFERROR(HLOOKUP($C$13,$C$15:$O$24,A27,0),0)</f>
        <v>67220</v>
      </c>
      <c r="D27" s="33">
        <f>IFERROR(HLOOKUP($D$13,$C$15:$O$24,A27,0),0)</f>
        <v>68672</v>
      </c>
    </row>
    <row r="28" spans="1:15" ht="24.95" customHeight="1" x14ac:dyDescent="0.25">
      <c r="A28" s="20">
        <v>3</v>
      </c>
      <c r="B28" s="40" t="s">
        <v>35</v>
      </c>
      <c r="C28" s="33">
        <f t="shared" si="0"/>
        <v>24541</v>
      </c>
      <c r="D28" s="33">
        <f t="shared" ref="D28:D35" si="1">IFERROR(HLOOKUP($D$13,$C$15:$O$24,A28,0),0)</f>
        <v>27399</v>
      </c>
    </row>
    <row r="29" spans="1:15" ht="24.95" customHeight="1" x14ac:dyDescent="0.25">
      <c r="A29" s="20">
        <v>4</v>
      </c>
      <c r="B29" s="67" t="s">
        <v>36</v>
      </c>
      <c r="C29" s="68">
        <f t="shared" si="0"/>
        <v>42679</v>
      </c>
      <c r="D29" s="68">
        <f t="shared" si="1"/>
        <v>41273</v>
      </c>
    </row>
    <row r="30" spans="1:15" ht="24.95" customHeight="1" x14ac:dyDescent="0.25">
      <c r="A30" s="20">
        <v>5</v>
      </c>
      <c r="B30" s="40" t="s">
        <v>37</v>
      </c>
      <c r="C30" s="33">
        <f t="shared" si="0"/>
        <v>12605</v>
      </c>
      <c r="D30" s="33">
        <f t="shared" si="1"/>
        <v>12488</v>
      </c>
    </row>
    <row r="31" spans="1:15" ht="24.95" customHeight="1" x14ac:dyDescent="0.25">
      <c r="A31" s="20">
        <v>6</v>
      </c>
      <c r="B31" s="67" t="s">
        <v>38</v>
      </c>
      <c r="C31" s="68">
        <f t="shared" si="0"/>
        <v>30074</v>
      </c>
      <c r="D31" s="68">
        <f t="shared" si="1"/>
        <v>28785</v>
      </c>
    </row>
    <row r="32" spans="1:15" ht="24.95" customHeight="1" x14ac:dyDescent="0.25">
      <c r="A32" s="20">
        <v>7</v>
      </c>
      <c r="B32" s="40" t="s">
        <v>39</v>
      </c>
      <c r="C32" s="33">
        <f t="shared" si="0"/>
        <v>8679</v>
      </c>
      <c r="D32" s="33">
        <f t="shared" si="1"/>
        <v>11078</v>
      </c>
    </row>
    <row r="33" spans="1:15" ht="24.95" customHeight="1" x14ac:dyDescent="0.25">
      <c r="A33" s="20">
        <v>8</v>
      </c>
      <c r="B33" s="67" t="s">
        <v>40</v>
      </c>
      <c r="C33" s="68">
        <f t="shared" si="0"/>
        <v>21395</v>
      </c>
      <c r="D33" s="68">
        <f t="shared" si="1"/>
        <v>17707</v>
      </c>
    </row>
    <row r="34" spans="1:15" ht="24.95" customHeight="1" x14ac:dyDescent="0.25">
      <c r="A34" s="20">
        <v>9</v>
      </c>
      <c r="B34" s="40" t="s">
        <v>41</v>
      </c>
      <c r="C34" s="33">
        <f t="shared" si="0"/>
        <v>11040</v>
      </c>
      <c r="D34" s="33">
        <f t="shared" si="1"/>
        <v>12406</v>
      </c>
    </row>
    <row r="35" spans="1:15" ht="24.95" customHeight="1" x14ac:dyDescent="0.25">
      <c r="A35" s="20">
        <v>10</v>
      </c>
      <c r="B35" s="47" t="s">
        <v>57</v>
      </c>
      <c r="C35" s="48">
        <f t="shared" si="0"/>
        <v>10355</v>
      </c>
      <c r="D35" s="48">
        <f t="shared" si="1"/>
        <v>5301</v>
      </c>
    </row>
    <row r="37" spans="1:15" ht="24.95" customHeight="1" x14ac:dyDescent="0.25">
      <c r="B37" s="65" t="s">
        <v>68</v>
      </c>
      <c r="C37" s="69">
        <f>IFERROR(C35/$C$27,0)</f>
        <v>0.15404641475751266</v>
      </c>
      <c r="D37" s="69">
        <f>IF(C37=0,100%,100%-C37)</f>
        <v>0.84595358524248732</v>
      </c>
    </row>
    <row r="39" spans="1:15" ht="24.95" customHeight="1" x14ac:dyDescent="0.25">
      <c r="B39" s="74" t="s">
        <v>69</v>
      </c>
      <c r="C39" s="75">
        <f>IFERROR(C28+C30+C32,0)</f>
        <v>45825</v>
      </c>
      <c r="D39" s="75">
        <f>IFERROR(D28+D30+D32,0)</f>
        <v>50965</v>
      </c>
    </row>
    <row r="41" spans="1:15" ht="24.95" customHeight="1" x14ac:dyDescent="0.25">
      <c r="B41" s="71" t="s">
        <v>70</v>
      </c>
      <c r="C41" s="72">
        <f>IFERROR(C27/D27-100%,0)</f>
        <v>-2.1143988816402559E-2</v>
      </c>
      <c r="D41" s="73" t="str">
        <f>IF(C41=0,"Aguardando",IF(C41&gt;0,"Aumentou",IF(C41&lt;0,"Diminuiu")))</f>
        <v>Diminuiu</v>
      </c>
    </row>
    <row r="42" spans="1:15" ht="24.95" customHeight="1" x14ac:dyDescent="0.25">
      <c r="B42" s="71" t="s">
        <v>71</v>
      </c>
      <c r="C42" s="72">
        <f>IFERROR(C39/D39-100%,0)</f>
        <v>-0.1008535269302463</v>
      </c>
      <c r="D42" s="73" t="str">
        <f t="shared" ref="D42:D44" si="2">IF(C42=0,"Aguardando",IF(C42&gt;0,"Aumentou",IF(C42&lt;0,"Diminuiu")))</f>
        <v>Diminuiu</v>
      </c>
    </row>
    <row r="43" spans="1:15" ht="24.95" customHeight="1" x14ac:dyDescent="0.25">
      <c r="B43" s="71" t="s">
        <v>72</v>
      </c>
      <c r="C43" s="72">
        <f>IFERROR(C34/D34-100%,0)</f>
        <v>-0.11010801225213607</v>
      </c>
      <c r="D43" s="73" t="str">
        <f t="shared" si="2"/>
        <v>Diminuiu</v>
      </c>
    </row>
    <row r="44" spans="1:15" ht="24.95" customHeight="1" x14ac:dyDescent="0.25">
      <c r="B44" s="71" t="s">
        <v>73</v>
      </c>
      <c r="C44" s="72">
        <f>IFERROR(C35/D35-100%,0)</f>
        <v>0.95340501792114685</v>
      </c>
      <c r="D44" s="73" t="str">
        <f t="shared" si="2"/>
        <v>Aumentou</v>
      </c>
    </row>
    <row r="45" spans="1:15" ht="24.95" customHeight="1" thickBot="1" x14ac:dyDescent="0.3"/>
    <row r="46" spans="1:15" ht="24.95" customHeight="1" x14ac:dyDescent="0.25">
      <c r="B46" s="34" t="s">
        <v>32</v>
      </c>
      <c r="C46" s="35" t="s">
        <v>20</v>
      </c>
      <c r="D46" s="35" t="s">
        <v>21</v>
      </c>
      <c r="E46" s="35" t="s">
        <v>22</v>
      </c>
      <c r="F46" s="35" t="s">
        <v>23</v>
      </c>
      <c r="G46" s="35" t="s">
        <v>24</v>
      </c>
      <c r="H46" s="35" t="s">
        <v>25</v>
      </c>
      <c r="I46" s="35" t="s">
        <v>26</v>
      </c>
      <c r="J46" s="35" t="s">
        <v>27</v>
      </c>
      <c r="K46" s="35" t="s">
        <v>28</v>
      </c>
      <c r="L46" s="35" t="s">
        <v>29</v>
      </c>
      <c r="M46" s="35" t="s">
        <v>30</v>
      </c>
      <c r="N46" s="35" t="s">
        <v>31</v>
      </c>
      <c r="O46" s="35" t="s">
        <v>67</v>
      </c>
    </row>
    <row r="47" spans="1:15" ht="24.95" customHeight="1" x14ac:dyDescent="0.25">
      <c r="B47" s="40" t="s">
        <v>42</v>
      </c>
      <c r="C47" s="50">
        <f>IF($B$12=1,Lançamentos!D116,'Lançamentos (2)'!D116)</f>
        <v>0.44739660815233562</v>
      </c>
      <c r="D47" s="50">
        <f>IF($B$12=1,Lançamentos!E116,'Lançamentos (2)'!E116)</f>
        <v>0.49895682875942865</v>
      </c>
      <c r="E47" s="50">
        <f>IF($B$12=1,Lançamentos!F116,'Lançamentos (2)'!F116)</f>
        <v>0.65776747198111529</v>
      </c>
      <c r="F47" s="50">
        <f>IF($B$12=1,Lançamentos!G116,'Lançamentos (2)'!G116)</f>
        <v>0.56861282998708984</v>
      </c>
      <c r="G47" s="50">
        <f>IF($B$12=1,Lançamentos!H116,'Lançamentos (2)'!H116)</f>
        <v>0.41694222652364438</v>
      </c>
      <c r="H47" s="50">
        <f>IF($B$12=1,Lançamentos!I116,'Lançamentos (2)'!I116)</f>
        <v>0.51320838597969021</v>
      </c>
      <c r="I47" s="50">
        <f>IF($B$12=1,Lançamentos!J116,'Lançamentos (2)'!J116)</f>
        <v>0.553006329113924</v>
      </c>
      <c r="J47" s="50">
        <f>IF($B$12=1,Lançamentos!K116,'Lançamentos (2)'!K116)</f>
        <v>0.55521519712629741</v>
      </c>
      <c r="K47" s="50">
        <f>IF($B$12=1,Lançamentos!L116,'Lançamentos (2)'!L116)</f>
        <v>0.41916647250698974</v>
      </c>
      <c r="L47" s="50">
        <f>IF($B$12=1,Lançamentos!M116,'Lançamentos (2)'!M116)</f>
        <v>0.54120730490399993</v>
      </c>
      <c r="M47" s="50">
        <f>IF($B$12=1,Lançamentos!N116,'Lançamentos (2)'!N116)</f>
        <v>0.43268139126844873</v>
      </c>
      <c r="N47" s="50">
        <f>IF($B$12=1,Lançamentos!O116,'Lançamentos (2)'!O116)</f>
        <v>0.57113179518128221</v>
      </c>
      <c r="O47" s="50">
        <f>IF($B$12=1,Lançamentos!P116,'Lançamentos (2)'!P116)</f>
        <v>0.52145509884251207</v>
      </c>
    </row>
    <row r="48" spans="1:15" ht="24.95" customHeight="1" x14ac:dyDescent="0.25">
      <c r="B48" s="40" t="s">
        <v>43</v>
      </c>
      <c r="C48" s="50">
        <f>IF($B$12=1,Lançamentos!D117,'Lançamentos (2)'!D117)</f>
        <v>0.31828324903302591</v>
      </c>
      <c r="D48" s="50">
        <f>IF($B$12=1,Lançamentos!E117,'Lançamentos (2)'!E117)</f>
        <v>0.39265212399540755</v>
      </c>
      <c r="E48" s="50">
        <f>IF($B$12=1,Lançamentos!F117,'Lançamentos (2)'!F117)</f>
        <v>0.58539362224380864</v>
      </c>
      <c r="F48" s="50">
        <f>IF($B$12=1,Lançamentos!G117,'Lançamentos (2)'!G117)</f>
        <v>0.46172594933891287</v>
      </c>
      <c r="G48" s="50">
        <f>IF($B$12=1,Lançamentos!H117,'Lançamentos (2)'!H117)</f>
        <v>0.29718794526440306</v>
      </c>
      <c r="H48" s="50">
        <f>IF($B$12=1,Lançamentos!I117,'Lançamentos (2)'!I117)</f>
        <v>0.34390940146941834</v>
      </c>
      <c r="I48" s="50">
        <f>IF($B$12=1,Lançamentos!J117,'Lançamentos (2)'!J117)</f>
        <v>0.45516516386336048</v>
      </c>
      <c r="J48" s="50">
        <f>IF($B$12=1,Lançamentos!K117,'Lançamentos (2)'!K117)</f>
        <v>0.3988253961257906</v>
      </c>
      <c r="K48" s="50">
        <f>IF($B$12=1,Lançamentos!L117,'Lançamentos (2)'!L117)</f>
        <v>0.2578489049394222</v>
      </c>
      <c r="L48" s="50">
        <f>IF($B$12=1,Lançamentos!M117,'Lançamentos (2)'!M117)</f>
        <v>0.40264736645947796</v>
      </c>
      <c r="M48" s="50">
        <f>IF($B$12=1,Lançamentos!N117,'Lançamentos (2)'!N117)</f>
        <v>0.31143564867375373</v>
      </c>
      <c r="N48" s="50">
        <f>IF($B$12=1,Lançamentos!O117,'Lançamentos (2)'!O117)</f>
        <v>0.48003806694211038</v>
      </c>
      <c r="O48" s="50">
        <f>IF($B$12=1,Lançamentos!P117,'Lançamentos (2)'!P117)</f>
        <v>0.40023986253256538</v>
      </c>
    </row>
    <row r="49" spans="1:15" ht="24.95" customHeight="1" x14ac:dyDescent="0.25">
      <c r="B49" s="40" t="s">
        <v>44</v>
      </c>
      <c r="C49" s="50">
        <f>IF($B$12=1,Lançamentos!D118,'Lançamentos (2)'!D118)</f>
        <v>0.15404641475751266</v>
      </c>
      <c r="D49" s="50">
        <f>IF($B$12=1,Lançamentos!E118,'Lançamentos (2)'!E118)</f>
        <v>0.24941051565991382</v>
      </c>
      <c r="E49" s="50">
        <f>IF($B$12=1,Lançamentos!F118,'Lançamentos (2)'!F118)</f>
        <v>0.47105150461149586</v>
      </c>
      <c r="F49" s="50">
        <f>IF($B$12=1,Lançamentos!G118,'Lançamentos (2)'!G118)</f>
        <v>0.32387704224725106</v>
      </c>
      <c r="G49" s="50">
        <f>IF($B$12=1,Lançamentos!H118,'Lançamentos (2)'!H118)</f>
        <v>0.13911068096889534</v>
      </c>
      <c r="H49" s="50">
        <f>IF($B$12=1,Lançamentos!I118,'Lançamentos (2)'!I118)</f>
        <v>0.19390238195516871</v>
      </c>
      <c r="I49" s="50">
        <f>IF($B$12=1,Lançamentos!J118,'Lançamentos (2)'!J118)</f>
        <v>0.33321050806311775</v>
      </c>
      <c r="J49" s="50">
        <f>IF($B$12=1,Lançamentos!K118,'Lançamentos (2)'!K118)</f>
        <v>0.27167948520175417</v>
      </c>
      <c r="K49" s="50">
        <f>IF($B$12=1,Lançamentos!L118,'Lançamentos (2)'!L118)</f>
        <v>7.719303355079217E-2</v>
      </c>
      <c r="L49" s="50">
        <f>IF($B$12=1,Lançamentos!M118,'Lançamentos (2)'!M118)</f>
        <v>0.25100688892362072</v>
      </c>
      <c r="M49" s="50">
        <f>IF($B$12=1,Lançamentos!N118,'Lançamentos (2)'!N118)</f>
        <v>0.15293115904634122</v>
      </c>
      <c r="N49" s="50">
        <f>IF($B$12=1,Lançamentos!O118,'Lançamentos (2)'!O118)</f>
        <v>0.34339167169583584</v>
      </c>
      <c r="O49" s="50">
        <f>IF($B$12=1,Lançamentos!P118,'Lançamentos (2)'!P118)</f>
        <v>0.25669624635293048</v>
      </c>
    </row>
    <row r="50" spans="1:15" ht="24.95" customHeight="1" thickBot="1" x14ac:dyDescent="0.3">
      <c r="B50" s="2"/>
      <c r="C50" s="2"/>
      <c r="D50" s="2"/>
      <c r="E50" s="2"/>
      <c r="F50" s="2"/>
      <c r="G50" s="2"/>
      <c r="H50" s="2"/>
      <c r="I50" s="2"/>
      <c r="J50" s="2"/>
      <c r="K50" s="2"/>
      <c r="L50" s="2"/>
      <c r="M50" s="2"/>
      <c r="N50" s="2"/>
      <c r="O50" s="2"/>
    </row>
    <row r="51" spans="1:15" ht="24.95" customHeight="1" x14ac:dyDescent="0.25">
      <c r="B51" s="34" t="s">
        <v>32</v>
      </c>
      <c r="C51" s="35" t="s">
        <v>20</v>
      </c>
      <c r="D51" s="35" t="s">
        <v>21</v>
      </c>
      <c r="E51" s="35" t="s">
        <v>22</v>
      </c>
      <c r="F51" s="35" t="s">
        <v>23</v>
      </c>
      <c r="G51" s="35" t="s">
        <v>24</v>
      </c>
      <c r="H51" s="35" t="s">
        <v>25</v>
      </c>
      <c r="I51" s="35" t="s">
        <v>26</v>
      </c>
      <c r="J51" s="35" t="s">
        <v>27</v>
      </c>
      <c r="K51" s="35" t="s">
        <v>28</v>
      </c>
      <c r="L51" s="35" t="s">
        <v>29</v>
      </c>
      <c r="M51" s="35" t="s">
        <v>30</v>
      </c>
      <c r="N51" s="35" t="s">
        <v>31</v>
      </c>
      <c r="O51" s="35" t="str">
        <f>O46</f>
        <v>Todos</v>
      </c>
    </row>
    <row r="52" spans="1:15" ht="24.95" customHeight="1" x14ac:dyDescent="0.25">
      <c r="B52" s="40" t="s">
        <v>46</v>
      </c>
      <c r="C52" s="33">
        <f>IF($B$12=1,Lançamentos!D121,'Lançamentos (2)'!D121)</f>
        <v>7800</v>
      </c>
      <c r="D52" s="33">
        <f>IF($B$12=1,Lançamentos!E121,'Lançamentos (2)'!E121)</f>
        <v>6700</v>
      </c>
      <c r="E52" s="33">
        <f>IF($B$12=1,Lançamentos!F121,'Lançamentos (2)'!F121)</f>
        <v>8400</v>
      </c>
      <c r="F52" s="33">
        <f>IF($B$12=1,Lançamentos!G121,'Lançamentos (2)'!G121)</f>
        <v>0</v>
      </c>
      <c r="G52" s="33">
        <f>IF($B$12=1,Lançamentos!H121,'Lançamentos (2)'!H121)</f>
        <v>0</v>
      </c>
      <c r="H52" s="33">
        <f>IF($B$12=1,Lançamentos!I121,'Lançamentos (2)'!I121)</f>
        <v>0</v>
      </c>
      <c r="I52" s="33">
        <f>IF($B$12=1,Lançamentos!J121,'Lançamentos (2)'!J121)</f>
        <v>0</v>
      </c>
      <c r="J52" s="33">
        <f>IF($B$12=1,Lançamentos!K121,'Lançamentos (2)'!K121)</f>
        <v>0</v>
      </c>
      <c r="K52" s="33">
        <f>IF($B$12=1,Lançamentos!L121,'Lançamentos (2)'!L121)</f>
        <v>0</v>
      </c>
      <c r="L52" s="33">
        <f>IF($B$12=1,Lançamentos!M121,'Lançamentos (2)'!M121)</f>
        <v>0</v>
      </c>
      <c r="M52" s="33">
        <f>IF($B$12=1,Lançamentos!N121,'Lançamentos (2)'!N121)</f>
        <v>0</v>
      </c>
      <c r="N52" s="33">
        <f>IF($B$12=1,Lançamentos!O121,'Lançamentos (2)'!O121)</f>
        <v>0</v>
      </c>
      <c r="O52" s="43">
        <f>SUM(C52:N52)</f>
        <v>22900</v>
      </c>
    </row>
    <row r="53" spans="1:15" ht="24.95" customHeight="1" x14ac:dyDescent="0.25">
      <c r="B53" s="40" t="s">
        <v>47</v>
      </c>
      <c r="C53" s="33">
        <f>IF($B$12=1,Lançamentos!D122,'Lançamentos (2)'!D122)</f>
        <v>8000</v>
      </c>
      <c r="D53" s="33">
        <f>IF($B$12=1,Lançamentos!E122,'Lançamentos (2)'!E122)</f>
        <v>8400</v>
      </c>
      <c r="E53" s="33">
        <f>IF($B$12=1,Lançamentos!F122,'Lançamentos (2)'!F122)</f>
        <v>9100</v>
      </c>
      <c r="F53" s="33">
        <f>IF($B$12=1,Lançamentos!G122,'Lançamentos (2)'!G122)</f>
        <v>0</v>
      </c>
      <c r="G53" s="33">
        <f>IF($B$12=1,Lançamentos!H122,'Lançamentos (2)'!H122)</f>
        <v>0</v>
      </c>
      <c r="H53" s="33">
        <f>IF($B$12=1,Lançamentos!I122,'Lançamentos (2)'!I122)</f>
        <v>0</v>
      </c>
      <c r="I53" s="33">
        <f>IF($B$12=1,Lançamentos!J122,'Lançamentos (2)'!J122)</f>
        <v>0</v>
      </c>
      <c r="J53" s="33">
        <f>IF($B$12=1,Lançamentos!K122,'Lançamentos (2)'!K122)</f>
        <v>0</v>
      </c>
      <c r="K53" s="33">
        <f>IF($B$12=1,Lançamentos!L122,'Lançamentos (2)'!L122)</f>
        <v>0</v>
      </c>
      <c r="L53" s="33">
        <f>IF($B$12=1,Lançamentos!M122,'Lançamentos (2)'!M122)</f>
        <v>0</v>
      </c>
      <c r="M53" s="33">
        <f>IF($B$12=1,Lançamentos!N122,'Lançamentos (2)'!N122)</f>
        <v>0</v>
      </c>
      <c r="N53" s="33">
        <f>IF($B$12=1,Lançamentos!O122,'Lançamentos (2)'!O122)</f>
        <v>0</v>
      </c>
      <c r="O53" s="45">
        <f t="shared" ref="O53" si="3">SUM(C53:N53)</f>
        <v>25500</v>
      </c>
    </row>
    <row r="54" spans="1:15" ht="24.95" customHeight="1" thickBot="1" x14ac:dyDescent="0.3">
      <c r="B54" s="2"/>
      <c r="C54" s="2"/>
      <c r="D54" s="2"/>
      <c r="E54" s="2"/>
      <c r="F54" s="2"/>
      <c r="G54" s="2"/>
      <c r="H54" s="2"/>
      <c r="I54" s="2"/>
      <c r="J54" s="2"/>
      <c r="K54" s="2"/>
      <c r="L54" s="2"/>
      <c r="M54" s="2"/>
      <c r="N54" s="2"/>
      <c r="O54" s="2"/>
    </row>
    <row r="55" spans="1:15" ht="24.95" customHeight="1" x14ac:dyDescent="0.25">
      <c r="B55" s="34" t="s">
        <v>32</v>
      </c>
      <c r="C55" s="35" t="s">
        <v>20</v>
      </c>
      <c r="D55" s="35" t="s">
        <v>21</v>
      </c>
      <c r="E55" s="35" t="s">
        <v>22</v>
      </c>
      <c r="F55" s="35" t="s">
        <v>23</v>
      </c>
      <c r="G55" s="35" t="s">
        <v>24</v>
      </c>
      <c r="H55" s="35" t="s">
        <v>25</v>
      </c>
      <c r="I55" s="35" t="s">
        <v>26</v>
      </c>
      <c r="J55" s="35" t="s">
        <v>27</v>
      </c>
      <c r="K55" s="35" t="s">
        <v>28</v>
      </c>
      <c r="L55" s="35" t="s">
        <v>29</v>
      </c>
      <c r="M55" s="35" t="s">
        <v>30</v>
      </c>
      <c r="N55" s="35" t="s">
        <v>31</v>
      </c>
      <c r="O55" s="35" t="str">
        <f>O51</f>
        <v>Todos</v>
      </c>
    </row>
    <row r="56" spans="1:15" ht="24.95" customHeight="1" x14ac:dyDescent="0.25">
      <c r="B56" s="40" t="s">
        <v>48</v>
      </c>
      <c r="C56" s="33">
        <f>IF($B$12=1,Lançamentos!D125,'Lançamentos (2)'!D125)</f>
        <v>28000</v>
      </c>
      <c r="D56" s="33">
        <f>IF($B$12=1,Lançamentos!E125,'Lançamentos (2)'!E125)</f>
        <v>35000</v>
      </c>
      <c r="E56" s="33">
        <f>IF($B$12=1,Lançamentos!F125,'Lançamentos (2)'!F125)</f>
        <v>50000</v>
      </c>
      <c r="F56" s="33">
        <f>IF($B$12=1,Lançamentos!G125,'Lançamentos (2)'!G125)</f>
        <v>0</v>
      </c>
      <c r="G56" s="33">
        <f>IF($B$12=1,Lançamentos!H125,'Lançamentos (2)'!H125)</f>
        <v>0</v>
      </c>
      <c r="H56" s="33">
        <f>IF($B$12=1,Lançamentos!I125,'Lançamentos (2)'!I125)</f>
        <v>0</v>
      </c>
      <c r="I56" s="33">
        <f>IF($B$12=1,Lançamentos!J125,'Lançamentos (2)'!J125)</f>
        <v>0</v>
      </c>
      <c r="J56" s="33">
        <f>IF($B$12=1,Lançamentos!K125,'Lançamentos (2)'!K125)</f>
        <v>0</v>
      </c>
      <c r="K56" s="33">
        <f>IF($B$12=1,Lançamentos!L125,'Lançamentos (2)'!L125)</f>
        <v>0</v>
      </c>
      <c r="L56" s="33">
        <f>IF($B$12=1,Lançamentos!M125,'Lançamentos (2)'!M125)</f>
        <v>0</v>
      </c>
      <c r="M56" s="33">
        <f>IF($B$12=1,Lançamentos!N125,'Lançamentos (2)'!N125)</f>
        <v>0</v>
      </c>
      <c r="N56" s="33">
        <f>IF($B$12=1,Lançamentos!O125,'Lançamentos (2)'!O125)</f>
        <v>0</v>
      </c>
      <c r="O56" s="43">
        <f t="shared" ref="O56" si="4">SUM(C56:N56)</f>
        <v>113000</v>
      </c>
    </row>
    <row r="57" spans="1:15" ht="24.95" customHeight="1" x14ac:dyDescent="0.25">
      <c r="B57" s="36" t="s">
        <v>51</v>
      </c>
      <c r="C57" s="37">
        <f>IF($B$12=1,Lançamentos!D126,'Lançamentos (2)'!D126)</f>
        <v>0.4165426956263017</v>
      </c>
      <c r="D57" s="37">
        <f>IF($B$12=1,Lançamentos!E126,'Lançamentos (2)'!E126)</f>
        <v>0.43208276236682591</v>
      </c>
      <c r="E57" s="37">
        <f>IF($B$12=1,Lançamentos!F126,'Lançamentos (2)'!F126)</f>
        <v>0.52225320924597085</v>
      </c>
      <c r="F57" s="37">
        <f>IF($B$12=1,Lançamentos!G126,'Lançamentos (2)'!G126)</f>
        <v>0</v>
      </c>
      <c r="G57" s="37">
        <f>IF($B$12=1,Lançamentos!H126,'Lançamentos (2)'!H126)</f>
        <v>0</v>
      </c>
      <c r="H57" s="37">
        <f>IF($B$12=1,Lançamentos!I126,'Lançamentos (2)'!I126)</f>
        <v>0</v>
      </c>
      <c r="I57" s="37">
        <f>IF($B$12=1,Lançamentos!J126,'Lançamentos (2)'!J126)</f>
        <v>0</v>
      </c>
      <c r="J57" s="37">
        <f>IF($B$12=1,Lançamentos!K126,'Lançamentos (2)'!K126)</f>
        <v>0</v>
      </c>
      <c r="K57" s="37">
        <f>IF($B$12=1,Lançamentos!L126,'Lançamentos (2)'!L126)</f>
        <v>0</v>
      </c>
      <c r="L57" s="37">
        <f>IF($B$12=1,Lançamentos!M126,'Lançamentos (2)'!M126)</f>
        <v>0</v>
      </c>
      <c r="M57" s="37">
        <f>IF($B$12=1,Lançamentos!N126,'Lançamentos (2)'!N126)</f>
        <v>0</v>
      </c>
      <c r="N57" s="37">
        <f>IF($B$12=1,Lançamentos!O126,'Lançamentos (2)'!O126)</f>
        <v>0</v>
      </c>
      <c r="O57" s="51">
        <f>IF($B$12=1,Lançamentos!P126,'Lançamentos (2)'!P126)</f>
        <v>0.11388431168019673</v>
      </c>
    </row>
    <row r="58" spans="1:15" ht="24.95" customHeight="1" x14ac:dyDescent="0.25">
      <c r="B58" s="40" t="s">
        <v>49</v>
      </c>
      <c r="C58" s="33">
        <f>IF($B$12=1,Lançamentos!D127,'Lançamentos (2)'!D127)</f>
        <v>15000</v>
      </c>
      <c r="D58" s="33">
        <f>IF($B$12=1,Lançamentos!E127,'Lançamentos (2)'!E127)</f>
        <v>21800</v>
      </c>
      <c r="E58" s="33">
        <f>IF($B$12=1,Lançamentos!F127,'Lançamentos (2)'!F127)</f>
        <v>24900</v>
      </c>
      <c r="F58" s="33">
        <f>IF($B$12=1,Lançamentos!G127,'Lançamentos (2)'!G127)</f>
        <v>0</v>
      </c>
      <c r="G58" s="33">
        <f>IF($B$12=1,Lançamentos!H127,'Lançamentos (2)'!H127)</f>
        <v>0</v>
      </c>
      <c r="H58" s="33">
        <f>IF($B$12=1,Lançamentos!I127,'Lançamentos (2)'!I127)</f>
        <v>0</v>
      </c>
      <c r="I58" s="33">
        <f>IF($B$12=1,Lançamentos!J127,'Lançamentos (2)'!J127)</f>
        <v>0</v>
      </c>
      <c r="J58" s="33">
        <f>IF($B$12=1,Lançamentos!K127,'Lançamentos (2)'!K127)</f>
        <v>0</v>
      </c>
      <c r="K58" s="33">
        <f>IF($B$12=1,Lançamentos!L127,'Lançamentos (2)'!L127)</f>
        <v>0</v>
      </c>
      <c r="L58" s="33">
        <f>IF($B$12=1,Lançamentos!M127,'Lançamentos (2)'!M127)</f>
        <v>0</v>
      </c>
      <c r="M58" s="33">
        <f>IF($B$12=1,Lançamentos!N127,'Lançamentos (2)'!N127)</f>
        <v>0</v>
      </c>
      <c r="N58" s="33">
        <f>IF($B$12=1,Lançamentos!O127,'Lançamentos (2)'!O127)</f>
        <v>0</v>
      </c>
      <c r="O58" s="44">
        <f>SUM(C58:N58)</f>
        <v>61700</v>
      </c>
    </row>
    <row r="59" spans="1:15" ht="24.95" customHeight="1" x14ac:dyDescent="0.25">
      <c r="B59" s="36" t="s">
        <v>50</v>
      </c>
      <c r="C59" s="37">
        <f>IF($B$12=1,Lançamentos!D128,'Lançamentos (2)'!D128)</f>
        <v>0.70475474534861871</v>
      </c>
      <c r="D59" s="37">
        <f>IF($B$12=1,Lançamentos!E128,'Lançamentos (2)'!E128)</f>
        <v>0.775083552584797</v>
      </c>
      <c r="E59" s="37">
        <f>IF($B$12=1,Lançamentos!F128,'Lançamentos (2)'!F128)</f>
        <v>1.4352412242780563</v>
      </c>
      <c r="F59" s="37">
        <f>IF($B$12=1,Lançamentos!G128,'Lançamentos (2)'!G128)</f>
        <v>0</v>
      </c>
      <c r="G59" s="37">
        <f>IF($B$12=1,Lançamentos!H128,'Lançamentos (2)'!H128)</f>
        <v>0</v>
      </c>
      <c r="H59" s="37">
        <f>IF($B$12=1,Lançamentos!I128,'Lançamentos (2)'!I128)</f>
        <v>0</v>
      </c>
      <c r="I59" s="37">
        <f>IF($B$12=1,Lançamentos!J128,'Lançamentos (2)'!J128)</f>
        <v>0</v>
      </c>
      <c r="J59" s="37">
        <f>IF($B$12=1,Lançamentos!K128,'Lançamentos (2)'!K128)</f>
        <v>0</v>
      </c>
      <c r="K59" s="37">
        <f>IF($B$12=1,Lançamentos!L128,'Lançamentos (2)'!L128)</f>
        <v>0</v>
      </c>
      <c r="L59" s="37">
        <f>IF($B$12=1,Lançamentos!M128,'Lançamentos (2)'!M128)</f>
        <v>0</v>
      </c>
      <c r="M59" s="37">
        <f>IF($B$12=1,Lançamentos!N128,'Lançamentos (2)'!N128)</f>
        <v>0</v>
      </c>
      <c r="N59" s="37">
        <f>IF($B$12=1,Lançamentos!O128,'Lançamentos (2)'!O128)</f>
        <v>0</v>
      </c>
      <c r="O59" s="46">
        <f>IF($B$12=1,Lançamentos!P128,'Lançamentos (2)'!P128)</f>
        <v>0.20922062772970187</v>
      </c>
    </row>
    <row r="60" spans="1:15" ht="24.95" customHeight="1" thickBot="1" x14ac:dyDescent="0.3"/>
    <row r="61" spans="1:15" ht="24.95" customHeight="1" x14ac:dyDescent="0.25">
      <c r="B61" s="34" t="s">
        <v>32</v>
      </c>
      <c r="C61" s="35" t="str">
        <f>C13</f>
        <v>Jan</v>
      </c>
    </row>
    <row r="62" spans="1:15" ht="24.95" customHeight="1" x14ac:dyDescent="0.25">
      <c r="A62" s="20">
        <v>2</v>
      </c>
      <c r="B62" s="40" t="s">
        <v>42</v>
      </c>
      <c r="C62" s="50">
        <f>IFERROR(HLOOKUP($C$61,$C$46:$O$49,A62,0),0)</f>
        <v>0.44739660815233562</v>
      </c>
      <c r="D62" s="79">
        <f>IF(C62=0,100%,100%-C62)</f>
        <v>0.55260339184766438</v>
      </c>
    </row>
    <row r="63" spans="1:15" ht="24.95" customHeight="1" x14ac:dyDescent="0.25">
      <c r="A63" s="20">
        <v>3</v>
      </c>
      <c r="B63" s="40" t="s">
        <v>43</v>
      </c>
      <c r="C63" s="50">
        <f t="shared" ref="C63:C64" si="5">IFERROR(HLOOKUP($C$61,$C$46:$O$49,A63,0),0)</f>
        <v>0.31828324903302591</v>
      </c>
      <c r="D63" s="80">
        <f>IF(C63=0,100%,100%-C63)</f>
        <v>0.68171675096697415</v>
      </c>
    </row>
    <row r="64" spans="1:15" ht="24.95" customHeight="1" x14ac:dyDescent="0.25">
      <c r="A64" s="20">
        <v>4</v>
      </c>
      <c r="B64" s="40" t="s">
        <v>44</v>
      </c>
      <c r="C64" s="50">
        <f t="shared" si="5"/>
        <v>0.15404641475751266</v>
      </c>
      <c r="D64" s="80">
        <f>IF(C64=0,100%,100%-C64)</f>
        <v>0.84595358524248732</v>
      </c>
    </row>
    <row r="65" spans="1:15" ht="24.95" customHeight="1" thickBot="1" x14ac:dyDescent="0.3">
      <c r="B65" s="2"/>
      <c r="C65" s="2"/>
    </row>
    <row r="66" spans="1:15" ht="24.95" customHeight="1" x14ac:dyDescent="0.25">
      <c r="B66" s="34" t="s">
        <v>32</v>
      </c>
      <c r="C66" s="35" t="str">
        <f>C61</f>
        <v>Jan</v>
      </c>
      <c r="D66" s="35" t="str">
        <f>D13</f>
        <v>Set</v>
      </c>
    </row>
    <row r="67" spans="1:15" ht="24.95" customHeight="1" x14ac:dyDescent="0.25">
      <c r="A67" s="20">
        <v>2</v>
      </c>
      <c r="B67" s="40" t="s">
        <v>46</v>
      </c>
      <c r="C67" s="77">
        <f>IFERROR(HLOOKUP($C$61,$C$51:$O$53,A67,0),0)</f>
        <v>7800</v>
      </c>
      <c r="D67" s="77">
        <f>IFERROR(HLOOKUP($D$66,$C$51:$O$53,A67,0),0)</f>
        <v>0</v>
      </c>
      <c r="E67" s="73" t="str">
        <f>IF(F67=0,"Aguardando",IF(F67&gt;0,"Aumentou",IF(F67&lt;0,"Diminuiu")))</f>
        <v>Aguardando</v>
      </c>
      <c r="F67" s="81">
        <f>IF(C67=0,0,IFERROR(C67/D67-100%,0))</f>
        <v>0</v>
      </c>
    </row>
    <row r="68" spans="1:15" ht="24.95" customHeight="1" x14ac:dyDescent="0.25">
      <c r="A68" s="20">
        <v>3</v>
      </c>
      <c r="B68" s="40" t="s">
        <v>47</v>
      </c>
      <c r="C68" s="76">
        <f>IFERROR(HLOOKUP($C$61,$C$51:$O$53,A68,0),0)</f>
        <v>8000</v>
      </c>
      <c r="D68" s="78">
        <f>IFERROR(HLOOKUP($D$66,$C$51:$O$53,A68,0),0)</f>
        <v>0</v>
      </c>
      <c r="E68" s="73" t="str">
        <f>IF(F68=0,"Aguardando",IF(F68&gt;0,"Aumentou",IF(F68&lt;0,"Diminuiu")))</f>
        <v>Aguardando</v>
      </c>
      <c r="F68" s="81">
        <f>IF(C68=0,0,IFERROR(C68/D68-100%,0))</f>
        <v>0</v>
      </c>
    </row>
    <row r="69" spans="1:15" ht="24.95" customHeight="1" thickBot="1" x14ac:dyDescent="0.3">
      <c r="B69" s="2"/>
      <c r="C69" s="2"/>
    </row>
    <row r="70" spans="1:15" ht="24.95" customHeight="1" x14ac:dyDescent="0.25">
      <c r="B70" s="34" t="s">
        <v>32</v>
      </c>
      <c r="C70" s="35" t="str">
        <f>C66</f>
        <v>Jan</v>
      </c>
    </row>
    <row r="71" spans="1:15" ht="24.95" customHeight="1" x14ac:dyDescent="0.25">
      <c r="A71" s="20">
        <v>2</v>
      </c>
      <c r="B71" s="40" t="str">
        <f>Lançamentos!C125</f>
        <v>Receita Esperada</v>
      </c>
      <c r="C71" s="77">
        <f>IFERROR(HLOOKUP($C$61,$C$55:$O$59,A71,0),0)</f>
        <v>28000</v>
      </c>
    </row>
    <row r="72" spans="1:15" ht="24.95" customHeight="1" x14ac:dyDescent="0.25">
      <c r="A72" s="20">
        <v>3</v>
      </c>
      <c r="B72" s="40" t="str">
        <f>Lançamentos!C126</f>
        <v>Percentual da Receita          Realizada</v>
      </c>
      <c r="C72" s="51">
        <f>IFERROR(HLOOKUP($C$61,$C$55:$O$59,A72,0),0)</f>
        <v>0.4165426956263017</v>
      </c>
      <c r="D72" s="79">
        <f>IF(C72=0,100%,100%-C72)</f>
        <v>0.58345730437369836</v>
      </c>
    </row>
    <row r="73" spans="1:15" ht="24.95" customHeight="1" x14ac:dyDescent="0.25">
      <c r="A73" s="20">
        <v>4</v>
      </c>
      <c r="B73" s="40" t="str">
        <f>Lançamentos!C127</f>
        <v>Despesa Esperada</v>
      </c>
      <c r="C73" s="78">
        <f>IFERROR(HLOOKUP($C$61,$C$55:$O$59,A73,0),0)</f>
        <v>15000</v>
      </c>
    </row>
    <row r="74" spans="1:15" ht="24.95" customHeight="1" x14ac:dyDescent="0.25">
      <c r="A74" s="20">
        <v>5</v>
      </c>
      <c r="B74" s="40" t="str">
        <f>Lançamentos!C128</f>
        <v>Percentual da Despesa  Realizada</v>
      </c>
      <c r="C74" s="51">
        <f>IFERROR(HLOOKUP($C$61,$C$55:$O$59,A74,0),0)</f>
        <v>0.70475474534861871</v>
      </c>
      <c r="D74" s="79">
        <f>IF(C74=0,100%,100%-C74)</f>
        <v>0.29524525465138129</v>
      </c>
    </row>
    <row r="75" spans="1:15" ht="24.95" customHeight="1" thickBot="1" x14ac:dyDescent="0.3"/>
    <row r="76" spans="1:15" ht="24.95" customHeight="1" x14ac:dyDescent="0.25">
      <c r="B76" s="34" t="s">
        <v>32</v>
      </c>
      <c r="C76" s="35" t="s">
        <v>20</v>
      </c>
      <c r="D76" s="35" t="s">
        <v>21</v>
      </c>
      <c r="E76" s="35" t="s">
        <v>22</v>
      </c>
      <c r="F76" s="35" t="s">
        <v>23</v>
      </c>
      <c r="G76" s="35" t="s">
        <v>24</v>
      </c>
      <c r="H76" s="35" t="s">
        <v>25</v>
      </c>
      <c r="I76" s="35" t="s">
        <v>26</v>
      </c>
      <c r="J76" s="35" t="s">
        <v>27</v>
      </c>
      <c r="K76" s="35" t="s">
        <v>28</v>
      </c>
      <c r="L76" s="35" t="s">
        <v>29</v>
      </c>
      <c r="M76" s="35" t="s">
        <v>30</v>
      </c>
      <c r="N76" s="35" t="s">
        <v>31</v>
      </c>
      <c r="O76" s="35" t="s">
        <v>33</v>
      </c>
    </row>
    <row r="77" spans="1:15" ht="24.95" customHeight="1" x14ac:dyDescent="0.25">
      <c r="B77" s="40" t="s">
        <v>45</v>
      </c>
      <c r="C77" s="33">
        <f>IF($B$12=1,Metas!D5,Metas2!D5)</f>
        <v>5500</v>
      </c>
      <c r="D77" s="33">
        <f>IF($B$12=1,Metas!E5,Metas2!E5)</f>
        <v>6500</v>
      </c>
      <c r="E77" s="33">
        <f>IF($B$12=1,Metas!F5,Metas2!F5)</f>
        <v>7000</v>
      </c>
      <c r="F77" s="33">
        <f>IF($B$12=1,Metas!G5,Metas2!G5)</f>
        <v>0</v>
      </c>
      <c r="G77" s="33">
        <f>IF($B$12=1,Metas!H5,Metas2!H5)</f>
        <v>0</v>
      </c>
      <c r="H77" s="33">
        <f>IF($B$12=1,Metas!I5,Metas2!I5)</f>
        <v>0</v>
      </c>
      <c r="I77" s="33">
        <f>IF($B$12=1,Metas!J5,Metas2!J5)</f>
        <v>0</v>
      </c>
      <c r="J77" s="33">
        <f>IF($B$12=1,Metas!K5,Metas2!K5)</f>
        <v>0</v>
      </c>
      <c r="K77" s="33">
        <f>IF($B$12=1,Metas!L5,Metas2!L5)</f>
        <v>0</v>
      </c>
      <c r="L77" s="33">
        <f>IF($B$12=1,Metas!M5,Metas2!M5)</f>
        <v>0</v>
      </c>
      <c r="M77" s="33">
        <f>IF($B$12=1,Metas!N5,Metas2!N5)</f>
        <v>0</v>
      </c>
      <c r="N77" s="33">
        <f>IF($B$12=1,Metas!O5,Metas2!O5)</f>
        <v>0</v>
      </c>
      <c r="O77" s="43">
        <f>SUM(C77:N77)</f>
        <v>19000</v>
      </c>
    </row>
    <row r="78" spans="1:15" ht="24.95" customHeight="1" x14ac:dyDescent="0.25">
      <c r="B78" s="40" t="s">
        <v>55</v>
      </c>
      <c r="C78" s="33">
        <f>IF($B$12=1,Metas!D6,Metas2!D6)</f>
        <v>0</v>
      </c>
      <c r="D78" s="33">
        <f>IF($B$12=1,Metas!E6,Metas2!E6)</f>
        <v>0</v>
      </c>
      <c r="E78" s="33">
        <f>IF($B$12=1,Metas!F6,Metas2!F6)</f>
        <v>0</v>
      </c>
      <c r="F78" s="33">
        <f>IF($B$12=1,Metas!G6,Metas2!G6)</f>
        <v>0</v>
      </c>
      <c r="G78" s="33">
        <f>IF($B$12=1,Metas!H6,Metas2!H6)</f>
        <v>0</v>
      </c>
      <c r="H78" s="33">
        <f>IF($B$12=1,Metas!I6,Metas2!I6)</f>
        <v>0</v>
      </c>
      <c r="I78" s="33">
        <f>IF($B$12=1,Metas!J6,Metas2!J6)</f>
        <v>0</v>
      </c>
      <c r="J78" s="33">
        <f>IF($B$12=1,Metas!K6,Metas2!K6)</f>
        <v>0</v>
      </c>
      <c r="K78" s="33">
        <f>IF($B$12=1,Metas!L6,Metas2!L6)</f>
        <v>0</v>
      </c>
      <c r="L78" s="33">
        <f>IF($B$12=1,Metas!M6,Metas2!M6)</f>
        <v>0</v>
      </c>
      <c r="M78" s="33">
        <f>IF($B$12=1,Metas!N6,Metas2!N6)</f>
        <v>0</v>
      </c>
      <c r="N78" s="33">
        <f>IF($B$12=1,Metas!O6,Metas2!O6)</f>
        <v>0</v>
      </c>
      <c r="O78" s="44">
        <f>SUM(C78:N78)</f>
        <v>0</v>
      </c>
    </row>
    <row r="79" spans="1:15" ht="24.95" customHeight="1" x14ac:dyDescent="0.25">
      <c r="B79" s="40" t="s">
        <v>56</v>
      </c>
      <c r="C79" s="33">
        <f>IF($B$12=1,Metas!D7,Metas2!D7)</f>
        <v>0</v>
      </c>
      <c r="D79" s="33">
        <f>IF($B$12=1,Metas!E7,Metas2!E7)</f>
        <v>0</v>
      </c>
      <c r="E79" s="33">
        <f>IF($B$12=1,Metas!F7,Metas2!F7)</f>
        <v>0</v>
      </c>
      <c r="F79" s="33">
        <f>IF($B$12=1,Metas!G7,Metas2!G7)</f>
        <v>0</v>
      </c>
      <c r="G79" s="33">
        <f>IF($B$12=1,Metas!H7,Metas2!H7)</f>
        <v>0</v>
      </c>
      <c r="H79" s="33">
        <f>IF($B$12=1,Metas!I7,Metas2!I7)</f>
        <v>0</v>
      </c>
      <c r="I79" s="33">
        <f>IF($B$12=1,Metas!J7,Metas2!J7)</f>
        <v>0</v>
      </c>
      <c r="J79" s="33">
        <f>IF($B$12=1,Metas!K7,Metas2!K7)</f>
        <v>0</v>
      </c>
      <c r="K79" s="33">
        <f>IF($B$12=1,Metas!L7,Metas2!L7)</f>
        <v>0</v>
      </c>
      <c r="L79" s="33">
        <f>IF($B$12=1,Metas!M7,Metas2!M7)</f>
        <v>0</v>
      </c>
      <c r="M79" s="33">
        <f>IF($B$12=1,Metas!N7,Metas2!N7)</f>
        <v>0</v>
      </c>
      <c r="N79" s="33">
        <f>IF($B$12=1,Metas!O7,Metas2!O7)</f>
        <v>0</v>
      </c>
      <c r="O79" s="45">
        <f>SUM(C79:N79)</f>
        <v>0</v>
      </c>
    </row>
    <row r="80" spans="1:15" ht="24.95" customHeight="1" thickBot="1" x14ac:dyDescent="0.3">
      <c r="B80" s="26"/>
      <c r="C80" s="2"/>
      <c r="D80" s="2"/>
      <c r="E80" s="2"/>
      <c r="F80" s="2"/>
      <c r="G80" s="2"/>
      <c r="H80" s="2"/>
      <c r="I80" s="2"/>
      <c r="J80" s="2"/>
      <c r="K80" s="2"/>
      <c r="L80" s="2"/>
      <c r="M80" s="2"/>
      <c r="N80" s="2"/>
      <c r="O80" s="2"/>
    </row>
    <row r="81" spans="2:15" ht="24.95" customHeight="1" x14ac:dyDescent="0.25">
      <c r="B81" s="34" t="s">
        <v>32</v>
      </c>
      <c r="C81" s="35" t="s">
        <v>20</v>
      </c>
      <c r="D81" s="35" t="s">
        <v>21</v>
      </c>
      <c r="E81" s="35" t="s">
        <v>22</v>
      </c>
      <c r="F81" s="35" t="s">
        <v>23</v>
      </c>
      <c r="G81" s="35" t="s">
        <v>24</v>
      </c>
      <c r="H81" s="35" t="s">
        <v>25</v>
      </c>
      <c r="I81" s="35" t="s">
        <v>26</v>
      </c>
      <c r="J81" s="35" t="s">
        <v>27</v>
      </c>
      <c r="K81" s="35" t="s">
        <v>28</v>
      </c>
      <c r="L81" s="35" t="s">
        <v>29</v>
      </c>
      <c r="M81" s="35" t="s">
        <v>30</v>
      </c>
      <c r="N81" s="35" t="s">
        <v>31</v>
      </c>
      <c r="O81" s="35" t="s">
        <v>33</v>
      </c>
    </row>
    <row r="82" spans="2:15" ht="24.95" customHeight="1" x14ac:dyDescent="0.25">
      <c r="B82" s="40" t="s">
        <v>52</v>
      </c>
      <c r="C82" s="38">
        <f>IF($B$12=1,Metas!D10,Metas2!D10)</f>
        <v>0.7</v>
      </c>
      <c r="D82" s="38">
        <f>IF($B$12=1,Metas!E10,Metas2!E10)</f>
        <v>0.7</v>
      </c>
      <c r="E82" s="38">
        <f>IF($B$12=1,Metas!F10,Metas2!F10)</f>
        <v>0.7</v>
      </c>
      <c r="F82" s="38">
        <f>IF($B$12=1,Metas!G10,Metas2!G10)</f>
        <v>0</v>
      </c>
      <c r="G82" s="38">
        <f>IF($B$12=1,Metas!H10,Metas2!H10)</f>
        <v>0</v>
      </c>
      <c r="H82" s="38">
        <f>IF($B$12=1,Metas!I10,Metas2!I10)</f>
        <v>0</v>
      </c>
      <c r="I82" s="38">
        <f>IF($B$12=1,Metas!J10,Metas2!J10)</f>
        <v>0</v>
      </c>
      <c r="J82" s="38">
        <f>IF($B$12=1,Metas!K10,Metas2!K10)</f>
        <v>0</v>
      </c>
      <c r="K82" s="38">
        <f>IF($B$12=1,Metas!L10,Metas2!L10)</f>
        <v>0</v>
      </c>
      <c r="L82" s="38">
        <f>IF($B$12=1,Metas!M10,Metas2!M10)</f>
        <v>0</v>
      </c>
      <c r="M82" s="38">
        <f>IF($B$12=1,Metas!N10,Metas2!N10)</f>
        <v>0</v>
      </c>
      <c r="N82" s="38">
        <f>IF($B$12=1,Metas!O10,Metas2!O10)</f>
        <v>0</v>
      </c>
      <c r="O82" s="51">
        <f>SUM(C82:N82)</f>
        <v>2.0999999999999996</v>
      </c>
    </row>
    <row r="83" spans="2:15" ht="24.95" customHeight="1" x14ac:dyDescent="0.25">
      <c r="B83" s="40" t="s">
        <v>53</v>
      </c>
      <c r="C83" s="38">
        <f>IF($B$12=1,Metas!D11,Metas2!D11)</f>
        <v>0.5</v>
      </c>
      <c r="D83" s="38">
        <f>IF($B$12=1,Metas!E11,Metas2!E11)</f>
        <v>0.5</v>
      </c>
      <c r="E83" s="38">
        <f>IF($B$12=1,Metas!F11,Metas2!F11)</f>
        <v>0.5</v>
      </c>
      <c r="F83" s="38">
        <f>IF($B$12=1,Metas!G11,Metas2!G11)</f>
        <v>0</v>
      </c>
      <c r="G83" s="38">
        <f>IF($B$12=1,Metas!H11,Metas2!H11)</f>
        <v>0</v>
      </c>
      <c r="H83" s="38">
        <f>IF($B$12=1,Metas!I11,Metas2!I11)</f>
        <v>0</v>
      </c>
      <c r="I83" s="38">
        <f>IF($B$12=1,Metas!J11,Metas2!J11)</f>
        <v>0</v>
      </c>
      <c r="J83" s="38">
        <f>IF($B$12=1,Metas!K11,Metas2!K11)</f>
        <v>0</v>
      </c>
      <c r="K83" s="38">
        <f>IF($B$12=1,Metas!L11,Metas2!L11)</f>
        <v>0</v>
      </c>
      <c r="L83" s="38">
        <f>IF($B$12=1,Metas!M11,Metas2!M11)</f>
        <v>0</v>
      </c>
      <c r="M83" s="38">
        <f>IF($B$12=1,Metas!N11,Metas2!N11)</f>
        <v>0</v>
      </c>
      <c r="N83" s="38">
        <f>IF($B$12=1,Metas!O11,Metas2!O11)</f>
        <v>0</v>
      </c>
      <c r="O83" s="51">
        <f>SUM(C83:N83)</f>
        <v>1.5</v>
      </c>
    </row>
    <row r="84" spans="2:15" ht="24.95" customHeight="1" x14ac:dyDescent="0.25">
      <c r="B84" s="40" t="s">
        <v>54</v>
      </c>
      <c r="C84" s="38">
        <f>IF($B$12=1,Metas!D12,Metas2!D12)</f>
        <v>0.3</v>
      </c>
      <c r="D84" s="38">
        <f>IF($B$12=1,Metas!E12,Metas2!E12)</f>
        <v>0.3</v>
      </c>
      <c r="E84" s="38">
        <f>IF($B$12=1,Metas!F12,Metas2!F12)</f>
        <v>0.3</v>
      </c>
      <c r="F84" s="38">
        <f>IF($B$12=1,Metas!G12,Metas2!G12)</f>
        <v>0</v>
      </c>
      <c r="G84" s="38">
        <f>IF($B$12=1,Metas!H12,Metas2!H12)</f>
        <v>0</v>
      </c>
      <c r="H84" s="38">
        <f>IF($B$12=1,Metas!I12,Metas2!I12)</f>
        <v>0</v>
      </c>
      <c r="I84" s="38">
        <f>IF($B$12=1,Metas!J12,Metas2!J12)</f>
        <v>0</v>
      </c>
      <c r="J84" s="38">
        <f>IF($B$12=1,Metas!K12,Metas2!K12)</f>
        <v>0</v>
      </c>
      <c r="K84" s="38">
        <f>IF($B$12=1,Metas!L12,Metas2!L12)</f>
        <v>0</v>
      </c>
      <c r="L84" s="38">
        <f>IF($B$12=1,Metas!M12,Metas2!M12)</f>
        <v>0</v>
      </c>
      <c r="M84" s="38">
        <f>IF($B$12=1,Metas!N12,Metas2!N12)</f>
        <v>0</v>
      </c>
      <c r="N84" s="38">
        <f>IF($B$12=1,Metas!O12,Metas2!O12)</f>
        <v>0</v>
      </c>
      <c r="O84" s="52">
        <f>SUM(C84:N84)</f>
        <v>0.89999999999999991</v>
      </c>
    </row>
    <row r="86" spans="2:15" ht="24.95" customHeight="1" x14ac:dyDescent="0.25">
      <c r="B86" s="71">
        <f>B12</f>
        <v>1</v>
      </c>
      <c r="C86" s="71">
        <f>INDEX(C4:C5,B86)</f>
        <v>2025</v>
      </c>
    </row>
    <row r="87" spans="2:15" ht="24.95" customHeight="1" thickBot="1" x14ac:dyDescent="0.3"/>
    <row r="88" spans="2:15" ht="24.95" customHeight="1" x14ac:dyDescent="0.25">
      <c r="B88" s="34" t="s">
        <v>32</v>
      </c>
      <c r="C88" s="35" t="s">
        <v>20</v>
      </c>
      <c r="D88" s="35" t="s">
        <v>21</v>
      </c>
      <c r="E88" s="35" t="s">
        <v>22</v>
      </c>
      <c r="F88" s="35" t="s">
        <v>23</v>
      </c>
      <c r="G88" s="35" t="s">
        <v>24</v>
      </c>
      <c r="H88" s="35" t="s">
        <v>25</v>
      </c>
      <c r="I88" s="35" t="s">
        <v>26</v>
      </c>
      <c r="J88" s="35" t="s">
        <v>27</v>
      </c>
      <c r="K88" s="35" t="s">
        <v>28</v>
      </c>
      <c r="L88" s="35" t="s">
        <v>29</v>
      </c>
      <c r="M88" s="35" t="s">
        <v>30</v>
      </c>
      <c r="N88" s="35" t="s">
        <v>31</v>
      </c>
      <c r="O88" s="35" t="s">
        <v>67</v>
      </c>
    </row>
    <row r="89" spans="2:15" ht="24.95" customHeight="1" x14ac:dyDescent="0.25">
      <c r="B89" s="39" t="s">
        <v>78</v>
      </c>
      <c r="C89" s="33">
        <f>C16</f>
        <v>67220</v>
      </c>
      <c r="D89" s="33">
        <f t="shared" ref="D89:N89" si="6">D16</f>
        <v>81003</v>
      </c>
      <c r="E89" s="33">
        <f t="shared" si="6"/>
        <v>95739</v>
      </c>
      <c r="F89" s="33">
        <f t="shared" si="6"/>
        <v>89852</v>
      </c>
      <c r="G89" s="33">
        <f t="shared" si="6"/>
        <v>74394</v>
      </c>
      <c r="H89" s="33">
        <f t="shared" si="6"/>
        <v>85476</v>
      </c>
      <c r="I89" s="33">
        <f t="shared" si="6"/>
        <v>92272</v>
      </c>
      <c r="J89" s="33">
        <f t="shared" si="6"/>
        <v>90754</v>
      </c>
      <c r="K89" s="33">
        <f t="shared" si="6"/>
        <v>68672</v>
      </c>
      <c r="L89" s="33">
        <f t="shared" si="6"/>
        <v>83177</v>
      </c>
      <c r="M89" s="33">
        <f t="shared" si="6"/>
        <v>77512</v>
      </c>
      <c r="N89" s="33">
        <f t="shared" si="6"/>
        <v>86164</v>
      </c>
      <c r="O89" s="43">
        <f>SUM(C89:N89)</f>
        <v>992235</v>
      </c>
    </row>
    <row r="90" spans="2:15" ht="24.95" customHeight="1" x14ac:dyDescent="0.25">
      <c r="B90" s="40" t="s">
        <v>79</v>
      </c>
      <c r="C90" s="33">
        <f>-IFERROR(C17+C19+C21+C23,0)</f>
        <v>-56865</v>
      </c>
      <c r="D90" s="33">
        <f t="shared" ref="D90:N90" si="7">-IFERROR(D17+D19+D21+D23,0)</f>
        <v>-60800</v>
      </c>
      <c r="E90" s="33">
        <f t="shared" si="7"/>
        <v>-50641</v>
      </c>
      <c r="F90" s="33">
        <f t="shared" si="7"/>
        <v>-60751</v>
      </c>
      <c r="G90" s="33">
        <f t="shared" si="7"/>
        <v>-64045</v>
      </c>
      <c r="H90" s="33">
        <f t="shared" si="7"/>
        <v>-68902</v>
      </c>
      <c r="I90" s="33">
        <f t="shared" si="7"/>
        <v>-61526</v>
      </c>
      <c r="J90" s="33">
        <f t="shared" si="7"/>
        <v>-66098</v>
      </c>
      <c r="K90" s="33">
        <f t="shared" si="7"/>
        <v>-63371</v>
      </c>
      <c r="L90" s="33">
        <f t="shared" si="7"/>
        <v>-62299</v>
      </c>
      <c r="M90" s="33">
        <f t="shared" si="7"/>
        <v>-65658</v>
      </c>
      <c r="N90" s="33">
        <f t="shared" si="7"/>
        <v>-56576</v>
      </c>
      <c r="O90" s="43">
        <f>SUM(C90:N90)*-1</f>
        <v>737532</v>
      </c>
    </row>
    <row r="91" spans="2:15" ht="24.95" customHeight="1" x14ac:dyDescent="0.25">
      <c r="B91" s="67" t="s">
        <v>80</v>
      </c>
      <c r="C91" s="68">
        <f>IF(IFERROR(C24,0)=0,"",IFERROR(C24,0))</f>
        <v>10355</v>
      </c>
      <c r="D91" s="68">
        <f t="shared" ref="D91:N91" si="8">IF(IFERROR(D24,0)=0,"",IFERROR(D24,0))</f>
        <v>20203</v>
      </c>
      <c r="E91" s="68">
        <f t="shared" si="8"/>
        <v>45098</v>
      </c>
      <c r="F91" s="68">
        <f t="shared" si="8"/>
        <v>29101</v>
      </c>
      <c r="G91" s="68">
        <f t="shared" si="8"/>
        <v>10349</v>
      </c>
      <c r="H91" s="68">
        <f t="shared" si="8"/>
        <v>16574</v>
      </c>
      <c r="I91" s="68">
        <f t="shared" si="8"/>
        <v>30746</v>
      </c>
      <c r="J91" s="68">
        <f t="shared" si="8"/>
        <v>24656</v>
      </c>
      <c r="K91" s="68">
        <f t="shared" si="8"/>
        <v>5301</v>
      </c>
      <c r="L91" s="68">
        <f t="shared" si="8"/>
        <v>20878</v>
      </c>
      <c r="M91" s="68">
        <f t="shared" si="8"/>
        <v>11854</v>
      </c>
      <c r="N91" s="68">
        <f t="shared" si="8"/>
        <v>29588</v>
      </c>
      <c r="O91" s="43">
        <f t="shared" ref="O91:O92" si="9">SUM(C91:N91)</f>
        <v>254703</v>
      </c>
    </row>
    <row r="92" spans="2:15" ht="24.95" customHeight="1" x14ac:dyDescent="0.25">
      <c r="B92" s="40" t="s">
        <v>81</v>
      </c>
      <c r="C92" s="38">
        <f>IFERROR(C91/C89,0)</f>
        <v>0.15404641475751266</v>
      </c>
      <c r="D92" s="38">
        <f t="shared" ref="D92:N92" si="10">IFERROR(D91/D89,0)</f>
        <v>0.24941051565991382</v>
      </c>
      <c r="E92" s="38">
        <f t="shared" si="10"/>
        <v>0.47105150461149586</v>
      </c>
      <c r="F92" s="38">
        <f t="shared" si="10"/>
        <v>0.32387704224725106</v>
      </c>
      <c r="G92" s="38">
        <f t="shared" si="10"/>
        <v>0.13911068096889534</v>
      </c>
      <c r="H92" s="38">
        <f t="shared" si="10"/>
        <v>0.19390238195516871</v>
      </c>
      <c r="I92" s="38">
        <f t="shared" si="10"/>
        <v>0.33321050806311775</v>
      </c>
      <c r="J92" s="38">
        <f t="shared" si="10"/>
        <v>0.27167948520175417</v>
      </c>
      <c r="K92" s="38">
        <f t="shared" si="10"/>
        <v>7.719303355079217E-2</v>
      </c>
      <c r="L92" s="38">
        <f t="shared" si="10"/>
        <v>0.25100688892362072</v>
      </c>
      <c r="M92" s="38">
        <f t="shared" si="10"/>
        <v>0.15293115904634122</v>
      </c>
      <c r="N92" s="38">
        <f t="shared" si="10"/>
        <v>0.34339167169583584</v>
      </c>
      <c r="O92" s="43">
        <f t="shared" si="9"/>
        <v>2.9608112866816994</v>
      </c>
    </row>
    <row r="93" spans="2:15" ht="24.95" customHeight="1" thickBot="1" x14ac:dyDescent="0.3"/>
    <row r="94" spans="2:15" ht="24.95" customHeight="1" x14ac:dyDescent="0.25">
      <c r="B94" s="34" t="s">
        <v>32</v>
      </c>
      <c r="C94" s="35" t="s">
        <v>20</v>
      </c>
      <c r="D94" s="35" t="s">
        <v>21</v>
      </c>
      <c r="E94" s="35" t="s">
        <v>22</v>
      </c>
      <c r="F94" s="35" t="s">
        <v>23</v>
      </c>
      <c r="G94" s="35" t="s">
        <v>24</v>
      </c>
      <c r="H94" s="35" t="s">
        <v>25</v>
      </c>
      <c r="I94" s="35" t="s">
        <v>26</v>
      </c>
      <c r="J94" s="35" t="s">
        <v>27</v>
      </c>
      <c r="K94" s="35" t="s">
        <v>28</v>
      </c>
      <c r="L94" s="35" t="s">
        <v>29</v>
      </c>
      <c r="M94" s="35" t="s">
        <v>30</v>
      </c>
      <c r="N94" s="35" t="s">
        <v>31</v>
      </c>
      <c r="O94" s="35" t="s">
        <v>67</v>
      </c>
    </row>
    <row r="95" spans="2:15" ht="24.95" customHeight="1" x14ac:dyDescent="0.25">
      <c r="B95" s="39" t="s">
        <v>78</v>
      </c>
      <c r="C95" s="33">
        <f>IF($B$86=1,Lançamentos!D125,'Lançamentos (2)'!D125)</f>
        <v>28000</v>
      </c>
      <c r="D95" s="33">
        <f>IF($B$86=1,Lançamentos!E125,'Lançamentos (2)'!E125)</f>
        <v>35000</v>
      </c>
      <c r="E95" s="33">
        <f>IF($B$86=1,Lançamentos!F125,'Lançamentos (2)'!F125)</f>
        <v>50000</v>
      </c>
      <c r="F95" s="33">
        <f>IF($B$86=1,Lançamentos!G125,'Lançamentos (2)'!G125)</f>
        <v>0</v>
      </c>
      <c r="G95" s="33">
        <f>IF($B$86=1,Lançamentos!H125,'Lançamentos (2)'!H125)</f>
        <v>0</v>
      </c>
      <c r="H95" s="33">
        <f>IF($B$86=1,Lançamentos!I125,'Lançamentos (2)'!I125)</f>
        <v>0</v>
      </c>
      <c r="I95" s="33">
        <f>IF($B$86=1,Lançamentos!J125,'Lançamentos (2)'!J125)</f>
        <v>0</v>
      </c>
      <c r="J95" s="33">
        <f>IF($B$86=1,Lançamentos!K125,'Lançamentos (2)'!K125)</f>
        <v>0</v>
      </c>
      <c r="K95" s="33">
        <f>IF($B$86=1,Lançamentos!L125,'Lançamentos (2)'!L125)</f>
        <v>0</v>
      </c>
      <c r="L95" s="33">
        <f>IF($B$86=1,Lançamentos!M125,'Lançamentos (2)'!M125)</f>
        <v>0</v>
      </c>
      <c r="M95" s="33">
        <f>IF($B$86=1,Lançamentos!N125,'Lançamentos (2)'!N125)</f>
        <v>0</v>
      </c>
      <c r="N95" s="33">
        <f>IF($B$86=1,Lançamentos!O125,'Lançamentos (2)'!O125)</f>
        <v>0</v>
      </c>
      <c r="O95" s="43">
        <f>SUM(C95:N95)</f>
        <v>113000</v>
      </c>
    </row>
    <row r="96" spans="2:15" ht="24.95" customHeight="1" x14ac:dyDescent="0.25">
      <c r="B96" s="40" t="s">
        <v>79</v>
      </c>
      <c r="C96" s="33">
        <f>IF($B$86=1,Lançamentos!D127,'Lançamentos (2)'!D127)</f>
        <v>15000</v>
      </c>
      <c r="D96" s="33">
        <f>IF($B$86=1,Lançamentos!E127,'Lançamentos (2)'!E127)</f>
        <v>21800</v>
      </c>
      <c r="E96" s="33">
        <f>IF($B$86=1,Lançamentos!F127,'Lançamentos (2)'!F127)</f>
        <v>24900</v>
      </c>
      <c r="F96" s="33">
        <f>IF($B$86=1,Lançamentos!G127,'Lançamentos (2)'!G127)</f>
        <v>0</v>
      </c>
      <c r="G96" s="33">
        <f>IF($B$86=1,Lançamentos!H127,'Lançamentos (2)'!H127)</f>
        <v>0</v>
      </c>
      <c r="H96" s="33">
        <f>IF($B$86=1,Lançamentos!I127,'Lançamentos (2)'!I127)</f>
        <v>0</v>
      </c>
      <c r="I96" s="33">
        <f>IF($B$86=1,Lançamentos!J127,'Lançamentos (2)'!J127)</f>
        <v>0</v>
      </c>
      <c r="J96" s="33">
        <f>IF($B$86=1,Lançamentos!K127,'Lançamentos (2)'!K127)</f>
        <v>0</v>
      </c>
      <c r="K96" s="33">
        <f>IF($B$86=1,Lançamentos!L127,'Lançamentos (2)'!L127)</f>
        <v>0</v>
      </c>
      <c r="L96" s="33">
        <f>IF($B$86=1,Lançamentos!M127,'Lançamentos (2)'!M127)</f>
        <v>0</v>
      </c>
      <c r="M96" s="33">
        <f>IF($B$86=1,Lançamentos!N127,'Lançamentos (2)'!N127)</f>
        <v>0</v>
      </c>
      <c r="N96" s="33">
        <f>IF($B$86=1,Lançamentos!O127,'Lançamentos (2)'!O127)</f>
        <v>0</v>
      </c>
      <c r="O96" s="43">
        <f t="shared" ref="O96:O98" si="11">SUM(C96:N96)</f>
        <v>61700</v>
      </c>
    </row>
    <row r="97" spans="1:15" ht="24.95" customHeight="1" x14ac:dyDescent="0.25">
      <c r="B97" s="67" t="s">
        <v>80</v>
      </c>
      <c r="C97" s="68">
        <f>IFERROR(C95-C96,0)</f>
        <v>13000</v>
      </c>
      <c r="D97" s="68">
        <f t="shared" ref="D97:N97" si="12">IFERROR(D95-D96,0)</f>
        <v>13200</v>
      </c>
      <c r="E97" s="68">
        <f t="shared" si="12"/>
        <v>25100</v>
      </c>
      <c r="F97" s="68">
        <f t="shared" si="12"/>
        <v>0</v>
      </c>
      <c r="G97" s="68">
        <f t="shared" si="12"/>
        <v>0</v>
      </c>
      <c r="H97" s="68">
        <f t="shared" si="12"/>
        <v>0</v>
      </c>
      <c r="I97" s="68">
        <f t="shared" si="12"/>
        <v>0</v>
      </c>
      <c r="J97" s="68">
        <f t="shared" si="12"/>
        <v>0</v>
      </c>
      <c r="K97" s="68">
        <f t="shared" si="12"/>
        <v>0</v>
      </c>
      <c r="L97" s="68">
        <f t="shared" si="12"/>
        <v>0</v>
      </c>
      <c r="M97" s="68">
        <f t="shared" si="12"/>
        <v>0</v>
      </c>
      <c r="N97" s="68">
        <f t="shared" si="12"/>
        <v>0</v>
      </c>
      <c r="O97" s="43">
        <f t="shared" si="11"/>
        <v>51300</v>
      </c>
    </row>
    <row r="98" spans="1:15" ht="24.95" customHeight="1" x14ac:dyDescent="0.25">
      <c r="B98" s="40" t="s">
        <v>81</v>
      </c>
      <c r="C98" s="38">
        <f>IFERROR(C97/C95,0)</f>
        <v>0.4642857142857143</v>
      </c>
      <c r="D98" s="38">
        <f t="shared" ref="D98" si="13">IFERROR(D97/D95,0)</f>
        <v>0.37714285714285717</v>
      </c>
      <c r="E98" s="38">
        <f t="shared" ref="E98" si="14">IFERROR(E97/E95,0)</f>
        <v>0.502</v>
      </c>
      <c r="F98" s="38">
        <f t="shared" ref="F98" si="15">IFERROR(F97/F95,0)</f>
        <v>0</v>
      </c>
      <c r="G98" s="38">
        <f t="shared" ref="G98" si="16">IFERROR(G97/G95,0)</f>
        <v>0</v>
      </c>
      <c r="H98" s="38">
        <f t="shared" ref="H98" si="17">IFERROR(H97/H95,0)</f>
        <v>0</v>
      </c>
      <c r="I98" s="38">
        <f t="shared" ref="I98" si="18">IFERROR(I97/I95,0)</f>
        <v>0</v>
      </c>
      <c r="J98" s="38">
        <f t="shared" ref="J98" si="19">IFERROR(J97/J95,0)</f>
        <v>0</v>
      </c>
      <c r="K98" s="38">
        <f t="shared" ref="K98" si="20">IFERROR(K97/K95,0)</f>
        <v>0</v>
      </c>
      <c r="L98" s="38">
        <f t="shared" ref="L98" si="21">IFERROR(L97/L95,0)</f>
        <v>0</v>
      </c>
      <c r="M98" s="38">
        <f t="shared" ref="M98" si="22">IFERROR(M97/M95,0)</f>
        <v>0</v>
      </c>
      <c r="N98" s="38">
        <f t="shared" ref="N98" si="23">IFERROR(N97/N95,0)</f>
        <v>0</v>
      </c>
      <c r="O98" s="43">
        <f t="shared" si="11"/>
        <v>1.3434285714285714</v>
      </c>
    </row>
    <row r="99" spans="1:15" ht="24.95" customHeight="1" thickBot="1" x14ac:dyDescent="0.3"/>
    <row r="100" spans="1:15" ht="24.95" customHeight="1" x14ac:dyDescent="0.25">
      <c r="B100" s="34" t="s">
        <v>32</v>
      </c>
      <c r="C100" s="35" t="s">
        <v>20</v>
      </c>
      <c r="D100" s="35" t="s">
        <v>21</v>
      </c>
      <c r="E100" s="35" t="s">
        <v>22</v>
      </c>
      <c r="F100" s="35" t="s">
        <v>23</v>
      </c>
      <c r="G100" s="35" t="s">
        <v>24</v>
      </c>
      <c r="H100" s="35" t="s">
        <v>25</v>
      </c>
      <c r="I100" s="35" t="s">
        <v>26</v>
      </c>
      <c r="J100" s="35" t="s">
        <v>27</v>
      </c>
      <c r="K100" s="35" t="s">
        <v>28</v>
      </c>
      <c r="L100" s="35" t="s">
        <v>29</v>
      </c>
      <c r="M100" s="35" t="s">
        <v>30</v>
      </c>
      <c r="N100" s="35" t="s">
        <v>31</v>
      </c>
      <c r="O100" s="35">
        <f>O95</f>
        <v>113000</v>
      </c>
    </row>
    <row r="101" spans="1:15" ht="24.95" customHeight="1" x14ac:dyDescent="0.25">
      <c r="B101" s="40" t="s">
        <v>46</v>
      </c>
      <c r="C101" s="33">
        <f>-IF($B$12=1,Lançamentos!D121,'Lançamentos (2)'!D121)</f>
        <v>-7800</v>
      </c>
      <c r="D101" s="33">
        <f>-IF($B$12=1,Lançamentos!E121,'Lançamentos (2)'!E121)</f>
        <v>-6700</v>
      </c>
      <c r="E101" s="33">
        <f>-IF($B$12=1,Lançamentos!F121,'Lançamentos (2)'!F121)</f>
        <v>-8400</v>
      </c>
      <c r="F101" s="33">
        <f>-IF($B$12=1,Lançamentos!G121,'Lançamentos (2)'!G121)</f>
        <v>0</v>
      </c>
      <c r="G101" s="33">
        <f>-IF($B$12=1,Lançamentos!H121,'Lançamentos (2)'!H121)</f>
        <v>0</v>
      </c>
      <c r="H101" s="33">
        <f>-IF($B$12=1,Lançamentos!I121,'Lançamentos (2)'!I121)</f>
        <v>0</v>
      </c>
      <c r="I101" s="33">
        <f>-IF($B$12=1,Lançamentos!J121,'Lançamentos (2)'!J121)</f>
        <v>0</v>
      </c>
      <c r="J101" s="33">
        <f>-IF($B$12=1,Lançamentos!K121,'Lançamentos (2)'!K121)</f>
        <v>0</v>
      </c>
      <c r="K101" s="33">
        <f>-IF($B$12=1,Lançamentos!L121,'Lançamentos (2)'!L121)</f>
        <v>0</v>
      </c>
      <c r="L101" s="33">
        <f>-IF($B$12=1,Lançamentos!M121,'Lançamentos (2)'!M121)</f>
        <v>0</v>
      </c>
      <c r="M101" s="33">
        <f>-IF($B$12=1,Lançamentos!N121,'Lançamentos (2)'!N121)</f>
        <v>0</v>
      </c>
      <c r="N101" s="33">
        <f>-IF($B$12=1,Lançamentos!O121,'Lançamentos (2)'!O121)</f>
        <v>0</v>
      </c>
      <c r="O101" s="43">
        <f>SUM(C101:N101)</f>
        <v>-22900</v>
      </c>
    </row>
    <row r="102" spans="1:15" ht="24.95" customHeight="1" x14ac:dyDescent="0.25">
      <c r="B102" s="40" t="s">
        <v>47</v>
      </c>
      <c r="C102" s="33">
        <f>IF($B$12=1,Lançamentos!D122,'Lançamentos (2)'!D122)</f>
        <v>8000</v>
      </c>
      <c r="D102" s="33">
        <f>IF($B$12=1,Lançamentos!E122,'Lançamentos (2)'!E122)</f>
        <v>8400</v>
      </c>
      <c r="E102" s="33">
        <f>IF($B$12=1,Lançamentos!F122,'Lançamentos (2)'!F122)</f>
        <v>9100</v>
      </c>
      <c r="F102" s="33">
        <f>IF($B$12=1,Lançamentos!G122,'Lançamentos (2)'!G122)</f>
        <v>0</v>
      </c>
      <c r="G102" s="33">
        <f>IF($B$12=1,Lançamentos!H122,'Lançamentos (2)'!H122)</f>
        <v>0</v>
      </c>
      <c r="H102" s="33">
        <f>IF($B$12=1,Lançamentos!I122,'Lançamentos (2)'!I122)</f>
        <v>0</v>
      </c>
      <c r="I102" s="33">
        <f>IF($B$12=1,Lançamentos!J122,'Lançamentos (2)'!J122)</f>
        <v>0</v>
      </c>
      <c r="J102" s="33">
        <f>IF($B$12=1,Lançamentos!K122,'Lançamentos (2)'!K122)</f>
        <v>0</v>
      </c>
      <c r="K102" s="33">
        <f>IF($B$12=1,Lançamentos!L122,'Lançamentos (2)'!L122)</f>
        <v>0</v>
      </c>
      <c r="L102" s="33">
        <f>IF($B$12=1,Lançamentos!M122,'Lançamentos (2)'!M122)</f>
        <v>0</v>
      </c>
      <c r="M102" s="33">
        <f>IF($B$12=1,Lançamentos!N122,'Lançamentos (2)'!N122)</f>
        <v>0</v>
      </c>
      <c r="N102" s="33">
        <f>IF($B$12=1,Lançamentos!O122,'Lançamentos (2)'!O122)</f>
        <v>0</v>
      </c>
      <c r="O102" s="45">
        <f t="shared" ref="O102" si="24">SUM(C102:N102)</f>
        <v>25500</v>
      </c>
    </row>
    <row r="104" spans="1:15" ht="24.95" customHeight="1" x14ac:dyDescent="0.25">
      <c r="A104" s="20">
        <v>1</v>
      </c>
      <c r="B104" s="82" t="s">
        <v>82</v>
      </c>
      <c r="C104" s="84">
        <v>1</v>
      </c>
    </row>
    <row r="105" spans="1:15" ht="24.95" customHeight="1" x14ac:dyDescent="0.25">
      <c r="A105" s="20">
        <v>2</v>
      </c>
      <c r="B105" s="82" t="s">
        <v>46</v>
      </c>
    </row>
    <row r="106" spans="1:15" ht="24.95" customHeight="1" x14ac:dyDescent="0.25">
      <c r="A106" s="20">
        <v>3</v>
      </c>
      <c r="B106" s="82" t="s">
        <v>47</v>
      </c>
    </row>
    <row r="107" spans="1:15" ht="24.95" customHeight="1" x14ac:dyDescent="0.25">
      <c r="A107" s="20">
        <v>4</v>
      </c>
      <c r="B107" s="83" t="s">
        <v>42</v>
      </c>
      <c r="C107" s="84">
        <v>2</v>
      </c>
    </row>
    <row r="108" spans="1:15" ht="24.95" customHeight="1" x14ac:dyDescent="0.25">
      <c r="A108" s="20">
        <v>5</v>
      </c>
      <c r="B108" s="83" t="s">
        <v>43</v>
      </c>
    </row>
    <row r="109" spans="1:15" ht="24.95" customHeight="1" x14ac:dyDescent="0.25">
      <c r="A109" s="20">
        <v>6</v>
      </c>
      <c r="B109" s="83" t="s">
        <v>44</v>
      </c>
    </row>
    <row r="110" spans="1:15" ht="24.95" customHeight="1" thickBot="1" x14ac:dyDescent="0.3"/>
    <row r="111" spans="1:15" ht="24.95" customHeight="1" x14ac:dyDescent="0.25">
      <c r="B111" s="34" t="s">
        <v>32</v>
      </c>
      <c r="C111" s="35" t="s">
        <v>20</v>
      </c>
      <c r="D111" s="35" t="s">
        <v>21</v>
      </c>
      <c r="E111" s="35" t="s">
        <v>22</v>
      </c>
      <c r="F111" s="35" t="s">
        <v>23</v>
      </c>
      <c r="G111" s="35" t="s">
        <v>24</v>
      </c>
      <c r="H111" s="35" t="s">
        <v>25</v>
      </c>
      <c r="I111" s="35" t="s">
        <v>26</v>
      </c>
      <c r="J111" s="35" t="s">
        <v>27</v>
      </c>
      <c r="K111" s="35" t="s">
        <v>28</v>
      </c>
      <c r="L111" s="35" t="s">
        <v>29</v>
      </c>
      <c r="M111" s="35" t="s">
        <v>30</v>
      </c>
      <c r="N111" s="35" t="s">
        <v>31</v>
      </c>
      <c r="O111" s="35" t="s">
        <v>33</v>
      </c>
    </row>
    <row r="112" spans="1:15" ht="24.95" customHeight="1" x14ac:dyDescent="0.25">
      <c r="B112" s="40" t="str">
        <f>IF($C$104=1,Relatórios!C5,IF($C$104=2,Relatórios!C8,IF($C$104=3,Relatórios!C11)))</f>
        <v>Meta de Lucro Líquido</v>
      </c>
      <c r="C112" s="55">
        <f>IF($C$104=1,Relatórios!D5,IF($C$104=2,Relatórios!D8,IF($C$104=3,Relatórios!D11)))</f>
        <v>5500</v>
      </c>
      <c r="D112" s="55">
        <f>IF($C$104=1,Relatórios!E5,IF($C$104=2,Relatórios!E8,IF($C$104=3,Relatórios!E11)))</f>
        <v>6500</v>
      </c>
      <c r="E112" s="55">
        <f>IF($C$104=1,Relatórios!F5,IF($C$104=2,Relatórios!F8,IF($C$104=3,Relatórios!F11)))</f>
        <v>7000</v>
      </c>
      <c r="F112" s="55">
        <f>IF($C$104=1,Relatórios!G5,IF($C$104=2,Relatórios!G8,IF($C$104=3,Relatórios!G11)))</f>
        <v>0</v>
      </c>
      <c r="G112" s="55">
        <f>IF($C$104=1,Relatórios!H5,IF($C$104=2,Relatórios!H8,IF($C$104=3,Relatórios!H11)))</f>
        <v>0</v>
      </c>
      <c r="H112" s="55">
        <f>IF($C$104=1,Relatórios!I5,IF($C$104=2,Relatórios!I8,IF($C$104=3,Relatórios!I11)))</f>
        <v>0</v>
      </c>
      <c r="I112" s="55">
        <f>IF($C$104=1,Relatórios!J5,IF($C$104=2,Relatórios!J8,IF($C$104=3,Relatórios!J11)))</f>
        <v>0</v>
      </c>
      <c r="J112" s="55">
        <f>IF($C$104=1,Relatórios!K5,IF($C$104=2,Relatórios!K8,IF($C$104=3,Relatórios!K11)))</f>
        <v>0</v>
      </c>
      <c r="K112" s="55">
        <f>IF($C$104=1,Relatórios!L5,IF($C$104=2,Relatórios!L8,IF($C$104=3,Relatórios!L11)))</f>
        <v>0</v>
      </c>
      <c r="L112" s="55">
        <f>IF($C$104=1,Relatórios!M5,IF($C$104=2,Relatórios!M8,IF($C$104=3,Relatórios!M11)))</f>
        <v>0</v>
      </c>
      <c r="M112" s="55">
        <f>IF($C$104=1,Relatórios!N5,IF($C$104=2,Relatórios!N8,IF($C$104=3,Relatórios!N11)))</f>
        <v>0</v>
      </c>
      <c r="N112" s="55">
        <f>IF($C$104=1,Relatórios!O5,IF($C$104=2,Relatórios!O8,IF($C$104=3,Relatórios!O11)))</f>
        <v>0</v>
      </c>
      <c r="O112" s="43">
        <f>SUM(C112:N112)</f>
        <v>19000</v>
      </c>
    </row>
    <row r="113" spans="2:15" ht="24.95" customHeight="1" x14ac:dyDescent="0.25">
      <c r="B113" s="40" t="str">
        <f>IF($C$104=1,Relatórios!C6,IF($C$104=2,Relatórios!C9,IF($C$104=3,Relatórios!C12)))</f>
        <v>Lucro Líquido Realizado</v>
      </c>
      <c r="C113" s="55">
        <f>IF($C$104=1,Relatórios!D6,IF($C$104=2,Relatórios!D9,IF($C$104=3,Relatórios!D12)))</f>
        <v>10355</v>
      </c>
      <c r="D113" s="55">
        <f>IF($C$104=1,Relatórios!E6,IF($C$104=2,Relatórios!E9,IF($C$104=3,Relatórios!E12)))</f>
        <v>20203</v>
      </c>
      <c r="E113" s="55">
        <f>IF($C$104=1,Relatórios!F6,IF($C$104=2,Relatórios!F9,IF($C$104=3,Relatórios!F12)))</f>
        <v>45098</v>
      </c>
      <c r="F113" s="55">
        <f>IF($C$104=1,Relatórios!G6,IF($C$104=2,Relatórios!G9,IF($C$104=3,Relatórios!G12)))</f>
        <v>29101</v>
      </c>
      <c r="G113" s="55">
        <f>IF($C$104=1,Relatórios!H6,IF($C$104=2,Relatórios!H9,IF($C$104=3,Relatórios!H12)))</f>
        <v>10349</v>
      </c>
      <c r="H113" s="55">
        <f>IF($C$104=1,Relatórios!I6,IF($C$104=2,Relatórios!I9,IF($C$104=3,Relatórios!I12)))</f>
        <v>16574</v>
      </c>
      <c r="I113" s="55">
        <f>IF($C$104=1,Relatórios!J6,IF($C$104=2,Relatórios!J9,IF($C$104=3,Relatórios!J12)))</f>
        <v>30746</v>
      </c>
      <c r="J113" s="55">
        <f>IF($C$104=1,Relatórios!K6,IF($C$104=2,Relatórios!K9,IF($C$104=3,Relatórios!K12)))</f>
        <v>24656</v>
      </c>
      <c r="K113" s="55">
        <f>IF($C$104=1,Relatórios!L6,IF($C$104=2,Relatórios!L9,IF($C$104=3,Relatórios!L12)))</f>
        <v>5301</v>
      </c>
      <c r="L113" s="55">
        <f>IF($C$104=1,Relatórios!M6,IF($C$104=2,Relatórios!M9,IF($C$104=3,Relatórios!M12)))</f>
        <v>20878</v>
      </c>
      <c r="M113" s="55">
        <f>IF($C$104=1,Relatórios!N6,IF($C$104=2,Relatórios!N9,IF($C$104=3,Relatórios!N12)))</f>
        <v>11854</v>
      </c>
      <c r="N113" s="55">
        <f>IF($C$104=1,Relatórios!O6,IF($C$104=2,Relatórios!O9,IF($C$104=3,Relatórios!O12)))</f>
        <v>29588</v>
      </c>
      <c r="O113" s="44">
        <f>SUM(C113:N113)</f>
        <v>254703</v>
      </c>
    </row>
    <row r="114" spans="2:15" ht="24.95" customHeight="1" thickBot="1" x14ac:dyDescent="0.3">
      <c r="B114" s="54" t="s">
        <v>59</v>
      </c>
      <c r="C114" s="48">
        <f>IFERROR(C113-C112,0)</f>
        <v>4855</v>
      </c>
      <c r="D114" s="48">
        <f t="shared" ref="D114:N114" si="25">IFERROR(D113-D112,0)</f>
        <v>13703</v>
      </c>
      <c r="E114" s="48">
        <f t="shared" si="25"/>
        <v>38098</v>
      </c>
      <c r="F114" s="48">
        <f t="shared" si="25"/>
        <v>29101</v>
      </c>
      <c r="G114" s="48">
        <f t="shared" si="25"/>
        <v>10349</v>
      </c>
      <c r="H114" s="48">
        <f t="shared" si="25"/>
        <v>16574</v>
      </c>
      <c r="I114" s="48">
        <f t="shared" si="25"/>
        <v>30746</v>
      </c>
      <c r="J114" s="48">
        <f t="shared" si="25"/>
        <v>24656</v>
      </c>
      <c r="K114" s="48">
        <f t="shared" si="25"/>
        <v>5301</v>
      </c>
      <c r="L114" s="48">
        <f t="shared" si="25"/>
        <v>20878</v>
      </c>
      <c r="M114" s="48">
        <f t="shared" si="25"/>
        <v>11854</v>
      </c>
      <c r="N114" s="48">
        <f t="shared" si="25"/>
        <v>29588</v>
      </c>
      <c r="O114" s="42">
        <f>IFERROR(O113-O112,0)</f>
        <v>235703</v>
      </c>
    </row>
    <row r="115" spans="2:15" ht="24.95" customHeight="1" x14ac:dyDescent="0.25">
      <c r="B115" s="34" t="s">
        <v>32</v>
      </c>
      <c r="C115" s="35" t="s">
        <v>20</v>
      </c>
      <c r="D115" s="35" t="s">
        <v>21</v>
      </c>
      <c r="E115" s="35" t="s">
        <v>22</v>
      </c>
      <c r="F115" s="35" t="s">
        <v>23</v>
      </c>
      <c r="G115" s="35" t="s">
        <v>24</v>
      </c>
      <c r="H115" s="35" t="s">
        <v>25</v>
      </c>
      <c r="I115" s="35" t="s">
        <v>26</v>
      </c>
      <c r="J115" s="35" t="s">
        <v>27</v>
      </c>
      <c r="K115" s="35" t="s">
        <v>28</v>
      </c>
      <c r="L115" s="35" t="s">
        <v>29</v>
      </c>
      <c r="M115" s="35" t="s">
        <v>30</v>
      </c>
      <c r="N115" s="35" t="s">
        <v>31</v>
      </c>
      <c r="O115" s="35" t="s">
        <v>33</v>
      </c>
    </row>
    <row r="116" spans="2:15" ht="24.95" customHeight="1" x14ac:dyDescent="0.25">
      <c r="B116" s="40" t="str">
        <f>B112</f>
        <v>Meta de Lucro Líquido</v>
      </c>
      <c r="C116" s="55">
        <f>IF($C$104=1,Relatórios!D25,IF($C$104=2,Relatórios!D28,IF($C$104=3,Relatórios!D31)))</f>
        <v>6000</v>
      </c>
      <c r="D116" s="55">
        <f>IF($C$104=1,Relatórios!E25,IF($C$104=2,Relatórios!E28,IF($C$104=3,Relatórios!E31)))</f>
        <v>6500</v>
      </c>
      <c r="E116" s="55">
        <f>IF($C$104=1,Relatórios!F25,IF($C$104=2,Relatórios!F28,IF($C$104=3,Relatórios!F31)))</f>
        <v>7800</v>
      </c>
      <c r="F116" s="55">
        <f>IF($C$104=1,Relatórios!G25,IF($C$104=2,Relatórios!G28,IF($C$104=3,Relatórios!G31)))</f>
        <v>0</v>
      </c>
      <c r="G116" s="55">
        <f>IF($C$104=1,Relatórios!H25,IF($C$104=2,Relatórios!H28,IF($C$104=3,Relatórios!H31)))</f>
        <v>0</v>
      </c>
      <c r="H116" s="55">
        <f>IF($C$104=1,Relatórios!I25,IF($C$104=2,Relatórios!I28,IF($C$104=3,Relatórios!I31)))</f>
        <v>0</v>
      </c>
      <c r="I116" s="55">
        <f>IF($C$104=1,Relatórios!J25,IF($C$104=2,Relatórios!J28,IF($C$104=3,Relatórios!J31)))</f>
        <v>0</v>
      </c>
      <c r="J116" s="55">
        <f>IF($C$104=1,Relatórios!K25,IF($C$104=2,Relatórios!K28,IF($C$104=3,Relatórios!K31)))</f>
        <v>0</v>
      </c>
      <c r="K116" s="55">
        <f>IF($C$104=1,Relatórios!L25,IF($C$104=2,Relatórios!L28,IF($C$104=3,Relatórios!L31)))</f>
        <v>0</v>
      </c>
      <c r="L116" s="55">
        <f>IF($C$104=1,Relatórios!M25,IF($C$104=2,Relatórios!M28,IF($C$104=3,Relatórios!M31)))</f>
        <v>0</v>
      </c>
      <c r="M116" s="55">
        <f>IF($C$104=1,Relatórios!N25,IF($C$104=2,Relatórios!N28,IF($C$104=3,Relatórios!N31)))</f>
        <v>0</v>
      </c>
      <c r="N116" s="55">
        <f>IF($C$104=1,Relatórios!O25,IF($C$104=2,Relatórios!O28,IF($C$104=3,Relatórios!O31)))</f>
        <v>0</v>
      </c>
      <c r="O116" s="43">
        <f>SUM(C116:N116)</f>
        <v>20300</v>
      </c>
    </row>
    <row r="117" spans="2:15" ht="24.95" customHeight="1" x14ac:dyDescent="0.25">
      <c r="B117" s="40" t="str">
        <f>B113</f>
        <v>Lucro Líquido Realizado</v>
      </c>
      <c r="C117" s="55">
        <f>IF($C$104=1,Relatórios!D26,IF($C$104=2,Relatórios!D29,IF($C$104=3,Relatórios!D32)))</f>
        <v>23963</v>
      </c>
      <c r="D117" s="55">
        <f>IF($C$104=1,Relatórios!E26,IF($C$104=2,Relatórios!E29,IF($C$104=3,Relatórios!E32)))</f>
        <v>14154</v>
      </c>
      <c r="E117" s="55">
        <f>IF($C$104=1,Relatórios!F26,IF($C$104=2,Relatórios!F29,IF($C$104=3,Relatórios!F32)))</f>
        <v>11546</v>
      </c>
      <c r="F117" s="55">
        <f>IF($C$104=1,Relatórios!G26,IF($C$104=2,Relatórios!G29,IF($C$104=3,Relatórios!G32)))</f>
        <v>28428</v>
      </c>
      <c r="G117" s="55">
        <f>IF($C$104=1,Relatórios!H26,IF($C$104=2,Relatórios!H29,IF($C$104=3,Relatórios!H32)))</f>
        <v>-837</v>
      </c>
      <c r="H117" s="55">
        <f>IF($C$104=1,Relatórios!I26,IF($C$104=2,Relatórios!I29,IF($C$104=3,Relatórios!I32)))</f>
        <v>24359</v>
      </c>
      <c r="I117" s="55">
        <f>IF($C$104=1,Relatórios!J26,IF($C$104=2,Relatórios!J29,IF($C$104=3,Relatórios!J32)))</f>
        <v>2716</v>
      </c>
      <c r="J117" s="55">
        <f>IF($C$104=1,Relatórios!K26,IF($C$104=2,Relatórios!K29,IF($C$104=3,Relatórios!K32)))</f>
        <v>10107</v>
      </c>
      <c r="K117" s="55">
        <f>IF($C$104=1,Relatórios!L26,IF($C$104=2,Relatórios!L29,IF($C$104=3,Relatórios!L32)))</f>
        <v>18426</v>
      </c>
      <c r="L117" s="55">
        <f>IF($C$104=1,Relatórios!M26,IF($C$104=2,Relatórios!M29,IF($C$104=3,Relatórios!M32)))</f>
        <v>7977</v>
      </c>
      <c r="M117" s="55">
        <f>IF($C$104=1,Relatórios!N26,IF($C$104=2,Relatórios!N29,IF($C$104=3,Relatórios!N32)))</f>
        <v>25066</v>
      </c>
      <c r="N117" s="55">
        <f>IF($C$104=1,Relatórios!O26,IF($C$104=2,Relatórios!O29,IF($C$104=3,Relatórios!O32)))</f>
        <v>27420</v>
      </c>
      <c r="O117" s="44">
        <f>SUM(C117:N117)</f>
        <v>193325</v>
      </c>
    </row>
    <row r="118" spans="2:15" ht="24.95" customHeight="1" thickBot="1" x14ac:dyDescent="0.3">
      <c r="B118" s="54" t="s">
        <v>59</v>
      </c>
      <c r="C118" s="48">
        <f>IFERROR(C117-C116,0)</f>
        <v>17963</v>
      </c>
      <c r="D118" s="48">
        <f t="shared" ref="D118:N118" si="26">IFERROR(D117-D116,0)</f>
        <v>7654</v>
      </c>
      <c r="E118" s="48">
        <f t="shared" si="26"/>
        <v>3746</v>
      </c>
      <c r="F118" s="48">
        <f t="shared" si="26"/>
        <v>28428</v>
      </c>
      <c r="G118" s="48">
        <f t="shared" si="26"/>
        <v>-837</v>
      </c>
      <c r="H118" s="48">
        <f t="shared" si="26"/>
        <v>24359</v>
      </c>
      <c r="I118" s="48">
        <f t="shared" si="26"/>
        <v>2716</v>
      </c>
      <c r="J118" s="48">
        <f t="shared" si="26"/>
        <v>10107</v>
      </c>
      <c r="K118" s="48">
        <f t="shared" si="26"/>
        <v>18426</v>
      </c>
      <c r="L118" s="48">
        <f t="shared" si="26"/>
        <v>7977</v>
      </c>
      <c r="M118" s="48">
        <f t="shared" si="26"/>
        <v>25066</v>
      </c>
      <c r="N118" s="48">
        <f t="shared" si="26"/>
        <v>27420</v>
      </c>
      <c r="O118" s="42">
        <f>IFERROR(O117-O116,0)</f>
        <v>173025</v>
      </c>
    </row>
    <row r="119" spans="2:15" ht="24.95" customHeight="1" x14ac:dyDescent="0.25">
      <c r="B119" s="34" t="s">
        <v>32</v>
      </c>
      <c r="C119" s="35" t="s">
        <v>20</v>
      </c>
      <c r="D119" s="35" t="s">
        <v>21</v>
      </c>
      <c r="E119" s="35" t="s">
        <v>22</v>
      </c>
      <c r="F119" s="35" t="s">
        <v>23</v>
      </c>
      <c r="G119" s="35" t="s">
        <v>24</v>
      </c>
      <c r="H119" s="35" t="s">
        <v>25</v>
      </c>
      <c r="I119" s="35" t="s">
        <v>26</v>
      </c>
      <c r="J119" s="35" t="s">
        <v>27</v>
      </c>
      <c r="K119" s="35" t="s">
        <v>28</v>
      </c>
      <c r="L119" s="35" t="s">
        <v>29</v>
      </c>
      <c r="M119" s="35" t="s">
        <v>30</v>
      </c>
      <c r="N119" s="35" t="s">
        <v>31</v>
      </c>
      <c r="O119" s="35" t="s">
        <v>33</v>
      </c>
    </row>
    <row r="120" spans="2:15" ht="24.95" customHeight="1" x14ac:dyDescent="0.25">
      <c r="B120" s="40" t="str">
        <f>IF($C$107=1,Relatórios!C14,IF($C$107=2,Relatórios!C17,IF($C$107=3,Relatórios!C20)))</f>
        <v>Meta de Margem Operacional</v>
      </c>
      <c r="C120" s="56">
        <f>IF($C$107=1,Relatórios!D14,IF($C$107=2,Relatórios!D17,IF($C$107=3,Relatórios!D20)))</f>
        <v>0.5</v>
      </c>
      <c r="D120" s="56">
        <f>IF($C$107=1,Relatórios!E14,IF($C$107=2,Relatórios!E17,IF($C$107=3,Relatórios!E20)))</f>
        <v>0.5</v>
      </c>
      <c r="E120" s="56">
        <f>IF($C$107=1,Relatórios!F14,IF($C$107=2,Relatórios!F17,IF($C$107=3,Relatórios!F20)))</f>
        <v>0.5</v>
      </c>
      <c r="F120" s="56">
        <f>IF($C$107=1,Relatórios!G14,IF($C$107=2,Relatórios!G17,IF($C$107=3,Relatórios!G20)))</f>
        <v>0</v>
      </c>
      <c r="G120" s="56">
        <f>IF($C$107=1,Relatórios!H14,IF($C$107=2,Relatórios!H17,IF($C$107=3,Relatórios!H20)))</f>
        <v>0</v>
      </c>
      <c r="H120" s="56">
        <f>IF($C$107=1,Relatórios!I14,IF($C$107=2,Relatórios!I17,IF($C$107=3,Relatórios!I20)))</f>
        <v>0</v>
      </c>
      <c r="I120" s="56">
        <f>IF($C$107=1,Relatórios!J14,IF($C$107=2,Relatórios!J17,IF($C$107=3,Relatórios!J20)))</f>
        <v>0</v>
      </c>
      <c r="J120" s="56">
        <f>IF($C$107=1,Relatórios!K14,IF($C$107=2,Relatórios!K17,IF($C$107=3,Relatórios!K20)))</f>
        <v>0</v>
      </c>
      <c r="K120" s="56">
        <f>IF($C$107=1,Relatórios!L14,IF($C$107=2,Relatórios!L17,IF($C$107=3,Relatórios!L20)))</f>
        <v>0</v>
      </c>
      <c r="L120" s="56">
        <f>IF($C$107=1,Relatórios!M14,IF($C$107=2,Relatórios!M17,IF($C$107=3,Relatórios!M20)))</f>
        <v>0</v>
      </c>
      <c r="M120" s="56">
        <f>IF($C$107=1,Relatórios!N14,IF($C$107=2,Relatórios!N17,IF($C$107=3,Relatórios!N20)))</f>
        <v>0</v>
      </c>
      <c r="N120" s="56">
        <f>IF($C$107=1,Relatórios!O14,IF($C$107=2,Relatórios!O17,IF($C$107=3,Relatórios!O20)))</f>
        <v>0</v>
      </c>
      <c r="O120" s="57">
        <f>SUM(C120:N120)</f>
        <v>1.5</v>
      </c>
    </row>
    <row r="121" spans="2:15" ht="24.95" customHeight="1" x14ac:dyDescent="0.25">
      <c r="B121" s="40" t="str">
        <f>IF($C$107=1,Relatórios!C15,IF($C$107=2,Relatórios!C18,IF($C$107=3,Relatórios!C21)))</f>
        <v>Margem Operacional Realizada</v>
      </c>
      <c r="C121" s="56">
        <f>IF($C$107=1,Relatórios!D15,IF($C$107=2,Relatórios!D18,IF($C$107=3,Relatórios!D21)))</f>
        <v>0.31828324903302591</v>
      </c>
      <c r="D121" s="56">
        <f>IF($C$107=1,Relatórios!E15,IF($C$107=2,Relatórios!E18,IF($C$107=3,Relatórios!E21)))</f>
        <v>0.39265212399540755</v>
      </c>
      <c r="E121" s="56">
        <f>IF($C$107=1,Relatórios!F15,IF($C$107=2,Relatórios!F18,IF($C$107=3,Relatórios!F21)))</f>
        <v>0.58539362224380864</v>
      </c>
      <c r="F121" s="56">
        <f>IF($C$107=1,Relatórios!G15,IF($C$107=2,Relatórios!G18,IF($C$107=3,Relatórios!G21)))</f>
        <v>0.46172594933891287</v>
      </c>
      <c r="G121" s="56">
        <f>IF($C$107=1,Relatórios!H15,IF($C$107=2,Relatórios!H18,IF($C$107=3,Relatórios!H21)))</f>
        <v>0.29718794526440306</v>
      </c>
      <c r="H121" s="56">
        <f>IF($C$107=1,Relatórios!I15,IF($C$107=2,Relatórios!I18,IF($C$107=3,Relatórios!I21)))</f>
        <v>0.34390940146941834</v>
      </c>
      <c r="I121" s="56">
        <f>IF($C$107=1,Relatórios!J15,IF($C$107=2,Relatórios!J18,IF($C$107=3,Relatórios!J21)))</f>
        <v>0.45516516386336048</v>
      </c>
      <c r="J121" s="56">
        <f>IF($C$107=1,Relatórios!K15,IF($C$107=2,Relatórios!K18,IF($C$107=3,Relatórios!K21)))</f>
        <v>0.3988253961257906</v>
      </c>
      <c r="K121" s="56">
        <f>IF($C$107=1,Relatórios!L15,IF($C$107=2,Relatórios!L18,IF($C$107=3,Relatórios!L21)))</f>
        <v>0.2578489049394222</v>
      </c>
      <c r="L121" s="56">
        <f>IF($C$107=1,Relatórios!M15,IF($C$107=2,Relatórios!M18,IF($C$107=3,Relatórios!M21)))</f>
        <v>0.40264736645947796</v>
      </c>
      <c r="M121" s="56">
        <f>IF($C$107=1,Relatórios!N15,IF($C$107=2,Relatórios!N18,IF($C$107=3,Relatórios!N21)))</f>
        <v>0.31143564867375373</v>
      </c>
      <c r="N121" s="56">
        <f>IF($C$107=1,Relatórios!O15,IF($C$107=2,Relatórios!O18,IF($C$107=3,Relatórios!O21)))</f>
        <v>0.48003806694211038</v>
      </c>
      <c r="O121" s="58">
        <f>SUM(C121:N121)</f>
        <v>4.7051128383488914</v>
      </c>
    </row>
    <row r="122" spans="2:15" ht="24.95" customHeight="1" thickBot="1" x14ac:dyDescent="0.3">
      <c r="B122" s="54" t="s">
        <v>59</v>
      </c>
      <c r="C122" s="59">
        <f>IFERROR(C121-C120,0)</f>
        <v>-0.18171675096697409</v>
      </c>
      <c r="D122" s="59">
        <f t="shared" ref="D122:N122" si="27">IFERROR(D121-D120,0)</f>
        <v>-0.10734787600459245</v>
      </c>
      <c r="E122" s="59">
        <f t="shared" si="27"/>
        <v>8.5393622243808642E-2</v>
      </c>
      <c r="F122" s="59">
        <f t="shared" si="27"/>
        <v>0.46172594933891287</v>
      </c>
      <c r="G122" s="59">
        <f t="shared" si="27"/>
        <v>0.29718794526440306</v>
      </c>
      <c r="H122" s="59">
        <f t="shared" si="27"/>
        <v>0.34390940146941834</v>
      </c>
      <c r="I122" s="59">
        <f t="shared" si="27"/>
        <v>0.45516516386336048</v>
      </c>
      <c r="J122" s="59">
        <f t="shared" si="27"/>
        <v>0.3988253961257906</v>
      </c>
      <c r="K122" s="59">
        <f t="shared" si="27"/>
        <v>0.2578489049394222</v>
      </c>
      <c r="L122" s="59">
        <f t="shared" si="27"/>
        <v>0.40264736645947796</v>
      </c>
      <c r="M122" s="59">
        <f t="shared" si="27"/>
        <v>0.31143564867375373</v>
      </c>
      <c r="N122" s="59">
        <f t="shared" si="27"/>
        <v>0.48003806694211038</v>
      </c>
      <c r="O122" s="60">
        <f>IFERROR(O121-O120,0)</f>
        <v>3.2051128383488914</v>
      </c>
    </row>
    <row r="123" spans="2:15" ht="24.95" customHeight="1" x14ac:dyDescent="0.25">
      <c r="B123" s="34" t="s">
        <v>32</v>
      </c>
      <c r="C123" s="35" t="s">
        <v>20</v>
      </c>
      <c r="D123" s="35" t="s">
        <v>21</v>
      </c>
      <c r="E123" s="35" t="s">
        <v>22</v>
      </c>
      <c r="F123" s="35" t="s">
        <v>23</v>
      </c>
      <c r="G123" s="35" t="s">
        <v>24</v>
      </c>
      <c r="H123" s="35" t="s">
        <v>25</v>
      </c>
      <c r="I123" s="35" t="s">
        <v>26</v>
      </c>
      <c r="J123" s="35" t="s">
        <v>27</v>
      </c>
      <c r="K123" s="35" t="s">
        <v>28</v>
      </c>
      <c r="L123" s="35" t="s">
        <v>29</v>
      </c>
      <c r="M123" s="35" t="s">
        <v>30</v>
      </c>
      <c r="N123" s="35" t="s">
        <v>31</v>
      </c>
      <c r="O123" s="35" t="s">
        <v>33</v>
      </c>
    </row>
    <row r="124" spans="2:15" ht="24.95" customHeight="1" x14ac:dyDescent="0.25">
      <c r="B124" s="40" t="str">
        <f>IF($C$107=1,Relatórios!C34,IF($C$107=2,Relatórios!C37,IF($C$107=3,Relatórios!C40)))</f>
        <v>Meta de Margem Operacional</v>
      </c>
      <c r="C124" s="56">
        <f>IF($C$107=1,Relatórios!D34,IF($C$107=2,Relatórios!D37,IF($C$107=3,Relatórios!D40)))</f>
        <v>0.55000000000000004</v>
      </c>
      <c r="D124" s="56">
        <f>IF($C$107=1,Relatórios!E34,IF($C$107=2,Relatórios!E37,IF($C$107=3,Relatórios!E40)))</f>
        <v>0.55000000000000004</v>
      </c>
      <c r="E124" s="56">
        <f>IF($C$107=1,Relatórios!F34,IF($C$107=2,Relatórios!F37,IF($C$107=3,Relatórios!F40)))</f>
        <v>0.55000000000000004</v>
      </c>
      <c r="F124" s="56">
        <f>IF($C$107=1,Relatórios!G34,IF($C$107=2,Relatórios!G37,IF($C$107=3,Relatórios!G40)))</f>
        <v>0</v>
      </c>
      <c r="G124" s="56">
        <f>IF($C$107=1,Relatórios!H34,IF($C$107=2,Relatórios!H37,IF($C$107=3,Relatórios!H40)))</f>
        <v>0</v>
      </c>
      <c r="H124" s="56">
        <f>IF($C$107=1,Relatórios!I34,IF($C$107=2,Relatórios!I37,IF($C$107=3,Relatórios!I40)))</f>
        <v>0</v>
      </c>
      <c r="I124" s="56">
        <f>IF($C$107=1,Relatórios!J34,IF($C$107=2,Relatórios!J37,IF($C$107=3,Relatórios!J40)))</f>
        <v>0</v>
      </c>
      <c r="J124" s="56">
        <f>IF($C$107=1,Relatórios!K34,IF($C$107=2,Relatórios!K37,IF($C$107=3,Relatórios!K40)))</f>
        <v>0</v>
      </c>
      <c r="K124" s="56">
        <f>IF($C$107=1,Relatórios!L34,IF($C$107=2,Relatórios!L37,IF($C$107=3,Relatórios!L40)))</f>
        <v>0</v>
      </c>
      <c r="L124" s="56">
        <f>IF($C$107=1,Relatórios!M34,IF($C$107=2,Relatórios!M37,IF($C$107=3,Relatórios!M40)))</f>
        <v>0</v>
      </c>
      <c r="M124" s="56">
        <f>IF($C$107=1,Relatórios!N34,IF($C$107=2,Relatórios!N37,IF($C$107=3,Relatórios!N40)))</f>
        <v>0</v>
      </c>
      <c r="N124" s="56">
        <f>IF($C$107=1,Relatórios!O34,IF($C$107=2,Relatórios!O37,IF($C$107=3,Relatórios!O40)))</f>
        <v>0</v>
      </c>
      <c r="O124" s="57">
        <f>SUM(C124:N124)</f>
        <v>1.6500000000000001</v>
      </c>
    </row>
    <row r="125" spans="2:15" ht="24.95" customHeight="1" x14ac:dyDescent="0.25">
      <c r="B125" s="40" t="str">
        <f>IF($C$107=1,Relatórios!C35,IF($C$107=2,Relatórios!C38,IF($C$107=3,Relatórios!C41)))</f>
        <v>Margem Operacional Realizada</v>
      </c>
      <c r="C125" s="56">
        <f>IF($C$107=1,Relatórios!D35,IF($C$107=2,Relatórios!D38,IF($C$107=3,Relatórios!D41)))</f>
        <v>0.45347190613462801</v>
      </c>
      <c r="D125" s="56">
        <f>IF($C$107=1,Relatórios!E35,IF($C$107=2,Relatórios!E38,IF($C$107=3,Relatórios!E41)))</f>
        <v>0.34106511062998363</v>
      </c>
      <c r="E125" s="56">
        <f>IF($C$107=1,Relatórios!F35,IF($C$107=2,Relatórios!F38,IF($C$107=3,Relatórios!F41)))</f>
        <v>0.32646539736870256</v>
      </c>
      <c r="F125" s="56">
        <f>IF($C$107=1,Relatórios!G35,IF($C$107=2,Relatórios!G38,IF($C$107=3,Relatórios!G41)))</f>
        <v>0.5044407813807017</v>
      </c>
      <c r="G125" s="56">
        <f>IF($C$107=1,Relatórios!H35,IF($C$107=2,Relatórios!H38,IF($C$107=3,Relatórios!H41)))</f>
        <v>0.16808523481830254</v>
      </c>
      <c r="H125" s="56">
        <f>IF($C$107=1,Relatórios!I35,IF($C$107=2,Relatórios!I38,IF($C$107=3,Relatórios!I41)))</f>
        <v>0.47561363549606178</v>
      </c>
      <c r="I125" s="56">
        <f>IF($C$107=1,Relatórios!J35,IF($C$107=2,Relatórios!J38,IF($C$107=3,Relatórios!J41)))</f>
        <v>0.2160499720407523</v>
      </c>
      <c r="J125" s="56">
        <f>IF($C$107=1,Relatórios!K35,IF($C$107=2,Relatórios!K38,IF($C$107=3,Relatórios!K41)))</f>
        <v>0.28934324659231725</v>
      </c>
      <c r="K125" s="56">
        <f>IF($C$107=1,Relatórios!L35,IF($C$107=2,Relatórios!L38,IF($C$107=3,Relatórios!L41)))</f>
        <v>0.36036818339701288</v>
      </c>
      <c r="L125" s="56">
        <f>IF($C$107=1,Relatórios!M35,IF($C$107=2,Relatórios!M38,IF($C$107=3,Relatórios!M41)))</f>
        <v>0.28663136896101754</v>
      </c>
      <c r="M125" s="56">
        <f>IF($C$107=1,Relatórios!N35,IF($C$107=2,Relatórios!N38,IF($C$107=3,Relatórios!N41)))</f>
        <v>0.41540558648892173</v>
      </c>
      <c r="N125" s="56">
        <f>IF($C$107=1,Relatórios!O35,IF($C$107=2,Relatórios!O38,IF($C$107=3,Relatórios!O41)))</f>
        <v>0.42784909468019505</v>
      </c>
      <c r="O125" s="58">
        <f>SUM(C125:N125)</f>
        <v>4.2647895179885973</v>
      </c>
    </row>
    <row r="126" spans="2:15" ht="24.95" customHeight="1" x14ac:dyDescent="0.25">
      <c r="B126" s="54" t="s">
        <v>59</v>
      </c>
      <c r="C126" s="59">
        <f>IFERROR(C125-C124,0)</f>
        <v>-9.6528093865372033E-2</v>
      </c>
      <c r="D126" s="59">
        <f t="shared" ref="D126:N126" si="28">IFERROR(D125-D124,0)</f>
        <v>-0.20893488937001642</v>
      </c>
      <c r="E126" s="59">
        <f t="shared" si="28"/>
        <v>-0.22353460263129749</v>
      </c>
      <c r="F126" s="59">
        <f t="shared" si="28"/>
        <v>0.5044407813807017</v>
      </c>
      <c r="G126" s="59">
        <f t="shared" si="28"/>
        <v>0.16808523481830254</v>
      </c>
      <c r="H126" s="59">
        <f t="shared" si="28"/>
        <v>0.47561363549606178</v>
      </c>
      <c r="I126" s="59">
        <f t="shared" si="28"/>
        <v>0.2160499720407523</v>
      </c>
      <c r="J126" s="59">
        <f t="shared" si="28"/>
        <v>0.28934324659231725</v>
      </c>
      <c r="K126" s="59">
        <f t="shared" si="28"/>
        <v>0.36036818339701288</v>
      </c>
      <c r="L126" s="59">
        <f t="shared" si="28"/>
        <v>0.28663136896101754</v>
      </c>
      <c r="M126" s="59">
        <f t="shared" si="28"/>
        <v>0.41540558648892173</v>
      </c>
      <c r="N126" s="59">
        <f t="shared" si="28"/>
        <v>0.42784909468019505</v>
      </c>
      <c r="O126" s="60">
        <f>IFERROR(O125-O124,0)</f>
        <v>2.6147895179885969</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tabColor rgb="FFFFC000"/>
  </sheetPr>
  <dimension ref="B1:B2"/>
  <sheetViews>
    <sheetView showGridLines="0" workbookViewId="0">
      <selection activeCell="H12" sqref="H12"/>
    </sheetView>
  </sheetViews>
  <sheetFormatPr defaultColWidth="20.7109375" defaultRowHeight="24.95" customHeight="1" x14ac:dyDescent="0.25"/>
  <cols>
    <col min="1" max="1" width="6.7109375" style="20" customWidth="1"/>
    <col min="2" max="16384" width="20.7109375" style="20"/>
  </cols>
  <sheetData>
    <row r="1" spans="2:2" s="21" customFormat="1" ht="24.95" customHeight="1" x14ac:dyDescent="0.25"/>
    <row r="2" spans="2:2" s="23" customFormat="1" ht="24.95" customHeight="1" x14ac:dyDescent="0.25">
      <c r="B2" s="22" t="s">
        <v>0</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5">
    <tabColor rgb="FF00C5C0"/>
  </sheetPr>
  <dimension ref="C1:V29"/>
  <sheetViews>
    <sheetView showGridLines="0" showRowColHeaders="0" workbookViewId="0">
      <pane ySplit="2" topLeftCell="A3" activePane="bottomLeft" state="frozen"/>
      <selection pane="bottomLeft" activeCell="U15" sqref="U15"/>
    </sheetView>
  </sheetViews>
  <sheetFormatPr defaultRowHeight="15" customHeight="1" x14ac:dyDescent="0.25"/>
  <cols>
    <col min="1" max="1" width="2.7109375" style="4" customWidth="1"/>
    <col min="2" max="3" width="5.7109375" style="4" customWidth="1"/>
    <col min="4" max="4" width="9.140625" style="4"/>
    <col min="5" max="5" width="2.7109375" style="4" customWidth="1"/>
    <col min="6" max="6" width="9.140625" style="4" customWidth="1"/>
    <col min="7" max="16384" width="9.140625" style="4"/>
  </cols>
  <sheetData>
    <row r="1" spans="3:17" s="1" customFormat="1" ht="35.1" customHeight="1" x14ac:dyDescent="0.25"/>
    <row r="2" spans="3:17" s="3" customFormat="1" ht="30" customHeight="1" x14ac:dyDescent="0.25"/>
    <row r="5" spans="3:17" ht="15" customHeight="1" x14ac:dyDescent="0.25">
      <c r="C5" s="5" t="s">
        <v>1</v>
      </c>
      <c r="D5" s="6"/>
      <c r="E5" s="6"/>
      <c r="F5" s="6"/>
      <c r="G5" s="6"/>
      <c r="H5" s="6"/>
      <c r="I5" s="6"/>
      <c r="J5" s="6"/>
      <c r="K5" s="6"/>
      <c r="L5" s="6"/>
      <c r="M5" s="6"/>
      <c r="N5" s="6"/>
      <c r="O5" s="6"/>
    </row>
    <row r="6" spans="3:17" ht="15" customHeight="1" x14ac:dyDescent="0.25">
      <c r="C6" s="7" t="s">
        <v>2</v>
      </c>
      <c r="D6" s="6"/>
      <c r="E6" s="6"/>
      <c r="F6" s="6"/>
      <c r="G6" s="6"/>
      <c r="H6" s="6"/>
      <c r="I6" s="6"/>
      <c r="J6" s="6"/>
      <c r="K6" s="6"/>
      <c r="L6" s="6"/>
      <c r="M6" s="6"/>
      <c r="N6" s="6"/>
      <c r="O6" s="6"/>
    </row>
    <row r="7" spans="3:17" ht="15" customHeight="1" x14ac:dyDescent="0.25">
      <c r="P7" s="8"/>
      <c r="Q7" s="9"/>
    </row>
    <row r="8" spans="3:17" ht="15" customHeight="1" x14ac:dyDescent="0.2">
      <c r="D8" s="9"/>
      <c r="F8" s="9"/>
      <c r="G8" s="10"/>
      <c r="P8" s="8"/>
      <c r="Q8" s="18"/>
    </row>
    <row r="9" spans="3:17" ht="15" customHeight="1" x14ac:dyDescent="0.25">
      <c r="D9" s="9"/>
      <c r="F9" s="9"/>
      <c r="P9" s="8"/>
      <c r="Q9" s="9"/>
    </row>
    <row r="10" spans="3:17" ht="15" customHeight="1" x14ac:dyDescent="0.25">
      <c r="D10" s="9" t="s">
        <v>3</v>
      </c>
      <c r="F10" s="9"/>
      <c r="G10" s="17" t="s">
        <v>12</v>
      </c>
      <c r="P10" s="8"/>
      <c r="Q10" s="9"/>
    </row>
    <row r="11" spans="3:17" ht="15" customHeight="1" x14ac:dyDescent="0.2">
      <c r="F11" s="9"/>
      <c r="P11" s="8"/>
      <c r="Q11" s="18"/>
    </row>
    <row r="12" spans="3:17" ht="15" customHeight="1" x14ac:dyDescent="0.25">
      <c r="D12" s="9" t="s">
        <v>4</v>
      </c>
      <c r="F12" s="9"/>
      <c r="G12" s="11" t="s">
        <v>5</v>
      </c>
      <c r="P12" s="8"/>
      <c r="Q12" s="9"/>
    </row>
    <row r="13" spans="3:17" ht="15" customHeight="1" x14ac:dyDescent="0.25">
      <c r="F13" s="9"/>
      <c r="P13" s="8"/>
      <c r="Q13" s="9"/>
    </row>
    <row r="14" spans="3:17" ht="15" customHeight="1" x14ac:dyDescent="0.2">
      <c r="D14" s="9" t="s">
        <v>6</v>
      </c>
      <c r="F14" s="9"/>
      <c r="G14" s="18" t="s">
        <v>13</v>
      </c>
      <c r="P14" s="8"/>
      <c r="Q14" s="18"/>
    </row>
    <row r="15" spans="3:17" ht="15" customHeight="1" x14ac:dyDescent="0.25">
      <c r="F15" s="9"/>
      <c r="P15" s="8"/>
      <c r="Q15" s="9"/>
    </row>
    <row r="16" spans="3:17" ht="15" customHeight="1" x14ac:dyDescent="0.25">
      <c r="D16" s="9"/>
      <c r="F16" s="9"/>
      <c r="G16" s="12"/>
      <c r="P16" s="8"/>
      <c r="Q16" s="9"/>
    </row>
    <row r="17" spans="4:22" ht="15" customHeight="1" x14ac:dyDescent="0.2">
      <c r="P17" s="8"/>
      <c r="Q17" s="18"/>
    </row>
    <row r="18" spans="4:22" ht="15" customHeight="1" x14ac:dyDescent="0.25">
      <c r="Q18" s="9"/>
    </row>
    <row r="19" spans="4:22" ht="15" customHeight="1" x14ac:dyDescent="0.25">
      <c r="D19" s="9"/>
    </row>
    <row r="21" spans="4:22" ht="15" customHeight="1" x14ac:dyDescent="0.25">
      <c r="D21" s="9" t="s">
        <v>7</v>
      </c>
    </row>
    <row r="22" spans="4:22" ht="15" customHeight="1" x14ac:dyDescent="0.25">
      <c r="D22" s="9"/>
    </row>
    <row r="23" spans="4:22" ht="15" customHeight="1" x14ac:dyDescent="0.25">
      <c r="D23" s="9" t="s">
        <v>8</v>
      </c>
    </row>
    <row r="24" spans="4:22" ht="15" customHeight="1" x14ac:dyDescent="0.25">
      <c r="D24" s="9"/>
    </row>
    <row r="25" spans="4:22" ht="15" customHeight="1" x14ac:dyDescent="0.25">
      <c r="D25" s="9" t="s">
        <v>9</v>
      </c>
      <c r="L25" s="13"/>
    </row>
    <row r="26" spans="4:22" ht="15" customHeight="1" x14ac:dyDescent="0.25">
      <c r="D26" s="9"/>
    </row>
    <row r="27" spans="4:22" ht="15" customHeight="1" x14ac:dyDescent="0.25">
      <c r="D27" s="9" t="s">
        <v>10</v>
      </c>
    </row>
    <row r="28" spans="4:22" ht="15" customHeight="1" x14ac:dyDescent="0.25">
      <c r="V28" s="14" t="s">
        <v>100</v>
      </c>
    </row>
    <row r="29" spans="4:22" ht="15" customHeight="1" x14ac:dyDescent="0.25">
      <c r="V29" s="14" t="s">
        <v>11</v>
      </c>
    </row>
  </sheetData>
  <sheetProtection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hyperlinks>
    <hyperlink ref="G12" r:id="rId1" xr:uid="{00000000-0004-0000-0300-000000000000}"/>
    <hyperlink ref="G14" r:id="rId2" display="http://www.onsidecorporation.com.br/" xr:uid="{00000000-0004-0000-0300-000001000000}"/>
  </hyperlink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1"/>
  </sheetPr>
  <dimension ref="A1"/>
  <sheetViews>
    <sheetView showGridLines="0" showRowColHeaders="0" workbookViewId="0"/>
  </sheetViews>
  <sheetFormatPr defaultRowHeight="15" x14ac:dyDescent="0.25"/>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rgb="FFFF2F2F"/>
  </sheetPr>
  <dimension ref="A1"/>
  <sheetViews>
    <sheetView showGridLines="0" showRowColHeaders="0" tabSelected="1" workbookViewId="0">
      <selection activeCell="N23" sqref="N23"/>
    </sheetView>
  </sheetViews>
  <sheetFormatPr defaultRowHeight="15" x14ac:dyDescent="0.25"/>
  <cols>
    <col min="1" max="16384" width="9.140625" style="15"/>
  </cols>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rgb="FF00C5C0"/>
  </sheetPr>
  <dimension ref="A1"/>
  <sheetViews>
    <sheetView showGridLines="0" showRowColHeaders="0" workbookViewId="0">
      <selection activeCell="O9" sqref="O9"/>
    </sheetView>
  </sheetViews>
  <sheetFormatPr defaultRowHeight="15" x14ac:dyDescent="0.25"/>
  <cols>
    <col min="1" max="16384" width="9.140625" style="15"/>
  </cols>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3"/>
  <dimension ref="A1:A2"/>
  <sheetViews>
    <sheetView showRowColHeaders="0" workbookViewId="0">
      <pane ySplit="2" topLeftCell="A3" activePane="bottomLeft" state="frozen"/>
      <selection pane="bottomLeft" activeCell="X24" sqref="X24"/>
    </sheetView>
  </sheetViews>
  <sheetFormatPr defaultRowHeight="15" x14ac:dyDescent="0.25"/>
  <cols>
    <col min="1" max="1" width="2.7109375" style="32" customWidth="1"/>
    <col min="2" max="16384" width="9.140625" style="32"/>
  </cols>
  <sheetData>
    <row r="1" s="15" customFormat="1" ht="35.1" customHeight="1" x14ac:dyDescent="0.25"/>
    <row r="2" s="16" customFormat="1" ht="30" customHeight="1" x14ac:dyDescent="0.25"/>
  </sheetData>
  <sheetProtection selectLockedCells="1" selectUn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9">
    <tabColor rgb="FF00C5C0"/>
  </sheetPr>
  <dimension ref="A1:Y33"/>
  <sheetViews>
    <sheetView showGridLines="0" showRowColHeaders="0" workbookViewId="0">
      <pane ySplit="2" topLeftCell="A3" activePane="bottomLeft" state="frozen"/>
      <selection pane="bottomLeft" activeCell="L12" sqref="L12"/>
    </sheetView>
  </sheetViews>
  <sheetFormatPr defaultRowHeight="15" customHeight="1" x14ac:dyDescent="0.25"/>
  <cols>
    <col min="1" max="2" width="1.7109375" style="114" customWidth="1"/>
    <col min="3" max="3" width="2.7109375" style="114" customWidth="1"/>
    <col min="4" max="16384" width="9.140625" style="114"/>
  </cols>
  <sheetData>
    <row r="1" spans="2:25" s="1" customFormat="1" ht="35.1" customHeight="1" x14ac:dyDescent="0.25"/>
    <row r="2" spans="2:25" s="3" customFormat="1" ht="30" customHeight="1" x14ac:dyDescent="0.25"/>
    <row r="4" spans="2:25" ht="15" customHeight="1" x14ac:dyDescent="0.25">
      <c r="L4" s="115"/>
      <c r="M4" s="115"/>
      <c r="N4" s="115"/>
      <c r="O4" s="115"/>
      <c r="P4" s="115"/>
      <c r="Q4" s="115"/>
      <c r="R4" s="115"/>
      <c r="S4" s="115"/>
      <c r="T4" s="115"/>
      <c r="U4" s="115"/>
      <c r="V4" s="115"/>
      <c r="W4" s="115"/>
      <c r="X4" s="115"/>
      <c r="Y4" s="115"/>
    </row>
    <row r="5" spans="2:25" ht="15" customHeight="1" x14ac:dyDescent="0.25">
      <c r="L5" s="115"/>
      <c r="M5" s="115"/>
      <c r="N5" s="115"/>
      <c r="O5" s="115"/>
      <c r="P5" s="115"/>
      <c r="Q5" s="115"/>
      <c r="R5" s="115"/>
      <c r="S5" s="115"/>
      <c r="T5" s="115"/>
      <c r="U5" s="115"/>
      <c r="V5" s="115"/>
      <c r="W5" s="115"/>
      <c r="X5" s="115"/>
      <c r="Y5" s="115"/>
    </row>
    <row r="6" spans="2:25" ht="15" customHeight="1" x14ac:dyDescent="0.25">
      <c r="L6" s="115"/>
      <c r="M6" s="115"/>
      <c r="N6" s="115"/>
      <c r="O6" s="115"/>
      <c r="P6" s="115"/>
      <c r="Q6" s="115"/>
      <c r="R6" s="115"/>
      <c r="S6" s="115"/>
      <c r="T6" s="115"/>
      <c r="U6" s="115"/>
      <c r="V6" s="115"/>
      <c r="W6" s="115"/>
      <c r="X6" s="115"/>
      <c r="Y6" s="115"/>
    </row>
    <row r="7" spans="2:25" ht="15" customHeight="1" x14ac:dyDescent="0.25">
      <c r="L7" s="115"/>
      <c r="M7" s="115"/>
      <c r="N7" s="115"/>
      <c r="O7" s="115"/>
      <c r="P7" s="115"/>
      <c r="Q7" s="115"/>
      <c r="R7" s="115"/>
      <c r="S7" s="115"/>
      <c r="T7" s="115"/>
      <c r="U7" s="115"/>
      <c r="V7" s="115"/>
      <c r="W7" s="115"/>
      <c r="X7" s="115"/>
      <c r="Y7" s="115"/>
    </row>
    <row r="8" spans="2:25" ht="15" customHeight="1" x14ac:dyDescent="0.25">
      <c r="L8" s="115"/>
      <c r="M8" s="115"/>
      <c r="N8" s="115"/>
      <c r="O8" s="115"/>
      <c r="P8" s="115"/>
      <c r="Q8" s="115"/>
      <c r="R8" s="115"/>
      <c r="S8" s="115"/>
      <c r="T8" s="115"/>
      <c r="U8" s="115"/>
      <c r="V8" s="115"/>
      <c r="W8" s="115"/>
      <c r="X8" s="115"/>
      <c r="Y8" s="115"/>
    </row>
    <row r="9" spans="2:25" ht="15" customHeight="1" x14ac:dyDescent="0.25">
      <c r="L9" s="115"/>
      <c r="M9" s="115"/>
      <c r="N9" s="115"/>
      <c r="O9" s="115"/>
      <c r="P9" s="115"/>
      <c r="Q9" s="115"/>
      <c r="R9" s="115"/>
      <c r="S9" s="115"/>
      <c r="T9" s="115"/>
      <c r="U9" s="115"/>
      <c r="V9" s="115"/>
      <c r="W9" s="115"/>
      <c r="X9" s="115"/>
      <c r="Y9" s="115"/>
    </row>
    <row r="10" spans="2:25" ht="15" customHeight="1" x14ac:dyDescent="0.25">
      <c r="L10" s="115"/>
      <c r="M10" s="115"/>
      <c r="N10" s="115"/>
      <c r="O10" s="115"/>
      <c r="P10" s="115"/>
      <c r="Q10" s="115"/>
      <c r="R10" s="115"/>
      <c r="S10" s="115"/>
      <c r="T10" s="115"/>
      <c r="U10" s="115"/>
      <c r="V10" s="115"/>
      <c r="W10" s="115"/>
      <c r="X10" s="115"/>
      <c r="Y10" s="115"/>
    </row>
    <row r="11" spans="2:25" ht="15" customHeight="1" x14ac:dyDescent="0.25">
      <c r="L11" s="115"/>
      <c r="M11" s="115"/>
      <c r="N11" s="115"/>
      <c r="O11" s="115"/>
      <c r="P11" s="115"/>
      <c r="Q11" s="115"/>
      <c r="R11" s="115"/>
      <c r="S11" s="115"/>
      <c r="T11" s="115"/>
      <c r="U11" s="115"/>
      <c r="V11" s="115"/>
      <c r="W11" s="115"/>
      <c r="X11" s="115"/>
      <c r="Y11" s="115"/>
    </row>
    <row r="12" spans="2:25" ht="15" customHeight="1" x14ac:dyDescent="0.25">
      <c r="L12" s="115"/>
      <c r="M12" s="115"/>
      <c r="N12" s="115"/>
      <c r="O12" s="115"/>
      <c r="P12" s="115"/>
      <c r="Q12" s="115"/>
      <c r="R12" s="115"/>
      <c r="S12" s="115"/>
      <c r="T12" s="115"/>
      <c r="U12" s="115"/>
      <c r="V12" s="115"/>
      <c r="W12" s="115"/>
      <c r="X12" s="115"/>
      <c r="Y12" s="115"/>
    </row>
    <row r="13" spans="2:25" ht="15" customHeight="1" x14ac:dyDescent="0.25">
      <c r="L13" s="115"/>
      <c r="M13" s="115"/>
      <c r="N13" s="115"/>
      <c r="O13" s="115"/>
      <c r="P13" s="115"/>
      <c r="Q13" s="115"/>
      <c r="R13" s="115"/>
      <c r="S13" s="115"/>
      <c r="T13" s="115"/>
      <c r="U13" s="115"/>
      <c r="V13" s="115"/>
      <c r="W13" s="115"/>
      <c r="X13" s="115"/>
      <c r="Y13" s="115"/>
    </row>
    <row r="14" spans="2:25" ht="15" customHeight="1" x14ac:dyDescent="0.25">
      <c r="B14" s="115"/>
      <c r="C14" s="115"/>
      <c r="D14" s="115"/>
      <c r="E14" s="115"/>
      <c r="F14" s="115"/>
      <c r="G14" s="115"/>
      <c r="H14" s="115"/>
      <c r="I14" s="115"/>
      <c r="J14" s="115"/>
      <c r="K14" s="115"/>
      <c r="L14" s="115"/>
      <c r="M14" s="115"/>
      <c r="N14" s="115"/>
      <c r="O14" s="115"/>
      <c r="P14" s="115"/>
      <c r="Q14" s="115"/>
      <c r="R14" s="115"/>
      <c r="S14" s="115"/>
      <c r="T14" s="115"/>
      <c r="U14" s="115"/>
      <c r="V14" s="115"/>
      <c r="W14" s="115"/>
      <c r="X14" s="115"/>
      <c r="Y14" s="115"/>
    </row>
    <row r="15" spans="2:25" ht="15" customHeight="1" x14ac:dyDescent="0.25">
      <c r="B15" s="115"/>
      <c r="C15" s="115"/>
      <c r="D15" s="115"/>
      <c r="E15" s="115"/>
      <c r="F15" s="115"/>
      <c r="G15" s="115"/>
      <c r="H15" s="115"/>
      <c r="I15" s="115"/>
      <c r="J15" s="115"/>
      <c r="K15" s="115"/>
      <c r="L15" s="115"/>
      <c r="M15" s="115"/>
      <c r="N15" s="115"/>
      <c r="O15" s="115"/>
      <c r="P15" s="115"/>
      <c r="Q15" s="115"/>
      <c r="R15" s="115"/>
      <c r="S15" s="115"/>
      <c r="T15" s="115"/>
      <c r="U15" s="115"/>
      <c r="V15" s="115"/>
      <c r="W15" s="115"/>
      <c r="X15" s="115"/>
      <c r="Y15" s="115"/>
    </row>
    <row r="16" spans="2:25" ht="15" customHeight="1" x14ac:dyDescent="0.25">
      <c r="B16" s="115"/>
      <c r="E16" s="115"/>
      <c r="F16" s="115"/>
      <c r="G16" s="115"/>
      <c r="H16" s="115"/>
      <c r="I16" s="115"/>
      <c r="J16" s="115"/>
      <c r="K16" s="115"/>
      <c r="L16" s="115"/>
      <c r="M16" s="115"/>
      <c r="N16" s="115"/>
      <c r="O16" s="115"/>
      <c r="P16" s="115"/>
      <c r="Q16" s="115"/>
      <c r="R16" s="115"/>
      <c r="S16" s="115"/>
      <c r="T16" s="115"/>
      <c r="U16" s="115"/>
      <c r="V16" s="115"/>
      <c r="W16" s="115"/>
      <c r="X16" s="115"/>
      <c r="Y16" s="115"/>
    </row>
    <row r="17" spans="1:25" ht="15" customHeight="1" x14ac:dyDescent="0.25">
      <c r="B17" s="115"/>
      <c r="E17" s="115"/>
      <c r="F17" s="115"/>
      <c r="G17" s="115"/>
      <c r="H17" s="115"/>
      <c r="I17" s="115"/>
      <c r="J17" s="115"/>
      <c r="K17" s="115"/>
      <c r="L17" s="115"/>
      <c r="M17" s="115"/>
      <c r="N17" s="115"/>
      <c r="O17" s="115"/>
      <c r="P17" s="115"/>
      <c r="Q17" s="115"/>
      <c r="R17" s="115"/>
      <c r="S17" s="115"/>
      <c r="T17" s="115"/>
      <c r="U17" s="115"/>
      <c r="V17" s="115"/>
      <c r="W17" s="115"/>
      <c r="X17" s="115"/>
      <c r="Y17" s="115"/>
    </row>
    <row r="18" spans="1:25" ht="15" customHeight="1" x14ac:dyDescent="0.25">
      <c r="B18" s="115"/>
      <c r="E18" s="115"/>
      <c r="F18" s="115"/>
      <c r="G18" s="115"/>
      <c r="H18" s="115"/>
      <c r="I18" s="115"/>
      <c r="J18" s="115"/>
      <c r="K18" s="115"/>
      <c r="L18" s="115"/>
      <c r="M18" s="115"/>
      <c r="N18" s="115"/>
      <c r="O18" s="115"/>
      <c r="P18" s="115"/>
      <c r="Q18" s="115"/>
      <c r="R18" s="115"/>
      <c r="S18" s="115"/>
      <c r="T18" s="115"/>
      <c r="U18" s="115"/>
      <c r="V18" s="115"/>
      <c r="W18" s="115"/>
      <c r="X18" s="115"/>
      <c r="Y18" s="115"/>
    </row>
    <row r="19" spans="1:25" ht="15" customHeight="1" x14ac:dyDescent="0.25">
      <c r="B19" s="115"/>
      <c r="C19" s="116"/>
      <c r="D19" s="116"/>
      <c r="E19" s="116"/>
      <c r="F19" s="116"/>
      <c r="G19" s="116"/>
      <c r="H19" s="116"/>
      <c r="I19" s="116"/>
      <c r="J19" s="116"/>
      <c r="K19" s="116"/>
      <c r="L19" s="116"/>
      <c r="M19" s="116"/>
      <c r="N19" s="116"/>
      <c r="O19" s="116"/>
      <c r="P19" s="116"/>
      <c r="Q19" s="116"/>
      <c r="R19" s="115"/>
      <c r="S19" s="115"/>
      <c r="T19" s="115"/>
      <c r="U19" s="115"/>
      <c r="V19" s="115"/>
      <c r="W19" s="115"/>
      <c r="X19" s="115"/>
      <c r="Y19" s="115"/>
    </row>
    <row r="20" spans="1:25" ht="15" customHeight="1" x14ac:dyDescent="0.25">
      <c r="B20" s="115"/>
      <c r="C20" s="115"/>
      <c r="D20" s="115"/>
      <c r="E20" s="115"/>
      <c r="F20" s="115"/>
      <c r="G20" s="115"/>
      <c r="H20" s="115"/>
      <c r="I20" s="115"/>
      <c r="J20" s="115"/>
      <c r="K20" s="115"/>
      <c r="L20" s="115"/>
      <c r="M20" s="115"/>
      <c r="N20" s="115"/>
      <c r="O20" s="115"/>
      <c r="P20" s="115"/>
      <c r="Q20" s="117"/>
      <c r="R20" s="115"/>
      <c r="S20" s="115"/>
      <c r="T20" s="115"/>
      <c r="U20" s="115"/>
      <c r="V20" s="115"/>
      <c r="W20" s="115"/>
      <c r="X20" s="115"/>
      <c r="Y20" s="115"/>
    </row>
    <row r="21" spans="1:25" ht="15" customHeight="1" x14ac:dyDescent="0.25">
      <c r="B21" s="115"/>
      <c r="C21" s="147" t="s">
        <v>83</v>
      </c>
      <c r="D21" s="147"/>
      <c r="E21" s="147"/>
      <c r="F21" s="147"/>
      <c r="G21" s="147"/>
      <c r="H21" s="147"/>
      <c r="I21" s="147"/>
      <c r="J21" s="147"/>
      <c r="K21" s="147"/>
      <c r="L21" s="147"/>
      <c r="M21" s="147"/>
      <c r="N21" s="147"/>
      <c r="O21" s="147"/>
      <c r="P21" s="147"/>
      <c r="Q21" s="147"/>
      <c r="R21" s="147"/>
      <c r="S21" s="147"/>
      <c r="T21" s="147"/>
      <c r="U21" s="147"/>
      <c r="V21" s="115"/>
      <c r="W21" s="115"/>
      <c r="X21" s="115"/>
      <c r="Y21" s="115"/>
    </row>
    <row r="22" spans="1:25" ht="15" customHeight="1" x14ac:dyDescent="0.25">
      <c r="B22" s="115"/>
      <c r="C22" s="147"/>
      <c r="D22" s="147"/>
      <c r="E22" s="147"/>
      <c r="F22" s="147"/>
      <c r="G22" s="147"/>
      <c r="H22" s="147"/>
      <c r="I22" s="147"/>
      <c r="J22" s="147"/>
      <c r="K22" s="147"/>
      <c r="L22" s="147"/>
      <c r="M22" s="147"/>
      <c r="N22" s="147"/>
      <c r="O22" s="147"/>
      <c r="P22" s="147"/>
      <c r="Q22" s="147"/>
      <c r="R22" s="147"/>
      <c r="S22" s="147"/>
      <c r="T22" s="147"/>
      <c r="U22" s="147"/>
      <c r="V22" s="115"/>
      <c r="W22" s="115"/>
      <c r="X22" s="115"/>
      <c r="Y22" s="115"/>
    </row>
    <row r="23" spans="1:25" ht="15" customHeight="1" x14ac:dyDescent="0.25">
      <c r="B23" s="115"/>
      <c r="C23" s="115"/>
      <c r="D23" s="115"/>
      <c r="E23" s="115"/>
      <c r="F23" s="115"/>
      <c r="G23" s="115"/>
      <c r="H23" s="115"/>
      <c r="I23" s="115"/>
      <c r="J23" s="115"/>
      <c r="K23" s="115"/>
      <c r="L23" s="115"/>
      <c r="M23" s="115"/>
      <c r="N23" s="115"/>
      <c r="O23" s="115"/>
      <c r="P23" s="115"/>
      <c r="Q23" s="115"/>
      <c r="R23" s="115"/>
      <c r="S23" s="115"/>
      <c r="T23" s="115"/>
      <c r="U23" s="115"/>
      <c r="V23" s="115"/>
      <c r="W23" s="115"/>
      <c r="X23" s="115"/>
      <c r="Y23" s="115"/>
    </row>
    <row r="24" spans="1:25" ht="15" customHeight="1" x14ac:dyDescent="0.25">
      <c r="B24" s="115"/>
      <c r="C24" s="147" t="s">
        <v>84</v>
      </c>
      <c r="D24" s="147"/>
      <c r="E24" s="147"/>
      <c r="F24" s="147"/>
      <c r="G24" s="147"/>
      <c r="H24" s="147"/>
      <c r="I24" s="147"/>
      <c r="J24" s="147"/>
      <c r="K24" s="147"/>
      <c r="L24" s="147"/>
      <c r="M24" s="147"/>
      <c r="N24" s="147"/>
      <c r="O24" s="147"/>
      <c r="P24" s="147"/>
      <c r="Q24" s="147"/>
      <c r="R24" s="147"/>
      <c r="S24" s="147"/>
      <c r="T24" s="147"/>
      <c r="U24" s="147"/>
      <c r="V24" s="115"/>
      <c r="W24" s="115"/>
      <c r="X24" s="115"/>
      <c r="Y24" s="115"/>
    </row>
    <row r="25" spans="1:25" ht="15" customHeight="1" x14ac:dyDescent="0.25">
      <c r="B25" s="115"/>
      <c r="C25" s="147"/>
      <c r="D25" s="147"/>
      <c r="E25" s="147"/>
      <c r="F25" s="147"/>
      <c r="G25" s="147"/>
      <c r="H25" s="147"/>
      <c r="I25" s="147"/>
      <c r="J25" s="147"/>
      <c r="K25" s="147"/>
      <c r="L25" s="147"/>
      <c r="M25" s="147"/>
      <c r="N25" s="147"/>
      <c r="O25" s="147"/>
      <c r="P25" s="147"/>
      <c r="Q25" s="147"/>
      <c r="R25" s="147"/>
      <c r="S25" s="147"/>
      <c r="T25" s="147"/>
      <c r="U25" s="147"/>
      <c r="V25" s="115"/>
      <c r="W25" s="115"/>
      <c r="X25" s="115"/>
      <c r="Y25" s="115"/>
    </row>
    <row r="26" spans="1:25" ht="15" customHeight="1" x14ac:dyDescent="0.25">
      <c r="B26" s="115"/>
      <c r="C26" s="115"/>
      <c r="D26" s="115"/>
      <c r="E26" s="115"/>
      <c r="F26" s="115"/>
      <c r="G26" s="115"/>
      <c r="H26" s="115"/>
      <c r="I26" s="115"/>
      <c r="J26" s="115"/>
      <c r="K26" s="115"/>
      <c r="L26" s="115"/>
      <c r="M26" s="115"/>
      <c r="N26" s="115"/>
      <c r="O26" s="115"/>
      <c r="P26" s="115"/>
      <c r="Q26" s="115"/>
      <c r="R26" s="115"/>
      <c r="S26" s="115"/>
      <c r="T26" s="115"/>
      <c r="U26" s="115"/>
      <c r="V26" s="115"/>
      <c r="W26" s="115"/>
      <c r="X26" s="115"/>
      <c r="Y26" s="115"/>
    </row>
    <row r="27" spans="1:25" ht="15" customHeight="1" x14ac:dyDescent="0.25">
      <c r="B27" s="115"/>
      <c r="C27" s="147" t="s">
        <v>85</v>
      </c>
      <c r="D27" s="147"/>
      <c r="E27" s="147"/>
      <c r="F27" s="147"/>
      <c r="G27" s="147"/>
      <c r="H27" s="147"/>
      <c r="I27" s="147"/>
      <c r="J27" s="147"/>
      <c r="K27" s="147"/>
      <c r="L27" s="147"/>
      <c r="M27" s="147"/>
      <c r="N27" s="147"/>
      <c r="O27" s="147"/>
      <c r="P27" s="147"/>
      <c r="Q27" s="147"/>
      <c r="R27" s="147"/>
      <c r="S27" s="147"/>
      <c r="T27" s="147"/>
      <c r="U27" s="147"/>
      <c r="V27" s="115"/>
      <c r="W27" s="115"/>
      <c r="X27" s="115"/>
      <c r="Y27" s="115"/>
    </row>
    <row r="28" spans="1:25" ht="15" customHeight="1" x14ac:dyDescent="0.25">
      <c r="B28" s="115"/>
      <c r="C28" s="147"/>
      <c r="D28" s="147"/>
      <c r="E28" s="147"/>
      <c r="F28" s="147"/>
      <c r="G28" s="147"/>
      <c r="H28" s="147"/>
      <c r="I28" s="147"/>
      <c r="J28" s="147"/>
      <c r="K28" s="147"/>
      <c r="L28" s="147"/>
      <c r="M28" s="147"/>
      <c r="N28" s="147"/>
      <c r="O28" s="147"/>
      <c r="P28" s="147"/>
      <c r="Q28" s="147"/>
      <c r="R28" s="147"/>
      <c r="S28" s="147"/>
      <c r="T28" s="147"/>
      <c r="U28" s="147"/>
      <c r="V28" s="115"/>
      <c r="W28" s="115"/>
      <c r="X28" s="115"/>
      <c r="Y28" s="115"/>
    </row>
    <row r="29" spans="1:25" ht="15" customHeight="1" x14ac:dyDescent="0.25">
      <c r="B29" s="115"/>
      <c r="C29" s="115"/>
      <c r="D29" s="115"/>
      <c r="E29" s="115"/>
      <c r="F29" s="115"/>
      <c r="G29" s="115"/>
      <c r="H29" s="115"/>
      <c r="I29" s="115"/>
      <c r="J29" s="115"/>
      <c r="K29" s="115"/>
      <c r="L29" s="115"/>
      <c r="M29" s="115"/>
      <c r="N29" s="115"/>
      <c r="O29" s="115"/>
      <c r="P29" s="115"/>
      <c r="Q29" s="115"/>
      <c r="R29" s="115"/>
      <c r="S29" s="115"/>
      <c r="T29" s="115"/>
      <c r="U29" s="115"/>
      <c r="V29" s="115"/>
      <c r="W29" s="115"/>
      <c r="X29" s="115"/>
      <c r="Y29" s="115"/>
    </row>
    <row r="30" spans="1:25" ht="15" customHeight="1" x14ac:dyDescent="0.25">
      <c r="B30" s="115"/>
      <c r="C30" s="115"/>
      <c r="D30" s="115"/>
      <c r="E30" s="115"/>
      <c r="F30" s="115"/>
      <c r="G30" s="115"/>
      <c r="H30" s="115"/>
      <c r="I30" s="115"/>
      <c r="J30" s="115"/>
      <c r="K30" s="115"/>
      <c r="L30" s="115"/>
      <c r="M30" s="115"/>
      <c r="N30" s="115"/>
      <c r="O30" s="115"/>
      <c r="P30" s="115"/>
      <c r="Q30" s="115"/>
      <c r="R30" s="115"/>
      <c r="S30" s="115"/>
      <c r="T30" s="115"/>
      <c r="U30" s="115"/>
      <c r="V30" s="115"/>
      <c r="W30" s="115"/>
      <c r="X30" s="115"/>
      <c r="Y30" s="115"/>
    </row>
    <row r="31" spans="1:25" ht="15" customHeight="1" x14ac:dyDescent="0.25">
      <c r="A31" s="115"/>
      <c r="B31" s="115"/>
      <c r="C31" s="115"/>
      <c r="D31" s="115"/>
      <c r="E31" s="115"/>
      <c r="F31" s="115"/>
      <c r="G31" s="115"/>
      <c r="H31" s="115"/>
      <c r="I31" s="115"/>
      <c r="J31" s="115"/>
      <c r="K31" s="115"/>
      <c r="L31" s="115"/>
      <c r="M31" s="115"/>
      <c r="N31" s="115"/>
      <c r="O31" s="115"/>
      <c r="P31" s="115"/>
      <c r="Q31" s="115"/>
      <c r="R31" s="115"/>
      <c r="S31" s="115"/>
      <c r="T31" s="115"/>
      <c r="U31" s="115"/>
      <c r="V31" s="115"/>
      <c r="W31" s="115"/>
      <c r="X31" s="115"/>
      <c r="Y31" s="115"/>
    </row>
    <row r="32" spans="1:25" ht="15" customHeight="1" x14ac:dyDescent="0.25">
      <c r="A32" s="115"/>
      <c r="B32" s="115"/>
      <c r="C32" s="115"/>
      <c r="D32" s="115"/>
      <c r="E32" s="115"/>
      <c r="F32" s="115"/>
      <c r="G32" s="115"/>
      <c r="H32" s="115"/>
      <c r="I32" s="115"/>
      <c r="J32" s="115"/>
      <c r="K32" s="115"/>
      <c r="L32" s="115"/>
      <c r="M32" s="115"/>
      <c r="N32" s="115"/>
      <c r="O32" s="115"/>
      <c r="P32" s="115"/>
      <c r="Q32" s="115"/>
      <c r="R32" s="115"/>
      <c r="S32" s="115"/>
      <c r="T32" s="115"/>
      <c r="U32" s="115"/>
      <c r="V32" s="115"/>
      <c r="W32" s="115"/>
      <c r="X32" s="115"/>
      <c r="Y32" s="115"/>
    </row>
    <row r="33" spans="1:25" ht="15" customHeight="1" x14ac:dyDescent="0.25">
      <c r="A33" s="115"/>
      <c r="B33" s="115"/>
      <c r="C33" s="115"/>
      <c r="D33" s="115"/>
      <c r="E33" s="115"/>
      <c r="F33" s="115"/>
      <c r="G33" s="115"/>
      <c r="H33" s="115"/>
      <c r="I33" s="115"/>
      <c r="J33" s="115"/>
      <c r="K33" s="115"/>
      <c r="L33" s="115"/>
      <c r="M33" s="115"/>
      <c r="N33" s="115"/>
      <c r="O33" s="115"/>
      <c r="P33" s="115"/>
      <c r="Q33" s="115"/>
      <c r="R33" s="115"/>
      <c r="S33" s="115"/>
      <c r="T33" s="115"/>
      <c r="U33" s="115"/>
      <c r="V33" s="115"/>
      <c r="W33" s="115"/>
      <c r="X33" s="115"/>
      <c r="Y33" s="115"/>
    </row>
  </sheetData>
  <sheetProtection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1">
    <tabColor rgb="FFFFC000"/>
  </sheetPr>
  <dimension ref="A1:A4"/>
  <sheetViews>
    <sheetView showGridLines="0" showRowColHeaders="0" workbookViewId="0">
      <pane ySplit="4" topLeftCell="A5" activePane="bottomLeft" state="frozen"/>
      <selection pane="bottomLeft" activeCell="F2" sqref="F2"/>
    </sheetView>
  </sheetViews>
  <sheetFormatPr defaultRowHeight="35.1" customHeight="1" x14ac:dyDescent="0.25"/>
  <cols>
    <col min="1" max="2" width="1.7109375" style="19" customWidth="1"/>
    <col min="3" max="3" width="12.7109375" style="19" customWidth="1"/>
    <col min="4" max="4" width="35.7109375" style="19" customWidth="1"/>
    <col min="5" max="5" width="15.7109375" style="19" customWidth="1"/>
    <col min="6" max="6" width="25.7109375" style="19" customWidth="1"/>
    <col min="7"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6146"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
  <dimension ref="C1:G7"/>
  <sheetViews>
    <sheetView showGridLines="0" showRowColHeaders="0" workbookViewId="0">
      <pane ySplit="7" topLeftCell="A8" activePane="bottomLeft" state="frozen"/>
      <selection activeCell="R7" sqref="R7"/>
      <selection pane="bottomLeft" activeCell="D6" sqref="D6"/>
    </sheetView>
  </sheetViews>
  <sheetFormatPr defaultRowHeight="35.1" customHeight="1" x14ac:dyDescent="0.25"/>
  <cols>
    <col min="1" max="2" width="1.7109375" style="19" customWidth="1"/>
    <col min="3" max="3" width="15.7109375" style="97" customWidth="1"/>
    <col min="4" max="4" width="72" style="19" customWidth="1"/>
    <col min="5" max="16384" width="9.140625" style="19"/>
  </cols>
  <sheetData>
    <row r="1" spans="3:7" s="1" customFormat="1" ht="35.1" customHeight="1" x14ac:dyDescent="0.25">
      <c r="C1" s="24"/>
    </row>
    <row r="2" spans="3:7" s="3" customFormat="1" ht="30" customHeight="1" x14ac:dyDescent="0.25">
      <c r="C2" s="25"/>
    </row>
    <row r="3" spans="3:7" ht="30" customHeight="1" thickBot="1" x14ac:dyDescent="0.3">
      <c r="C3" s="95"/>
      <c r="D3" s="96"/>
      <c r="E3" s="96"/>
    </row>
    <row r="4" spans="3:7" ht="21.95" customHeight="1" x14ac:dyDescent="0.25">
      <c r="C4" s="27"/>
    </row>
    <row r="5" spans="3:7" ht="35.1" customHeight="1" thickBot="1" x14ac:dyDescent="0.3">
      <c r="D5" s="98"/>
    </row>
    <row r="6" spans="3:7" ht="30" customHeight="1" x14ac:dyDescent="0.25">
      <c r="C6" s="53" t="s">
        <v>16</v>
      </c>
      <c r="D6" s="85" t="s">
        <v>18</v>
      </c>
    </row>
    <row r="7" spans="3:7" ht="30" customHeight="1" x14ac:dyDescent="0.25">
      <c r="C7" s="40" t="s">
        <v>17</v>
      </c>
      <c r="D7" s="28" t="s">
        <v>19</v>
      </c>
      <c r="G7" s="19" t="s">
        <v>15</v>
      </c>
    </row>
  </sheetData>
  <sheetProtection sheet="1" objects="1" scenarios="1" selectLockedCells="1"/>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from>
                    <xdr:col>3</xdr:col>
                    <xdr:colOff>0</xdr:colOff>
                    <xdr:row>2</xdr:row>
                    <xdr:rowOff>371475</xdr:rowOff>
                  </from>
                  <to>
                    <xdr:col>3</xdr:col>
                    <xdr:colOff>1076325</xdr:colOff>
                    <xdr:row>4</xdr:row>
                    <xdr:rowOff>0</xdr:rowOff>
                  </to>
                </anchor>
              </controlPr>
            </control>
          </mc:Choice>
        </mc:AlternateContent>
        <mc:AlternateContent xmlns:mc="http://schemas.openxmlformats.org/markup-compatibility/2006">
          <mc:Choice Requires="x14">
            <control shapeId="7172" r:id="rId5" name="Drop Down 4">
              <controlPr defaultSize="0" autoLine="0" autoPict="0">
                <anchor>
                  <from>
                    <xdr:col>3</xdr:col>
                    <xdr:colOff>2219325</xdr:colOff>
                    <xdr:row>2</xdr:row>
                    <xdr:rowOff>371475</xdr:rowOff>
                  </from>
                  <to>
                    <xdr:col>3</xdr:col>
                    <xdr:colOff>3295650</xdr:colOff>
                    <xdr:row>4</xdr:row>
                    <xdr:rowOff>0</xdr:rowOff>
                  </to>
                </anchor>
              </controlPr>
            </control>
          </mc:Choice>
        </mc:AlternateContent>
        <mc:AlternateContent xmlns:mc="http://schemas.openxmlformats.org/markup-compatibility/2006">
          <mc:Choice Requires="x14">
            <control shapeId="7173" r:id="rId6" name="Drop Down 5">
              <controlPr defaultSize="0" autoLine="0" autoPict="0">
                <anchor>
                  <from>
                    <xdr:col>4</xdr:col>
                    <xdr:colOff>0</xdr:colOff>
                    <xdr:row>2</xdr:row>
                    <xdr:rowOff>371475</xdr:rowOff>
                  </from>
                  <to>
                    <xdr:col>5</xdr:col>
                    <xdr:colOff>114300</xdr:colOff>
                    <xdr:row>4</xdr:row>
                    <xdr:rowOff>0</xdr:rowOff>
                  </to>
                </anchor>
              </controlPr>
            </control>
          </mc:Choice>
        </mc:AlternateContent>
        <mc:AlternateContent xmlns:mc="http://schemas.openxmlformats.org/markup-compatibility/2006">
          <mc:Choice Requires="x14">
            <control shapeId="7174" r:id="rId7" name="Drop Down 6">
              <controlPr defaultSize="0" autoLine="0" autoPict="0">
                <anchor>
                  <from>
                    <xdr:col>5</xdr:col>
                    <xdr:colOff>123825</xdr:colOff>
                    <xdr:row>2</xdr:row>
                    <xdr:rowOff>371475</xdr:rowOff>
                  </from>
                  <to>
                    <xdr:col>6</xdr:col>
                    <xdr:colOff>238125</xdr:colOff>
                    <xdr:row>4</xdr:row>
                    <xdr:rowOff>0</xdr:rowOff>
                  </to>
                </anchor>
              </controlPr>
            </control>
          </mc:Choice>
        </mc:AlternateContent>
        <mc:AlternateContent xmlns:mc="http://schemas.openxmlformats.org/markup-compatibility/2006">
          <mc:Choice Requires="x14">
            <control shapeId="7175" r:id="rId8" name="Drop Down 7">
              <controlPr defaultSize="0" autoLine="0" autoPict="0">
                <anchor>
                  <from>
                    <xdr:col>6</xdr:col>
                    <xdr:colOff>247650</xdr:colOff>
                    <xdr:row>2</xdr:row>
                    <xdr:rowOff>371475</xdr:rowOff>
                  </from>
                  <to>
                    <xdr:col>8</xdr:col>
                    <xdr:colOff>104775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10"/>
  <dimension ref="C1:P12"/>
  <sheetViews>
    <sheetView showGridLines="0" showRowColHeaders="0" zoomScaleNormal="100" workbookViewId="0">
      <pane ySplit="12" topLeftCell="A13" activePane="bottomLeft" state="frozen"/>
      <selection activeCell="H6" sqref="H6"/>
      <selection pane="bottomLeft" activeCell="D6" sqref="D6"/>
    </sheetView>
  </sheetViews>
  <sheetFormatPr defaultRowHeight="35.1" customHeight="1" x14ac:dyDescent="0.25"/>
  <cols>
    <col min="1" max="2" width="1.7109375" style="19" customWidth="1"/>
    <col min="3" max="3" width="25.7109375" style="97" customWidth="1"/>
    <col min="4" max="16" width="12.140625" style="19" customWidth="1"/>
    <col min="17" max="16384" width="9.140625" style="19"/>
  </cols>
  <sheetData>
    <row r="1" spans="3:16" s="1" customFormat="1" ht="35.1" customHeight="1" x14ac:dyDescent="0.25">
      <c r="C1" s="24"/>
    </row>
    <row r="2" spans="3:16" s="3" customFormat="1" ht="30" customHeight="1" x14ac:dyDescent="0.25">
      <c r="C2" s="25"/>
    </row>
    <row r="3" spans="3:16" ht="72" customHeight="1" thickBot="1" x14ac:dyDescent="0.3">
      <c r="C3" s="95"/>
      <c r="D3" s="96"/>
      <c r="E3" s="96"/>
    </row>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30" customHeight="1" x14ac:dyDescent="0.25">
      <c r="C5" s="40" t="s">
        <v>45</v>
      </c>
      <c r="D5" s="33">
        <v>5500</v>
      </c>
      <c r="E5" s="33">
        <v>6500</v>
      </c>
      <c r="F5" s="33">
        <v>7000</v>
      </c>
      <c r="G5" s="33"/>
      <c r="H5" s="33"/>
      <c r="I5" s="33"/>
      <c r="J5" s="33"/>
      <c r="K5" s="33"/>
      <c r="L5" s="33"/>
      <c r="M5" s="33"/>
      <c r="N5" s="33"/>
      <c r="O5" s="33"/>
      <c r="P5" s="133">
        <f>SUM(D5:O5)</f>
        <v>19000</v>
      </c>
    </row>
    <row r="6" spans="3:16" ht="30" customHeight="1" x14ac:dyDescent="0.25">
      <c r="C6" s="40" t="s">
        <v>55</v>
      </c>
      <c r="D6" s="33"/>
      <c r="E6" s="33"/>
      <c r="F6" s="33"/>
      <c r="G6" s="33"/>
      <c r="H6" s="33"/>
      <c r="I6" s="33"/>
      <c r="J6" s="33"/>
      <c r="K6" s="33"/>
      <c r="L6" s="33"/>
      <c r="M6" s="33"/>
      <c r="N6" s="33"/>
      <c r="O6" s="33"/>
      <c r="P6" s="128">
        <f>SUM(D6:O6)</f>
        <v>0</v>
      </c>
    </row>
    <row r="7" spans="3:16" ht="30" customHeight="1" x14ac:dyDescent="0.25">
      <c r="C7" s="40" t="s">
        <v>56</v>
      </c>
      <c r="D7" s="33"/>
      <c r="E7" s="33"/>
      <c r="F7" s="33"/>
      <c r="G7" s="33"/>
      <c r="H7" s="33"/>
      <c r="I7" s="33"/>
      <c r="J7" s="33"/>
      <c r="K7" s="33"/>
      <c r="L7" s="33"/>
      <c r="M7" s="33"/>
      <c r="N7" s="33"/>
      <c r="O7" s="33"/>
      <c r="P7" s="132">
        <f>SUM(D7:O7)</f>
        <v>0</v>
      </c>
    </row>
    <row r="8" spans="3:16" ht="30" customHeight="1" thickBot="1" x14ac:dyDescent="0.3">
      <c r="P8" s="137"/>
    </row>
    <row r="9" spans="3:16" ht="21.95" customHeight="1" x14ac:dyDescent="0.25">
      <c r="C9" s="34" t="s">
        <v>32</v>
      </c>
      <c r="D9" s="35" t="s">
        <v>20</v>
      </c>
      <c r="E9" s="35" t="s">
        <v>21</v>
      </c>
      <c r="F9" s="35" t="s">
        <v>22</v>
      </c>
      <c r="G9" s="35" t="s">
        <v>23</v>
      </c>
      <c r="H9" s="35" t="s">
        <v>24</v>
      </c>
      <c r="I9" s="35" t="s">
        <v>25</v>
      </c>
      <c r="J9" s="35" t="s">
        <v>26</v>
      </c>
      <c r="K9" s="35" t="s">
        <v>27</v>
      </c>
      <c r="L9" s="35" t="s">
        <v>28</v>
      </c>
      <c r="M9" s="35" t="s">
        <v>29</v>
      </c>
      <c r="N9" s="35" t="s">
        <v>30</v>
      </c>
      <c r="O9" s="35" t="s">
        <v>31</v>
      </c>
      <c r="P9" s="35" t="s">
        <v>33</v>
      </c>
    </row>
    <row r="10" spans="3:16" ht="30" customHeight="1" x14ac:dyDescent="0.25">
      <c r="C10" s="40" t="s">
        <v>52</v>
      </c>
      <c r="D10" s="136">
        <v>0.7</v>
      </c>
      <c r="E10" s="136">
        <v>0.7</v>
      </c>
      <c r="F10" s="136">
        <v>0.7</v>
      </c>
      <c r="G10" s="136"/>
      <c r="H10" s="136"/>
      <c r="I10" s="136"/>
      <c r="J10" s="136"/>
      <c r="K10" s="136"/>
      <c r="L10" s="136"/>
      <c r="M10" s="136"/>
      <c r="N10" s="136"/>
      <c r="O10" s="136"/>
      <c r="P10" s="138">
        <f>SUM(D10:O10)</f>
        <v>2.0999999999999996</v>
      </c>
    </row>
    <row r="11" spans="3:16" ht="30" customHeight="1" x14ac:dyDescent="0.25">
      <c r="C11" s="40" t="s">
        <v>53</v>
      </c>
      <c r="D11" s="136">
        <v>0.5</v>
      </c>
      <c r="E11" s="136">
        <v>0.5</v>
      </c>
      <c r="F11" s="136">
        <v>0.5</v>
      </c>
      <c r="G11" s="136"/>
      <c r="H11" s="136"/>
      <c r="I11" s="136"/>
      <c r="J11" s="136"/>
      <c r="K11" s="136"/>
      <c r="L11" s="136"/>
      <c r="M11" s="136"/>
      <c r="N11" s="136"/>
      <c r="O11" s="136"/>
      <c r="P11" s="138">
        <f>SUM(D11:O11)</f>
        <v>1.5</v>
      </c>
    </row>
    <row r="12" spans="3:16" ht="30" customHeight="1" x14ac:dyDescent="0.25">
      <c r="C12" s="40" t="s">
        <v>54</v>
      </c>
      <c r="D12" s="136">
        <v>0.3</v>
      </c>
      <c r="E12" s="136">
        <v>0.3</v>
      </c>
      <c r="F12" s="136">
        <v>0.3</v>
      </c>
      <c r="G12" s="136"/>
      <c r="H12" s="136"/>
      <c r="I12" s="136"/>
      <c r="J12" s="136"/>
      <c r="K12" s="136"/>
      <c r="L12" s="136"/>
      <c r="M12" s="136"/>
      <c r="N12" s="136"/>
      <c r="O12" s="136"/>
      <c r="P12" s="139">
        <f>SUM(D12:O12)</f>
        <v>0.89999999999999991</v>
      </c>
    </row>
  </sheetData>
  <sheetProtection sheet="1" objects="1" scenarios="1" selectLockedCells="1"/>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2"/>
  <dimension ref="C1:P12"/>
  <sheetViews>
    <sheetView showGridLines="0" showRowColHeaders="0" workbookViewId="0">
      <pane ySplit="12" topLeftCell="A13" activePane="bottomLeft" state="frozen"/>
      <selection pane="bottomLeft" activeCell="D7" sqref="D7"/>
    </sheetView>
  </sheetViews>
  <sheetFormatPr defaultRowHeight="35.1" customHeight="1" x14ac:dyDescent="0.25"/>
  <cols>
    <col min="1" max="2" width="1.7109375" style="19" customWidth="1"/>
    <col min="3" max="3" width="25.7109375" style="97" customWidth="1"/>
    <col min="4" max="16" width="12.140625" style="19" customWidth="1"/>
    <col min="17" max="16384" width="9.140625" style="19"/>
  </cols>
  <sheetData>
    <row r="1" spans="3:16" s="1" customFormat="1" ht="35.1" customHeight="1" x14ac:dyDescent="0.25">
      <c r="C1" s="24"/>
    </row>
    <row r="2" spans="3:16" s="3" customFormat="1" ht="30" customHeight="1" x14ac:dyDescent="0.25">
      <c r="C2" s="25"/>
    </row>
    <row r="3" spans="3:16" ht="72" customHeight="1" thickBot="1" x14ac:dyDescent="0.3">
      <c r="C3" s="95"/>
      <c r="D3" s="96"/>
      <c r="E3" s="96"/>
    </row>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30" customHeight="1" x14ac:dyDescent="0.25">
      <c r="C5" s="40" t="s">
        <v>45</v>
      </c>
      <c r="D5" s="33">
        <v>6000</v>
      </c>
      <c r="E5" s="33">
        <v>6500</v>
      </c>
      <c r="F5" s="33">
        <v>7800</v>
      </c>
      <c r="G5" s="33"/>
      <c r="H5" s="33"/>
      <c r="I5" s="33"/>
      <c r="J5" s="33"/>
      <c r="K5" s="33"/>
      <c r="L5" s="33"/>
      <c r="M5" s="33"/>
      <c r="N5" s="33"/>
      <c r="O5" s="33"/>
      <c r="P5" s="133">
        <f>SUM(D5:O5)</f>
        <v>20300</v>
      </c>
    </row>
    <row r="6" spans="3:16" ht="30" customHeight="1" x14ac:dyDescent="0.25">
      <c r="C6" s="40" t="s">
        <v>55</v>
      </c>
      <c r="D6" s="33"/>
      <c r="E6" s="33"/>
      <c r="F6" s="33"/>
      <c r="G6" s="33"/>
      <c r="H6" s="33"/>
      <c r="I6" s="33"/>
      <c r="J6" s="33"/>
      <c r="K6" s="33"/>
      <c r="L6" s="33"/>
      <c r="M6" s="33"/>
      <c r="N6" s="33"/>
      <c r="O6" s="33"/>
      <c r="P6" s="128">
        <f>SUM(D6:O6)</f>
        <v>0</v>
      </c>
    </row>
    <row r="7" spans="3:16" ht="30" customHeight="1" x14ac:dyDescent="0.25">
      <c r="C7" s="40" t="s">
        <v>56</v>
      </c>
      <c r="D7" s="33"/>
      <c r="E7" s="33"/>
      <c r="F7" s="33"/>
      <c r="G7" s="33"/>
      <c r="H7" s="33"/>
      <c r="I7" s="33"/>
      <c r="J7" s="33"/>
      <c r="K7" s="33"/>
      <c r="L7" s="33"/>
      <c r="M7" s="33"/>
      <c r="N7" s="33"/>
      <c r="O7" s="33"/>
      <c r="P7" s="132">
        <f>SUM(D7:O7)</f>
        <v>0</v>
      </c>
    </row>
    <row r="8" spans="3:16" ht="30" customHeight="1" thickBot="1" x14ac:dyDescent="0.3">
      <c r="P8" s="137"/>
    </row>
    <row r="9" spans="3:16" ht="21.95" customHeight="1" x14ac:dyDescent="0.25">
      <c r="C9" s="34" t="s">
        <v>32</v>
      </c>
      <c r="D9" s="35" t="s">
        <v>20</v>
      </c>
      <c r="E9" s="35" t="s">
        <v>21</v>
      </c>
      <c r="F9" s="35" t="s">
        <v>22</v>
      </c>
      <c r="G9" s="35" t="s">
        <v>23</v>
      </c>
      <c r="H9" s="35" t="s">
        <v>24</v>
      </c>
      <c r="I9" s="35" t="s">
        <v>25</v>
      </c>
      <c r="J9" s="35" t="s">
        <v>26</v>
      </c>
      <c r="K9" s="35" t="s">
        <v>27</v>
      </c>
      <c r="L9" s="35" t="s">
        <v>28</v>
      </c>
      <c r="M9" s="35" t="s">
        <v>29</v>
      </c>
      <c r="N9" s="35" t="s">
        <v>30</v>
      </c>
      <c r="O9" s="35" t="s">
        <v>31</v>
      </c>
      <c r="P9" s="35" t="s">
        <v>33</v>
      </c>
    </row>
    <row r="10" spans="3:16" ht="30" customHeight="1" x14ac:dyDescent="0.25">
      <c r="C10" s="40" t="s">
        <v>52</v>
      </c>
      <c r="D10" s="136">
        <v>0.75</v>
      </c>
      <c r="E10" s="136">
        <v>0.75</v>
      </c>
      <c r="F10" s="136">
        <v>0.75</v>
      </c>
      <c r="G10" s="136"/>
      <c r="H10" s="136"/>
      <c r="I10" s="136"/>
      <c r="J10" s="136"/>
      <c r="K10" s="136"/>
      <c r="L10" s="136"/>
      <c r="M10" s="136"/>
      <c r="N10" s="136"/>
      <c r="O10" s="136"/>
      <c r="P10" s="138">
        <f>SUM(D10:O10)</f>
        <v>2.25</v>
      </c>
    </row>
    <row r="11" spans="3:16" ht="30" customHeight="1" x14ac:dyDescent="0.25">
      <c r="C11" s="40" t="s">
        <v>53</v>
      </c>
      <c r="D11" s="136">
        <v>0.55000000000000004</v>
      </c>
      <c r="E11" s="136">
        <v>0.55000000000000004</v>
      </c>
      <c r="F11" s="136">
        <v>0.55000000000000004</v>
      </c>
      <c r="G11" s="136"/>
      <c r="H11" s="136"/>
      <c r="I11" s="136"/>
      <c r="J11" s="136"/>
      <c r="K11" s="136"/>
      <c r="L11" s="136"/>
      <c r="M11" s="136"/>
      <c r="N11" s="136"/>
      <c r="O11" s="136"/>
      <c r="P11" s="138">
        <f>SUM(D11:O11)</f>
        <v>1.6500000000000001</v>
      </c>
    </row>
    <row r="12" spans="3:16" ht="30" customHeight="1" x14ac:dyDescent="0.25">
      <c r="C12" s="40" t="s">
        <v>54</v>
      </c>
      <c r="D12" s="136">
        <v>0.32</v>
      </c>
      <c r="E12" s="136">
        <v>0.32</v>
      </c>
      <c r="F12" s="136">
        <v>0.32</v>
      </c>
      <c r="G12" s="136"/>
      <c r="H12" s="136"/>
      <c r="I12" s="136"/>
      <c r="J12" s="136"/>
      <c r="K12" s="136"/>
      <c r="L12" s="136"/>
      <c r="M12" s="136"/>
      <c r="N12" s="136"/>
      <c r="O12" s="136"/>
      <c r="P12" s="139">
        <f>SUM(D12:O12)</f>
        <v>0.96</v>
      </c>
    </row>
  </sheetData>
  <sheetProtection sheet="1" objects="1" scenarios="1" selectLockedCells="1"/>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14">
    <tabColor rgb="FFFFC000"/>
  </sheetPr>
  <dimension ref="C1:S128"/>
  <sheetViews>
    <sheetView showGridLines="0" showRowColHeaders="0" zoomScaleNormal="100" workbookViewId="0">
      <pane ySplit="4" topLeftCell="A5" activePane="bottomLeft" state="frozen"/>
      <selection pane="bottomLeft" activeCell="D121" sqref="D121"/>
    </sheetView>
  </sheetViews>
  <sheetFormatPr defaultRowHeight="35.1" customHeight="1" outlineLevelRow="1" x14ac:dyDescent="0.25"/>
  <cols>
    <col min="1" max="2" width="1.7109375" style="19" customWidth="1"/>
    <col min="3" max="3" width="25.7109375" style="19" customWidth="1"/>
    <col min="4" max="16" width="12.140625" style="19" customWidth="1"/>
    <col min="17" max="16384" width="9.140625" style="19"/>
  </cols>
  <sheetData>
    <row r="1" spans="3:16" s="1" customFormat="1" ht="35.1" customHeight="1" x14ac:dyDescent="0.25"/>
    <row r="2" spans="3:16" s="3" customFormat="1" ht="30" customHeight="1" x14ac:dyDescent="0.25"/>
    <row r="3" spans="3:16" ht="30" customHeight="1" thickBot="1" x14ac:dyDescent="0.3"/>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24.95" customHeight="1" x14ac:dyDescent="0.25">
      <c r="C5" s="124" t="s">
        <v>34</v>
      </c>
      <c r="D5" s="123">
        <f>SUM(D6:D25)</f>
        <v>67220</v>
      </c>
      <c r="E5" s="123">
        <f t="shared" ref="E5:O5" si="0">SUM(E6:E25)</f>
        <v>81003</v>
      </c>
      <c r="F5" s="123">
        <f t="shared" si="0"/>
        <v>95739</v>
      </c>
      <c r="G5" s="123">
        <f t="shared" si="0"/>
        <v>89852</v>
      </c>
      <c r="H5" s="123">
        <f t="shared" si="0"/>
        <v>74394</v>
      </c>
      <c r="I5" s="123">
        <f t="shared" si="0"/>
        <v>85476</v>
      </c>
      <c r="J5" s="123">
        <f t="shared" si="0"/>
        <v>92272</v>
      </c>
      <c r="K5" s="123">
        <f t="shared" si="0"/>
        <v>90754</v>
      </c>
      <c r="L5" s="123">
        <f t="shared" si="0"/>
        <v>68672</v>
      </c>
      <c r="M5" s="123">
        <f t="shared" si="0"/>
        <v>83177</v>
      </c>
      <c r="N5" s="123">
        <f t="shared" si="0"/>
        <v>77512</v>
      </c>
      <c r="O5" s="123">
        <f t="shared" si="0"/>
        <v>86164</v>
      </c>
      <c r="P5" s="125">
        <f>SUM(D5:O5)</f>
        <v>992235</v>
      </c>
    </row>
    <row r="6" spans="3:16" ht="24.95" hidden="1" customHeight="1" outlineLevel="1" x14ac:dyDescent="0.25">
      <c r="C6" s="127" t="s">
        <v>86</v>
      </c>
      <c r="D6" s="33">
        <v>35944</v>
      </c>
      <c r="E6" s="33">
        <v>41040</v>
      </c>
      <c r="F6" s="33">
        <v>49010</v>
      </c>
      <c r="G6" s="33">
        <v>43675</v>
      </c>
      <c r="H6" s="33">
        <v>38680</v>
      </c>
      <c r="I6" s="33">
        <v>40937</v>
      </c>
      <c r="J6" s="33">
        <v>44602</v>
      </c>
      <c r="K6" s="33">
        <v>43560</v>
      </c>
      <c r="L6" s="33">
        <v>38452</v>
      </c>
      <c r="M6" s="33">
        <v>45009</v>
      </c>
      <c r="N6" s="33">
        <v>41439</v>
      </c>
      <c r="O6" s="33">
        <v>38681</v>
      </c>
      <c r="P6" s="126">
        <f>SUM(D6:O6)</f>
        <v>501029</v>
      </c>
    </row>
    <row r="7" spans="3:16" ht="24.95" hidden="1" customHeight="1" outlineLevel="1" x14ac:dyDescent="0.25">
      <c r="C7" s="127" t="s">
        <v>87</v>
      </c>
      <c r="D7" s="33">
        <v>31276</v>
      </c>
      <c r="E7" s="33">
        <v>39963</v>
      </c>
      <c r="F7" s="33">
        <v>46729</v>
      </c>
      <c r="G7" s="33">
        <v>46177</v>
      </c>
      <c r="H7" s="33">
        <v>35714</v>
      </c>
      <c r="I7" s="33">
        <v>44539</v>
      </c>
      <c r="J7" s="33">
        <v>47670</v>
      </c>
      <c r="K7" s="33">
        <v>47194</v>
      </c>
      <c r="L7" s="33">
        <v>30220</v>
      </c>
      <c r="M7" s="33">
        <v>38168</v>
      </c>
      <c r="N7" s="33">
        <v>36073</v>
      </c>
      <c r="O7" s="33">
        <v>47483</v>
      </c>
      <c r="P7" s="126">
        <f t="shared" ref="P7:P68" si="1">SUM(D7:O7)</f>
        <v>491206</v>
      </c>
    </row>
    <row r="8" spans="3:16" ht="24.95" hidden="1" customHeight="1" outlineLevel="1" x14ac:dyDescent="0.25">
      <c r="C8" s="127"/>
      <c r="D8" s="33"/>
      <c r="E8" s="33"/>
      <c r="F8" s="33"/>
      <c r="G8" s="33"/>
      <c r="H8" s="33"/>
      <c r="I8" s="33"/>
      <c r="J8" s="33"/>
      <c r="K8" s="33"/>
      <c r="L8" s="33"/>
      <c r="M8" s="33"/>
      <c r="N8" s="33"/>
      <c r="O8" s="33"/>
      <c r="P8" s="126">
        <f t="shared" si="1"/>
        <v>0</v>
      </c>
    </row>
    <row r="9" spans="3:16" ht="24.95" hidden="1" customHeight="1" outlineLevel="1" x14ac:dyDescent="0.25">
      <c r="C9" s="127"/>
      <c r="D9" s="33"/>
      <c r="E9" s="33"/>
      <c r="F9" s="33"/>
      <c r="G9" s="33"/>
      <c r="H9" s="33"/>
      <c r="I9" s="33"/>
      <c r="J9" s="33"/>
      <c r="K9" s="33"/>
      <c r="L9" s="33"/>
      <c r="M9" s="33"/>
      <c r="N9" s="33"/>
      <c r="O9" s="33"/>
      <c r="P9" s="126">
        <f t="shared" si="1"/>
        <v>0</v>
      </c>
    </row>
    <row r="10" spans="3:16" ht="24.95" hidden="1" customHeight="1" outlineLevel="1" x14ac:dyDescent="0.25">
      <c r="C10" s="127"/>
      <c r="D10" s="33"/>
      <c r="E10" s="33"/>
      <c r="F10" s="33"/>
      <c r="G10" s="33"/>
      <c r="H10" s="33"/>
      <c r="I10" s="33"/>
      <c r="J10" s="33"/>
      <c r="K10" s="33"/>
      <c r="L10" s="33"/>
      <c r="M10" s="33"/>
      <c r="N10" s="33"/>
      <c r="O10" s="33"/>
      <c r="P10" s="126">
        <f t="shared" si="1"/>
        <v>0</v>
      </c>
    </row>
    <row r="11" spans="3:16" ht="24.95" hidden="1" customHeight="1" outlineLevel="1" x14ac:dyDescent="0.25">
      <c r="C11" s="127"/>
      <c r="D11" s="33"/>
      <c r="E11" s="33"/>
      <c r="F11" s="33"/>
      <c r="G11" s="33"/>
      <c r="H11" s="33"/>
      <c r="I11" s="33"/>
      <c r="J11" s="33"/>
      <c r="K11" s="33"/>
      <c r="L11" s="33"/>
      <c r="M11" s="33"/>
      <c r="N11" s="33"/>
      <c r="O11" s="33"/>
      <c r="P11" s="126">
        <f t="shared" si="1"/>
        <v>0</v>
      </c>
    </row>
    <row r="12" spans="3:16" ht="24.95" hidden="1" customHeight="1" outlineLevel="1" x14ac:dyDescent="0.25">
      <c r="C12" s="127"/>
      <c r="D12" s="33"/>
      <c r="E12" s="33"/>
      <c r="F12" s="33"/>
      <c r="G12" s="33"/>
      <c r="H12" s="33"/>
      <c r="I12" s="33"/>
      <c r="J12" s="33"/>
      <c r="K12" s="33"/>
      <c r="L12" s="33"/>
      <c r="M12" s="33"/>
      <c r="N12" s="33"/>
      <c r="O12" s="33"/>
      <c r="P12" s="126">
        <f t="shared" si="1"/>
        <v>0</v>
      </c>
    </row>
    <row r="13" spans="3:16" ht="24.95" hidden="1" customHeight="1" outlineLevel="1" x14ac:dyDescent="0.25">
      <c r="C13" s="127"/>
      <c r="D13" s="33"/>
      <c r="E13" s="33"/>
      <c r="F13" s="33"/>
      <c r="G13" s="33"/>
      <c r="H13" s="33"/>
      <c r="I13" s="33"/>
      <c r="J13" s="33"/>
      <c r="K13" s="33"/>
      <c r="L13" s="33"/>
      <c r="M13" s="33"/>
      <c r="N13" s="33"/>
      <c r="O13" s="33"/>
      <c r="P13" s="126">
        <f t="shared" si="1"/>
        <v>0</v>
      </c>
    </row>
    <row r="14" spans="3:16" ht="24.95" hidden="1" customHeight="1" outlineLevel="1" x14ac:dyDescent="0.25">
      <c r="C14" s="127"/>
      <c r="D14" s="33"/>
      <c r="E14" s="33"/>
      <c r="F14" s="33"/>
      <c r="G14" s="33"/>
      <c r="H14" s="33"/>
      <c r="I14" s="33"/>
      <c r="J14" s="33"/>
      <c r="K14" s="33"/>
      <c r="L14" s="33"/>
      <c r="M14" s="33"/>
      <c r="N14" s="33"/>
      <c r="O14" s="33"/>
      <c r="P14" s="126">
        <f t="shared" si="1"/>
        <v>0</v>
      </c>
    </row>
    <row r="15" spans="3:16" ht="24.95" hidden="1" customHeight="1" outlineLevel="1" x14ac:dyDescent="0.25">
      <c r="C15" s="127"/>
      <c r="D15" s="33"/>
      <c r="E15" s="33"/>
      <c r="F15" s="33"/>
      <c r="G15" s="33"/>
      <c r="H15" s="33"/>
      <c r="I15" s="33"/>
      <c r="J15" s="33"/>
      <c r="K15" s="33"/>
      <c r="L15" s="33"/>
      <c r="M15" s="33"/>
      <c r="N15" s="33"/>
      <c r="O15" s="33"/>
      <c r="P15" s="126">
        <f t="shared" si="1"/>
        <v>0</v>
      </c>
    </row>
    <row r="16" spans="3:16" ht="24.95" hidden="1" customHeight="1" outlineLevel="1" x14ac:dyDescent="0.25">
      <c r="C16" s="127"/>
      <c r="D16" s="33"/>
      <c r="E16" s="33"/>
      <c r="F16" s="33"/>
      <c r="G16" s="33"/>
      <c r="H16" s="33"/>
      <c r="I16" s="33"/>
      <c r="J16" s="33"/>
      <c r="K16" s="33"/>
      <c r="L16" s="33"/>
      <c r="M16" s="33"/>
      <c r="N16" s="33"/>
      <c r="O16" s="33"/>
      <c r="P16" s="126">
        <f t="shared" si="1"/>
        <v>0</v>
      </c>
    </row>
    <row r="17" spans="3:16" ht="24.95" hidden="1" customHeight="1" outlineLevel="1" x14ac:dyDescent="0.25">
      <c r="C17" s="127"/>
      <c r="D17" s="33"/>
      <c r="E17" s="33"/>
      <c r="F17" s="33"/>
      <c r="G17" s="33"/>
      <c r="H17" s="33"/>
      <c r="I17" s="33"/>
      <c r="J17" s="33"/>
      <c r="K17" s="33"/>
      <c r="L17" s="33"/>
      <c r="M17" s="33"/>
      <c r="N17" s="33"/>
      <c r="O17" s="33"/>
      <c r="P17" s="126">
        <f t="shared" si="1"/>
        <v>0</v>
      </c>
    </row>
    <row r="18" spans="3:16" ht="24.95" hidden="1" customHeight="1" outlineLevel="1" x14ac:dyDescent="0.25">
      <c r="C18" s="127"/>
      <c r="D18" s="33"/>
      <c r="E18" s="33"/>
      <c r="F18" s="33"/>
      <c r="G18" s="33"/>
      <c r="H18" s="33"/>
      <c r="I18" s="33"/>
      <c r="J18" s="33"/>
      <c r="K18" s="33"/>
      <c r="L18" s="33"/>
      <c r="M18" s="33"/>
      <c r="N18" s="33"/>
      <c r="O18" s="33"/>
      <c r="P18" s="126">
        <f t="shared" si="1"/>
        <v>0</v>
      </c>
    </row>
    <row r="19" spans="3:16" ht="24.95" hidden="1" customHeight="1" outlineLevel="1" x14ac:dyDescent="0.25">
      <c r="C19" s="127"/>
      <c r="D19" s="33"/>
      <c r="E19" s="33"/>
      <c r="F19" s="33"/>
      <c r="G19" s="33"/>
      <c r="H19" s="33"/>
      <c r="I19" s="33"/>
      <c r="J19" s="33"/>
      <c r="K19" s="33"/>
      <c r="L19" s="33"/>
      <c r="M19" s="33"/>
      <c r="N19" s="33"/>
      <c r="O19" s="33"/>
      <c r="P19" s="126">
        <f t="shared" si="1"/>
        <v>0</v>
      </c>
    </row>
    <row r="20" spans="3:16" ht="24.95" hidden="1" customHeight="1" outlineLevel="1" x14ac:dyDescent="0.25">
      <c r="C20" s="127"/>
      <c r="D20" s="33"/>
      <c r="E20" s="33"/>
      <c r="F20" s="33"/>
      <c r="G20" s="33"/>
      <c r="H20" s="33"/>
      <c r="I20" s="33"/>
      <c r="J20" s="33"/>
      <c r="K20" s="33"/>
      <c r="L20" s="33"/>
      <c r="M20" s="33"/>
      <c r="N20" s="33"/>
      <c r="O20" s="33"/>
      <c r="P20" s="126">
        <f t="shared" si="1"/>
        <v>0</v>
      </c>
    </row>
    <row r="21" spans="3:16" ht="24.95" hidden="1" customHeight="1" outlineLevel="1" x14ac:dyDescent="0.25">
      <c r="C21" s="127"/>
      <c r="D21" s="33"/>
      <c r="E21" s="33"/>
      <c r="F21" s="33"/>
      <c r="G21" s="33"/>
      <c r="H21" s="33"/>
      <c r="I21" s="33"/>
      <c r="J21" s="33"/>
      <c r="K21" s="33"/>
      <c r="L21" s="33"/>
      <c r="M21" s="33"/>
      <c r="N21" s="33"/>
      <c r="O21" s="33"/>
      <c r="P21" s="126">
        <f t="shared" si="1"/>
        <v>0</v>
      </c>
    </row>
    <row r="22" spans="3:16" ht="24.95" hidden="1" customHeight="1" outlineLevel="1" x14ac:dyDescent="0.25">
      <c r="C22" s="127"/>
      <c r="D22" s="33"/>
      <c r="E22" s="33"/>
      <c r="F22" s="33"/>
      <c r="G22" s="33"/>
      <c r="H22" s="33"/>
      <c r="I22" s="33"/>
      <c r="J22" s="33"/>
      <c r="K22" s="33"/>
      <c r="L22" s="33"/>
      <c r="M22" s="33"/>
      <c r="N22" s="33"/>
      <c r="O22" s="33"/>
      <c r="P22" s="126">
        <f t="shared" si="1"/>
        <v>0</v>
      </c>
    </row>
    <row r="23" spans="3:16" ht="24.95" hidden="1" customHeight="1" outlineLevel="1" x14ac:dyDescent="0.25">
      <c r="C23" s="127"/>
      <c r="D23" s="33"/>
      <c r="E23" s="33"/>
      <c r="F23" s="33"/>
      <c r="G23" s="33"/>
      <c r="H23" s="33"/>
      <c r="I23" s="33"/>
      <c r="J23" s="33"/>
      <c r="K23" s="33"/>
      <c r="L23" s="33"/>
      <c r="M23" s="33"/>
      <c r="N23" s="33"/>
      <c r="O23" s="33"/>
      <c r="P23" s="126">
        <f t="shared" si="1"/>
        <v>0</v>
      </c>
    </row>
    <row r="24" spans="3:16" ht="24.95" hidden="1" customHeight="1" outlineLevel="1" x14ac:dyDescent="0.25">
      <c r="C24" s="127"/>
      <c r="D24" s="33"/>
      <c r="E24" s="33"/>
      <c r="F24" s="33"/>
      <c r="G24" s="33"/>
      <c r="H24" s="33"/>
      <c r="I24" s="33"/>
      <c r="J24" s="33"/>
      <c r="K24" s="33"/>
      <c r="L24" s="33"/>
      <c r="M24" s="33"/>
      <c r="N24" s="33"/>
      <c r="O24" s="33"/>
      <c r="P24" s="126">
        <f t="shared" si="1"/>
        <v>0</v>
      </c>
    </row>
    <row r="25" spans="3:16" ht="24.95" hidden="1" customHeight="1" outlineLevel="1" x14ac:dyDescent="0.25">
      <c r="C25" s="127"/>
      <c r="D25" s="33"/>
      <c r="E25" s="33"/>
      <c r="F25" s="33"/>
      <c r="G25" s="33"/>
      <c r="H25" s="33"/>
      <c r="I25" s="33"/>
      <c r="J25" s="33"/>
      <c r="K25" s="33"/>
      <c r="L25" s="33"/>
      <c r="M25" s="33"/>
      <c r="N25" s="33"/>
      <c r="O25" s="33"/>
      <c r="P25" s="126">
        <f t="shared" si="1"/>
        <v>0</v>
      </c>
    </row>
    <row r="26" spans="3:16" ht="24.95" customHeight="1" collapsed="1" x14ac:dyDescent="0.25">
      <c r="C26" s="121" t="s">
        <v>35</v>
      </c>
      <c r="D26" s="122">
        <f>SUM(D27:D46)</f>
        <v>24541</v>
      </c>
      <c r="E26" s="122">
        <f t="shared" ref="E26:O26" si="2">SUM(E27:E46)</f>
        <v>21071</v>
      </c>
      <c r="F26" s="122">
        <f t="shared" si="2"/>
        <v>22345</v>
      </c>
      <c r="G26" s="122">
        <f t="shared" si="2"/>
        <v>22183</v>
      </c>
      <c r="H26" s="122">
        <f t="shared" si="2"/>
        <v>28736</v>
      </c>
      <c r="I26" s="122">
        <f t="shared" si="2"/>
        <v>27851</v>
      </c>
      <c r="J26" s="122">
        <f t="shared" si="2"/>
        <v>24767</v>
      </c>
      <c r="K26" s="122">
        <f t="shared" si="2"/>
        <v>28067</v>
      </c>
      <c r="L26" s="122">
        <f t="shared" si="2"/>
        <v>27399</v>
      </c>
      <c r="M26" s="122">
        <f t="shared" si="2"/>
        <v>24843</v>
      </c>
      <c r="N26" s="122">
        <f t="shared" si="2"/>
        <v>27796</v>
      </c>
      <c r="O26" s="122">
        <f t="shared" si="2"/>
        <v>20600</v>
      </c>
      <c r="P26" s="126">
        <f t="shared" si="1"/>
        <v>300199</v>
      </c>
    </row>
    <row r="27" spans="3:16" ht="24.95" hidden="1" customHeight="1" outlineLevel="1" x14ac:dyDescent="0.25">
      <c r="C27" s="127" t="s">
        <v>88</v>
      </c>
      <c r="D27" s="33">
        <v>6220</v>
      </c>
      <c r="E27" s="33">
        <v>3050</v>
      </c>
      <c r="F27" s="33">
        <v>3035</v>
      </c>
      <c r="G27" s="33">
        <v>6120</v>
      </c>
      <c r="H27" s="33">
        <v>6377</v>
      </c>
      <c r="I27" s="33">
        <v>5443</v>
      </c>
      <c r="J27" s="33">
        <v>3201</v>
      </c>
      <c r="K27" s="33">
        <v>5384</v>
      </c>
      <c r="L27" s="33">
        <v>6306</v>
      </c>
      <c r="M27" s="33">
        <v>3440</v>
      </c>
      <c r="N27" s="33">
        <v>6513</v>
      </c>
      <c r="O27" s="33">
        <v>5007</v>
      </c>
      <c r="P27" s="126">
        <f t="shared" si="1"/>
        <v>60096</v>
      </c>
    </row>
    <row r="28" spans="3:16" ht="24.95" hidden="1" customHeight="1" outlineLevel="1" x14ac:dyDescent="0.25">
      <c r="C28" s="127" t="s">
        <v>89</v>
      </c>
      <c r="D28" s="33">
        <v>3667</v>
      </c>
      <c r="E28" s="33">
        <v>3935</v>
      </c>
      <c r="F28" s="33">
        <v>5333</v>
      </c>
      <c r="G28" s="33">
        <v>3295</v>
      </c>
      <c r="H28" s="33">
        <v>6476</v>
      </c>
      <c r="I28" s="33">
        <v>5052</v>
      </c>
      <c r="J28" s="33">
        <v>5017</v>
      </c>
      <c r="K28" s="33">
        <v>6519</v>
      </c>
      <c r="L28" s="33">
        <v>3914</v>
      </c>
      <c r="M28" s="33">
        <v>5229</v>
      </c>
      <c r="N28" s="33">
        <v>3022</v>
      </c>
      <c r="O28" s="33">
        <v>3197</v>
      </c>
      <c r="P28" s="126">
        <f t="shared" si="1"/>
        <v>54656</v>
      </c>
    </row>
    <row r="29" spans="3:16" ht="24.95" hidden="1" customHeight="1" outlineLevel="1" x14ac:dyDescent="0.25">
      <c r="C29" s="127" t="s">
        <v>90</v>
      </c>
      <c r="D29" s="33">
        <v>4439</v>
      </c>
      <c r="E29" s="33">
        <v>3555</v>
      </c>
      <c r="F29" s="33">
        <v>6217</v>
      </c>
      <c r="G29" s="33">
        <v>4352</v>
      </c>
      <c r="H29" s="33">
        <v>4083</v>
      </c>
      <c r="I29" s="33">
        <v>6254</v>
      </c>
      <c r="J29" s="33">
        <v>4503</v>
      </c>
      <c r="K29" s="33">
        <v>6765</v>
      </c>
      <c r="L29" s="33">
        <v>6392</v>
      </c>
      <c r="M29" s="33">
        <v>6336</v>
      </c>
      <c r="N29" s="33">
        <v>6300</v>
      </c>
      <c r="O29" s="33">
        <v>3386</v>
      </c>
      <c r="P29" s="126">
        <f t="shared" si="1"/>
        <v>62582</v>
      </c>
    </row>
    <row r="30" spans="3:16" ht="24.95" hidden="1" customHeight="1" outlineLevel="1" x14ac:dyDescent="0.25">
      <c r="C30" s="127" t="s">
        <v>91</v>
      </c>
      <c r="D30" s="33">
        <v>4753</v>
      </c>
      <c r="E30" s="33">
        <v>4216</v>
      </c>
      <c r="F30" s="33">
        <v>4232</v>
      </c>
      <c r="G30" s="33">
        <v>5245</v>
      </c>
      <c r="H30" s="33">
        <v>5020</v>
      </c>
      <c r="I30" s="33">
        <v>4765</v>
      </c>
      <c r="J30" s="33">
        <v>5704</v>
      </c>
      <c r="K30" s="33">
        <v>3235</v>
      </c>
      <c r="L30" s="33">
        <v>5157</v>
      </c>
      <c r="M30" s="33">
        <v>4559</v>
      </c>
      <c r="N30" s="33">
        <v>6617</v>
      </c>
      <c r="O30" s="33">
        <v>3647</v>
      </c>
      <c r="P30" s="126">
        <f t="shared" si="1"/>
        <v>57150</v>
      </c>
    </row>
    <row r="31" spans="3:16" ht="24.95" hidden="1" customHeight="1" outlineLevel="1" x14ac:dyDescent="0.25">
      <c r="C31" s="127" t="s">
        <v>92</v>
      </c>
      <c r="D31" s="33">
        <v>5462</v>
      </c>
      <c r="E31" s="33">
        <v>6315</v>
      </c>
      <c r="F31" s="33">
        <v>3528</v>
      </c>
      <c r="G31" s="33">
        <v>3171</v>
      </c>
      <c r="H31" s="33">
        <v>6780</v>
      </c>
      <c r="I31" s="33">
        <v>6337</v>
      </c>
      <c r="J31" s="33">
        <v>6342</v>
      </c>
      <c r="K31" s="33">
        <v>6164</v>
      </c>
      <c r="L31" s="33">
        <v>5630</v>
      </c>
      <c r="M31" s="33">
        <v>5279</v>
      </c>
      <c r="N31" s="33">
        <v>5344</v>
      </c>
      <c r="O31" s="33">
        <v>5363</v>
      </c>
      <c r="P31" s="126">
        <f t="shared" si="1"/>
        <v>65715</v>
      </c>
    </row>
    <row r="32" spans="3:16" ht="24.95" hidden="1" customHeight="1" outlineLevel="1" x14ac:dyDescent="0.25">
      <c r="C32" s="127"/>
      <c r="D32" s="33"/>
      <c r="E32" s="33"/>
      <c r="F32" s="33"/>
      <c r="G32" s="33"/>
      <c r="H32" s="33"/>
      <c r="I32" s="33"/>
      <c r="J32" s="33"/>
      <c r="K32" s="33"/>
      <c r="L32" s="33"/>
      <c r="M32" s="33"/>
      <c r="N32" s="33"/>
      <c r="O32" s="33"/>
      <c r="P32" s="126">
        <f t="shared" si="1"/>
        <v>0</v>
      </c>
    </row>
    <row r="33" spans="3:16" ht="24.95" hidden="1" customHeight="1" outlineLevel="1" x14ac:dyDescent="0.25">
      <c r="C33" s="127"/>
      <c r="D33" s="33"/>
      <c r="E33" s="33"/>
      <c r="F33" s="33"/>
      <c r="G33" s="33"/>
      <c r="H33" s="33"/>
      <c r="I33" s="33"/>
      <c r="J33" s="33"/>
      <c r="K33" s="33"/>
      <c r="L33" s="33"/>
      <c r="M33" s="33"/>
      <c r="N33" s="33"/>
      <c r="O33" s="33"/>
      <c r="P33" s="126">
        <f t="shared" si="1"/>
        <v>0</v>
      </c>
    </row>
    <row r="34" spans="3:16" ht="24.95" hidden="1" customHeight="1" outlineLevel="1" x14ac:dyDescent="0.25">
      <c r="C34" s="127"/>
      <c r="D34" s="33"/>
      <c r="E34" s="33"/>
      <c r="F34" s="33"/>
      <c r="G34" s="33"/>
      <c r="H34" s="33"/>
      <c r="I34" s="33"/>
      <c r="J34" s="33"/>
      <c r="K34" s="33"/>
      <c r="L34" s="33"/>
      <c r="M34" s="33"/>
      <c r="N34" s="33"/>
      <c r="O34" s="33"/>
      <c r="P34" s="126">
        <f t="shared" si="1"/>
        <v>0</v>
      </c>
    </row>
    <row r="35" spans="3:16" ht="24.95" hidden="1" customHeight="1" outlineLevel="1" x14ac:dyDescent="0.25">
      <c r="C35" s="127"/>
      <c r="D35" s="33"/>
      <c r="E35" s="33"/>
      <c r="F35" s="33"/>
      <c r="G35" s="33"/>
      <c r="H35" s="33"/>
      <c r="I35" s="33"/>
      <c r="J35" s="33"/>
      <c r="K35" s="33"/>
      <c r="L35" s="33"/>
      <c r="M35" s="33"/>
      <c r="N35" s="33"/>
      <c r="O35" s="33"/>
      <c r="P35" s="126">
        <f t="shared" si="1"/>
        <v>0</v>
      </c>
    </row>
    <row r="36" spans="3:16" ht="24.95" hidden="1" customHeight="1" outlineLevel="1" x14ac:dyDescent="0.25">
      <c r="C36" s="127"/>
      <c r="D36" s="33"/>
      <c r="E36" s="33"/>
      <c r="F36" s="33"/>
      <c r="G36" s="33"/>
      <c r="H36" s="33"/>
      <c r="I36" s="33"/>
      <c r="J36" s="33"/>
      <c r="K36" s="33"/>
      <c r="L36" s="33"/>
      <c r="M36" s="33"/>
      <c r="N36" s="33"/>
      <c r="O36" s="33"/>
      <c r="P36" s="126">
        <f t="shared" si="1"/>
        <v>0</v>
      </c>
    </row>
    <row r="37" spans="3:16" ht="24.95" hidden="1" customHeight="1" outlineLevel="1" x14ac:dyDescent="0.25">
      <c r="C37" s="127"/>
      <c r="D37" s="33"/>
      <c r="E37" s="33"/>
      <c r="F37" s="33"/>
      <c r="G37" s="33"/>
      <c r="H37" s="33"/>
      <c r="I37" s="33"/>
      <c r="J37" s="33"/>
      <c r="K37" s="33"/>
      <c r="L37" s="33"/>
      <c r="M37" s="33"/>
      <c r="N37" s="33"/>
      <c r="O37" s="33"/>
      <c r="P37" s="126">
        <f t="shared" si="1"/>
        <v>0</v>
      </c>
    </row>
    <row r="38" spans="3:16" ht="24.95" hidden="1" customHeight="1" outlineLevel="1" x14ac:dyDescent="0.25">
      <c r="C38" s="127"/>
      <c r="D38" s="33"/>
      <c r="E38" s="33"/>
      <c r="F38" s="33"/>
      <c r="G38" s="33"/>
      <c r="H38" s="33"/>
      <c r="I38" s="33"/>
      <c r="J38" s="33"/>
      <c r="K38" s="33"/>
      <c r="L38" s="33"/>
      <c r="M38" s="33"/>
      <c r="N38" s="33"/>
      <c r="O38" s="33"/>
      <c r="P38" s="126">
        <f t="shared" si="1"/>
        <v>0</v>
      </c>
    </row>
    <row r="39" spans="3:16" ht="24.95" hidden="1" customHeight="1" outlineLevel="1" x14ac:dyDescent="0.25">
      <c r="C39" s="127"/>
      <c r="D39" s="33"/>
      <c r="E39" s="33"/>
      <c r="F39" s="33"/>
      <c r="G39" s="33"/>
      <c r="H39" s="33"/>
      <c r="I39" s="33"/>
      <c r="J39" s="33"/>
      <c r="K39" s="33"/>
      <c r="L39" s="33"/>
      <c r="M39" s="33"/>
      <c r="N39" s="33"/>
      <c r="O39" s="33"/>
      <c r="P39" s="126">
        <f t="shared" si="1"/>
        <v>0</v>
      </c>
    </row>
    <row r="40" spans="3:16" ht="24.95" hidden="1" customHeight="1" outlineLevel="1" x14ac:dyDescent="0.25">
      <c r="C40" s="127"/>
      <c r="D40" s="33"/>
      <c r="E40" s="33"/>
      <c r="F40" s="33"/>
      <c r="G40" s="33"/>
      <c r="H40" s="33"/>
      <c r="I40" s="33"/>
      <c r="J40" s="33"/>
      <c r="K40" s="33"/>
      <c r="L40" s="33"/>
      <c r="M40" s="33"/>
      <c r="N40" s="33"/>
      <c r="O40" s="33"/>
      <c r="P40" s="126">
        <f t="shared" si="1"/>
        <v>0</v>
      </c>
    </row>
    <row r="41" spans="3:16" ht="24.95" hidden="1" customHeight="1" outlineLevel="1" x14ac:dyDescent="0.25">
      <c r="C41" s="127"/>
      <c r="D41" s="33"/>
      <c r="E41" s="33"/>
      <c r="F41" s="33"/>
      <c r="G41" s="33"/>
      <c r="H41" s="33"/>
      <c r="I41" s="33"/>
      <c r="J41" s="33"/>
      <c r="K41" s="33"/>
      <c r="L41" s="33"/>
      <c r="M41" s="33"/>
      <c r="N41" s="33"/>
      <c r="O41" s="33"/>
      <c r="P41" s="126">
        <f t="shared" si="1"/>
        <v>0</v>
      </c>
    </row>
    <row r="42" spans="3:16" ht="24.95" hidden="1" customHeight="1" outlineLevel="1" x14ac:dyDescent="0.25">
      <c r="C42" s="127"/>
      <c r="D42" s="33"/>
      <c r="E42" s="33"/>
      <c r="F42" s="33"/>
      <c r="G42" s="33"/>
      <c r="H42" s="33"/>
      <c r="I42" s="33"/>
      <c r="J42" s="33"/>
      <c r="K42" s="33"/>
      <c r="L42" s="33"/>
      <c r="M42" s="33"/>
      <c r="N42" s="33"/>
      <c r="O42" s="33"/>
      <c r="P42" s="126">
        <f t="shared" si="1"/>
        <v>0</v>
      </c>
    </row>
    <row r="43" spans="3:16" ht="24.95" hidden="1" customHeight="1" outlineLevel="1" x14ac:dyDescent="0.25">
      <c r="C43" s="127"/>
      <c r="D43" s="33"/>
      <c r="E43" s="33"/>
      <c r="F43" s="33"/>
      <c r="G43" s="33"/>
      <c r="H43" s="33"/>
      <c r="I43" s="33"/>
      <c r="J43" s="33"/>
      <c r="K43" s="33"/>
      <c r="L43" s="33"/>
      <c r="M43" s="33"/>
      <c r="N43" s="33"/>
      <c r="O43" s="33"/>
      <c r="P43" s="126">
        <f t="shared" si="1"/>
        <v>0</v>
      </c>
    </row>
    <row r="44" spans="3:16" ht="24.95" hidden="1" customHeight="1" outlineLevel="1" x14ac:dyDescent="0.25">
      <c r="C44" s="127"/>
      <c r="D44" s="33"/>
      <c r="E44" s="33"/>
      <c r="F44" s="33"/>
      <c r="G44" s="33"/>
      <c r="H44" s="33"/>
      <c r="I44" s="33"/>
      <c r="J44" s="33"/>
      <c r="K44" s="33"/>
      <c r="L44" s="33"/>
      <c r="M44" s="33"/>
      <c r="N44" s="33"/>
      <c r="O44" s="33"/>
      <c r="P44" s="126">
        <f t="shared" si="1"/>
        <v>0</v>
      </c>
    </row>
    <row r="45" spans="3:16" ht="24.95" hidden="1" customHeight="1" outlineLevel="1" x14ac:dyDescent="0.25">
      <c r="C45" s="127"/>
      <c r="D45" s="33"/>
      <c r="E45" s="33"/>
      <c r="F45" s="33"/>
      <c r="G45" s="33"/>
      <c r="H45" s="33"/>
      <c r="I45" s="33"/>
      <c r="J45" s="33"/>
      <c r="K45" s="33"/>
      <c r="L45" s="33"/>
      <c r="M45" s="33"/>
      <c r="N45" s="33"/>
      <c r="O45" s="33"/>
      <c r="P45" s="126">
        <f t="shared" si="1"/>
        <v>0</v>
      </c>
    </row>
    <row r="46" spans="3:16" ht="24.95" hidden="1" customHeight="1" outlineLevel="1" x14ac:dyDescent="0.25">
      <c r="C46" s="127"/>
      <c r="D46" s="33"/>
      <c r="E46" s="33"/>
      <c r="F46" s="33"/>
      <c r="G46" s="33"/>
      <c r="H46" s="33"/>
      <c r="I46" s="33"/>
      <c r="J46" s="33"/>
      <c r="K46" s="33"/>
      <c r="L46" s="33"/>
      <c r="M46" s="33"/>
      <c r="N46" s="33"/>
      <c r="O46" s="33"/>
      <c r="P46" s="126">
        <f t="shared" si="1"/>
        <v>0</v>
      </c>
    </row>
    <row r="47" spans="3:16" ht="24.95" customHeight="1" collapsed="1" x14ac:dyDescent="0.25">
      <c r="C47" s="124" t="s">
        <v>36</v>
      </c>
      <c r="D47" s="123">
        <f>D5-D26</f>
        <v>42679</v>
      </c>
      <c r="E47" s="123">
        <f t="shared" ref="E47:O47" si="3">E5-E26</f>
        <v>59932</v>
      </c>
      <c r="F47" s="123">
        <f t="shared" si="3"/>
        <v>73394</v>
      </c>
      <c r="G47" s="123">
        <f t="shared" si="3"/>
        <v>67669</v>
      </c>
      <c r="H47" s="123">
        <f t="shared" si="3"/>
        <v>45658</v>
      </c>
      <c r="I47" s="123">
        <f t="shared" si="3"/>
        <v>57625</v>
      </c>
      <c r="J47" s="123">
        <f t="shared" si="3"/>
        <v>67505</v>
      </c>
      <c r="K47" s="123">
        <f t="shared" si="3"/>
        <v>62687</v>
      </c>
      <c r="L47" s="123">
        <f t="shared" si="3"/>
        <v>41273</v>
      </c>
      <c r="M47" s="123">
        <f t="shared" si="3"/>
        <v>58334</v>
      </c>
      <c r="N47" s="123">
        <f t="shared" si="3"/>
        <v>49716</v>
      </c>
      <c r="O47" s="123">
        <f t="shared" si="3"/>
        <v>65564</v>
      </c>
      <c r="P47" s="126">
        <f t="shared" si="1"/>
        <v>692036</v>
      </c>
    </row>
    <row r="48" spans="3:16" ht="24.95" customHeight="1" x14ac:dyDescent="0.25">
      <c r="C48" s="121" t="s">
        <v>37</v>
      </c>
      <c r="D48" s="122">
        <f>SUM(D49:D68)</f>
        <v>12605</v>
      </c>
      <c r="E48" s="122">
        <f t="shared" ref="E48:O48" si="4">SUM(E49:E68)</f>
        <v>19515</v>
      </c>
      <c r="F48" s="122">
        <f t="shared" si="4"/>
        <v>10420</v>
      </c>
      <c r="G48" s="122">
        <f t="shared" si="4"/>
        <v>16578</v>
      </c>
      <c r="H48" s="122">
        <f t="shared" si="4"/>
        <v>14640</v>
      </c>
      <c r="I48" s="122">
        <f t="shared" si="4"/>
        <v>13758</v>
      </c>
      <c r="J48" s="122">
        <f t="shared" si="4"/>
        <v>16478</v>
      </c>
      <c r="K48" s="122">
        <f t="shared" si="4"/>
        <v>12299</v>
      </c>
      <c r="L48" s="122">
        <f t="shared" si="4"/>
        <v>12488</v>
      </c>
      <c r="M48" s="122">
        <f t="shared" si="4"/>
        <v>13318</v>
      </c>
      <c r="N48" s="122">
        <f t="shared" si="4"/>
        <v>16178</v>
      </c>
      <c r="O48" s="122">
        <f t="shared" si="4"/>
        <v>16353</v>
      </c>
      <c r="P48" s="126">
        <f t="shared" si="1"/>
        <v>174630</v>
      </c>
    </row>
    <row r="49" spans="3:16" ht="24.95" hidden="1" customHeight="1" outlineLevel="1" x14ac:dyDescent="0.25">
      <c r="C49" s="127" t="s">
        <v>93</v>
      </c>
      <c r="D49" s="33">
        <v>12605</v>
      </c>
      <c r="E49" s="33">
        <v>19515</v>
      </c>
      <c r="F49" s="33">
        <v>10420</v>
      </c>
      <c r="G49" s="33">
        <v>16578</v>
      </c>
      <c r="H49" s="33">
        <v>14640</v>
      </c>
      <c r="I49" s="33">
        <v>13758</v>
      </c>
      <c r="J49" s="33">
        <v>16478</v>
      </c>
      <c r="K49" s="33">
        <v>12299</v>
      </c>
      <c r="L49" s="33">
        <v>12488</v>
      </c>
      <c r="M49" s="33">
        <v>13318</v>
      </c>
      <c r="N49" s="33">
        <v>16178</v>
      </c>
      <c r="O49" s="33">
        <v>16353</v>
      </c>
      <c r="P49" s="126">
        <f t="shared" si="1"/>
        <v>174630</v>
      </c>
    </row>
    <row r="50" spans="3:16" ht="24.95" hidden="1" customHeight="1" outlineLevel="1" x14ac:dyDescent="0.25">
      <c r="C50" s="127"/>
      <c r="D50" s="33"/>
      <c r="E50" s="33"/>
      <c r="F50" s="33"/>
      <c r="G50" s="33"/>
      <c r="H50" s="33"/>
      <c r="I50" s="33"/>
      <c r="J50" s="33"/>
      <c r="K50" s="33"/>
      <c r="L50" s="33"/>
      <c r="M50" s="33"/>
      <c r="N50" s="33"/>
      <c r="O50" s="33"/>
      <c r="P50" s="126">
        <f t="shared" si="1"/>
        <v>0</v>
      </c>
    </row>
    <row r="51" spans="3:16" ht="24.95" hidden="1" customHeight="1" outlineLevel="1" x14ac:dyDescent="0.25">
      <c r="C51" s="127"/>
      <c r="D51" s="33"/>
      <c r="E51" s="33"/>
      <c r="F51" s="33"/>
      <c r="G51" s="33"/>
      <c r="H51" s="33"/>
      <c r="I51" s="33"/>
      <c r="J51" s="33"/>
      <c r="K51" s="33"/>
      <c r="L51" s="33"/>
      <c r="M51" s="33"/>
      <c r="N51" s="33"/>
      <c r="O51" s="33"/>
      <c r="P51" s="126">
        <f t="shared" si="1"/>
        <v>0</v>
      </c>
    </row>
    <row r="52" spans="3:16" ht="24.95" hidden="1" customHeight="1" outlineLevel="1" x14ac:dyDescent="0.25">
      <c r="C52" s="127"/>
      <c r="D52" s="33"/>
      <c r="E52" s="33"/>
      <c r="F52" s="33"/>
      <c r="G52" s="33"/>
      <c r="H52" s="33"/>
      <c r="I52" s="33"/>
      <c r="J52" s="33"/>
      <c r="K52" s="33"/>
      <c r="L52" s="33"/>
      <c r="M52" s="33"/>
      <c r="N52" s="33"/>
      <c r="O52" s="33"/>
      <c r="P52" s="126">
        <f t="shared" si="1"/>
        <v>0</v>
      </c>
    </row>
    <row r="53" spans="3:16" ht="24.95" hidden="1" customHeight="1" outlineLevel="1" x14ac:dyDescent="0.25">
      <c r="C53" s="127"/>
      <c r="D53" s="33"/>
      <c r="E53" s="33"/>
      <c r="F53" s="33"/>
      <c r="G53" s="33"/>
      <c r="H53" s="33"/>
      <c r="I53" s="33"/>
      <c r="J53" s="33"/>
      <c r="K53" s="33"/>
      <c r="L53" s="33"/>
      <c r="M53" s="33"/>
      <c r="N53" s="33"/>
      <c r="O53" s="33"/>
      <c r="P53" s="126">
        <f t="shared" si="1"/>
        <v>0</v>
      </c>
    </row>
    <row r="54" spans="3:16" ht="24.95" hidden="1" customHeight="1" outlineLevel="1" x14ac:dyDescent="0.25">
      <c r="C54" s="127"/>
      <c r="D54" s="33"/>
      <c r="E54" s="33"/>
      <c r="F54" s="33"/>
      <c r="G54" s="33"/>
      <c r="H54" s="33"/>
      <c r="I54" s="33"/>
      <c r="J54" s="33"/>
      <c r="K54" s="33"/>
      <c r="L54" s="33"/>
      <c r="M54" s="33"/>
      <c r="N54" s="33"/>
      <c r="O54" s="33"/>
      <c r="P54" s="126">
        <f t="shared" si="1"/>
        <v>0</v>
      </c>
    </row>
    <row r="55" spans="3:16" ht="24.95" hidden="1" customHeight="1" outlineLevel="1" x14ac:dyDescent="0.25">
      <c r="C55" s="127"/>
      <c r="D55" s="33"/>
      <c r="E55" s="33"/>
      <c r="F55" s="33"/>
      <c r="G55" s="33"/>
      <c r="H55" s="33"/>
      <c r="I55" s="33"/>
      <c r="J55" s="33"/>
      <c r="K55" s="33"/>
      <c r="L55" s="33"/>
      <c r="M55" s="33"/>
      <c r="N55" s="33"/>
      <c r="O55" s="33"/>
      <c r="P55" s="126">
        <f t="shared" si="1"/>
        <v>0</v>
      </c>
    </row>
    <row r="56" spans="3:16" ht="24.95" hidden="1" customHeight="1" outlineLevel="1" x14ac:dyDescent="0.25">
      <c r="C56" s="127"/>
      <c r="D56" s="33"/>
      <c r="E56" s="33"/>
      <c r="F56" s="33"/>
      <c r="G56" s="33"/>
      <c r="H56" s="33"/>
      <c r="I56" s="33"/>
      <c r="J56" s="33"/>
      <c r="K56" s="33"/>
      <c r="L56" s="33"/>
      <c r="M56" s="33"/>
      <c r="N56" s="33"/>
      <c r="O56" s="33"/>
      <c r="P56" s="126">
        <f t="shared" si="1"/>
        <v>0</v>
      </c>
    </row>
    <row r="57" spans="3:16" ht="24.95" hidden="1" customHeight="1" outlineLevel="1" x14ac:dyDescent="0.25">
      <c r="C57" s="127"/>
      <c r="D57" s="33"/>
      <c r="E57" s="33"/>
      <c r="F57" s="33"/>
      <c r="G57" s="33"/>
      <c r="H57" s="33"/>
      <c r="I57" s="33"/>
      <c r="J57" s="33"/>
      <c r="K57" s="33"/>
      <c r="L57" s="33"/>
      <c r="M57" s="33"/>
      <c r="N57" s="33"/>
      <c r="O57" s="33"/>
      <c r="P57" s="126">
        <f t="shared" si="1"/>
        <v>0</v>
      </c>
    </row>
    <row r="58" spans="3:16" ht="24.95" hidden="1" customHeight="1" outlineLevel="1" x14ac:dyDescent="0.25">
      <c r="C58" s="127"/>
      <c r="D58" s="33"/>
      <c r="E58" s="33"/>
      <c r="F58" s="33"/>
      <c r="G58" s="33"/>
      <c r="H58" s="33"/>
      <c r="I58" s="33"/>
      <c r="J58" s="33"/>
      <c r="K58" s="33"/>
      <c r="L58" s="33"/>
      <c r="M58" s="33"/>
      <c r="N58" s="33"/>
      <c r="O58" s="33"/>
      <c r="P58" s="126">
        <f t="shared" si="1"/>
        <v>0</v>
      </c>
    </row>
    <row r="59" spans="3:16" ht="24.95" hidden="1" customHeight="1" outlineLevel="1" x14ac:dyDescent="0.25">
      <c r="C59" s="127"/>
      <c r="D59" s="33"/>
      <c r="E59" s="33"/>
      <c r="F59" s="33"/>
      <c r="G59" s="33"/>
      <c r="H59" s="33"/>
      <c r="I59" s="33"/>
      <c r="J59" s="33"/>
      <c r="K59" s="33"/>
      <c r="L59" s="33"/>
      <c r="M59" s="33"/>
      <c r="N59" s="33"/>
      <c r="O59" s="33"/>
      <c r="P59" s="126">
        <f t="shared" si="1"/>
        <v>0</v>
      </c>
    </row>
    <row r="60" spans="3:16" ht="24.95" hidden="1" customHeight="1" outlineLevel="1" x14ac:dyDescent="0.25">
      <c r="C60" s="127"/>
      <c r="D60" s="33"/>
      <c r="E60" s="33"/>
      <c r="F60" s="33"/>
      <c r="G60" s="33"/>
      <c r="H60" s="33"/>
      <c r="I60" s="33"/>
      <c r="J60" s="33"/>
      <c r="K60" s="33"/>
      <c r="L60" s="33"/>
      <c r="M60" s="33"/>
      <c r="N60" s="33"/>
      <c r="O60" s="33"/>
      <c r="P60" s="126">
        <f t="shared" si="1"/>
        <v>0</v>
      </c>
    </row>
    <row r="61" spans="3:16" ht="24.95" hidden="1" customHeight="1" outlineLevel="1" x14ac:dyDescent="0.25">
      <c r="C61" s="127"/>
      <c r="D61" s="33"/>
      <c r="E61" s="33"/>
      <c r="F61" s="33"/>
      <c r="G61" s="33"/>
      <c r="H61" s="33"/>
      <c r="I61" s="33"/>
      <c r="J61" s="33"/>
      <c r="K61" s="33"/>
      <c r="L61" s="33"/>
      <c r="M61" s="33"/>
      <c r="N61" s="33"/>
      <c r="O61" s="33"/>
      <c r="P61" s="126">
        <f t="shared" si="1"/>
        <v>0</v>
      </c>
    </row>
    <row r="62" spans="3:16" ht="24.95" hidden="1" customHeight="1" outlineLevel="1" x14ac:dyDescent="0.25">
      <c r="C62" s="127"/>
      <c r="D62" s="33"/>
      <c r="E62" s="33"/>
      <c r="F62" s="33"/>
      <c r="G62" s="33"/>
      <c r="H62" s="33"/>
      <c r="I62" s="33"/>
      <c r="J62" s="33"/>
      <c r="K62" s="33"/>
      <c r="L62" s="33"/>
      <c r="M62" s="33"/>
      <c r="N62" s="33"/>
      <c r="O62" s="33"/>
      <c r="P62" s="126">
        <f t="shared" si="1"/>
        <v>0</v>
      </c>
    </row>
    <row r="63" spans="3:16" ht="24.95" hidden="1" customHeight="1" outlineLevel="1" x14ac:dyDescent="0.25">
      <c r="C63" s="127"/>
      <c r="D63" s="33"/>
      <c r="E63" s="33"/>
      <c r="F63" s="33"/>
      <c r="G63" s="33"/>
      <c r="H63" s="33"/>
      <c r="I63" s="33"/>
      <c r="J63" s="33"/>
      <c r="K63" s="33"/>
      <c r="L63" s="33"/>
      <c r="M63" s="33"/>
      <c r="N63" s="33"/>
      <c r="O63" s="33"/>
      <c r="P63" s="126">
        <f t="shared" si="1"/>
        <v>0</v>
      </c>
    </row>
    <row r="64" spans="3:16" ht="24.95" hidden="1" customHeight="1" outlineLevel="1" x14ac:dyDescent="0.25">
      <c r="C64" s="127"/>
      <c r="D64" s="33"/>
      <c r="E64" s="33"/>
      <c r="F64" s="33"/>
      <c r="G64" s="33"/>
      <c r="H64" s="33"/>
      <c r="I64" s="33"/>
      <c r="J64" s="33"/>
      <c r="K64" s="33"/>
      <c r="L64" s="33"/>
      <c r="M64" s="33"/>
      <c r="N64" s="33"/>
      <c r="O64" s="33"/>
      <c r="P64" s="126">
        <f t="shared" si="1"/>
        <v>0</v>
      </c>
    </row>
    <row r="65" spans="3:16" ht="24.95" hidden="1" customHeight="1" outlineLevel="1" x14ac:dyDescent="0.25">
      <c r="C65" s="127"/>
      <c r="D65" s="33"/>
      <c r="E65" s="33"/>
      <c r="F65" s="33"/>
      <c r="G65" s="33"/>
      <c r="H65" s="33"/>
      <c r="I65" s="33"/>
      <c r="J65" s="33"/>
      <c r="K65" s="33"/>
      <c r="L65" s="33"/>
      <c r="M65" s="33"/>
      <c r="N65" s="33"/>
      <c r="O65" s="33"/>
      <c r="P65" s="126">
        <f t="shared" si="1"/>
        <v>0</v>
      </c>
    </row>
    <row r="66" spans="3:16" ht="24.95" hidden="1" customHeight="1" outlineLevel="1" x14ac:dyDescent="0.25">
      <c r="C66" s="127"/>
      <c r="D66" s="33"/>
      <c r="E66" s="33"/>
      <c r="F66" s="33"/>
      <c r="G66" s="33"/>
      <c r="H66" s="33"/>
      <c r="I66" s="33"/>
      <c r="J66" s="33"/>
      <c r="K66" s="33"/>
      <c r="L66" s="33"/>
      <c r="M66" s="33"/>
      <c r="N66" s="33"/>
      <c r="O66" s="33"/>
      <c r="P66" s="126">
        <f t="shared" si="1"/>
        <v>0</v>
      </c>
    </row>
    <row r="67" spans="3:16" ht="24.95" hidden="1" customHeight="1" outlineLevel="1" x14ac:dyDescent="0.25">
      <c r="C67" s="127"/>
      <c r="D67" s="33"/>
      <c r="E67" s="33"/>
      <c r="F67" s="33"/>
      <c r="G67" s="33"/>
      <c r="H67" s="33"/>
      <c r="I67" s="33"/>
      <c r="J67" s="33"/>
      <c r="K67" s="33"/>
      <c r="L67" s="33"/>
      <c r="M67" s="33"/>
      <c r="N67" s="33"/>
      <c r="O67" s="33"/>
      <c r="P67" s="126">
        <f t="shared" si="1"/>
        <v>0</v>
      </c>
    </row>
    <row r="68" spans="3:16" ht="24.95" hidden="1" customHeight="1" outlineLevel="1" x14ac:dyDescent="0.25">
      <c r="C68" s="127"/>
      <c r="D68" s="33"/>
      <c r="E68" s="33"/>
      <c r="F68" s="33"/>
      <c r="G68" s="33"/>
      <c r="H68" s="33"/>
      <c r="I68" s="33"/>
      <c r="J68" s="33"/>
      <c r="K68" s="33"/>
      <c r="L68" s="33"/>
      <c r="M68" s="33"/>
      <c r="N68" s="33"/>
      <c r="O68" s="33"/>
      <c r="P68" s="126">
        <f t="shared" si="1"/>
        <v>0</v>
      </c>
    </row>
    <row r="69" spans="3:16" ht="24.95" customHeight="1" collapsed="1" x14ac:dyDescent="0.25">
      <c r="C69" s="124" t="s">
        <v>38</v>
      </c>
      <c r="D69" s="123">
        <f>D47-D48</f>
        <v>30074</v>
      </c>
      <c r="E69" s="123">
        <f t="shared" ref="E69:O69" si="5">E47-E48</f>
        <v>40417</v>
      </c>
      <c r="F69" s="123">
        <f t="shared" si="5"/>
        <v>62974</v>
      </c>
      <c r="G69" s="123">
        <f t="shared" si="5"/>
        <v>51091</v>
      </c>
      <c r="H69" s="123">
        <f t="shared" si="5"/>
        <v>31018</v>
      </c>
      <c r="I69" s="123">
        <f t="shared" si="5"/>
        <v>43867</v>
      </c>
      <c r="J69" s="123">
        <f t="shared" si="5"/>
        <v>51027</v>
      </c>
      <c r="K69" s="123">
        <f t="shared" si="5"/>
        <v>50388</v>
      </c>
      <c r="L69" s="123">
        <f t="shared" si="5"/>
        <v>28785</v>
      </c>
      <c r="M69" s="123">
        <f t="shared" si="5"/>
        <v>45016</v>
      </c>
      <c r="N69" s="123">
        <f t="shared" si="5"/>
        <v>33538</v>
      </c>
      <c r="O69" s="123">
        <f t="shared" si="5"/>
        <v>49211</v>
      </c>
      <c r="P69" s="126">
        <f>SUM(D69:O69)</f>
        <v>517406</v>
      </c>
    </row>
    <row r="70" spans="3:16" ht="24.95" customHeight="1" x14ac:dyDescent="0.25">
      <c r="C70" s="121" t="s">
        <v>39</v>
      </c>
      <c r="D70" s="122">
        <f>SUM(D71:D90)</f>
        <v>8679</v>
      </c>
      <c r="E70" s="122">
        <f t="shared" ref="E70:O70" si="6">SUM(E71:E90)</f>
        <v>8611</v>
      </c>
      <c r="F70" s="122">
        <f t="shared" si="6"/>
        <v>6929</v>
      </c>
      <c r="G70" s="122">
        <f t="shared" si="6"/>
        <v>9604</v>
      </c>
      <c r="H70" s="122">
        <f t="shared" si="6"/>
        <v>8909</v>
      </c>
      <c r="I70" s="122">
        <f t="shared" si="6"/>
        <v>14471</v>
      </c>
      <c r="J70" s="122">
        <f t="shared" si="6"/>
        <v>9028</v>
      </c>
      <c r="K70" s="122">
        <f t="shared" si="6"/>
        <v>14193</v>
      </c>
      <c r="L70" s="122">
        <f t="shared" si="6"/>
        <v>11078</v>
      </c>
      <c r="M70" s="122">
        <f t="shared" si="6"/>
        <v>11525</v>
      </c>
      <c r="N70" s="122">
        <f t="shared" si="6"/>
        <v>9398</v>
      </c>
      <c r="O70" s="122">
        <f t="shared" si="6"/>
        <v>7849</v>
      </c>
      <c r="P70" s="126">
        <f>SUM(D70:O70)</f>
        <v>120274</v>
      </c>
    </row>
    <row r="71" spans="3:16" ht="24.95" hidden="1" customHeight="1" outlineLevel="1" x14ac:dyDescent="0.25">
      <c r="C71" s="127" t="s">
        <v>94</v>
      </c>
      <c r="D71" s="33">
        <v>2929</v>
      </c>
      <c r="E71" s="33">
        <v>1906</v>
      </c>
      <c r="F71" s="33">
        <v>1065</v>
      </c>
      <c r="G71" s="33">
        <v>1783</v>
      </c>
      <c r="H71" s="33">
        <v>1221</v>
      </c>
      <c r="I71" s="33">
        <v>3826</v>
      </c>
      <c r="J71" s="33">
        <v>3531</v>
      </c>
      <c r="K71" s="33">
        <v>3575</v>
      </c>
      <c r="L71" s="33">
        <v>3227</v>
      </c>
      <c r="M71" s="33">
        <v>3487</v>
      </c>
      <c r="N71" s="33">
        <v>2017</v>
      </c>
      <c r="O71" s="33">
        <v>1997</v>
      </c>
      <c r="P71" s="126">
        <f t="shared" ref="P71:P87" si="7">SUM(D71:O71)</f>
        <v>30564</v>
      </c>
    </row>
    <row r="72" spans="3:16" ht="24.95" hidden="1" customHeight="1" outlineLevel="1" x14ac:dyDescent="0.25">
      <c r="C72" s="127" t="s">
        <v>95</v>
      </c>
      <c r="D72" s="33">
        <v>1217</v>
      </c>
      <c r="E72" s="33">
        <v>2933</v>
      </c>
      <c r="F72" s="33">
        <v>1690</v>
      </c>
      <c r="G72" s="33">
        <v>3674</v>
      </c>
      <c r="H72" s="33">
        <v>1557</v>
      </c>
      <c r="I72" s="33">
        <v>3639</v>
      </c>
      <c r="J72" s="33">
        <v>2208</v>
      </c>
      <c r="K72" s="33">
        <v>3726</v>
      </c>
      <c r="L72" s="33">
        <v>1867</v>
      </c>
      <c r="M72" s="33">
        <v>2614</v>
      </c>
      <c r="N72" s="33">
        <v>3992</v>
      </c>
      <c r="O72" s="33">
        <v>1422</v>
      </c>
      <c r="P72" s="126">
        <f t="shared" si="7"/>
        <v>30539</v>
      </c>
    </row>
    <row r="73" spans="3:16" ht="24.95" hidden="1" customHeight="1" outlineLevel="1" x14ac:dyDescent="0.25">
      <c r="C73" s="127" t="s">
        <v>96</v>
      </c>
      <c r="D73" s="33">
        <v>3096</v>
      </c>
      <c r="E73" s="33">
        <v>1365</v>
      </c>
      <c r="F73" s="33">
        <v>3101</v>
      </c>
      <c r="G73" s="33">
        <v>2622</v>
      </c>
      <c r="H73" s="33">
        <v>3151</v>
      </c>
      <c r="I73" s="33">
        <v>3680</v>
      </c>
      <c r="J73" s="33">
        <v>2132</v>
      </c>
      <c r="K73" s="33">
        <v>3422</v>
      </c>
      <c r="L73" s="33">
        <v>3306</v>
      </c>
      <c r="M73" s="33">
        <v>2288</v>
      </c>
      <c r="N73" s="33">
        <v>1569</v>
      </c>
      <c r="O73" s="33">
        <v>1410</v>
      </c>
      <c r="P73" s="126">
        <f t="shared" si="7"/>
        <v>31142</v>
      </c>
    </row>
    <row r="74" spans="3:16" ht="24.95" hidden="1" customHeight="1" outlineLevel="1" x14ac:dyDescent="0.25">
      <c r="C74" s="127" t="s">
        <v>97</v>
      </c>
      <c r="D74" s="33">
        <v>1437</v>
      </c>
      <c r="E74" s="33">
        <v>2407</v>
      </c>
      <c r="F74" s="33">
        <v>1073</v>
      </c>
      <c r="G74" s="33">
        <v>1525</v>
      </c>
      <c r="H74" s="33">
        <v>2980</v>
      </c>
      <c r="I74" s="33">
        <v>3326</v>
      </c>
      <c r="J74" s="33">
        <v>1157</v>
      </c>
      <c r="K74" s="33">
        <v>3470</v>
      </c>
      <c r="L74" s="33">
        <v>2678</v>
      </c>
      <c r="M74" s="33">
        <v>3136</v>
      </c>
      <c r="N74" s="33">
        <v>1820</v>
      </c>
      <c r="O74" s="33">
        <v>3020</v>
      </c>
      <c r="P74" s="126">
        <f t="shared" si="7"/>
        <v>28029</v>
      </c>
    </row>
    <row r="75" spans="3:16" ht="24.95" hidden="1" customHeight="1" outlineLevel="1" x14ac:dyDescent="0.25">
      <c r="C75" s="127"/>
      <c r="D75" s="33"/>
      <c r="E75" s="33"/>
      <c r="F75" s="33"/>
      <c r="G75" s="33"/>
      <c r="H75" s="33"/>
      <c r="I75" s="33"/>
      <c r="J75" s="33"/>
      <c r="K75" s="33"/>
      <c r="L75" s="33"/>
      <c r="M75" s="33"/>
      <c r="N75" s="33"/>
      <c r="O75" s="33"/>
      <c r="P75" s="126">
        <f t="shared" si="7"/>
        <v>0</v>
      </c>
    </row>
    <row r="76" spans="3:16" ht="24.95" hidden="1" customHeight="1" outlineLevel="1" x14ac:dyDescent="0.25">
      <c r="C76" s="127"/>
      <c r="D76" s="33"/>
      <c r="E76" s="33"/>
      <c r="F76" s="33"/>
      <c r="G76" s="33"/>
      <c r="H76" s="33"/>
      <c r="I76" s="33"/>
      <c r="J76" s="33"/>
      <c r="K76" s="33"/>
      <c r="L76" s="33"/>
      <c r="M76" s="33"/>
      <c r="N76" s="33"/>
      <c r="O76" s="33"/>
      <c r="P76" s="126">
        <f t="shared" si="7"/>
        <v>0</v>
      </c>
    </row>
    <row r="77" spans="3:16" ht="24.95" hidden="1" customHeight="1" outlineLevel="1" x14ac:dyDescent="0.25">
      <c r="C77" s="127"/>
      <c r="D77" s="33"/>
      <c r="E77" s="33"/>
      <c r="F77" s="33"/>
      <c r="G77" s="33"/>
      <c r="H77" s="33"/>
      <c r="I77" s="33"/>
      <c r="J77" s="33"/>
      <c r="K77" s="33"/>
      <c r="L77" s="33"/>
      <c r="M77" s="33"/>
      <c r="N77" s="33"/>
      <c r="O77" s="33"/>
      <c r="P77" s="126">
        <f t="shared" si="7"/>
        <v>0</v>
      </c>
    </row>
    <row r="78" spans="3:16" ht="24.95" hidden="1" customHeight="1" outlineLevel="1" x14ac:dyDescent="0.25">
      <c r="C78" s="127"/>
      <c r="D78" s="33"/>
      <c r="E78" s="33"/>
      <c r="F78" s="33"/>
      <c r="G78" s="33"/>
      <c r="H78" s="33"/>
      <c r="I78" s="33"/>
      <c r="J78" s="33"/>
      <c r="K78" s="33"/>
      <c r="L78" s="33"/>
      <c r="M78" s="33"/>
      <c r="N78" s="33"/>
      <c r="O78" s="33"/>
      <c r="P78" s="126">
        <f t="shared" si="7"/>
        <v>0</v>
      </c>
    </row>
    <row r="79" spans="3:16" ht="24.95" hidden="1" customHeight="1" outlineLevel="1" x14ac:dyDescent="0.25">
      <c r="C79" s="127"/>
      <c r="D79" s="33"/>
      <c r="E79" s="33"/>
      <c r="F79" s="33"/>
      <c r="G79" s="33"/>
      <c r="H79" s="33"/>
      <c r="I79" s="33"/>
      <c r="J79" s="33"/>
      <c r="K79" s="33"/>
      <c r="L79" s="33"/>
      <c r="M79" s="33"/>
      <c r="N79" s="33"/>
      <c r="O79" s="33"/>
      <c r="P79" s="126">
        <f t="shared" si="7"/>
        <v>0</v>
      </c>
    </row>
    <row r="80" spans="3:16" ht="24.95" hidden="1" customHeight="1" outlineLevel="1" x14ac:dyDescent="0.25">
      <c r="C80" s="127"/>
      <c r="D80" s="33"/>
      <c r="E80" s="33"/>
      <c r="F80" s="33"/>
      <c r="G80" s="33"/>
      <c r="H80" s="33"/>
      <c r="I80" s="33"/>
      <c r="J80" s="33"/>
      <c r="K80" s="33"/>
      <c r="L80" s="33"/>
      <c r="M80" s="33"/>
      <c r="N80" s="33"/>
      <c r="O80" s="33"/>
      <c r="P80" s="126">
        <f t="shared" si="7"/>
        <v>0</v>
      </c>
    </row>
    <row r="81" spans="3:16" ht="24.95" hidden="1" customHeight="1" outlineLevel="1" x14ac:dyDescent="0.25">
      <c r="C81" s="127"/>
      <c r="D81" s="33"/>
      <c r="E81" s="33"/>
      <c r="F81" s="33"/>
      <c r="G81" s="33"/>
      <c r="H81" s="33"/>
      <c r="I81" s="33"/>
      <c r="J81" s="33"/>
      <c r="K81" s="33"/>
      <c r="L81" s="33"/>
      <c r="M81" s="33"/>
      <c r="N81" s="33"/>
      <c r="O81" s="33"/>
      <c r="P81" s="126">
        <f t="shared" si="7"/>
        <v>0</v>
      </c>
    </row>
    <row r="82" spans="3:16" ht="24.95" hidden="1" customHeight="1" outlineLevel="1" x14ac:dyDescent="0.25">
      <c r="C82" s="127"/>
      <c r="D82" s="33"/>
      <c r="E82" s="33"/>
      <c r="F82" s="33"/>
      <c r="G82" s="33"/>
      <c r="H82" s="33"/>
      <c r="I82" s="33"/>
      <c r="J82" s="33"/>
      <c r="K82" s="33"/>
      <c r="L82" s="33"/>
      <c r="M82" s="33"/>
      <c r="N82" s="33"/>
      <c r="O82" s="33"/>
      <c r="P82" s="126">
        <f t="shared" si="7"/>
        <v>0</v>
      </c>
    </row>
    <row r="83" spans="3:16" ht="24.95" hidden="1" customHeight="1" outlineLevel="1" x14ac:dyDescent="0.25">
      <c r="C83" s="127"/>
      <c r="D83" s="33"/>
      <c r="E83" s="33"/>
      <c r="F83" s="33"/>
      <c r="G83" s="33"/>
      <c r="H83" s="33"/>
      <c r="I83" s="33"/>
      <c r="J83" s="33"/>
      <c r="K83" s="33"/>
      <c r="L83" s="33"/>
      <c r="M83" s="33"/>
      <c r="N83" s="33"/>
      <c r="O83" s="33"/>
      <c r="P83" s="126">
        <f t="shared" si="7"/>
        <v>0</v>
      </c>
    </row>
    <row r="84" spans="3:16" ht="24.95" hidden="1" customHeight="1" outlineLevel="1" x14ac:dyDescent="0.25">
      <c r="C84" s="127"/>
      <c r="D84" s="33"/>
      <c r="E84" s="33"/>
      <c r="F84" s="33"/>
      <c r="G84" s="33"/>
      <c r="H84" s="33"/>
      <c r="I84" s="33"/>
      <c r="J84" s="33"/>
      <c r="K84" s="33"/>
      <c r="L84" s="33"/>
      <c r="M84" s="33"/>
      <c r="N84" s="33"/>
      <c r="O84" s="33"/>
      <c r="P84" s="126">
        <f t="shared" si="7"/>
        <v>0</v>
      </c>
    </row>
    <row r="85" spans="3:16" ht="24.95" hidden="1" customHeight="1" outlineLevel="1" x14ac:dyDescent="0.25">
      <c r="C85" s="127"/>
      <c r="D85" s="33"/>
      <c r="E85" s="33"/>
      <c r="F85" s="33"/>
      <c r="G85" s="33"/>
      <c r="H85" s="33"/>
      <c r="I85" s="33"/>
      <c r="J85" s="33"/>
      <c r="K85" s="33"/>
      <c r="L85" s="33"/>
      <c r="M85" s="33"/>
      <c r="N85" s="33"/>
      <c r="O85" s="33"/>
      <c r="P85" s="126">
        <f t="shared" si="7"/>
        <v>0</v>
      </c>
    </row>
    <row r="86" spans="3:16" ht="24.95" hidden="1" customHeight="1" outlineLevel="1" x14ac:dyDescent="0.25">
      <c r="C86" s="127"/>
      <c r="D86" s="33"/>
      <c r="E86" s="33"/>
      <c r="F86" s="33"/>
      <c r="G86" s="33"/>
      <c r="H86" s="33"/>
      <c r="I86" s="33"/>
      <c r="J86" s="33"/>
      <c r="K86" s="33"/>
      <c r="L86" s="33"/>
      <c r="M86" s="33"/>
      <c r="N86" s="33"/>
      <c r="O86" s="33"/>
      <c r="P86" s="126">
        <f t="shared" si="7"/>
        <v>0</v>
      </c>
    </row>
    <row r="87" spans="3:16" ht="24.95" hidden="1" customHeight="1" outlineLevel="1" x14ac:dyDescent="0.25">
      <c r="C87" s="127"/>
      <c r="D87" s="33"/>
      <c r="E87" s="33"/>
      <c r="F87" s="33"/>
      <c r="G87" s="33"/>
      <c r="H87" s="33"/>
      <c r="I87" s="33"/>
      <c r="J87" s="33"/>
      <c r="K87" s="33"/>
      <c r="L87" s="33"/>
      <c r="M87" s="33"/>
      <c r="N87" s="33"/>
      <c r="O87" s="33"/>
      <c r="P87" s="126">
        <f t="shared" si="7"/>
        <v>0</v>
      </c>
    </row>
    <row r="88" spans="3:16" ht="24.95" hidden="1" customHeight="1" outlineLevel="1" x14ac:dyDescent="0.25">
      <c r="C88" s="127"/>
      <c r="D88" s="33"/>
      <c r="E88" s="33"/>
      <c r="F88" s="33"/>
      <c r="G88" s="33"/>
      <c r="H88" s="33"/>
      <c r="I88" s="33"/>
      <c r="J88" s="33"/>
      <c r="K88" s="33"/>
      <c r="L88" s="33"/>
      <c r="M88" s="33"/>
      <c r="N88" s="33"/>
      <c r="O88" s="33"/>
      <c r="P88" s="126">
        <f t="shared" ref="P88:P89" si="8">SUM(D88:O88)</f>
        <v>0</v>
      </c>
    </row>
    <row r="89" spans="3:16" ht="24.95" hidden="1" customHeight="1" outlineLevel="1" x14ac:dyDescent="0.25">
      <c r="C89" s="127"/>
      <c r="D89" s="33"/>
      <c r="E89" s="33"/>
      <c r="F89" s="33"/>
      <c r="G89" s="33"/>
      <c r="H89" s="33"/>
      <c r="I89" s="33"/>
      <c r="J89" s="33"/>
      <c r="K89" s="33"/>
      <c r="L89" s="33"/>
      <c r="M89" s="33"/>
      <c r="N89" s="33"/>
      <c r="O89" s="33"/>
      <c r="P89" s="126">
        <f t="shared" si="8"/>
        <v>0</v>
      </c>
    </row>
    <row r="90" spans="3:16" ht="24.95" hidden="1" customHeight="1" outlineLevel="1" x14ac:dyDescent="0.25">
      <c r="C90" s="127"/>
      <c r="D90" s="33"/>
      <c r="E90" s="33"/>
      <c r="F90" s="33"/>
      <c r="G90" s="33"/>
      <c r="H90" s="33"/>
      <c r="I90" s="33"/>
      <c r="J90" s="33"/>
      <c r="K90" s="33"/>
      <c r="L90" s="33"/>
      <c r="M90" s="33"/>
      <c r="N90" s="33"/>
      <c r="O90" s="33"/>
      <c r="P90" s="126">
        <f t="shared" ref="P90" si="9">SUM(D90:O90)</f>
        <v>0</v>
      </c>
    </row>
    <row r="91" spans="3:16" ht="24.95" customHeight="1" collapsed="1" x14ac:dyDescent="0.25">
      <c r="C91" s="124" t="s">
        <v>40</v>
      </c>
      <c r="D91" s="123">
        <f>D69-D70</f>
        <v>21395</v>
      </c>
      <c r="E91" s="123">
        <f t="shared" ref="E91:O91" si="10">E69-E70</f>
        <v>31806</v>
      </c>
      <c r="F91" s="123">
        <f t="shared" si="10"/>
        <v>56045</v>
      </c>
      <c r="G91" s="123">
        <f t="shared" si="10"/>
        <v>41487</v>
      </c>
      <c r="H91" s="123">
        <f t="shared" si="10"/>
        <v>22109</v>
      </c>
      <c r="I91" s="123">
        <f t="shared" si="10"/>
        <v>29396</v>
      </c>
      <c r="J91" s="123">
        <f t="shared" si="10"/>
        <v>41999</v>
      </c>
      <c r="K91" s="123">
        <f t="shared" si="10"/>
        <v>36195</v>
      </c>
      <c r="L91" s="123">
        <f t="shared" si="10"/>
        <v>17707</v>
      </c>
      <c r="M91" s="123">
        <f t="shared" si="10"/>
        <v>33491</v>
      </c>
      <c r="N91" s="123">
        <f t="shared" si="10"/>
        <v>24140</v>
      </c>
      <c r="O91" s="123">
        <f t="shared" si="10"/>
        <v>41362</v>
      </c>
      <c r="P91" s="125">
        <f t="shared" ref="P91" si="11">SUM(D91:O91)</f>
        <v>397132</v>
      </c>
    </row>
    <row r="92" spans="3:16" ht="24.95" customHeight="1" x14ac:dyDescent="0.25">
      <c r="C92" s="103" t="s">
        <v>41</v>
      </c>
      <c r="D92" s="122">
        <f>SUM(D93:D112)</f>
        <v>11040</v>
      </c>
      <c r="E92" s="122">
        <f t="shared" ref="E92:O92" si="12">SUM(E93:E112)</f>
        <v>11603</v>
      </c>
      <c r="F92" s="122">
        <f t="shared" si="12"/>
        <v>10947</v>
      </c>
      <c r="G92" s="122">
        <f t="shared" si="12"/>
        <v>12386</v>
      </c>
      <c r="H92" s="122">
        <f t="shared" si="12"/>
        <v>11760</v>
      </c>
      <c r="I92" s="122">
        <f t="shared" si="12"/>
        <v>12822</v>
      </c>
      <c r="J92" s="122">
        <f t="shared" si="12"/>
        <v>11253</v>
      </c>
      <c r="K92" s="122">
        <f t="shared" si="12"/>
        <v>11539</v>
      </c>
      <c r="L92" s="122">
        <f t="shared" si="12"/>
        <v>12406</v>
      </c>
      <c r="M92" s="122">
        <f t="shared" si="12"/>
        <v>12613</v>
      </c>
      <c r="N92" s="122">
        <f t="shared" si="12"/>
        <v>12286</v>
      </c>
      <c r="O92" s="122">
        <f t="shared" si="12"/>
        <v>11774</v>
      </c>
      <c r="P92" s="126">
        <f t="shared" ref="P92:P111" si="13">SUM(D92:O92)</f>
        <v>142429</v>
      </c>
    </row>
    <row r="93" spans="3:16" ht="24.95" hidden="1" customHeight="1" outlineLevel="1" x14ac:dyDescent="0.25">
      <c r="C93" s="127" t="s">
        <v>98</v>
      </c>
      <c r="D93" s="33">
        <v>5330</v>
      </c>
      <c r="E93" s="33">
        <v>6217</v>
      </c>
      <c r="F93" s="33">
        <v>5611</v>
      </c>
      <c r="G93" s="33">
        <v>6089</v>
      </c>
      <c r="H93" s="33">
        <v>6468</v>
      </c>
      <c r="I93" s="33">
        <v>6045</v>
      </c>
      <c r="J93" s="33">
        <v>5897</v>
      </c>
      <c r="K93" s="33">
        <v>5675</v>
      </c>
      <c r="L93" s="33">
        <v>6895</v>
      </c>
      <c r="M93" s="33">
        <v>6926</v>
      </c>
      <c r="N93" s="33">
        <v>6135</v>
      </c>
      <c r="O93" s="33">
        <v>6587</v>
      </c>
      <c r="P93" s="126">
        <f t="shared" si="13"/>
        <v>73875</v>
      </c>
    </row>
    <row r="94" spans="3:16" ht="24.95" hidden="1" customHeight="1" outlineLevel="1" x14ac:dyDescent="0.25">
      <c r="C94" s="127" t="s">
        <v>99</v>
      </c>
      <c r="D94" s="33">
        <v>5710</v>
      </c>
      <c r="E94" s="33">
        <v>5386</v>
      </c>
      <c r="F94" s="33">
        <v>5336</v>
      </c>
      <c r="G94" s="33">
        <v>6297</v>
      </c>
      <c r="H94" s="33">
        <v>5292</v>
      </c>
      <c r="I94" s="33">
        <v>6777</v>
      </c>
      <c r="J94" s="33">
        <v>5356</v>
      </c>
      <c r="K94" s="33">
        <v>5864</v>
      </c>
      <c r="L94" s="33">
        <v>5511</v>
      </c>
      <c r="M94" s="33">
        <v>5687</v>
      </c>
      <c r="N94" s="33">
        <v>6151</v>
      </c>
      <c r="O94" s="33">
        <v>5187</v>
      </c>
      <c r="P94" s="126">
        <f t="shared" si="13"/>
        <v>68554</v>
      </c>
    </row>
    <row r="95" spans="3:16" ht="24.95" hidden="1" customHeight="1" outlineLevel="1" x14ac:dyDescent="0.25">
      <c r="C95" s="127"/>
      <c r="D95" s="33"/>
      <c r="E95" s="33"/>
      <c r="F95" s="33"/>
      <c r="G95" s="33"/>
      <c r="H95" s="33"/>
      <c r="I95" s="33"/>
      <c r="J95" s="33"/>
      <c r="K95" s="33"/>
      <c r="L95" s="33"/>
      <c r="M95" s="33"/>
      <c r="N95" s="33"/>
      <c r="O95" s="33"/>
      <c r="P95" s="126">
        <f t="shared" si="13"/>
        <v>0</v>
      </c>
    </row>
    <row r="96" spans="3:16" ht="24.95" hidden="1" customHeight="1" outlineLevel="1" x14ac:dyDescent="0.25">
      <c r="C96" s="127"/>
      <c r="D96" s="33"/>
      <c r="E96" s="33"/>
      <c r="F96" s="33"/>
      <c r="G96" s="33"/>
      <c r="H96" s="33"/>
      <c r="I96" s="33"/>
      <c r="J96" s="33"/>
      <c r="K96" s="33"/>
      <c r="L96" s="33"/>
      <c r="M96" s="33"/>
      <c r="N96" s="33"/>
      <c r="O96" s="33"/>
      <c r="P96" s="126">
        <f t="shared" si="13"/>
        <v>0</v>
      </c>
    </row>
    <row r="97" spans="3:16" ht="24.95" hidden="1" customHeight="1" outlineLevel="1" x14ac:dyDescent="0.25">
      <c r="C97" s="127"/>
      <c r="D97" s="33"/>
      <c r="E97" s="33"/>
      <c r="F97" s="33"/>
      <c r="G97" s="33"/>
      <c r="H97" s="33"/>
      <c r="I97" s="33"/>
      <c r="J97" s="33"/>
      <c r="K97" s="33"/>
      <c r="L97" s="33"/>
      <c r="M97" s="33"/>
      <c r="N97" s="33"/>
      <c r="O97" s="33"/>
      <c r="P97" s="126">
        <f t="shared" si="13"/>
        <v>0</v>
      </c>
    </row>
    <row r="98" spans="3:16" ht="24.95" hidden="1" customHeight="1" outlineLevel="1" x14ac:dyDescent="0.25">
      <c r="C98" s="127"/>
      <c r="D98" s="33"/>
      <c r="E98" s="33"/>
      <c r="F98" s="33"/>
      <c r="G98" s="33"/>
      <c r="H98" s="33"/>
      <c r="I98" s="33"/>
      <c r="J98" s="33"/>
      <c r="K98" s="33"/>
      <c r="L98" s="33"/>
      <c r="M98" s="33"/>
      <c r="N98" s="33"/>
      <c r="O98" s="33"/>
      <c r="P98" s="126">
        <f t="shared" si="13"/>
        <v>0</v>
      </c>
    </row>
    <row r="99" spans="3:16" ht="24.95" hidden="1" customHeight="1" outlineLevel="1" x14ac:dyDescent="0.25">
      <c r="C99" s="127"/>
      <c r="D99" s="33"/>
      <c r="E99" s="33"/>
      <c r="F99" s="33"/>
      <c r="G99" s="33"/>
      <c r="H99" s="33"/>
      <c r="I99" s="33"/>
      <c r="J99" s="33"/>
      <c r="K99" s="33"/>
      <c r="L99" s="33"/>
      <c r="M99" s="33"/>
      <c r="N99" s="33"/>
      <c r="O99" s="33"/>
      <c r="P99" s="126">
        <f t="shared" si="13"/>
        <v>0</v>
      </c>
    </row>
    <row r="100" spans="3:16" ht="24.95" hidden="1" customHeight="1" outlineLevel="1" x14ac:dyDescent="0.25">
      <c r="C100" s="127"/>
      <c r="D100" s="33"/>
      <c r="E100" s="33"/>
      <c r="F100" s="33"/>
      <c r="G100" s="33"/>
      <c r="H100" s="33"/>
      <c r="I100" s="33"/>
      <c r="J100" s="33"/>
      <c r="K100" s="33"/>
      <c r="L100" s="33"/>
      <c r="M100" s="33"/>
      <c r="N100" s="33"/>
      <c r="O100" s="33"/>
      <c r="P100" s="126">
        <f t="shared" si="13"/>
        <v>0</v>
      </c>
    </row>
    <row r="101" spans="3:16" ht="24.95" hidden="1" customHeight="1" outlineLevel="1" x14ac:dyDescent="0.25">
      <c r="C101" s="127"/>
      <c r="D101" s="33"/>
      <c r="E101" s="33"/>
      <c r="F101" s="33"/>
      <c r="G101" s="33"/>
      <c r="H101" s="33"/>
      <c r="I101" s="33"/>
      <c r="J101" s="33"/>
      <c r="K101" s="33"/>
      <c r="L101" s="33"/>
      <c r="M101" s="33"/>
      <c r="N101" s="33"/>
      <c r="O101" s="33"/>
      <c r="P101" s="126">
        <f t="shared" si="13"/>
        <v>0</v>
      </c>
    </row>
    <row r="102" spans="3:16" ht="24.95" hidden="1" customHeight="1" outlineLevel="1" x14ac:dyDescent="0.25">
      <c r="C102" s="127"/>
      <c r="D102" s="33"/>
      <c r="E102" s="33"/>
      <c r="F102" s="33"/>
      <c r="G102" s="33"/>
      <c r="H102" s="33"/>
      <c r="I102" s="33"/>
      <c r="J102" s="33"/>
      <c r="K102" s="33"/>
      <c r="L102" s="33"/>
      <c r="M102" s="33"/>
      <c r="N102" s="33"/>
      <c r="O102" s="33"/>
      <c r="P102" s="126">
        <f t="shared" si="13"/>
        <v>0</v>
      </c>
    </row>
    <row r="103" spans="3:16" ht="24.95" hidden="1" customHeight="1" outlineLevel="1" x14ac:dyDescent="0.25">
      <c r="C103" s="127"/>
      <c r="D103" s="33"/>
      <c r="E103" s="33"/>
      <c r="F103" s="33"/>
      <c r="G103" s="33"/>
      <c r="H103" s="33"/>
      <c r="I103" s="33"/>
      <c r="J103" s="33"/>
      <c r="K103" s="33"/>
      <c r="L103" s="33"/>
      <c r="M103" s="33"/>
      <c r="N103" s="33"/>
      <c r="O103" s="33"/>
      <c r="P103" s="126">
        <f t="shared" si="13"/>
        <v>0</v>
      </c>
    </row>
    <row r="104" spans="3:16" ht="24.95" hidden="1" customHeight="1" outlineLevel="1" x14ac:dyDescent="0.25">
      <c r="C104" s="127"/>
      <c r="D104" s="33"/>
      <c r="E104" s="33"/>
      <c r="F104" s="33"/>
      <c r="G104" s="33"/>
      <c r="H104" s="33"/>
      <c r="I104" s="33"/>
      <c r="J104" s="33"/>
      <c r="K104" s="33"/>
      <c r="L104" s="33"/>
      <c r="M104" s="33"/>
      <c r="N104" s="33"/>
      <c r="O104" s="33"/>
      <c r="P104" s="126">
        <f t="shared" si="13"/>
        <v>0</v>
      </c>
    </row>
    <row r="105" spans="3:16" ht="24.95" hidden="1" customHeight="1" outlineLevel="1" x14ac:dyDescent="0.25">
      <c r="C105" s="127"/>
      <c r="D105" s="33"/>
      <c r="E105" s="33"/>
      <c r="F105" s="33"/>
      <c r="G105" s="33"/>
      <c r="H105" s="33"/>
      <c r="I105" s="33"/>
      <c r="J105" s="33"/>
      <c r="K105" s="33"/>
      <c r="L105" s="33"/>
      <c r="M105" s="33"/>
      <c r="N105" s="33"/>
      <c r="O105" s="33"/>
      <c r="P105" s="126">
        <f t="shared" si="13"/>
        <v>0</v>
      </c>
    </row>
    <row r="106" spans="3:16" ht="24.95" hidden="1" customHeight="1" outlineLevel="1" x14ac:dyDescent="0.25">
      <c r="C106" s="127"/>
      <c r="D106" s="33"/>
      <c r="E106" s="33"/>
      <c r="F106" s="33"/>
      <c r="G106" s="33"/>
      <c r="H106" s="33"/>
      <c r="I106" s="33"/>
      <c r="J106" s="33"/>
      <c r="K106" s="33"/>
      <c r="L106" s="33"/>
      <c r="M106" s="33"/>
      <c r="N106" s="33"/>
      <c r="O106" s="33"/>
      <c r="P106" s="126">
        <f t="shared" si="13"/>
        <v>0</v>
      </c>
    </row>
    <row r="107" spans="3:16" ht="24.95" hidden="1" customHeight="1" outlineLevel="1" x14ac:dyDescent="0.25">
      <c r="C107" s="127"/>
      <c r="D107" s="33"/>
      <c r="E107" s="33"/>
      <c r="F107" s="33"/>
      <c r="G107" s="33"/>
      <c r="H107" s="33"/>
      <c r="I107" s="33"/>
      <c r="J107" s="33"/>
      <c r="K107" s="33"/>
      <c r="L107" s="33"/>
      <c r="M107" s="33"/>
      <c r="N107" s="33"/>
      <c r="O107" s="33"/>
      <c r="P107" s="126">
        <f t="shared" si="13"/>
        <v>0</v>
      </c>
    </row>
    <row r="108" spans="3:16" ht="24.95" hidden="1" customHeight="1" outlineLevel="1" x14ac:dyDescent="0.25">
      <c r="C108" s="127"/>
      <c r="D108" s="33"/>
      <c r="E108" s="33"/>
      <c r="F108" s="33"/>
      <c r="G108" s="33"/>
      <c r="H108" s="33"/>
      <c r="I108" s="33"/>
      <c r="J108" s="33"/>
      <c r="K108" s="33"/>
      <c r="L108" s="33"/>
      <c r="M108" s="33"/>
      <c r="N108" s="33"/>
      <c r="O108" s="33"/>
      <c r="P108" s="126">
        <f t="shared" si="13"/>
        <v>0</v>
      </c>
    </row>
    <row r="109" spans="3:16" ht="24.95" hidden="1" customHeight="1" outlineLevel="1" x14ac:dyDescent="0.25">
      <c r="C109" s="127"/>
      <c r="D109" s="33"/>
      <c r="E109" s="33"/>
      <c r="F109" s="33"/>
      <c r="G109" s="33"/>
      <c r="H109" s="33"/>
      <c r="I109" s="33"/>
      <c r="J109" s="33"/>
      <c r="K109" s="33"/>
      <c r="L109" s="33"/>
      <c r="M109" s="33"/>
      <c r="N109" s="33"/>
      <c r="O109" s="33"/>
      <c r="P109" s="126">
        <f t="shared" si="13"/>
        <v>0</v>
      </c>
    </row>
    <row r="110" spans="3:16" ht="24.95" hidden="1" customHeight="1" outlineLevel="1" x14ac:dyDescent="0.25">
      <c r="C110" s="127"/>
      <c r="D110" s="33"/>
      <c r="E110" s="33"/>
      <c r="F110" s="33"/>
      <c r="G110" s="33"/>
      <c r="H110" s="33"/>
      <c r="I110" s="33"/>
      <c r="J110" s="33"/>
      <c r="K110" s="33"/>
      <c r="L110" s="33"/>
      <c r="M110" s="33"/>
      <c r="N110" s="33"/>
      <c r="O110" s="33"/>
      <c r="P110" s="126">
        <f t="shared" si="13"/>
        <v>0</v>
      </c>
    </row>
    <row r="111" spans="3:16" ht="24.95" hidden="1" customHeight="1" outlineLevel="1" x14ac:dyDescent="0.25">
      <c r="C111" s="127"/>
      <c r="D111" s="33"/>
      <c r="E111" s="33"/>
      <c r="F111" s="33"/>
      <c r="G111" s="33"/>
      <c r="H111" s="33"/>
      <c r="I111" s="33"/>
      <c r="J111" s="33"/>
      <c r="K111" s="33"/>
      <c r="L111" s="33"/>
      <c r="M111" s="33"/>
      <c r="N111" s="33"/>
      <c r="O111" s="33"/>
      <c r="P111" s="126">
        <f t="shared" si="13"/>
        <v>0</v>
      </c>
    </row>
    <row r="112" spans="3:16" ht="24.95" hidden="1" customHeight="1" outlineLevel="1" x14ac:dyDescent="0.25">
      <c r="C112" s="127"/>
      <c r="D112" s="33"/>
      <c r="E112" s="33"/>
      <c r="F112" s="33"/>
      <c r="G112" s="33"/>
      <c r="H112" s="33"/>
      <c r="I112" s="33"/>
      <c r="J112" s="33"/>
      <c r="K112" s="33"/>
      <c r="L112" s="33"/>
      <c r="M112" s="33"/>
      <c r="N112" s="33"/>
      <c r="O112" s="33"/>
      <c r="P112" s="126">
        <f>SUM(D112:O112)</f>
        <v>0</v>
      </c>
    </row>
    <row r="113" spans="3:19" ht="24.95" customHeight="1" collapsed="1" x14ac:dyDescent="0.25">
      <c r="C113" s="119" t="s">
        <v>57</v>
      </c>
      <c r="D113" s="118">
        <f>D91-D92</f>
        <v>10355</v>
      </c>
      <c r="E113" s="118">
        <f t="shared" ref="E113:O113" si="14">E91-E92</f>
        <v>20203</v>
      </c>
      <c r="F113" s="118">
        <f t="shared" si="14"/>
        <v>45098</v>
      </c>
      <c r="G113" s="118">
        <f t="shared" si="14"/>
        <v>29101</v>
      </c>
      <c r="H113" s="118">
        <f t="shared" si="14"/>
        <v>10349</v>
      </c>
      <c r="I113" s="118">
        <f t="shared" si="14"/>
        <v>16574</v>
      </c>
      <c r="J113" s="118">
        <f t="shared" si="14"/>
        <v>30746</v>
      </c>
      <c r="K113" s="118">
        <f t="shared" si="14"/>
        <v>24656</v>
      </c>
      <c r="L113" s="118">
        <f t="shared" si="14"/>
        <v>5301</v>
      </c>
      <c r="M113" s="118">
        <f t="shared" si="14"/>
        <v>20878</v>
      </c>
      <c r="N113" s="118">
        <f t="shared" si="14"/>
        <v>11854</v>
      </c>
      <c r="O113" s="118">
        <f t="shared" si="14"/>
        <v>29588</v>
      </c>
      <c r="P113" s="42">
        <f>SUM(D113:O113)</f>
        <v>254703</v>
      </c>
    </row>
    <row r="114" spans="3:19" ht="30" customHeight="1" thickBot="1" x14ac:dyDescent="0.3">
      <c r="C114" s="99"/>
      <c r="D114" s="100">
        <f t="shared" ref="D114:P114" si="15">IFERROR(D48+D70,0)</f>
        <v>21284</v>
      </c>
      <c r="E114" s="100">
        <f t="shared" si="15"/>
        <v>28126</v>
      </c>
      <c r="F114" s="100">
        <f t="shared" si="15"/>
        <v>17349</v>
      </c>
      <c r="G114" s="100">
        <f t="shared" si="15"/>
        <v>26182</v>
      </c>
      <c r="H114" s="100">
        <f t="shared" si="15"/>
        <v>23549</v>
      </c>
      <c r="I114" s="100">
        <f t="shared" si="15"/>
        <v>28229</v>
      </c>
      <c r="J114" s="100">
        <f t="shared" si="15"/>
        <v>25506</v>
      </c>
      <c r="K114" s="100">
        <f t="shared" si="15"/>
        <v>26492</v>
      </c>
      <c r="L114" s="100">
        <f t="shared" si="15"/>
        <v>23566</v>
      </c>
      <c r="M114" s="100">
        <f t="shared" si="15"/>
        <v>24843</v>
      </c>
      <c r="N114" s="100">
        <f t="shared" si="15"/>
        <v>25576</v>
      </c>
      <c r="O114" s="100">
        <f t="shared" si="15"/>
        <v>24202</v>
      </c>
      <c r="P114" s="100">
        <f t="shared" si="15"/>
        <v>294904</v>
      </c>
      <c r="Q114" s="99"/>
      <c r="R114" s="99"/>
      <c r="S114" s="99"/>
    </row>
    <row r="115" spans="3:19" ht="21.95" customHeight="1" x14ac:dyDescent="0.25">
      <c r="C115" s="34" t="s">
        <v>32</v>
      </c>
      <c r="D115" s="35" t="s">
        <v>20</v>
      </c>
      <c r="E115" s="35" t="s">
        <v>21</v>
      </c>
      <c r="F115" s="35" t="s">
        <v>22</v>
      </c>
      <c r="G115" s="35" t="s">
        <v>23</v>
      </c>
      <c r="H115" s="35" t="s">
        <v>24</v>
      </c>
      <c r="I115" s="35" t="s">
        <v>25</v>
      </c>
      <c r="J115" s="35" t="s">
        <v>26</v>
      </c>
      <c r="K115" s="35" t="s">
        <v>27</v>
      </c>
      <c r="L115" s="35" t="s">
        <v>28</v>
      </c>
      <c r="M115" s="35" t="s">
        <v>29</v>
      </c>
      <c r="N115" s="35" t="s">
        <v>30</v>
      </c>
      <c r="O115" s="35" t="s">
        <v>31</v>
      </c>
      <c r="P115" s="35" t="s">
        <v>33</v>
      </c>
    </row>
    <row r="116" spans="3:19" ht="30" customHeight="1" x14ac:dyDescent="0.25">
      <c r="C116" s="40" t="s">
        <v>42</v>
      </c>
      <c r="D116" s="140">
        <f t="shared" ref="D116:P116" si="16">IFERROR(D69/D5,0)</f>
        <v>0.44739660815233562</v>
      </c>
      <c r="E116" s="141">
        <f t="shared" si="16"/>
        <v>0.49895682875942865</v>
      </c>
      <c r="F116" s="141">
        <f t="shared" si="16"/>
        <v>0.65776747198111529</v>
      </c>
      <c r="G116" s="141">
        <f t="shared" si="16"/>
        <v>0.56861282998708984</v>
      </c>
      <c r="H116" s="141">
        <f t="shared" si="16"/>
        <v>0.41694222652364438</v>
      </c>
      <c r="I116" s="141">
        <f t="shared" si="16"/>
        <v>0.51320838597969021</v>
      </c>
      <c r="J116" s="141">
        <f t="shared" si="16"/>
        <v>0.553006329113924</v>
      </c>
      <c r="K116" s="141">
        <f t="shared" si="16"/>
        <v>0.55521519712629741</v>
      </c>
      <c r="L116" s="141">
        <f t="shared" si="16"/>
        <v>0.41916647250698974</v>
      </c>
      <c r="M116" s="141">
        <f t="shared" si="16"/>
        <v>0.54120730490399993</v>
      </c>
      <c r="N116" s="141">
        <f t="shared" si="16"/>
        <v>0.43268139126844873</v>
      </c>
      <c r="O116" s="141">
        <f t="shared" si="16"/>
        <v>0.57113179518128221</v>
      </c>
      <c r="P116" s="143">
        <f t="shared" si="16"/>
        <v>0.52145509884251207</v>
      </c>
    </row>
    <row r="117" spans="3:19" ht="30" customHeight="1" x14ac:dyDescent="0.25">
      <c r="C117" s="40" t="s">
        <v>43</v>
      </c>
      <c r="D117" s="141">
        <f t="shared" ref="D117:P117" si="17">IFERROR(D91/D5,0)</f>
        <v>0.31828324903302591</v>
      </c>
      <c r="E117" s="141">
        <f t="shared" si="17"/>
        <v>0.39265212399540755</v>
      </c>
      <c r="F117" s="141">
        <f t="shared" si="17"/>
        <v>0.58539362224380864</v>
      </c>
      <c r="G117" s="141">
        <f t="shared" si="17"/>
        <v>0.46172594933891287</v>
      </c>
      <c r="H117" s="141">
        <f t="shared" si="17"/>
        <v>0.29718794526440306</v>
      </c>
      <c r="I117" s="141">
        <f t="shared" si="17"/>
        <v>0.34390940146941834</v>
      </c>
      <c r="J117" s="141">
        <f t="shared" si="17"/>
        <v>0.45516516386336048</v>
      </c>
      <c r="K117" s="141">
        <f t="shared" si="17"/>
        <v>0.3988253961257906</v>
      </c>
      <c r="L117" s="141">
        <f t="shared" si="17"/>
        <v>0.2578489049394222</v>
      </c>
      <c r="M117" s="141">
        <f t="shared" si="17"/>
        <v>0.40264736645947796</v>
      </c>
      <c r="N117" s="141">
        <f t="shared" si="17"/>
        <v>0.31143564867375373</v>
      </c>
      <c r="O117" s="141">
        <f t="shared" si="17"/>
        <v>0.48003806694211038</v>
      </c>
      <c r="P117" s="138">
        <f t="shared" si="17"/>
        <v>0.40023986253256538</v>
      </c>
    </row>
    <row r="118" spans="3:19" ht="30" customHeight="1" x14ac:dyDescent="0.25">
      <c r="C118" s="40" t="s">
        <v>44</v>
      </c>
      <c r="D118" s="141">
        <f t="shared" ref="D118:P118" si="18">IFERROR(D113/D5,0)</f>
        <v>0.15404641475751266</v>
      </c>
      <c r="E118" s="141">
        <f t="shared" si="18"/>
        <v>0.24941051565991382</v>
      </c>
      <c r="F118" s="141">
        <f t="shared" si="18"/>
        <v>0.47105150461149586</v>
      </c>
      <c r="G118" s="141">
        <f t="shared" si="18"/>
        <v>0.32387704224725106</v>
      </c>
      <c r="H118" s="141">
        <f t="shared" si="18"/>
        <v>0.13911068096889534</v>
      </c>
      <c r="I118" s="141">
        <f t="shared" si="18"/>
        <v>0.19390238195516871</v>
      </c>
      <c r="J118" s="141">
        <f t="shared" si="18"/>
        <v>0.33321050806311775</v>
      </c>
      <c r="K118" s="141">
        <f t="shared" si="18"/>
        <v>0.27167948520175417</v>
      </c>
      <c r="L118" s="141">
        <f t="shared" si="18"/>
        <v>7.719303355079217E-2</v>
      </c>
      <c r="M118" s="141">
        <f t="shared" si="18"/>
        <v>0.25100688892362072</v>
      </c>
      <c r="N118" s="141">
        <f t="shared" si="18"/>
        <v>0.15293115904634122</v>
      </c>
      <c r="O118" s="141">
        <f t="shared" si="18"/>
        <v>0.34339167169583584</v>
      </c>
      <c r="P118" s="144">
        <f t="shared" si="18"/>
        <v>0.25669624635293048</v>
      </c>
    </row>
    <row r="119" spans="3:19" ht="30" customHeight="1" thickBot="1" x14ac:dyDescent="0.3">
      <c r="P119" s="137"/>
    </row>
    <row r="120" spans="3:19" ht="21.95" customHeight="1" x14ac:dyDescent="0.25">
      <c r="C120" s="34" t="s">
        <v>32</v>
      </c>
      <c r="D120" s="35" t="s">
        <v>20</v>
      </c>
      <c r="E120" s="35" t="s">
        <v>21</v>
      </c>
      <c r="F120" s="35" t="s">
        <v>22</v>
      </c>
      <c r="G120" s="35" t="s">
        <v>23</v>
      </c>
      <c r="H120" s="35" t="s">
        <v>24</v>
      </c>
      <c r="I120" s="35" t="s">
        <v>25</v>
      </c>
      <c r="J120" s="35" t="s">
        <v>26</v>
      </c>
      <c r="K120" s="35" t="s">
        <v>27</v>
      </c>
      <c r="L120" s="35" t="s">
        <v>28</v>
      </c>
      <c r="M120" s="35" t="s">
        <v>29</v>
      </c>
      <c r="N120" s="35" t="s">
        <v>30</v>
      </c>
      <c r="O120" s="35" t="s">
        <v>31</v>
      </c>
      <c r="P120" s="35" t="s">
        <v>33</v>
      </c>
    </row>
    <row r="121" spans="3:19" ht="30" customHeight="1" x14ac:dyDescent="0.25">
      <c r="C121" s="40" t="s">
        <v>46</v>
      </c>
      <c r="D121" s="33">
        <v>7800</v>
      </c>
      <c r="E121" s="33">
        <v>6700</v>
      </c>
      <c r="F121" s="33">
        <v>8400</v>
      </c>
      <c r="G121" s="33"/>
      <c r="H121" s="33"/>
      <c r="I121" s="33"/>
      <c r="J121" s="33"/>
      <c r="K121" s="33"/>
      <c r="L121" s="33"/>
      <c r="M121" s="33"/>
      <c r="N121" s="33"/>
      <c r="O121" s="33"/>
      <c r="P121" s="133">
        <f>SUM(D121:O121)</f>
        <v>22900</v>
      </c>
    </row>
    <row r="122" spans="3:19" ht="30" customHeight="1" x14ac:dyDescent="0.25">
      <c r="C122" s="40" t="s">
        <v>47</v>
      </c>
      <c r="D122" s="33">
        <v>8000</v>
      </c>
      <c r="E122" s="33">
        <v>8400</v>
      </c>
      <c r="F122" s="33">
        <v>9100</v>
      </c>
      <c r="G122" s="33"/>
      <c r="H122" s="33"/>
      <c r="I122" s="33"/>
      <c r="J122" s="33"/>
      <c r="K122" s="33"/>
      <c r="L122" s="33"/>
      <c r="M122" s="33"/>
      <c r="N122" s="33"/>
      <c r="O122" s="33"/>
      <c r="P122" s="132">
        <f t="shared" ref="P122" si="19">SUM(D122:O122)</f>
        <v>25500</v>
      </c>
    </row>
    <row r="123" spans="3:19" ht="30" customHeight="1" thickBot="1" x14ac:dyDescent="0.3">
      <c r="P123" s="137"/>
    </row>
    <row r="124" spans="3:19" ht="21.95" customHeight="1" x14ac:dyDescent="0.25">
      <c r="C124" s="34" t="s">
        <v>32</v>
      </c>
      <c r="D124" s="35" t="s">
        <v>20</v>
      </c>
      <c r="E124" s="35" t="s">
        <v>21</v>
      </c>
      <c r="F124" s="35" t="s">
        <v>22</v>
      </c>
      <c r="G124" s="35" t="s">
        <v>23</v>
      </c>
      <c r="H124" s="35" t="s">
        <v>24</v>
      </c>
      <c r="I124" s="35" t="s">
        <v>25</v>
      </c>
      <c r="J124" s="35" t="s">
        <v>26</v>
      </c>
      <c r="K124" s="35" t="s">
        <v>27</v>
      </c>
      <c r="L124" s="35" t="s">
        <v>28</v>
      </c>
      <c r="M124" s="35" t="s">
        <v>29</v>
      </c>
      <c r="N124" s="35" t="s">
        <v>30</v>
      </c>
      <c r="O124" s="35" t="s">
        <v>31</v>
      </c>
      <c r="P124" s="35" t="s">
        <v>33</v>
      </c>
    </row>
    <row r="125" spans="3:19" ht="30" customHeight="1" x14ac:dyDescent="0.25">
      <c r="C125" s="40" t="s">
        <v>74</v>
      </c>
      <c r="D125" s="33">
        <v>28000</v>
      </c>
      <c r="E125" s="33">
        <v>35000</v>
      </c>
      <c r="F125" s="33">
        <v>50000</v>
      </c>
      <c r="G125" s="33"/>
      <c r="H125" s="33"/>
      <c r="I125" s="33"/>
      <c r="J125" s="33"/>
      <c r="K125" s="33"/>
      <c r="L125" s="33"/>
      <c r="M125" s="33"/>
      <c r="N125" s="33"/>
      <c r="O125" s="33"/>
      <c r="P125" s="128">
        <f t="shared" ref="P125:P127" si="20">SUM(D125:O125)</f>
        <v>113000</v>
      </c>
    </row>
    <row r="126" spans="3:19" ht="30" customHeight="1" x14ac:dyDescent="0.25">
      <c r="C126" s="39" t="s">
        <v>76</v>
      </c>
      <c r="D126" s="141">
        <f t="shared" ref="D126:P126" si="21">IFERROR(D125/D5,0)</f>
        <v>0.4165426956263017</v>
      </c>
      <c r="E126" s="141">
        <f t="shared" si="21"/>
        <v>0.43208276236682591</v>
      </c>
      <c r="F126" s="141">
        <f t="shared" si="21"/>
        <v>0.52225320924597085</v>
      </c>
      <c r="G126" s="141">
        <f t="shared" si="21"/>
        <v>0</v>
      </c>
      <c r="H126" s="141">
        <f t="shared" si="21"/>
        <v>0</v>
      </c>
      <c r="I126" s="141">
        <f t="shared" si="21"/>
        <v>0</v>
      </c>
      <c r="J126" s="141">
        <f t="shared" si="21"/>
        <v>0</v>
      </c>
      <c r="K126" s="141">
        <f t="shared" si="21"/>
        <v>0</v>
      </c>
      <c r="L126" s="141">
        <f t="shared" si="21"/>
        <v>0</v>
      </c>
      <c r="M126" s="141">
        <f t="shared" si="21"/>
        <v>0</v>
      </c>
      <c r="N126" s="141">
        <f t="shared" si="21"/>
        <v>0</v>
      </c>
      <c r="O126" s="141">
        <f t="shared" si="21"/>
        <v>0</v>
      </c>
      <c r="P126" s="138">
        <f t="shared" si="21"/>
        <v>0.11388431168019673</v>
      </c>
    </row>
    <row r="127" spans="3:19" ht="30" customHeight="1" x14ac:dyDescent="0.25">
      <c r="C127" s="40" t="s">
        <v>75</v>
      </c>
      <c r="D127" s="33">
        <v>15000</v>
      </c>
      <c r="E127" s="33">
        <v>21800</v>
      </c>
      <c r="F127" s="33">
        <v>24900</v>
      </c>
      <c r="G127" s="33"/>
      <c r="H127" s="33"/>
      <c r="I127" s="33"/>
      <c r="J127" s="33"/>
      <c r="K127" s="33"/>
      <c r="L127" s="33"/>
      <c r="M127" s="33"/>
      <c r="N127" s="33"/>
      <c r="O127" s="33"/>
      <c r="P127" s="128">
        <f t="shared" si="20"/>
        <v>61700</v>
      </c>
    </row>
    <row r="128" spans="3:19" ht="30" customHeight="1" x14ac:dyDescent="0.25">
      <c r="C128" s="39" t="s">
        <v>77</v>
      </c>
      <c r="D128" s="141">
        <f>IFERROR(D127/D114,0)</f>
        <v>0.70475474534861871</v>
      </c>
      <c r="E128" s="141">
        <f t="shared" ref="E128:O128" si="22">IFERROR(E127/E114,0)</f>
        <v>0.775083552584797</v>
      </c>
      <c r="F128" s="141">
        <f t="shared" si="22"/>
        <v>1.4352412242780563</v>
      </c>
      <c r="G128" s="141">
        <f t="shared" si="22"/>
        <v>0</v>
      </c>
      <c r="H128" s="141">
        <f t="shared" si="22"/>
        <v>0</v>
      </c>
      <c r="I128" s="141">
        <f t="shared" si="22"/>
        <v>0</v>
      </c>
      <c r="J128" s="141">
        <f t="shared" si="22"/>
        <v>0</v>
      </c>
      <c r="K128" s="141">
        <f t="shared" si="22"/>
        <v>0</v>
      </c>
      <c r="L128" s="141">
        <f t="shared" si="22"/>
        <v>0</v>
      </c>
      <c r="M128" s="141">
        <f t="shared" si="22"/>
        <v>0</v>
      </c>
      <c r="N128" s="141">
        <f t="shared" si="22"/>
        <v>0</v>
      </c>
      <c r="O128" s="141">
        <f t="shared" si="22"/>
        <v>0</v>
      </c>
      <c r="P128" s="139">
        <f>IFERROR(P127/P114,0)</f>
        <v>0.20922062772970187</v>
      </c>
    </row>
  </sheetData>
  <sheetProtection sheet="1" objects="1" scenarios="1" formatColumns="0" formatRows="0" selectLockedCells="1"/>
  <autoFilter ref="C4:P4" xr:uid="{00000000-0009-0000-0000-00000D000000}"/>
  <phoneticPr fontId="18" type="noConversion"/>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35">
    <tabColor rgb="FFFFC000"/>
  </sheetPr>
  <dimension ref="C1:S128"/>
  <sheetViews>
    <sheetView showGridLines="0" showRowColHeaders="0" zoomScaleNormal="100" workbookViewId="0">
      <pane ySplit="4" topLeftCell="A5" activePane="bottomLeft" state="frozen"/>
      <selection activeCell="D71" sqref="D71"/>
      <selection pane="bottomLeft" activeCell="D121" sqref="D121"/>
    </sheetView>
  </sheetViews>
  <sheetFormatPr defaultRowHeight="35.1" customHeight="1" outlineLevelRow="1" x14ac:dyDescent="0.25"/>
  <cols>
    <col min="1" max="2" width="1.7109375" style="19" customWidth="1"/>
    <col min="3" max="3" width="25.7109375" style="19" customWidth="1"/>
    <col min="4" max="16" width="12.140625" style="19" customWidth="1"/>
    <col min="17" max="16384" width="9.140625" style="19"/>
  </cols>
  <sheetData>
    <row r="1" spans="3:16" s="1" customFormat="1" ht="35.1" customHeight="1" x14ac:dyDescent="0.25"/>
    <row r="2" spans="3:16" s="3" customFormat="1" ht="30" customHeight="1" x14ac:dyDescent="0.25"/>
    <row r="3" spans="3:16" ht="30" customHeight="1" thickBot="1" x14ac:dyDescent="0.3"/>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24.95" customHeight="1" x14ac:dyDescent="0.25">
      <c r="C5" s="124" t="s">
        <v>34</v>
      </c>
      <c r="D5" s="123">
        <f>SUM(D6:D25)</f>
        <v>79092</v>
      </c>
      <c r="E5" s="123">
        <f t="shared" ref="E5:O5" si="0">SUM(E6:E25)</f>
        <v>75748</v>
      </c>
      <c r="F5" s="123">
        <f t="shared" si="0"/>
        <v>74792</v>
      </c>
      <c r="G5" s="123">
        <f t="shared" si="0"/>
        <v>81292</v>
      </c>
      <c r="H5" s="123">
        <f t="shared" si="0"/>
        <v>66264</v>
      </c>
      <c r="I5" s="123">
        <f t="shared" si="0"/>
        <v>78589</v>
      </c>
      <c r="J5" s="123">
        <f t="shared" si="0"/>
        <v>73321</v>
      </c>
      <c r="K5" s="123">
        <f t="shared" si="0"/>
        <v>75858</v>
      </c>
      <c r="L5" s="123">
        <f t="shared" si="0"/>
        <v>80612</v>
      </c>
      <c r="M5" s="123">
        <f t="shared" si="0"/>
        <v>66671</v>
      </c>
      <c r="N5" s="123">
        <f t="shared" si="0"/>
        <v>86566</v>
      </c>
      <c r="O5" s="123">
        <f t="shared" si="0"/>
        <v>89195</v>
      </c>
      <c r="P5" s="125">
        <f>SUM(D5:O5)</f>
        <v>928000</v>
      </c>
    </row>
    <row r="6" spans="3:16" ht="24.95" hidden="1" customHeight="1" outlineLevel="1" x14ac:dyDescent="0.25">
      <c r="C6" s="127" t="s">
        <v>86</v>
      </c>
      <c r="D6" s="33">
        <v>31863</v>
      </c>
      <c r="E6" s="33">
        <v>33934</v>
      </c>
      <c r="F6" s="33">
        <v>31082</v>
      </c>
      <c r="G6" s="33">
        <v>40051</v>
      </c>
      <c r="H6" s="33">
        <v>30023</v>
      </c>
      <c r="I6" s="33">
        <v>38299</v>
      </c>
      <c r="J6" s="33">
        <v>32696</v>
      </c>
      <c r="K6" s="33">
        <v>41685</v>
      </c>
      <c r="L6" s="33">
        <v>45988</v>
      </c>
      <c r="M6" s="33">
        <v>33425</v>
      </c>
      <c r="N6" s="33">
        <v>45163</v>
      </c>
      <c r="O6" s="33">
        <v>46740</v>
      </c>
      <c r="P6" s="126">
        <f>SUM(D6:O6)</f>
        <v>450949</v>
      </c>
    </row>
    <row r="7" spans="3:16" ht="24.95" hidden="1" customHeight="1" outlineLevel="1" x14ac:dyDescent="0.25">
      <c r="C7" s="127" t="s">
        <v>87</v>
      </c>
      <c r="D7" s="33">
        <v>47229</v>
      </c>
      <c r="E7" s="33">
        <v>41814</v>
      </c>
      <c r="F7" s="33">
        <v>43710</v>
      </c>
      <c r="G7" s="33">
        <v>41241</v>
      </c>
      <c r="H7" s="33">
        <v>36241</v>
      </c>
      <c r="I7" s="33">
        <v>40290</v>
      </c>
      <c r="J7" s="33">
        <v>40625</v>
      </c>
      <c r="K7" s="33">
        <v>34173</v>
      </c>
      <c r="L7" s="33">
        <v>34624</v>
      </c>
      <c r="M7" s="33">
        <v>33246</v>
      </c>
      <c r="N7" s="33">
        <v>41403</v>
      </c>
      <c r="O7" s="33">
        <v>42455</v>
      </c>
      <c r="P7" s="126">
        <f t="shared" ref="P7:P68" si="1">SUM(D7:O7)</f>
        <v>477051</v>
      </c>
    </row>
    <row r="8" spans="3:16" ht="24.95" hidden="1" customHeight="1" outlineLevel="1" x14ac:dyDescent="0.25">
      <c r="C8" s="127"/>
      <c r="D8" s="33"/>
      <c r="E8" s="33"/>
      <c r="F8" s="33"/>
      <c r="G8" s="33"/>
      <c r="H8" s="33"/>
      <c r="I8" s="33"/>
      <c r="J8" s="33"/>
      <c r="K8" s="33"/>
      <c r="L8" s="33"/>
      <c r="M8" s="33"/>
      <c r="N8" s="33"/>
      <c r="O8" s="33"/>
      <c r="P8" s="126">
        <f t="shared" si="1"/>
        <v>0</v>
      </c>
    </row>
    <row r="9" spans="3:16" ht="24.95" hidden="1" customHeight="1" outlineLevel="1" x14ac:dyDescent="0.25">
      <c r="C9" s="127"/>
      <c r="D9" s="33"/>
      <c r="E9" s="33"/>
      <c r="F9" s="33"/>
      <c r="G9" s="33"/>
      <c r="H9" s="33"/>
      <c r="I9" s="33"/>
      <c r="J9" s="33"/>
      <c r="K9" s="33"/>
      <c r="L9" s="33"/>
      <c r="M9" s="33"/>
      <c r="N9" s="33"/>
      <c r="O9" s="33"/>
      <c r="P9" s="126">
        <f t="shared" si="1"/>
        <v>0</v>
      </c>
    </row>
    <row r="10" spans="3:16" ht="24.95" hidden="1" customHeight="1" outlineLevel="1" x14ac:dyDescent="0.25">
      <c r="C10" s="127"/>
      <c r="D10" s="33"/>
      <c r="E10" s="33"/>
      <c r="F10" s="33"/>
      <c r="G10" s="33"/>
      <c r="H10" s="33"/>
      <c r="I10" s="33"/>
      <c r="J10" s="33"/>
      <c r="K10" s="33"/>
      <c r="L10" s="33"/>
      <c r="M10" s="33"/>
      <c r="N10" s="33"/>
      <c r="O10" s="33"/>
      <c r="P10" s="126">
        <f t="shared" si="1"/>
        <v>0</v>
      </c>
    </row>
    <row r="11" spans="3:16" ht="24.95" hidden="1" customHeight="1" outlineLevel="1" x14ac:dyDescent="0.25">
      <c r="C11" s="127"/>
      <c r="D11" s="33"/>
      <c r="E11" s="33"/>
      <c r="F11" s="33"/>
      <c r="G11" s="33"/>
      <c r="H11" s="33"/>
      <c r="I11" s="33"/>
      <c r="J11" s="33"/>
      <c r="K11" s="33"/>
      <c r="L11" s="33"/>
      <c r="M11" s="33"/>
      <c r="N11" s="33"/>
      <c r="O11" s="33"/>
      <c r="P11" s="126">
        <f t="shared" si="1"/>
        <v>0</v>
      </c>
    </row>
    <row r="12" spans="3:16" ht="24.95" hidden="1" customHeight="1" outlineLevel="1" x14ac:dyDescent="0.25">
      <c r="C12" s="127"/>
      <c r="D12" s="33"/>
      <c r="E12" s="33"/>
      <c r="F12" s="33"/>
      <c r="G12" s="33"/>
      <c r="H12" s="33"/>
      <c r="I12" s="33"/>
      <c r="J12" s="33"/>
      <c r="K12" s="33"/>
      <c r="L12" s="33"/>
      <c r="M12" s="33"/>
      <c r="N12" s="33"/>
      <c r="O12" s="33"/>
      <c r="P12" s="126">
        <f t="shared" si="1"/>
        <v>0</v>
      </c>
    </row>
    <row r="13" spans="3:16" ht="24.95" hidden="1" customHeight="1" outlineLevel="1" x14ac:dyDescent="0.25">
      <c r="C13" s="127"/>
      <c r="D13" s="33"/>
      <c r="E13" s="33"/>
      <c r="F13" s="33"/>
      <c r="G13" s="33"/>
      <c r="H13" s="33"/>
      <c r="I13" s="33"/>
      <c r="J13" s="33"/>
      <c r="K13" s="33"/>
      <c r="L13" s="33"/>
      <c r="M13" s="33"/>
      <c r="N13" s="33"/>
      <c r="O13" s="33"/>
      <c r="P13" s="126">
        <f t="shared" si="1"/>
        <v>0</v>
      </c>
    </row>
    <row r="14" spans="3:16" ht="24.95" hidden="1" customHeight="1" outlineLevel="1" x14ac:dyDescent="0.25">
      <c r="C14" s="127"/>
      <c r="D14" s="33"/>
      <c r="E14" s="33"/>
      <c r="F14" s="33"/>
      <c r="G14" s="33"/>
      <c r="H14" s="33"/>
      <c r="I14" s="33"/>
      <c r="J14" s="33"/>
      <c r="K14" s="33"/>
      <c r="L14" s="33"/>
      <c r="M14" s="33"/>
      <c r="N14" s="33"/>
      <c r="O14" s="33"/>
      <c r="P14" s="126">
        <f t="shared" si="1"/>
        <v>0</v>
      </c>
    </row>
    <row r="15" spans="3:16" ht="24.95" hidden="1" customHeight="1" outlineLevel="1" x14ac:dyDescent="0.25">
      <c r="C15" s="127"/>
      <c r="D15" s="33"/>
      <c r="E15" s="33"/>
      <c r="F15" s="33"/>
      <c r="G15" s="33"/>
      <c r="H15" s="33"/>
      <c r="I15" s="33"/>
      <c r="J15" s="33"/>
      <c r="K15" s="33"/>
      <c r="L15" s="33"/>
      <c r="M15" s="33"/>
      <c r="N15" s="33"/>
      <c r="O15" s="33"/>
      <c r="P15" s="126">
        <f t="shared" si="1"/>
        <v>0</v>
      </c>
    </row>
    <row r="16" spans="3:16" ht="24.95" hidden="1" customHeight="1" outlineLevel="1" x14ac:dyDescent="0.25">
      <c r="C16" s="127"/>
      <c r="D16" s="33"/>
      <c r="E16" s="33"/>
      <c r="F16" s="33"/>
      <c r="G16" s="33"/>
      <c r="H16" s="33"/>
      <c r="I16" s="33"/>
      <c r="J16" s="33"/>
      <c r="K16" s="33"/>
      <c r="L16" s="33"/>
      <c r="M16" s="33"/>
      <c r="N16" s="33"/>
      <c r="O16" s="33"/>
      <c r="P16" s="126">
        <f t="shared" si="1"/>
        <v>0</v>
      </c>
    </row>
    <row r="17" spans="3:16" ht="24.95" hidden="1" customHeight="1" outlineLevel="1" x14ac:dyDescent="0.25">
      <c r="C17" s="127"/>
      <c r="D17" s="33"/>
      <c r="E17" s="33"/>
      <c r="F17" s="33"/>
      <c r="G17" s="33"/>
      <c r="H17" s="33"/>
      <c r="I17" s="33"/>
      <c r="J17" s="33"/>
      <c r="K17" s="33"/>
      <c r="L17" s="33"/>
      <c r="M17" s="33"/>
      <c r="N17" s="33"/>
      <c r="O17" s="33"/>
      <c r="P17" s="126">
        <f t="shared" si="1"/>
        <v>0</v>
      </c>
    </row>
    <row r="18" spans="3:16" ht="24.95" hidden="1" customHeight="1" outlineLevel="1" x14ac:dyDescent="0.25">
      <c r="C18" s="127"/>
      <c r="D18" s="33"/>
      <c r="E18" s="33"/>
      <c r="F18" s="33"/>
      <c r="G18" s="33"/>
      <c r="H18" s="33"/>
      <c r="I18" s="33"/>
      <c r="J18" s="33"/>
      <c r="K18" s="33"/>
      <c r="L18" s="33"/>
      <c r="M18" s="33"/>
      <c r="N18" s="33"/>
      <c r="O18" s="33"/>
      <c r="P18" s="126">
        <f t="shared" si="1"/>
        <v>0</v>
      </c>
    </row>
    <row r="19" spans="3:16" ht="24.95" hidden="1" customHeight="1" outlineLevel="1" x14ac:dyDescent="0.25">
      <c r="C19" s="127"/>
      <c r="D19" s="33"/>
      <c r="E19" s="33"/>
      <c r="F19" s="33"/>
      <c r="G19" s="33"/>
      <c r="H19" s="33"/>
      <c r="I19" s="33"/>
      <c r="J19" s="33"/>
      <c r="K19" s="33"/>
      <c r="L19" s="33"/>
      <c r="M19" s="33"/>
      <c r="N19" s="33"/>
      <c r="O19" s="33"/>
      <c r="P19" s="126">
        <f t="shared" si="1"/>
        <v>0</v>
      </c>
    </row>
    <row r="20" spans="3:16" ht="24.95" hidden="1" customHeight="1" outlineLevel="1" x14ac:dyDescent="0.25">
      <c r="C20" s="127"/>
      <c r="D20" s="33"/>
      <c r="E20" s="33"/>
      <c r="F20" s="33"/>
      <c r="G20" s="33"/>
      <c r="H20" s="33"/>
      <c r="I20" s="33"/>
      <c r="J20" s="33"/>
      <c r="K20" s="33"/>
      <c r="L20" s="33"/>
      <c r="M20" s="33"/>
      <c r="N20" s="33"/>
      <c r="O20" s="33"/>
      <c r="P20" s="126">
        <f t="shared" si="1"/>
        <v>0</v>
      </c>
    </row>
    <row r="21" spans="3:16" ht="24.95" hidden="1" customHeight="1" outlineLevel="1" x14ac:dyDescent="0.25">
      <c r="C21" s="127"/>
      <c r="D21" s="33"/>
      <c r="E21" s="33"/>
      <c r="F21" s="33"/>
      <c r="G21" s="33"/>
      <c r="H21" s="33"/>
      <c r="I21" s="33"/>
      <c r="J21" s="33"/>
      <c r="K21" s="33"/>
      <c r="L21" s="33"/>
      <c r="M21" s="33"/>
      <c r="N21" s="33"/>
      <c r="O21" s="33"/>
      <c r="P21" s="126">
        <f t="shared" si="1"/>
        <v>0</v>
      </c>
    </row>
    <row r="22" spans="3:16" ht="24.95" hidden="1" customHeight="1" outlineLevel="1" x14ac:dyDescent="0.25">
      <c r="C22" s="127"/>
      <c r="D22" s="33"/>
      <c r="E22" s="33"/>
      <c r="F22" s="33"/>
      <c r="G22" s="33"/>
      <c r="H22" s="33"/>
      <c r="I22" s="33"/>
      <c r="J22" s="33"/>
      <c r="K22" s="33"/>
      <c r="L22" s="33"/>
      <c r="M22" s="33"/>
      <c r="N22" s="33"/>
      <c r="O22" s="33"/>
      <c r="P22" s="126">
        <f t="shared" si="1"/>
        <v>0</v>
      </c>
    </row>
    <row r="23" spans="3:16" ht="24.95" hidden="1" customHeight="1" outlineLevel="1" x14ac:dyDescent="0.25">
      <c r="C23" s="127"/>
      <c r="D23" s="33"/>
      <c r="E23" s="33"/>
      <c r="F23" s="33"/>
      <c r="G23" s="33"/>
      <c r="H23" s="33"/>
      <c r="I23" s="33"/>
      <c r="J23" s="33"/>
      <c r="K23" s="33"/>
      <c r="L23" s="33"/>
      <c r="M23" s="33"/>
      <c r="N23" s="33"/>
      <c r="O23" s="33"/>
      <c r="P23" s="126">
        <f t="shared" si="1"/>
        <v>0</v>
      </c>
    </row>
    <row r="24" spans="3:16" ht="24.95" hidden="1" customHeight="1" outlineLevel="1" x14ac:dyDescent="0.25">
      <c r="C24" s="127"/>
      <c r="D24" s="33"/>
      <c r="E24" s="33"/>
      <c r="F24" s="33"/>
      <c r="G24" s="33"/>
      <c r="H24" s="33"/>
      <c r="I24" s="33"/>
      <c r="J24" s="33"/>
      <c r="K24" s="33"/>
      <c r="L24" s="33"/>
      <c r="M24" s="33"/>
      <c r="N24" s="33"/>
      <c r="O24" s="33"/>
      <c r="P24" s="126">
        <f t="shared" si="1"/>
        <v>0</v>
      </c>
    </row>
    <row r="25" spans="3:16" ht="24.95" hidden="1" customHeight="1" outlineLevel="1" x14ac:dyDescent="0.25">
      <c r="C25" s="127"/>
      <c r="D25" s="33"/>
      <c r="E25" s="33"/>
      <c r="F25" s="33"/>
      <c r="G25" s="33"/>
      <c r="H25" s="33"/>
      <c r="I25" s="33"/>
      <c r="J25" s="33"/>
      <c r="K25" s="33"/>
      <c r="L25" s="33"/>
      <c r="M25" s="33"/>
      <c r="N25" s="33"/>
      <c r="O25" s="33"/>
      <c r="P25" s="126">
        <f t="shared" si="1"/>
        <v>0</v>
      </c>
    </row>
    <row r="26" spans="3:16" ht="24.95" customHeight="1" collapsed="1" x14ac:dyDescent="0.25">
      <c r="C26" s="121" t="s">
        <v>35</v>
      </c>
      <c r="D26" s="122">
        <f>SUM(D27:D46)</f>
        <v>20562</v>
      </c>
      <c r="E26" s="122">
        <f t="shared" ref="E26:O26" si="2">SUM(E27:E46)</f>
        <v>21934</v>
      </c>
      <c r="F26" s="122">
        <f t="shared" si="2"/>
        <v>25431</v>
      </c>
      <c r="G26" s="122">
        <f t="shared" si="2"/>
        <v>22564</v>
      </c>
      <c r="H26" s="122">
        <f t="shared" si="2"/>
        <v>26612</v>
      </c>
      <c r="I26" s="122">
        <f t="shared" si="2"/>
        <v>23774</v>
      </c>
      <c r="J26" s="122">
        <f t="shared" si="2"/>
        <v>29228</v>
      </c>
      <c r="K26" s="122">
        <f t="shared" si="2"/>
        <v>23608</v>
      </c>
      <c r="L26" s="122">
        <f t="shared" si="2"/>
        <v>24182</v>
      </c>
      <c r="M26" s="122">
        <f t="shared" si="2"/>
        <v>24560</v>
      </c>
      <c r="N26" s="122">
        <f t="shared" si="2"/>
        <v>22718</v>
      </c>
      <c r="O26" s="122">
        <f t="shared" si="2"/>
        <v>27591</v>
      </c>
      <c r="P26" s="126">
        <f t="shared" si="1"/>
        <v>292764</v>
      </c>
    </row>
    <row r="27" spans="3:16" ht="24.95" hidden="1" customHeight="1" outlineLevel="1" x14ac:dyDescent="0.25">
      <c r="C27" s="127" t="s">
        <v>88</v>
      </c>
      <c r="D27" s="33">
        <v>3973</v>
      </c>
      <c r="E27" s="33">
        <v>4567</v>
      </c>
      <c r="F27" s="33">
        <v>4263</v>
      </c>
      <c r="G27" s="33">
        <v>3863</v>
      </c>
      <c r="H27" s="33">
        <v>5732</v>
      </c>
      <c r="I27" s="33">
        <v>6084</v>
      </c>
      <c r="J27" s="33">
        <v>5003</v>
      </c>
      <c r="K27" s="33">
        <v>5551</v>
      </c>
      <c r="L27" s="33">
        <v>4234</v>
      </c>
      <c r="M27" s="33">
        <v>4519</v>
      </c>
      <c r="N27" s="33">
        <v>3130</v>
      </c>
      <c r="O27" s="33">
        <v>5319</v>
      </c>
      <c r="P27" s="126">
        <f t="shared" si="1"/>
        <v>56238</v>
      </c>
    </row>
    <row r="28" spans="3:16" ht="24.95" hidden="1" customHeight="1" outlineLevel="1" x14ac:dyDescent="0.25">
      <c r="C28" s="127" t="s">
        <v>89</v>
      </c>
      <c r="D28" s="33">
        <v>3340</v>
      </c>
      <c r="E28" s="33">
        <v>4131</v>
      </c>
      <c r="F28" s="33">
        <v>5323</v>
      </c>
      <c r="G28" s="33">
        <v>4969</v>
      </c>
      <c r="H28" s="33">
        <v>5724</v>
      </c>
      <c r="I28" s="33">
        <v>5549</v>
      </c>
      <c r="J28" s="33">
        <v>6861</v>
      </c>
      <c r="K28" s="33">
        <v>3861</v>
      </c>
      <c r="L28" s="33">
        <v>5026</v>
      </c>
      <c r="M28" s="33">
        <v>4564</v>
      </c>
      <c r="N28" s="33">
        <v>5843</v>
      </c>
      <c r="O28" s="33">
        <v>5586</v>
      </c>
      <c r="P28" s="126">
        <f t="shared" si="1"/>
        <v>60777</v>
      </c>
    </row>
    <row r="29" spans="3:16" ht="24.95" hidden="1" customHeight="1" outlineLevel="1" x14ac:dyDescent="0.25">
      <c r="C29" s="127" t="s">
        <v>90</v>
      </c>
      <c r="D29" s="33">
        <v>4249</v>
      </c>
      <c r="E29" s="33">
        <v>3560</v>
      </c>
      <c r="F29" s="33">
        <v>4065</v>
      </c>
      <c r="G29" s="33">
        <v>3919</v>
      </c>
      <c r="H29" s="33">
        <v>6651</v>
      </c>
      <c r="I29" s="33">
        <v>3553</v>
      </c>
      <c r="J29" s="33">
        <v>5620</v>
      </c>
      <c r="K29" s="33">
        <v>6880</v>
      </c>
      <c r="L29" s="33">
        <v>6895</v>
      </c>
      <c r="M29" s="33">
        <v>3568</v>
      </c>
      <c r="N29" s="33">
        <v>3598</v>
      </c>
      <c r="O29" s="33">
        <v>4695</v>
      </c>
      <c r="P29" s="126">
        <f t="shared" si="1"/>
        <v>57253</v>
      </c>
    </row>
    <row r="30" spans="3:16" ht="24.95" hidden="1" customHeight="1" outlineLevel="1" x14ac:dyDescent="0.25">
      <c r="C30" s="127" t="s">
        <v>91</v>
      </c>
      <c r="D30" s="33">
        <v>4671</v>
      </c>
      <c r="E30" s="33">
        <v>5295</v>
      </c>
      <c r="F30" s="33">
        <v>4874</v>
      </c>
      <c r="G30" s="33">
        <v>3126</v>
      </c>
      <c r="H30" s="33">
        <v>5089</v>
      </c>
      <c r="I30" s="33">
        <v>3773</v>
      </c>
      <c r="J30" s="33">
        <v>6243</v>
      </c>
      <c r="K30" s="33">
        <v>3980</v>
      </c>
      <c r="L30" s="33">
        <v>3735</v>
      </c>
      <c r="M30" s="33">
        <v>6557</v>
      </c>
      <c r="N30" s="33">
        <v>6953</v>
      </c>
      <c r="O30" s="33">
        <v>6355</v>
      </c>
      <c r="P30" s="126">
        <f t="shared" si="1"/>
        <v>60651</v>
      </c>
    </row>
    <row r="31" spans="3:16" ht="24.95" hidden="1" customHeight="1" outlineLevel="1" x14ac:dyDescent="0.25">
      <c r="C31" s="127" t="s">
        <v>92</v>
      </c>
      <c r="D31" s="33">
        <v>4329</v>
      </c>
      <c r="E31" s="33">
        <v>4381</v>
      </c>
      <c r="F31" s="33">
        <v>6906</v>
      </c>
      <c r="G31" s="33">
        <v>6687</v>
      </c>
      <c r="H31" s="33">
        <v>3416</v>
      </c>
      <c r="I31" s="33">
        <v>4815</v>
      </c>
      <c r="J31" s="33">
        <v>5501</v>
      </c>
      <c r="K31" s="33">
        <v>3336</v>
      </c>
      <c r="L31" s="33">
        <v>4292</v>
      </c>
      <c r="M31" s="33">
        <v>5352</v>
      </c>
      <c r="N31" s="33">
        <v>3194</v>
      </c>
      <c r="O31" s="33">
        <v>5636</v>
      </c>
      <c r="P31" s="126">
        <f t="shared" si="1"/>
        <v>57845</v>
      </c>
    </row>
    <row r="32" spans="3:16" ht="24.95" hidden="1" customHeight="1" outlineLevel="1" x14ac:dyDescent="0.25">
      <c r="C32" s="127"/>
      <c r="D32" s="33"/>
      <c r="E32" s="33"/>
      <c r="F32" s="33"/>
      <c r="G32" s="33"/>
      <c r="H32" s="33"/>
      <c r="I32" s="33"/>
      <c r="J32" s="33"/>
      <c r="K32" s="33"/>
      <c r="L32" s="33"/>
      <c r="M32" s="33"/>
      <c r="N32" s="33"/>
      <c r="O32" s="33"/>
      <c r="P32" s="126">
        <f t="shared" si="1"/>
        <v>0</v>
      </c>
    </row>
    <row r="33" spans="3:16" ht="24.95" hidden="1" customHeight="1" outlineLevel="1" x14ac:dyDescent="0.25">
      <c r="C33" s="127"/>
      <c r="D33" s="33"/>
      <c r="E33" s="33"/>
      <c r="F33" s="33"/>
      <c r="G33" s="33"/>
      <c r="H33" s="33"/>
      <c r="I33" s="33"/>
      <c r="J33" s="33"/>
      <c r="K33" s="33"/>
      <c r="L33" s="33"/>
      <c r="M33" s="33"/>
      <c r="N33" s="33"/>
      <c r="O33" s="33"/>
      <c r="P33" s="126">
        <f t="shared" si="1"/>
        <v>0</v>
      </c>
    </row>
    <row r="34" spans="3:16" ht="24.95" hidden="1" customHeight="1" outlineLevel="1" x14ac:dyDescent="0.25">
      <c r="C34" s="127"/>
      <c r="D34" s="33"/>
      <c r="E34" s="33"/>
      <c r="F34" s="33"/>
      <c r="G34" s="33"/>
      <c r="H34" s="33"/>
      <c r="I34" s="33"/>
      <c r="J34" s="33"/>
      <c r="K34" s="33"/>
      <c r="L34" s="33"/>
      <c r="M34" s="33"/>
      <c r="N34" s="33"/>
      <c r="O34" s="33"/>
      <c r="P34" s="126">
        <f t="shared" si="1"/>
        <v>0</v>
      </c>
    </row>
    <row r="35" spans="3:16" ht="24.95" hidden="1" customHeight="1" outlineLevel="1" x14ac:dyDescent="0.25">
      <c r="C35" s="127"/>
      <c r="D35" s="33"/>
      <c r="E35" s="33"/>
      <c r="F35" s="33"/>
      <c r="G35" s="33"/>
      <c r="H35" s="33"/>
      <c r="I35" s="33"/>
      <c r="J35" s="33"/>
      <c r="K35" s="33"/>
      <c r="L35" s="33"/>
      <c r="M35" s="33"/>
      <c r="N35" s="33"/>
      <c r="O35" s="33"/>
      <c r="P35" s="126">
        <f t="shared" si="1"/>
        <v>0</v>
      </c>
    </row>
    <row r="36" spans="3:16" ht="24.95" hidden="1" customHeight="1" outlineLevel="1" x14ac:dyDescent="0.25">
      <c r="C36" s="127"/>
      <c r="D36" s="33"/>
      <c r="E36" s="33"/>
      <c r="F36" s="33"/>
      <c r="G36" s="33"/>
      <c r="H36" s="33"/>
      <c r="I36" s="33"/>
      <c r="J36" s="33"/>
      <c r="K36" s="33"/>
      <c r="L36" s="33"/>
      <c r="M36" s="33"/>
      <c r="N36" s="33"/>
      <c r="O36" s="33"/>
      <c r="P36" s="126">
        <f t="shared" si="1"/>
        <v>0</v>
      </c>
    </row>
    <row r="37" spans="3:16" ht="24.95" hidden="1" customHeight="1" outlineLevel="1" x14ac:dyDescent="0.25">
      <c r="C37" s="127"/>
      <c r="D37" s="33"/>
      <c r="E37" s="33"/>
      <c r="F37" s="33"/>
      <c r="G37" s="33"/>
      <c r="H37" s="33"/>
      <c r="I37" s="33"/>
      <c r="J37" s="33"/>
      <c r="K37" s="33"/>
      <c r="L37" s="33"/>
      <c r="M37" s="33"/>
      <c r="N37" s="33"/>
      <c r="O37" s="33"/>
      <c r="P37" s="126">
        <f t="shared" si="1"/>
        <v>0</v>
      </c>
    </row>
    <row r="38" spans="3:16" ht="24.95" hidden="1" customHeight="1" outlineLevel="1" x14ac:dyDescent="0.25">
      <c r="C38" s="127"/>
      <c r="D38" s="33"/>
      <c r="E38" s="33"/>
      <c r="F38" s="33"/>
      <c r="G38" s="33"/>
      <c r="H38" s="33"/>
      <c r="I38" s="33"/>
      <c r="J38" s="33"/>
      <c r="K38" s="33"/>
      <c r="L38" s="33"/>
      <c r="M38" s="33"/>
      <c r="N38" s="33"/>
      <c r="O38" s="33"/>
      <c r="P38" s="126">
        <f t="shared" si="1"/>
        <v>0</v>
      </c>
    </row>
    <row r="39" spans="3:16" ht="24.95" hidden="1" customHeight="1" outlineLevel="1" x14ac:dyDescent="0.25">
      <c r="C39" s="127"/>
      <c r="D39" s="33"/>
      <c r="E39" s="33"/>
      <c r="F39" s="33"/>
      <c r="G39" s="33"/>
      <c r="H39" s="33"/>
      <c r="I39" s="33"/>
      <c r="J39" s="33"/>
      <c r="K39" s="33"/>
      <c r="L39" s="33"/>
      <c r="M39" s="33"/>
      <c r="N39" s="33"/>
      <c r="O39" s="33"/>
      <c r="P39" s="126">
        <f t="shared" si="1"/>
        <v>0</v>
      </c>
    </row>
    <row r="40" spans="3:16" ht="24.95" hidden="1" customHeight="1" outlineLevel="1" x14ac:dyDescent="0.25">
      <c r="C40" s="127"/>
      <c r="D40" s="33"/>
      <c r="E40" s="33"/>
      <c r="F40" s="33"/>
      <c r="G40" s="33"/>
      <c r="H40" s="33"/>
      <c r="I40" s="33"/>
      <c r="J40" s="33"/>
      <c r="K40" s="33"/>
      <c r="L40" s="33"/>
      <c r="M40" s="33"/>
      <c r="N40" s="33"/>
      <c r="O40" s="33"/>
      <c r="P40" s="126">
        <f t="shared" si="1"/>
        <v>0</v>
      </c>
    </row>
    <row r="41" spans="3:16" ht="24.95" hidden="1" customHeight="1" outlineLevel="1" x14ac:dyDescent="0.25">
      <c r="C41" s="127"/>
      <c r="D41" s="33"/>
      <c r="E41" s="33"/>
      <c r="F41" s="33"/>
      <c r="G41" s="33"/>
      <c r="H41" s="33"/>
      <c r="I41" s="33"/>
      <c r="J41" s="33"/>
      <c r="K41" s="33"/>
      <c r="L41" s="33"/>
      <c r="M41" s="33"/>
      <c r="N41" s="33"/>
      <c r="O41" s="33"/>
      <c r="P41" s="126">
        <f t="shared" si="1"/>
        <v>0</v>
      </c>
    </row>
    <row r="42" spans="3:16" ht="24.95" hidden="1" customHeight="1" outlineLevel="1" x14ac:dyDescent="0.25">
      <c r="C42" s="127"/>
      <c r="D42" s="33"/>
      <c r="E42" s="33"/>
      <c r="F42" s="33"/>
      <c r="G42" s="33"/>
      <c r="H42" s="33"/>
      <c r="I42" s="33"/>
      <c r="J42" s="33"/>
      <c r="K42" s="33"/>
      <c r="L42" s="33"/>
      <c r="M42" s="33"/>
      <c r="N42" s="33"/>
      <c r="O42" s="33"/>
      <c r="P42" s="126">
        <f t="shared" si="1"/>
        <v>0</v>
      </c>
    </row>
    <row r="43" spans="3:16" ht="24.95" hidden="1" customHeight="1" outlineLevel="1" x14ac:dyDescent="0.25">
      <c r="C43" s="127"/>
      <c r="D43" s="33"/>
      <c r="E43" s="33"/>
      <c r="F43" s="33"/>
      <c r="G43" s="33"/>
      <c r="H43" s="33"/>
      <c r="I43" s="33"/>
      <c r="J43" s="33"/>
      <c r="K43" s="33"/>
      <c r="L43" s="33"/>
      <c r="M43" s="33"/>
      <c r="N43" s="33"/>
      <c r="O43" s="33"/>
      <c r="P43" s="126">
        <f t="shared" si="1"/>
        <v>0</v>
      </c>
    </row>
    <row r="44" spans="3:16" ht="24.95" hidden="1" customHeight="1" outlineLevel="1" x14ac:dyDescent="0.25">
      <c r="C44" s="127"/>
      <c r="D44" s="33"/>
      <c r="E44" s="33"/>
      <c r="F44" s="33"/>
      <c r="G44" s="33"/>
      <c r="H44" s="33"/>
      <c r="I44" s="33"/>
      <c r="J44" s="33"/>
      <c r="K44" s="33"/>
      <c r="L44" s="33"/>
      <c r="M44" s="33"/>
      <c r="N44" s="33"/>
      <c r="O44" s="33"/>
      <c r="P44" s="126">
        <f t="shared" si="1"/>
        <v>0</v>
      </c>
    </row>
    <row r="45" spans="3:16" ht="24.95" hidden="1" customHeight="1" outlineLevel="1" x14ac:dyDescent="0.25">
      <c r="C45" s="127"/>
      <c r="D45" s="33"/>
      <c r="E45" s="33"/>
      <c r="F45" s="33"/>
      <c r="G45" s="33"/>
      <c r="H45" s="33"/>
      <c r="I45" s="33"/>
      <c r="J45" s="33"/>
      <c r="K45" s="33"/>
      <c r="L45" s="33"/>
      <c r="M45" s="33"/>
      <c r="N45" s="33"/>
      <c r="O45" s="33"/>
      <c r="P45" s="126">
        <f t="shared" si="1"/>
        <v>0</v>
      </c>
    </row>
    <row r="46" spans="3:16" ht="24.95" hidden="1" customHeight="1" outlineLevel="1" x14ac:dyDescent="0.25">
      <c r="C46" s="127"/>
      <c r="D46" s="33"/>
      <c r="E46" s="33"/>
      <c r="F46" s="33"/>
      <c r="G46" s="33"/>
      <c r="H46" s="33"/>
      <c r="I46" s="33"/>
      <c r="J46" s="33"/>
      <c r="K46" s="33"/>
      <c r="L46" s="33"/>
      <c r="M46" s="33"/>
      <c r="N46" s="33"/>
      <c r="O46" s="33"/>
      <c r="P46" s="126">
        <f t="shared" si="1"/>
        <v>0</v>
      </c>
    </row>
    <row r="47" spans="3:16" ht="24.95" customHeight="1" collapsed="1" x14ac:dyDescent="0.25">
      <c r="C47" s="124" t="s">
        <v>36</v>
      </c>
      <c r="D47" s="123">
        <f>D5-D26</f>
        <v>58530</v>
      </c>
      <c r="E47" s="123">
        <f t="shared" ref="E47:O47" si="3">E5-E26</f>
        <v>53814</v>
      </c>
      <c r="F47" s="123">
        <f t="shared" si="3"/>
        <v>49361</v>
      </c>
      <c r="G47" s="123">
        <f t="shared" si="3"/>
        <v>58728</v>
      </c>
      <c r="H47" s="123">
        <f t="shared" si="3"/>
        <v>39652</v>
      </c>
      <c r="I47" s="123">
        <f t="shared" si="3"/>
        <v>54815</v>
      </c>
      <c r="J47" s="123">
        <f t="shared" si="3"/>
        <v>44093</v>
      </c>
      <c r="K47" s="123">
        <f t="shared" si="3"/>
        <v>52250</v>
      </c>
      <c r="L47" s="123">
        <f t="shared" si="3"/>
        <v>56430</v>
      </c>
      <c r="M47" s="123">
        <f t="shared" si="3"/>
        <v>42111</v>
      </c>
      <c r="N47" s="123">
        <f t="shared" si="3"/>
        <v>63848</v>
      </c>
      <c r="O47" s="123">
        <f t="shared" si="3"/>
        <v>61604</v>
      </c>
      <c r="P47" s="126">
        <f t="shared" si="1"/>
        <v>635236</v>
      </c>
    </row>
    <row r="48" spans="3:16" ht="24.95" customHeight="1" x14ac:dyDescent="0.25">
      <c r="C48" s="121" t="s">
        <v>37</v>
      </c>
      <c r="D48" s="122">
        <f>SUM(D49:D68)</f>
        <v>12447</v>
      </c>
      <c r="E48" s="122">
        <f t="shared" ref="E48:O48" si="4">SUM(E49:E68)</f>
        <v>15118</v>
      </c>
      <c r="F48" s="122">
        <f t="shared" si="4"/>
        <v>15232</v>
      </c>
      <c r="G48" s="122">
        <f t="shared" si="4"/>
        <v>10067</v>
      </c>
      <c r="H48" s="122">
        <f t="shared" si="4"/>
        <v>17570</v>
      </c>
      <c r="I48" s="122">
        <f t="shared" si="4"/>
        <v>10232</v>
      </c>
      <c r="J48" s="122">
        <f t="shared" si="4"/>
        <v>18571</v>
      </c>
      <c r="K48" s="122">
        <f t="shared" si="4"/>
        <v>19713</v>
      </c>
      <c r="L48" s="122">
        <f t="shared" si="4"/>
        <v>17502</v>
      </c>
      <c r="M48" s="122">
        <f t="shared" si="4"/>
        <v>11816</v>
      </c>
      <c r="N48" s="122">
        <f t="shared" si="4"/>
        <v>15860</v>
      </c>
      <c r="O48" s="122">
        <f t="shared" si="4"/>
        <v>13196</v>
      </c>
      <c r="P48" s="126">
        <f t="shared" si="1"/>
        <v>177324</v>
      </c>
    </row>
    <row r="49" spans="3:16" ht="24.95" hidden="1" customHeight="1" outlineLevel="1" x14ac:dyDescent="0.25">
      <c r="C49" s="127" t="s">
        <v>93</v>
      </c>
      <c r="D49" s="33">
        <v>12447</v>
      </c>
      <c r="E49" s="33">
        <v>15118</v>
      </c>
      <c r="F49" s="33">
        <v>15232</v>
      </c>
      <c r="G49" s="33">
        <v>10067</v>
      </c>
      <c r="H49" s="33">
        <v>17570</v>
      </c>
      <c r="I49" s="33">
        <v>10232</v>
      </c>
      <c r="J49" s="33">
        <v>18571</v>
      </c>
      <c r="K49" s="33">
        <v>19713</v>
      </c>
      <c r="L49" s="33">
        <v>17502</v>
      </c>
      <c r="M49" s="33">
        <v>11816</v>
      </c>
      <c r="N49" s="33">
        <v>15860</v>
      </c>
      <c r="O49" s="33">
        <v>13196</v>
      </c>
      <c r="P49" s="126">
        <f t="shared" si="1"/>
        <v>177324</v>
      </c>
    </row>
    <row r="50" spans="3:16" ht="24.95" hidden="1" customHeight="1" outlineLevel="1" x14ac:dyDescent="0.25">
      <c r="C50" s="127"/>
      <c r="D50" s="33"/>
      <c r="E50" s="33"/>
      <c r="F50" s="33"/>
      <c r="G50" s="33"/>
      <c r="H50" s="33"/>
      <c r="I50" s="33"/>
      <c r="J50" s="33"/>
      <c r="K50" s="33"/>
      <c r="L50" s="33"/>
      <c r="M50" s="33"/>
      <c r="N50" s="33"/>
      <c r="O50" s="33"/>
      <c r="P50" s="126">
        <f t="shared" si="1"/>
        <v>0</v>
      </c>
    </row>
    <row r="51" spans="3:16" ht="24.95" hidden="1" customHeight="1" outlineLevel="1" x14ac:dyDescent="0.25">
      <c r="C51" s="127"/>
      <c r="D51" s="33"/>
      <c r="E51" s="33"/>
      <c r="F51" s="33"/>
      <c r="G51" s="33"/>
      <c r="H51" s="33"/>
      <c r="I51" s="33"/>
      <c r="J51" s="33"/>
      <c r="K51" s="33"/>
      <c r="L51" s="33"/>
      <c r="M51" s="33"/>
      <c r="N51" s="33"/>
      <c r="O51" s="33"/>
      <c r="P51" s="126">
        <f t="shared" si="1"/>
        <v>0</v>
      </c>
    </row>
    <row r="52" spans="3:16" ht="24.95" hidden="1" customHeight="1" outlineLevel="1" x14ac:dyDescent="0.25">
      <c r="C52" s="127"/>
      <c r="D52" s="33"/>
      <c r="E52" s="33"/>
      <c r="F52" s="33"/>
      <c r="G52" s="33"/>
      <c r="H52" s="33"/>
      <c r="I52" s="33"/>
      <c r="J52" s="33"/>
      <c r="K52" s="33"/>
      <c r="L52" s="33"/>
      <c r="M52" s="33"/>
      <c r="N52" s="33"/>
      <c r="O52" s="33"/>
      <c r="P52" s="126">
        <f t="shared" si="1"/>
        <v>0</v>
      </c>
    </row>
    <row r="53" spans="3:16" ht="24.95" hidden="1" customHeight="1" outlineLevel="1" x14ac:dyDescent="0.25">
      <c r="C53" s="127"/>
      <c r="D53" s="33"/>
      <c r="E53" s="33"/>
      <c r="F53" s="33"/>
      <c r="G53" s="33"/>
      <c r="H53" s="33"/>
      <c r="I53" s="33"/>
      <c r="J53" s="33"/>
      <c r="K53" s="33"/>
      <c r="L53" s="33"/>
      <c r="M53" s="33"/>
      <c r="N53" s="33"/>
      <c r="O53" s="33"/>
      <c r="P53" s="126">
        <f t="shared" si="1"/>
        <v>0</v>
      </c>
    </row>
    <row r="54" spans="3:16" ht="24.95" hidden="1" customHeight="1" outlineLevel="1" x14ac:dyDescent="0.25">
      <c r="C54" s="127"/>
      <c r="D54" s="33"/>
      <c r="E54" s="33"/>
      <c r="F54" s="33"/>
      <c r="G54" s="33"/>
      <c r="H54" s="33"/>
      <c r="I54" s="33"/>
      <c r="J54" s="33"/>
      <c r="K54" s="33"/>
      <c r="L54" s="33"/>
      <c r="M54" s="33"/>
      <c r="N54" s="33"/>
      <c r="O54" s="33"/>
      <c r="P54" s="126">
        <f t="shared" si="1"/>
        <v>0</v>
      </c>
    </row>
    <row r="55" spans="3:16" ht="24.95" hidden="1" customHeight="1" outlineLevel="1" x14ac:dyDescent="0.25">
      <c r="C55" s="127"/>
      <c r="D55" s="33"/>
      <c r="E55" s="33"/>
      <c r="F55" s="33"/>
      <c r="G55" s="33"/>
      <c r="H55" s="33"/>
      <c r="I55" s="33"/>
      <c r="J55" s="33"/>
      <c r="K55" s="33"/>
      <c r="L55" s="33"/>
      <c r="M55" s="33"/>
      <c r="N55" s="33"/>
      <c r="O55" s="33"/>
      <c r="P55" s="126">
        <f t="shared" si="1"/>
        <v>0</v>
      </c>
    </row>
    <row r="56" spans="3:16" ht="24.95" hidden="1" customHeight="1" outlineLevel="1" x14ac:dyDescent="0.25">
      <c r="C56" s="127"/>
      <c r="D56" s="33"/>
      <c r="E56" s="33"/>
      <c r="F56" s="33"/>
      <c r="G56" s="33"/>
      <c r="H56" s="33"/>
      <c r="I56" s="33"/>
      <c r="J56" s="33"/>
      <c r="K56" s="33"/>
      <c r="L56" s="33"/>
      <c r="M56" s="33"/>
      <c r="N56" s="33"/>
      <c r="O56" s="33"/>
      <c r="P56" s="126">
        <f t="shared" si="1"/>
        <v>0</v>
      </c>
    </row>
    <row r="57" spans="3:16" ht="24.95" hidden="1" customHeight="1" outlineLevel="1" x14ac:dyDescent="0.25">
      <c r="C57" s="127"/>
      <c r="D57" s="33"/>
      <c r="E57" s="33"/>
      <c r="F57" s="33"/>
      <c r="G57" s="33"/>
      <c r="H57" s="33"/>
      <c r="I57" s="33"/>
      <c r="J57" s="33"/>
      <c r="K57" s="33"/>
      <c r="L57" s="33"/>
      <c r="M57" s="33"/>
      <c r="N57" s="33"/>
      <c r="O57" s="33"/>
      <c r="P57" s="126">
        <f t="shared" si="1"/>
        <v>0</v>
      </c>
    </row>
    <row r="58" spans="3:16" ht="24.95" hidden="1" customHeight="1" outlineLevel="1" x14ac:dyDescent="0.25">
      <c r="C58" s="127"/>
      <c r="D58" s="33"/>
      <c r="E58" s="33"/>
      <c r="F58" s="33"/>
      <c r="G58" s="33"/>
      <c r="H58" s="33"/>
      <c r="I58" s="33"/>
      <c r="J58" s="33"/>
      <c r="K58" s="33"/>
      <c r="L58" s="33"/>
      <c r="M58" s="33"/>
      <c r="N58" s="33"/>
      <c r="O58" s="33"/>
      <c r="P58" s="126">
        <f t="shared" si="1"/>
        <v>0</v>
      </c>
    </row>
    <row r="59" spans="3:16" ht="24.95" hidden="1" customHeight="1" outlineLevel="1" x14ac:dyDescent="0.25">
      <c r="C59" s="127"/>
      <c r="D59" s="33"/>
      <c r="E59" s="33"/>
      <c r="F59" s="33"/>
      <c r="G59" s="33"/>
      <c r="H59" s="33"/>
      <c r="I59" s="33"/>
      <c r="J59" s="33"/>
      <c r="K59" s="33"/>
      <c r="L59" s="33"/>
      <c r="M59" s="33"/>
      <c r="N59" s="33"/>
      <c r="O59" s="33"/>
      <c r="P59" s="126">
        <f t="shared" si="1"/>
        <v>0</v>
      </c>
    </row>
    <row r="60" spans="3:16" ht="24.95" hidden="1" customHeight="1" outlineLevel="1" x14ac:dyDescent="0.25">
      <c r="C60" s="127"/>
      <c r="D60" s="33"/>
      <c r="E60" s="33"/>
      <c r="F60" s="33"/>
      <c r="G60" s="33"/>
      <c r="H60" s="33"/>
      <c r="I60" s="33"/>
      <c r="J60" s="33"/>
      <c r="K60" s="33"/>
      <c r="L60" s="33"/>
      <c r="M60" s="33"/>
      <c r="N60" s="33"/>
      <c r="O60" s="33"/>
      <c r="P60" s="126">
        <f t="shared" si="1"/>
        <v>0</v>
      </c>
    </row>
    <row r="61" spans="3:16" ht="24.95" hidden="1" customHeight="1" outlineLevel="1" x14ac:dyDescent="0.25">
      <c r="C61" s="127"/>
      <c r="D61" s="33"/>
      <c r="E61" s="33"/>
      <c r="F61" s="33"/>
      <c r="G61" s="33"/>
      <c r="H61" s="33"/>
      <c r="I61" s="33"/>
      <c r="J61" s="33"/>
      <c r="K61" s="33"/>
      <c r="L61" s="33"/>
      <c r="M61" s="33"/>
      <c r="N61" s="33"/>
      <c r="O61" s="33"/>
      <c r="P61" s="126">
        <f t="shared" si="1"/>
        <v>0</v>
      </c>
    </row>
    <row r="62" spans="3:16" ht="24.95" hidden="1" customHeight="1" outlineLevel="1" x14ac:dyDescent="0.25">
      <c r="C62" s="127"/>
      <c r="D62" s="33"/>
      <c r="E62" s="33"/>
      <c r="F62" s="33"/>
      <c r="G62" s="33"/>
      <c r="H62" s="33"/>
      <c r="I62" s="33"/>
      <c r="J62" s="33"/>
      <c r="K62" s="33"/>
      <c r="L62" s="33"/>
      <c r="M62" s="33"/>
      <c r="N62" s="33"/>
      <c r="O62" s="33"/>
      <c r="P62" s="126">
        <f t="shared" si="1"/>
        <v>0</v>
      </c>
    </row>
    <row r="63" spans="3:16" ht="24.95" hidden="1" customHeight="1" outlineLevel="1" x14ac:dyDescent="0.25">
      <c r="C63" s="127"/>
      <c r="D63" s="33"/>
      <c r="E63" s="33"/>
      <c r="F63" s="33"/>
      <c r="G63" s="33"/>
      <c r="H63" s="33"/>
      <c r="I63" s="33"/>
      <c r="J63" s="33"/>
      <c r="K63" s="33"/>
      <c r="L63" s="33"/>
      <c r="M63" s="33"/>
      <c r="N63" s="33"/>
      <c r="O63" s="33"/>
      <c r="P63" s="126">
        <f t="shared" si="1"/>
        <v>0</v>
      </c>
    </row>
    <row r="64" spans="3:16" ht="24.95" hidden="1" customHeight="1" outlineLevel="1" x14ac:dyDescent="0.25">
      <c r="C64" s="127"/>
      <c r="D64" s="33"/>
      <c r="E64" s="33"/>
      <c r="F64" s="33"/>
      <c r="G64" s="33"/>
      <c r="H64" s="33"/>
      <c r="I64" s="33"/>
      <c r="J64" s="33"/>
      <c r="K64" s="33"/>
      <c r="L64" s="33"/>
      <c r="M64" s="33"/>
      <c r="N64" s="33"/>
      <c r="O64" s="33"/>
      <c r="P64" s="126">
        <f t="shared" si="1"/>
        <v>0</v>
      </c>
    </row>
    <row r="65" spans="3:16" ht="24.95" hidden="1" customHeight="1" outlineLevel="1" x14ac:dyDescent="0.25">
      <c r="C65" s="127"/>
      <c r="D65" s="33"/>
      <c r="E65" s="33"/>
      <c r="F65" s="33"/>
      <c r="G65" s="33"/>
      <c r="H65" s="33"/>
      <c r="I65" s="33"/>
      <c r="J65" s="33"/>
      <c r="K65" s="33"/>
      <c r="L65" s="33"/>
      <c r="M65" s="33"/>
      <c r="N65" s="33"/>
      <c r="O65" s="33"/>
      <c r="P65" s="126">
        <f t="shared" si="1"/>
        <v>0</v>
      </c>
    </row>
    <row r="66" spans="3:16" ht="24.95" hidden="1" customHeight="1" outlineLevel="1" x14ac:dyDescent="0.25">
      <c r="C66" s="127"/>
      <c r="D66" s="33"/>
      <c r="E66" s="33"/>
      <c r="F66" s="33"/>
      <c r="G66" s="33"/>
      <c r="H66" s="33"/>
      <c r="I66" s="33"/>
      <c r="J66" s="33"/>
      <c r="K66" s="33"/>
      <c r="L66" s="33"/>
      <c r="M66" s="33"/>
      <c r="N66" s="33"/>
      <c r="O66" s="33"/>
      <c r="P66" s="126">
        <f t="shared" si="1"/>
        <v>0</v>
      </c>
    </row>
    <row r="67" spans="3:16" ht="24.95" hidden="1" customHeight="1" outlineLevel="1" x14ac:dyDescent="0.25">
      <c r="C67" s="127"/>
      <c r="D67" s="33"/>
      <c r="E67" s="33"/>
      <c r="F67" s="33"/>
      <c r="G67" s="33"/>
      <c r="H67" s="33"/>
      <c r="I67" s="33"/>
      <c r="J67" s="33"/>
      <c r="K67" s="33"/>
      <c r="L67" s="33"/>
      <c r="M67" s="33"/>
      <c r="N67" s="33"/>
      <c r="O67" s="33"/>
      <c r="P67" s="126">
        <f t="shared" si="1"/>
        <v>0</v>
      </c>
    </row>
    <row r="68" spans="3:16" ht="24.95" hidden="1" customHeight="1" outlineLevel="1" x14ac:dyDescent="0.25">
      <c r="C68" s="127"/>
      <c r="D68" s="33"/>
      <c r="E68" s="33"/>
      <c r="F68" s="33"/>
      <c r="G68" s="33"/>
      <c r="H68" s="33"/>
      <c r="I68" s="33"/>
      <c r="J68" s="33"/>
      <c r="K68" s="33"/>
      <c r="L68" s="33"/>
      <c r="M68" s="33"/>
      <c r="N68" s="33"/>
      <c r="O68" s="33"/>
      <c r="P68" s="126">
        <f t="shared" si="1"/>
        <v>0</v>
      </c>
    </row>
    <row r="69" spans="3:16" ht="24.95" customHeight="1" collapsed="1" x14ac:dyDescent="0.25">
      <c r="C69" s="124" t="s">
        <v>38</v>
      </c>
      <c r="D69" s="123">
        <f>D47-D48</f>
        <v>46083</v>
      </c>
      <c r="E69" s="123">
        <f t="shared" ref="E69:O69" si="5">E47-E48</f>
        <v>38696</v>
      </c>
      <c r="F69" s="123">
        <f t="shared" si="5"/>
        <v>34129</v>
      </c>
      <c r="G69" s="123">
        <f t="shared" si="5"/>
        <v>48661</v>
      </c>
      <c r="H69" s="123">
        <f t="shared" si="5"/>
        <v>22082</v>
      </c>
      <c r="I69" s="123">
        <f t="shared" si="5"/>
        <v>44583</v>
      </c>
      <c r="J69" s="123">
        <f t="shared" si="5"/>
        <v>25522</v>
      </c>
      <c r="K69" s="123">
        <f t="shared" si="5"/>
        <v>32537</v>
      </c>
      <c r="L69" s="123">
        <f t="shared" si="5"/>
        <v>38928</v>
      </c>
      <c r="M69" s="123">
        <f t="shared" si="5"/>
        <v>30295</v>
      </c>
      <c r="N69" s="123">
        <f t="shared" si="5"/>
        <v>47988</v>
      </c>
      <c r="O69" s="123">
        <f t="shared" si="5"/>
        <v>48408</v>
      </c>
      <c r="P69" s="126">
        <f>SUM(D69:O69)</f>
        <v>457912</v>
      </c>
    </row>
    <row r="70" spans="3:16" ht="24.95" customHeight="1" x14ac:dyDescent="0.25">
      <c r="C70" s="121" t="s">
        <v>39</v>
      </c>
      <c r="D70" s="122">
        <f>SUM(D71:D90)</f>
        <v>10217</v>
      </c>
      <c r="E70" s="122">
        <f t="shared" ref="E70:O70" si="6">SUM(E71:E90)</f>
        <v>12861</v>
      </c>
      <c r="F70" s="122">
        <f t="shared" si="6"/>
        <v>9712</v>
      </c>
      <c r="G70" s="122">
        <f t="shared" si="6"/>
        <v>7654</v>
      </c>
      <c r="H70" s="122">
        <f t="shared" si="6"/>
        <v>10944</v>
      </c>
      <c r="I70" s="122">
        <f t="shared" si="6"/>
        <v>7205</v>
      </c>
      <c r="J70" s="122">
        <f t="shared" si="6"/>
        <v>9681</v>
      </c>
      <c r="K70" s="122">
        <f t="shared" si="6"/>
        <v>10588</v>
      </c>
      <c r="L70" s="122">
        <f t="shared" si="6"/>
        <v>9878</v>
      </c>
      <c r="M70" s="122">
        <f t="shared" si="6"/>
        <v>11185</v>
      </c>
      <c r="N70" s="122">
        <f t="shared" si="6"/>
        <v>12028</v>
      </c>
      <c r="O70" s="122">
        <f t="shared" si="6"/>
        <v>10246</v>
      </c>
      <c r="P70" s="126">
        <f>SUM(D70:O70)</f>
        <v>122199</v>
      </c>
    </row>
    <row r="71" spans="3:16" ht="24.95" hidden="1" customHeight="1" outlineLevel="1" x14ac:dyDescent="0.25">
      <c r="C71" s="127" t="s">
        <v>94</v>
      </c>
      <c r="D71" s="33">
        <v>2101</v>
      </c>
      <c r="E71" s="33">
        <v>3805</v>
      </c>
      <c r="F71" s="33">
        <v>3853</v>
      </c>
      <c r="G71" s="33">
        <v>1723</v>
      </c>
      <c r="H71" s="33">
        <v>2515</v>
      </c>
      <c r="I71" s="33">
        <v>3192</v>
      </c>
      <c r="J71" s="33">
        <v>2344</v>
      </c>
      <c r="K71" s="33">
        <v>2766</v>
      </c>
      <c r="L71" s="33">
        <v>1838</v>
      </c>
      <c r="M71" s="33">
        <v>3928</v>
      </c>
      <c r="N71" s="33">
        <v>1249</v>
      </c>
      <c r="O71" s="33">
        <v>2873</v>
      </c>
      <c r="P71" s="126">
        <f t="shared" ref="P71:P87" si="7">SUM(D71:O71)</f>
        <v>32187</v>
      </c>
    </row>
    <row r="72" spans="3:16" ht="24.95" hidden="1" customHeight="1" outlineLevel="1" x14ac:dyDescent="0.25">
      <c r="C72" s="127" t="s">
        <v>95</v>
      </c>
      <c r="D72" s="33">
        <v>3944</v>
      </c>
      <c r="E72" s="33">
        <v>3373</v>
      </c>
      <c r="F72" s="33">
        <v>1749</v>
      </c>
      <c r="G72" s="33">
        <v>1260</v>
      </c>
      <c r="H72" s="33">
        <v>1709</v>
      </c>
      <c r="I72" s="33">
        <v>1376</v>
      </c>
      <c r="J72" s="33">
        <v>2205</v>
      </c>
      <c r="K72" s="33">
        <v>3276</v>
      </c>
      <c r="L72" s="33">
        <v>2938</v>
      </c>
      <c r="M72" s="33">
        <v>1410</v>
      </c>
      <c r="N72" s="33">
        <v>3979</v>
      </c>
      <c r="O72" s="33">
        <v>1286</v>
      </c>
      <c r="P72" s="126">
        <f t="shared" si="7"/>
        <v>28505</v>
      </c>
    </row>
    <row r="73" spans="3:16" ht="24.95" hidden="1" customHeight="1" outlineLevel="1" x14ac:dyDescent="0.25">
      <c r="C73" s="127" t="s">
        <v>96</v>
      </c>
      <c r="D73" s="33">
        <v>1886</v>
      </c>
      <c r="E73" s="33">
        <v>1794</v>
      </c>
      <c r="F73" s="33">
        <v>1517</v>
      </c>
      <c r="G73" s="33">
        <v>1554</v>
      </c>
      <c r="H73" s="33">
        <v>2895</v>
      </c>
      <c r="I73" s="33">
        <v>1133</v>
      </c>
      <c r="J73" s="33">
        <v>3729</v>
      </c>
      <c r="K73" s="33">
        <v>1621</v>
      </c>
      <c r="L73" s="33">
        <v>2354</v>
      </c>
      <c r="M73" s="33">
        <v>2506</v>
      </c>
      <c r="N73" s="33">
        <v>3049</v>
      </c>
      <c r="O73" s="33">
        <v>3385</v>
      </c>
      <c r="P73" s="126">
        <f t="shared" si="7"/>
        <v>27423</v>
      </c>
    </row>
    <row r="74" spans="3:16" ht="24.95" hidden="1" customHeight="1" outlineLevel="1" x14ac:dyDescent="0.25">
      <c r="C74" s="127" t="s">
        <v>97</v>
      </c>
      <c r="D74" s="33">
        <v>2286</v>
      </c>
      <c r="E74" s="33">
        <v>3889</v>
      </c>
      <c r="F74" s="33">
        <v>2593</v>
      </c>
      <c r="G74" s="33">
        <v>3117</v>
      </c>
      <c r="H74" s="33">
        <v>3825</v>
      </c>
      <c r="I74" s="33">
        <v>1504</v>
      </c>
      <c r="J74" s="33">
        <v>1403</v>
      </c>
      <c r="K74" s="33">
        <v>2925</v>
      </c>
      <c r="L74" s="33">
        <v>2748</v>
      </c>
      <c r="M74" s="33">
        <v>3341</v>
      </c>
      <c r="N74" s="33">
        <v>3751</v>
      </c>
      <c r="O74" s="33">
        <v>2702</v>
      </c>
      <c r="P74" s="126">
        <f t="shared" si="7"/>
        <v>34084</v>
      </c>
    </row>
    <row r="75" spans="3:16" ht="24.95" hidden="1" customHeight="1" outlineLevel="1" x14ac:dyDescent="0.25">
      <c r="C75" s="127"/>
      <c r="D75" s="33"/>
      <c r="E75" s="33"/>
      <c r="F75" s="33"/>
      <c r="G75" s="33"/>
      <c r="H75" s="33"/>
      <c r="I75" s="33"/>
      <c r="J75" s="33"/>
      <c r="K75" s="33"/>
      <c r="L75" s="33"/>
      <c r="M75" s="33"/>
      <c r="N75" s="33"/>
      <c r="O75" s="33"/>
      <c r="P75" s="126">
        <f t="shared" si="7"/>
        <v>0</v>
      </c>
    </row>
    <row r="76" spans="3:16" ht="24.95" hidden="1" customHeight="1" outlineLevel="1" x14ac:dyDescent="0.25">
      <c r="C76" s="127"/>
      <c r="D76" s="33"/>
      <c r="E76" s="33"/>
      <c r="F76" s="33"/>
      <c r="G76" s="33"/>
      <c r="H76" s="33"/>
      <c r="I76" s="33"/>
      <c r="J76" s="33"/>
      <c r="K76" s="33"/>
      <c r="L76" s="33"/>
      <c r="M76" s="33"/>
      <c r="N76" s="33"/>
      <c r="O76" s="33"/>
      <c r="P76" s="126">
        <f t="shared" si="7"/>
        <v>0</v>
      </c>
    </row>
    <row r="77" spans="3:16" ht="24.95" hidden="1" customHeight="1" outlineLevel="1" x14ac:dyDescent="0.25">
      <c r="C77" s="127"/>
      <c r="D77" s="33"/>
      <c r="E77" s="33"/>
      <c r="F77" s="33"/>
      <c r="G77" s="33"/>
      <c r="H77" s="33"/>
      <c r="I77" s="33"/>
      <c r="J77" s="33"/>
      <c r="K77" s="33"/>
      <c r="L77" s="33"/>
      <c r="M77" s="33"/>
      <c r="N77" s="33"/>
      <c r="O77" s="33"/>
      <c r="P77" s="126">
        <f t="shared" si="7"/>
        <v>0</v>
      </c>
    </row>
    <row r="78" spans="3:16" ht="24.95" hidden="1" customHeight="1" outlineLevel="1" x14ac:dyDescent="0.25">
      <c r="C78" s="127"/>
      <c r="D78" s="33"/>
      <c r="E78" s="33"/>
      <c r="F78" s="33"/>
      <c r="G78" s="33"/>
      <c r="H78" s="33"/>
      <c r="I78" s="33"/>
      <c r="J78" s="33"/>
      <c r="K78" s="33"/>
      <c r="L78" s="33"/>
      <c r="M78" s="33"/>
      <c r="N78" s="33"/>
      <c r="O78" s="33"/>
      <c r="P78" s="126">
        <f t="shared" si="7"/>
        <v>0</v>
      </c>
    </row>
    <row r="79" spans="3:16" ht="24.95" hidden="1" customHeight="1" outlineLevel="1" x14ac:dyDescent="0.25">
      <c r="C79" s="127"/>
      <c r="D79" s="33"/>
      <c r="E79" s="33"/>
      <c r="F79" s="33"/>
      <c r="G79" s="33"/>
      <c r="H79" s="33"/>
      <c r="I79" s="33"/>
      <c r="J79" s="33"/>
      <c r="K79" s="33"/>
      <c r="L79" s="33"/>
      <c r="M79" s="33"/>
      <c r="N79" s="33"/>
      <c r="O79" s="33"/>
      <c r="P79" s="126">
        <f t="shared" si="7"/>
        <v>0</v>
      </c>
    </row>
    <row r="80" spans="3:16" ht="24.95" hidden="1" customHeight="1" outlineLevel="1" x14ac:dyDescent="0.25">
      <c r="C80" s="127"/>
      <c r="D80" s="33"/>
      <c r="E80" s="33"/>
      <c r="F80" s="33"/>
      <c r="G80" s="33"/>
      <c r="H80" s="33"/>
      <c r="I80" s="33"/>
      <c r="J80" s="33"/>
      <c r="K80" s="33"/>
      <c r="L80" s="33"/>
      <c r="M80" s="33"/>
      <c r="N80" s="33"/>
      <c r="O80" s="33"/>
      <c r="P80" s="126">
        <f t="shared" si="7"/>
        <v>0</v>
      </c>
    </row>
    <row r="81" spans="3:16" ht="24.95" hidden="1" customHeight="1" outlineLevel="1" x14ac:dyDescent="0.25">
      <c r="C81" s="127"/>
      <c r="D81" s="33"/>
      <c r="E81" s="33"/>
      <c r="F81" s="33"/>
      <c r="G81" s="33"/>
      <c r="H81" s="33"/>
      <c r="I81" s="33"/>
      <c r="J81" s="33"/>
      <c r="K81" s="33"/>
      <c r="L81" s="33"/>
      <c r="M81" s="33"/>
      <c r="N81" s="33"/>
      <c r="O81" s="33"/>
      <c r="P81" s="126">
        <f t="shared" si="7"/>
        <v>0</v>
      </c>
    </row>
    <row r="82" spans="3:16" ht="24.95" hidden="1" customHeight="1" outlineLevel="1" x14ac:dyDescent="0.25">
      <c r="C82" s="127"/>
      <c r="D82" s="33"/>
      <c r="E82" s="33"/>
      <c r="F82" s="33"/>
      <c r="G82" s="33"/>
      <c r="H82" s="33"/>
      <c r="I82" s="33"/>
      <c r="J82" s="33"/>
      <c r="K82" s="33"/>
      <c r="L82" s="33"/>
      <c r="M82" s="33"/>
      <c r="N82" s="33"/>
      <c r="O82" s="33"/>
      <c r="P82" s="126">
        <f t="shared" si="7"/>
        <v>0</v>
      </c>
    </row>
    <row r="83" spans="3:16" ht="24.95" hidden="1" customHeight="1" outlineLevel="1" x14ac:dyDescent="0.25">
      <c r="C83" s="127"/>
      <c r="D83" s="33"/>
      <c r="E83" s="33"/>
      <c r="F83" s="33"/>
      <c r="G83" s="33"/>
      <c r="H83" s="33"/>
      <c r="I83" s="33"/>
      <c r="J83" s="33"/>
      <c r="K83" s="33"/>
      <c r="L83" s="33"/>
      <c r="M83" s="33"/>
      <c r="N83" s="33"/>
      <c r="O83" s="33"/>
      <c r="P83" s="126">
        <f t="shared" si="7"/>
        <v>0</v>
      </c>
    </row>
    <row r="84" spans="3:16" ht="24.95" hidden="1" customHeight="1" outlineLevel="1" x14ac:dyDescent="0.25">
      <c r="C84" s="127"/>
      <c r="D84" s="33"/>
      <c r="E84" s="33"/>
      <c r="F84" s="33"/>
      <c r="G84" s="33"/>
      <c r="H84" s="33"/>
      <c r="I84" s="33"/>
      <c r="J84" s="33"/>
      <c r="K84" s="33"/>
      <c r="L84" s="33"/>
      <c r="M84" s="33"/>
      <c r="N84" s="33"/>
      <c r="O84" s="33"/>
      <c r="P84" s="126">
        <f t="shared" si="7"/>
        <v>0</v>
      </c>
    </row>
    <row r="85" spans="3:16" ht="24.95" hidden="1" customHeight="1" outlineLevel="1" x14ac:dyDescent="0.25">
      <c r="C85" s="127"/>
      <c r="D85" s="33"/>
      <c r="E85" s="33"/>
      <c r="F85" s="33"/>
      <c r="G85" s="33"/>
      <c r="H85" s="33"/>
      <c r="I85" s="33"/>
      <c r="J85" s="33"/>
      <c r="K85" s="33"/>
      <c r="L85" s="33"/>
      <c r="M85" s="33"/>
      <c r="N85" s="33"/>
      <c r="O85" s="33"/>
      <c r="P85" s="126">
        <f t="shared" si="7"/>
        <v>0</v>
      </c>
    </row>
    <row r="86" spans="3:16" ht="24.95" hidden="1" customHeight="1" outlineLevel="1" x14ac:dyDescent="0.25">
      <c r="C86" s="127"/>
      <c r="D86" s="33"/>
      <c r="E86" s="33"/>
      <c r="F86" s="33"/>
      <c r="G86" s="33"/>
      <c r="H86" s="33"/>
      <c r="I86" s="33"/>
      <c r="J86" s="33"/>
      <c r="K86" s="33"/>
      <c r="L86" s="33"/>
      <c r="M86" s="33"/>
      <c r="N86" s="33"/>
      <c r="O86" s="33"/>
      <c r="P86" s="126">
        <f t="shared" si="7"/>
        <v>0</v>
      </c>
    </row>
    <row r="87" spans="3:16" ht="24.95" hidden="1" customHeight="1" outlineLevel="1" x14ac:dyDescent="0.25">
      <c r="C87" s="127"/>
      <c r="D87" s="33"/>
      <c r="E87" s="33"/>
      <c r="F87" s="33"/>
      <c r="G87" s="33"/>
      <c r="H87" s="33"/>
      <c r="I87" s="33"/>
      <c r="J87" s="33"/>
      <c r="K87" s="33"/>
      <c r="L87" s="33"/>
      <c r="M87" s="33"/>
      <c r="N87" s="33"/>
      <c r="O87" s="33"/>
      <c r="P87" s="126">
        <f t="shared" si="7"/>
        <v>0</v>
      </c>
    </row>
    <row r="88" spans="3:16" ht="24.95" hidden="1" customHeight="1" outlineLevel="1" x14ac:dyDescent="0.25">
      <c r="C88" s="127"/>
      <c r="D88" s="33"/>
      <c r="E88" s="33"/>
      <c r="F88" s="33"/>
      <c r="G88" s="33"/>
      <c r="H88" s="33"/>
      <c r="I88" s="33"/>
      <c r="J88" s="33"/>
      <c r="K88" s="33"/>
      <c r="L88" s="33"/>
      <c r="M88" s="33"/>
      <c r="N88" s="33"/>
      <c r="O88" s="33"/>
      <c r="P88" s="126">
        <f t="shared" ref="P88:P89" si="8">SUM(D88:O88)</f>
        <v>0</v>
      </c>
    </row>
    <row r="89" spans="3:16" ht="24.95" hidden="1" customHeight="1" outlineLevel="1" x14ac:dyDescent="0.25">
      <c r="C89" s="127"/>
      <c r="D89" s="33"/>
      <c r="E89" s="33"/>
      <c r="F89" s="33"/>
      <c r="G89" s="33"/>
      <c r="H89" s="33"/>
      <c r="I89" s="33"/>
      <c r="J89" s="33"/>
      <c r="K89" s="33"/>
      <c r="L89" s="33"/>
      <c r="M89" s="33"/>
      <c r="N89" s="33"/>
      <c r="O89" s="33"/>
      <c r="P89" s="126">
        <f t="shared" si="8"/>
        <v>0</v>
      </c>
    </row>
    <row r="90" spans="3:16" ht="24.95" hidden="1" customHeight="1" outlineLevel="1" x14ac:dyDescent="0.25">
      <c r="C90" s="127"/>
      <c r="D90" s="33"/>
      <c r="E90" s="33"/>
      <c r="F90" s="33"/>
      <c r="G90" s="33"/>
      <c r="H90" s="33"/>
      <c r="I90" s="33"/>
      <c r="J90" s="33"/>
      <c r="K90" s="33"/>
      <c r="L90" s="33"/>
      <c r="M90" s="33"/>
      <c r="N90" s="33"/>
      <c r="O90" s="33"/>
      <c r="P90" s="126">
        <f t="shared" ref="P90" si="9">SUM(D90:O90)</f>
        <v>0</v>
      </c>
    </row>
    <row r="91" spans="3:16" ht="24.95" customHeight="1" collapsed="1" x14ac:dyDescent="0.25">
      <c r="C91" s="124" t="s">
        <v>40</v>
      </c>
      <c r="D91" s="123">
        <f>D69-D70</f>
        <v>35866</v>
      </c>
      <c r="E91" s="123">
        <f t="shared" ref="E91:O91" si="10">E69-E70</f>
        <v>25835</v>
      </c>
      <c r="F91" s="123">
        <f t="shared" si="10"/>
        <v>24417</v>
      </c>
      <c r="G91" s="123">
        <f t="shared" si="10"/>
        <v>41007</v>
      </c>
      <c r="H91" s="123">
        <f t="shared" si="10"/>
        <v>11138</v>
      </c>
      <c r="I91" s="123">
        <f t="shared" si="10"/>
        <v>37378</v>
      </c>
      <c r="J91" s="123">
        <f t="shared" si="10"/>
        <v>15841</v>
      </c>
      <c r="K91" s="123">
        <f t="shared" si="10"/>
        <v>21949</v>
      </c>
      <c r="L91" s="123">
        <f t="shared" si="10"/>
        <v>29050</v>
      </c>
      <c r="M91" s="123">
        <f t="shared" si="10"/>
        <v>19110</v>
      </c>
      <c r="N91" s="123">
        <f t="shared" si="10"/>
        <v>35960</v>
      </c>
      <c r="O91" s="123">
        <f t="shared" si="10"/>
        <v>38162</v>
      </c>
      <c r="P91" s="125">
        <f t="shared" ref="P91" si="11">SUM(D91:O91)</f>
        <v>335713</v>
      </c>
    </row>
    <row r="92" spans="3:16" ht="24.95" customHeight="1" x14ac:dyDescent="0.25">
      <c r="C92" s="103" t="s">
        <v>41</v>
      </c>
      <c r="D92" s="122">
        <f>SUM(D93:D112)</f>
        <v>11903</v>
      </c>
      <c r="E92" s="122">
        <f t="shared" ref="E92:O92" si="12">SUM(E93:E112)</f>
        <v>11681</v>
      </c>
      <c r="F92" s="122">
        <f t="shared" si="12"/>
        <v>12871</v>
      </c>
      <c r="G92" s="122">
        <f t="shared" si="12"/>
        <v>12579</v>
      </c>
      <c r="H92" s="122">
        <f t="shared" si="12"/>
        <v>11975</v>
      </c>
      <c r="I92" s="122">
        <f t="shared" si="12"/>
        <v>13019</v>
      </c>
      <c r="J92" s="122">
        <f t="shared" si="12"/>
        <v>13125</v>
      </c>
      <c r="K92" s="122">
        <f t="shared" si="12"/>
        <v>11842</v>
      </c>
      <c r="L92" s="122">
        <f t="shared" si="12"/>
        <v>10624</v>
      </c>
      <c r="M92" s="122">
        <f t="shared" si="12"/>
        <v>11133</v>
      </c>
      <c r="N92" s="122">
        <f t="shared" si="12"/>
        <v>10894</v>
      </c>
      <c r="O92" s="122">
        <f t="shared" si="12"/>
        <v>10742</v>
      </c>
      <c r="P92" s="126">
        <f t="shared" ref="P92:P111" si="13">SUM(D92:O92)</f>
        <v>142388</v>
      </c>
    </row>
    <row r="93" spans="3:16" ht="24.95" hidden="1" customHeight="1" outlineLevel="1" x14ac:dyDescent="0.25">
      <c r="C93" s="127" t="s">
        <v>98</v>
      </c>
      <c r="D93" s="33">
        <v>6814</v>
      </c>
      <c r="E93" s="33">
        <v>6618</v>
      </c>
      <c r="F93" s="33">
        <v>6171</v>
      </c>
      <c r="G93" s="33">
        <v>6677</v>
      </c>
      <c r="H93" s="33">
        <v>6660</v>
      </c>
      <c r="I93" s="33">
        <v>6489</v>
      </c>
      <c r="J93" s="33">
        <v>6943</v>
      </c>
      <c r="K93" s="33">
        <v>6457</v>
      </c>
      <c r="L93" s="33">
        <v>5024</v>
      </c>
      <c r="M93" s="33">
        <v>5554</v>
      </c>
      <c r="N93" s="33">
        <v>5018</v>
      </c>
      <c r="O93" s="33">
        <v>5351</v>
      </c>
      <c r="P93" s="126">
        <f t="shared" si="13"/>
        <v>73776</v>
      </c>
    </row>
    <row r="94" spans="3:16" ht="24.95" hidden="1" customHeight="1" outlineLevel="1" x14ac:dyDescent="0.25">
      <c r="C94" s="127" t="s">
        <v>99</v>
      </c>
      <c r="D94" s="33">
        <v>5089</v>
      </c>
      <c r="E94" s="33">
        <v>5063</v>
      </c>
      <c r="F94" s="33">
        <v>6700</v>
      </c>
      <c r="G94" s="33">
        <v>5902</v>
      </c>
      <c r="H94" s="33">
        <v>5315</v>
      </c>
      <c r="I94" s="33">
        <v>6530</v>
      </c>
      <c r="J94" s="33">
        <v>6182</v>
      </c>
      <c r="K94" s="33">
        <v>5385</v>
      </c>
      <c r="L94" s="33">
        <v>5600</v>
      </c>
      <c r="M94" s="33">
        <v>5579</v>
      </c>
      <c r="N94" s="33">
        <v>5876</v>
      </c>
      <c r="O94" s="33">
        <v>5391</v>
      </c>
      <c r="P94" s="126">
        <f t="shared" si="13"/>
        <v>68612</v>
      </c>
    </row>
    <row r="95" spans="3:16" ht="24.95" hidden="1" customHeight="1" outlineLevel="1" x14ac:dyDescent="0.25">
      <c r="C95" s="127"/>
      <c r="D95" s="33"/>
      <c r="E95" s="33"/>
      <c r="F95" s="33"/>
      <c r="G95" s="33"/>
      <c r="H95" s="33"/>
      <c r="I95" s="33"/>
      <c r="J95" s="33"/>
      <c r="K95" s="33"/>
      <c r="L95" s="33"/>
      <c r="M95" s="33"/>
      <c r="N95" s="33"/>
      <c r="O95" s="33"/>
      <c r="P95" s="126">
        <f t="shared" si="13"/>
        <v>0</v>
      </c>
    </row>
    <row r="96" spans="3:16" ht="24.95" hidden="1" customHeight="1" outlineLevel="1" x14ac:dyDescent="0.25">
      <c r="C96" s="127"/>
      <c r="D96" s="33"/>
      <c r="E96" s="33"/>
      <c r="F96" s="33"/>
      <c r="G96" s="33"/>
      <c r="H96" s="33"/>
      <c r="I96" s="33"/>
      <c r="J96" s="33"/>
      <c r="K96" s="33"/>
      <c r="L96" s="33"/>
      <c r="M96" s="33"/>
      <c r="N96" s="33"/>
      <c r="O96" s="33"/>
      <c r="P96" s="126">
        <f t="shared" si="13"/>
        <v>0</v>
      </c>
    </row>
    <row r="97" spans="3:16" ht="24.95" hidden="1" customHeight="1" outlineLevel="1" x14ac:dyDescent="0.25">
      <c r="C97" s="127"/>
      <c r="D97" s="33"/>
      <c r="E97" s="33"/>
      <c r="F97" s="33"/>
      <c r="G97" s="33"/>
      <c r="H97" s="33"/>
      <c r="I97" s="33"/>
      <c r="J97" s="33"/>
      <c r="K97" s="33"/>
      <c r="L97" s="33"/>
      <c r="M97" s="33"/>
      <c r="N97" s="33"/>
      <c r="O97" s="33"/>
      <c r="P97" s="126">
        <f t="shared" si="13"/>
        <v>0</v>
      </c>
    </row>
    <row r="98" spans="3:16" ht="24.95" hidden="1" customHeight="1" outlineLevel="1" x14ac:dyDescent="0.25">
      <c r="C98" s="127"/>
      <c r="D98" s="33"/>
      <c r="E98" s="33"/>
      <c r="F98" s="33"/>
      <c r="G98" s="33"/>
      <c r="H98" s="33"/>
      <c r="I98" s="33"/>
      <c r="J98" s="33"/>
      <c r="K98" s="33"/>
      <c r="L98" s="33"/>
      <c r="M98" s="33"/>
      <c r="N98" s="33"/>
      <c r="O98" s="33"/>
      <c r="P98" s="126">
        <f t="shared" si="13"/>
        <v>0</v>
      </c>
    </row>
    <row r="99" spans="3:16" ht="24.95" hidden="1" customHeight="1" outlineLevel="1" x14ac:dyDescent="0.25">
      <c r="C99" s="127"/>
      <c r="D99" s="33"/>
      <c r="E99" s="33"/>
      <c r="F99" s="33"/>
      <c r="G99" s="33"/>
      <c r="H99" s="33"/>
      <c r="I99" s="33"/>
      <c r="J99" s="33"/>
      <c r="K99" s="33"/>
      <c r="L99" s="33"/>
      <c r="M99" s="33"/>
      <c r="N99" s="33"/>
      <c r="O99" s="33"/>
      <c r="P99" s="126">
        <f t="shared" si="13"/>
        <v>0</v>
      </c>
    </row>
    <row r="100" spans="3:16" ht="24.95" hidden="1" customHeight="1" outlineLevel="1" x14ac:dyDescent="0.25">
      <c r="C100" s="127"/>
      <c r="D100" s="33"/>
      <c r="E100" s="33"/>
      <c r="F100" s="33"/>
      <c r="G100" s="33"/>
      <c r="H100" s="33"/>
      <c r="I100" s="33"/>
      <c r="J100" s="33"/>
      <c r="K100" s="33"/>
      <c r="L100" s="33"/>
      <c r="M100" s="33"/>
      <c r="N100" s="33"/>
      <c r="O100" s="33"/>
      <c r="P100" s="126">
        <f t="shared" si="13"/>
        <v>0</v>
      </c>
    </row>
    <row r="101" spans="3:16" ht="24.95" hidden="1" customHeight="1" outlineLevel="1" x14ac:dyDescent="0.25">
      <c r="C101" s="127"/>
      <c r="D101" s="33"/>
      <c r="E101" s="33"/>
      <c r="F101" s="33"/>
      <c r="G101" s="33"/>
      <c r="H101" s="33"/>
      <c r="I101" s="33"/>
      <c r="J101" s="33"/>
      <c r="K101" s="33"/>
      <c r="L101" s="33"/>
      <c r="M101" s="33"/>
      <c r="N101" s="33"/>
      <c r="O101" s="33"/>
      <c r="P101" s="126">
        <f t="shared" si="13"/>
        <v>0</v>
      </c>
    </row>
    <row r="102" spans="3:16" ht="24.95" hidden="1" customHeight="1" outlineLevel="1" x14ac:dyDescent="0.25">
      <c r="C102" s="127"/>
      <c r="D102" s="33"/>
      <c r="E102" s="33"/>
      <c r="F102" s="33"/>
      <c r="G102" s="33"/>
      <c r="H102" s="33"/>
      <c r="I102" s="33"/>
      <c r="J102" s="33"/>
      <c r="K102" s="33"/>
      <c r="L102" s="33"/>
      <c r="M102" s="33"/>
      <c r="N102" s="33"/>
      <c r="O102" s="33"/>
      <c r="P102" s="126">
        <f t="shared" si="13"/>
        <v>0</v>
      </c>
    </row>
    <row r="103" spans="3:16" ht="24.95" hidden="1" customHeight="1" outlineLevel="1" x14ac:dyDescent="0.25">
      <c r="C103" s="127"/>
      <c r="D103" s="33"/>
      <c r="E103" s="33"/>
      <c r="F103" s="33"/>
      <c r="G103" s="33"/>
      <c r="H103" s="33"/>
      <c r="I103" s="33"/>
      <c r="J103" s="33"/>
      <c r="K103" s="33"/>
      <c r="L103" s="33"/>
      <c r="M103" s="33"/>
      <c r="N103" s="33"/>
      <c r="O103" s="33"/>
      <c r="P103" s="126">
        <f t="shared" si="13"/>
        <v>0</v>
      </c>
    </row>
    <row r="104" spans="3:16" ht="24.95" hidden="1" customHeight="1" outlineLevel="1" x14ac:dyDescent="0.25">
      <c r="C104" s="127"/>
      <c r="D104" s="33"/>
      <c r="E104" s="33"/>
      <c r="F104" s="33"/>
      <c r="G104" s="33"/>
      <c r="H104" s="33"/>
      <c r="I104" s="33"/>
      <c r="J104" s="33"/>
      <c r="K104" s="33"/>
      <c r="L104" s="33"/>
      <c r="M104" s="33"/>
      <c r="N104" s="33"/>
      <c r="O104" s="33"/>
      <c r="P104" s="126">
        <f t="shared" si="13"/>
        <v>0</v>
      </c>
    </row>
    <row r="105" spans="3:16" ht="24.95" hidden="1" customHeight="1" outlineLevel="1" x14ac:dyDescent="0.25">
      <c r="C105" s="127"/>
      <c r="D105" s="33"/>
      <c r="E105" s="33"/>
      <c r="F105" s="33"/>
      <c r="G105" s="33"/>
      <c r="H105" s="33"/>
      <c r="I105" s="33"/>
      <c r="J105" s="33"/>
      <c r="K105" s="33"/>
      <c r="L105" s="33"/>
      <c r="M105" s="33"/>
      <c r="N105" s="33"/>
      <c r="O105" s="33"/>
      <c r="P105" s="126">
        <f t="shared" si="13"/>
        <v>0</v>
      </c>
    </row>
    <row r="106" spans="3:16" ht="24.95" hidden="1" customHeight="1" outlineLevel="1" x14ac:dyDescent="0.25">
      <c r="C106" s="127"/>
      <c r="D106" s="33"/>
      <c r="E106" s="33"/>
      <c r="F106" s="33"/>
      <c r="G106" s="33"/>
      <c r="H106" s="33"/>
      <c r="I106" s="33"/>
      <c r="J106" s="33"/>
      <c r="K106" s="33"/>
      <c r="L106" s="33"/>
      <c r="M106" s="33"/>
      <c r="N106" s="33"/>
      <c r="O106" s="33"/>
      <c r="P106" s="126">
        <f t="shared" si="13"/>
        <v>0</v>
      </c>
    </row>
    <row r="107" spans="3:16" ht="24.95" hidden="1" customHeight="1" outlineLevel="1" x14ac:dyDescent="0.25">
      <c r="C107" s="127"/>
      <c r="D107" s="33"/>
      <c r="E107" s="33"/>
      <c r="F107" s="33"/>
      <c r="G107" s="33"/>
      <c r="H107" s="33"/>
      <c r="I107" s="33"/>
      <c r="J107" s="33"/>
      <c r="K107" s="33"/>
      <c r="L107" s="33"/>
      <c r="M107" s="33"/>
      <c r="N107" s="33"/>
      <c r="O107" s="33"/>
      <c r="P107" s="126">
        <f t="shared" si="13"/>
        <v>0</v>
      </c>
    </row>
    <row r="108" spans="3:16" ht="24.95" hidden="1" customHeight="1" outlineLevel="1" x14ac:dyDescent="0.25">
      <c r="C108" s="127"/>
      <c r="D108" s="33"/>
      <c r="E108" s="33"/>
      <c r="F108" s="33"/>
      <c r="G108" s="33"/>
      <c r="H108" s="33"/>
      <c r="I108" s="33"/>
      <c r="J108" s="33"/>
      <c r="K108" s="33"/>
      <c r="L108" s="33"/>
      <c r="M108" s="33"/>
      <c r="N108" s="33"/>
      <c r="O108" s="33"/>
      <c r="P108" s="126">
        <f t="shared" si="13"/>
        <v>0</v>
      </c>
    </row>
    <row r="109" spans="3:16" ht="24.95" hidden="1" customHeight="1" outlineLevel="1" x14ac:dyDescent="0.25">
      <c r="C109" s="127"/>
      <c r="D109" s="33"/>
      <c r="E109" s="33"/>
      <c r="F109" s="33"/>
      <c r="G109" s="33"/>
      <c r="H109" s="33"/>
      <c r="I109" s="33"/>
      <c r="J109" s="33"/>
      <c r="K109" s="33"/>
      <c r="L109" s="33"/>
      <c r="M109" s="33"/>
      <c r="N109" s="33"/>
      <c r="O109" s="33"/>
      <c r="P109" s="126">
        <f t="shared" si="13"/>
        <v>0</v>
      </c>
    </row>
    <row r="110" spans="3:16" ht="24.95" hidden="1" customHeight="1" outlineLevel="1" x14ac:dyDescent="0.25">
      <c r="C110" s="127"/>
      <c r="D110" s="33"/>
      <c r="E110" s="33"/>
      <c r="F110" s="33"/>
      <c r="G110" s="33"/>
      <c r="H110" s="33"/>
      <c r="I110" s="33"/>
      <c r="J110" s="33"/>
      <c r="K110" s="33"/>
      <c r="L110" s="33"/>
      <c r="M110" s="33"/>
      <c r="N110" s="33"/>
      <c r="O110" s="33"/>
      <c r="P110" s="126">
        <f t="shared" si="13"/>
        <v>0</v>
      </c>
    </row>
    <row r="111" spans="3:16" ht="24.95" hidden="1" customHeight="1" outlineLevel="1" x14ac:dyDescent="0.25">
      <c r="C111" s="127"/>
      <c r="D111" s="33"/>
      <c r="E111" s="33"/>
      <c r="F111" s="33"/>
      <c r="G111" s="33"/>
      <c r="H111" s="33"/>
      <c r="I111" s="33"/>
      <c r="J111" s="33"/>
      <c r="K111" s="33"/>
      <c r="L111" s="33"/>
      <c r="M111" s="33"/>
      <c r="N111" s="33"/>
      <c r="O111" s="33"/>
      <c r="P111" s="126">
        <f t="shared" si="13"/>
        <v>0</v>
      </c>
    </row>
    <row r="112" spans="3:16" ht="24.95" hidden="1" customHeight="1" outlineLevel="1" x14ac:dyDescent="0.25">
      <c r="C112" s="127"/>
      <c r="D112" s="33"/>
      <c r="E112" s="33"/>
      <c r="F112" s="33"/>
      <c r="G112" s="33"/>
      <c r="H112" s="33"/>
      <c r="I112" s="33"/>
      <c r="J112" s="33"/>
      <c r="K112" s="33"/>
      <c r="L112" s="33"/>
      <c r="M112" s="33"/>
      <c r="N112" s="33"/>
      <c r="O112" s="33"/>
      <c r="P112" s="126">
        <f>SUM(D112:O112)</f>
        <v>0</v>
      </c>
    </row>
    <row r="113" spans="3:19" ht="24.95" customHeight="1" collapsed="1" x14ac:dyDescent="0.25">
      <c r="C113" s="120" t="s">
        <v>57</v>
      </c>
      <c r="D113" s="118">
        <f>D91-D92</f>
        <v>23963</v>
      </c>
      <c r="E113" s="118">
        <f t="shared" ref="E113:O113" si="14">E91-E92</f>
        <v>14154</v>
      </c>
      <c r="F113" s="118">
        <f t="shared" si="14"/>
        <v>11546</v>
      </c>
      <c r="G113" s="118">
        <f t="shared" si="14"/>
        <v>28428</v>
      </c>
      <c r="H113" s="118">
        <f t="shared" si="14"/>
        <v>-837</v>
      </c>
      <c r="I113" s="118">
        <f t="shared" si="14"/>
        <v>24359</v>
      </c>
      <c r="J113" s="118">
        <f t="shared" si="14"/>
        <v>2716</v>
      </c>
      <c r="K113" s="118">
        <f t="shared" si="14"/>
        <v>10107</v>
      </c>
      <c r="L113" s="118">
        <f t="shared" si="14"/>
        <v>18426</v>
      </c>
      <c r="M113" s="118">
        <f t="shared" si="14"/>
        <v>7977</v>
      </c>
      <c r="N113" s="118">
        <f t="shared" si="14"/>
        <v>25066</v>
      </c>
      <c r="O113" s="118">
        <f t="shared" si="14"/>
        <v>27420</v>
      </c>
      <c r="P113" s="42">
        <f>SUM(D113:O113)</f>
        <v>193325</v>
      </c>
    </row>
    <row r="114" spans="3:19" ht="30" customHeight="1" thickBot="1" x14ac:dyDescent="0.3">
      <c r="C114" s="99"/>
      <c r="D114" s="100">
        <f t="shared" ref="D114:P114" si="15">IFERROR(D48+D70,0)</f>
        <v>22664</v>
      </c>
      <c r="E114" s="100">
        <f t="shared" si="15"/>
        <v>27979</v>
      </c>
      <c r="F114" s="100">
        <f t="shared" si="15"/>
        <v>24944</v>
      </c>
      <c r="G114" s="100">
        <f t="shared" si="15"/>
        <v>17721</v>
      </c>
      <c r="H114" s="100">
        <f t="shared" si="15"/>
        <v>28514</v>
      </c>
      <c r="I114" s="100">
        <f t="shared" si="15"/>
        <v>17437</v>
      </c>
      <c r="J114" s="100">
        <f t="shared" si="15"/>
        <v>28252</v>
      </c>
      <c r="K114" s="100">
        <f t="shared" si="15"/>
        <v>30301</v>
      </c>
      <c r="L114" s="100">
        <f t="shared" si="15"/>
        <v>27380</v>
      </c>
      <c r="M114" s="100">
        <f t="shared" si="15"/>
        <v>23001</v>
      </c>
      <c r="N114" s="100">
        <f t="shared" si="15"/>
        <v>27888</v>
      </c>
      <c r="O114" s="100">
        <f t="shared" si="15"/>
        <v>23442</v>
      </c>
      <c r="P114" s="100">
        <f t="shared" si="15"/>
        <v>299523</v>
      </c>
      <c r="Q114" s="99"/>
      <c r="R114" s="99"/>
      <c r="S114" s="99"/>
    </row>
    <row r="115" spans="3:19" ht="21.95" customHeight="1" x14ac:dyDescent="0.25">
      <c r="C115" s="34" t="s">
        <v>32</v>
      </c>
      <c r="D115" s="35" t="s">
        <v>20</v>
      </c>
      <c r="E115" s="35" t="s">
        <v>21</v>
      </c>
      <c r="F115" s="35" t="s">
        <v>22</v>
      </c>
      <c r="G115" s="35" t="s">
        <v>23</v>
      </c>
      <c r="H115" s="35" t="s">
        <v>24</v>
      </c>
      <c r="I115" s="35" t="s">
        <v>25</v>
      </c>
      <c r="J115" s="35" t="s">
        <v>26</v>
      </c>
      <c r="K115" s="35" t="s">
        <v>27</v>
      </c>
      <c r="L115" s="35" t="s">
        <v>28</v>
      </c>
      <c r="M115" s="35" t="s">
        <v>29</v>
      </c>
      <c r="N115" s="35" t="s">
        <v>30</v>
      </c>
      <c r="O115" s="35" t="s">
        <v>31</v>
      </c>
      <c r="P115" s="35" t="s">
        <v>33</v>
      </c>
    </row>
    <row r="116" spans="3:19" ht="30" customHeight="1" x14ac:dyDescent="0.25">
      <c r="C116" s="40" t="s">
        <v>42</v>
      </c>
      <c r="D116" s="140">
        <f t="shared" ref="D116:P116" si="16">IFERROR(D69/D5,0)</f>
        <v>0.58265058412987403</v>
      </c>
      <c r="E116" s="141">
        <f t="shared" si="16"/>
        <v>0.51085177166393836</v>
      </c>
      <c r="F116" s="141">
        <f t="shared" si="16"/>
        <v>0.45631885763183228</v>
      </c>
      <c r="G116" s="141">
        <f t="shared" si="16"/>
        <v>0.59859518771834863</v>
      </c>
      <c r="H116" s="141">
        <f t="shared" si="16"/>
        <v>0.33324278643003741</v>
      </c>
      <c r="I116" s="141">
        <f t="shared" si="16"/>
        <v>0.56729313262670344</v>
      </c>
      <c r="J116" s="141">
        <f t="shared" si="16"/>
        <v>0.34808581443242725</v>
      </c>
      <c r="K116" s="141">
        <f t="shared" si="16"/>
        <v>0.42891982388146271</v>
      </c>
      <c r="L116" s="141">
        <f t="shared" si="16"/>
        <v>0.48290577085297476</v>
      </c>
      <c r="M116" s="141">
        <f t="shared" si="16"/>
        <v>0.45439546429482086</v>
      </c>
      <c r="N116" s="141">
        <f t="shared" si="16"/>
        <v>0.5543515930041818</v>
      </c>
      <c r="O116" s="141">
        <f t="shared" si="16"/>
        <v>0.54272100454061323</v>
      </c>
      <c r="P116" s="143">
        <f t="shared" si="16"/>
        <v>0.49343965517241378</v>
      </c>
    </row>
    <row r="117" spans="3:19" ht="30" customHeight="1" x14ac:dyDescent="0.25">
      <c r="C117" s="40" t="s">
        <v>43</v>
      </c>
      <c r="D117" s="141">
        <f t="shared" ref="D117:P117" si="17">IFERROR(D91/D5,0)</f>
        <v>0.45347190613462801</v>
      </c>
      <c r="E117" s="141">
        <f t="shared" si="17"/>
        <v>0.34106511062998363</v>
      </c>
      <c r="F117" s="141">
        <f t="shared" si="17"/>
        <v>0.32646539736870256</v>
      </c>
      <c r="G117" s="141">
        <f t="shared" si="17"/>
        <v>0.5044407813807017</v>
      </c>
      <c r="H117" s="141">
        <f t="shared" si="17"/>
        <v>0.16808523481830254</v>
      </c>
      <c r="I117" s="141">
        <f t="shared" si="17"/>
        <v>0.47561363549606178</v>
      </c>
      <c r="J117" s="141">
        <f t="shared" si="17"/>
        <v>0.2160499720407523</v>
      </c>
      <c r="K117" s="141">
        <f t="shared" si="17"/>
        <v>0.28934324659231725</v>
      </c>
      <c r="L117" s="141">
        <f t="shared" si="17"/>
        <v>0.36036818339701288</v>
      </c>
      <c r="M117" s="141">
        <f t="shared" si="17"/>
        <v>0.28663136896101754</v>
      </c>
      <c r="N117" s="141">
        <f t="shared" si="17"/>
        <v>0.41540558648892173</v>
      </c>
      <c r="O117" s="141">
        <f t="shared" si="17"/>
        <v>0.42784909468019505</v>
      </c>
      <c r="P117" s="138">
        <f t="shared" si="17"/>
        <v>0.36175969827586207</v>
      </c>
    </row>
    <row r="118" spans="3:19" ht="30" customHeight="1" x14ac:dyDescent="0.25">
      <c r="C118" s="40" t="s">
        <v>44</v>
      </c>
      <c r="D118" s="141">
        <f t="shared" ref="D118:P118" si="18">IFERROR(D113/D5,0)</f>
        <v>0.30297628078693167</v>
      </c>
      <c r="E118" s="141">
        <f t="shared" si="18"/>
        <v>0.18685641865131752</v>
      </c>
      <c r="F118" s="141">
        <f t="shared" si="18"/>
        <v>0.15437479944379079</v>
      </c>
      <c r="G118" s="141">
        <f t="shared" si="18"/>
        <v>0.34970230773015792</v>
      </c>
      <c r="H118" s="141">
        <f t="shared" si="18"/>
        <v>-1.2631293009779065E-2</v>
      </c>
      <c r="I118" s="141">
        <f t="shared" si="18"/>
        <v>0.3099543193067732</v>
      </c>
      <c r="J118" s="141">
        <f t="shared" si="18"/>
        <v>3.7042593527093194E-2</v>
      </c>
      <c r="K118" s="141">
        <f t="shared" si="18"/>
        <v>0.13323578264652378</v>
      </c>
      <c r="L118" s="141">
        <f t="shared" si="18"/>
        <v>0.22857639061181959</v>
      </c>
      <c r="M118" s="141">
        <f t="shared" si="18"/>
        <v>0.11964722293050951</v>
      </c>
      <c r="N118" s="141">
        <f t="shared" si="18"/>
        <v>0.28955941131622115</v>
      </c>
      <c r="O118" s="141">
        <f t="shared" si="18"/>
        <v>0.30741633499635629</v>
      </c>
      <c r="P118" s="144">
        <f t="shared" si="18"/>
        <v>0.20832435344827585</v>
      </c>
    </row>
    <row r="119" spans="3:19" ht="30" customHeight="1" thickBot="1" x14ac:dyDescent="0.3">
      <c r="P119" s="137"/>
    </row>
    <row r="120" spans="3:19" ht="21.95" customHeight="1" x14ac:dyDescent="0.25">
      <c r="C120" s="34" t="s">
        <v>32</v>
      </c>
      <c r="D120" s="35" t="s">
        <v>20</v>
      </c>
      <c r="E120" s="35" t="s">
        <v>21</v>
      </c>
      <c r="F120" s="35" t="s">
        <v>22</v>
      </c>
      <c r="G120" s="35" t="s">
        <v>23</v>
      </c>
      <c r="H120" s="35" t="s">
        <v>24</v>
      </c>
      <c r="I120" s="35" t="s">
        <v>25</v>
      </c>
      <c r="J120" s="35" t="s">
        <v>26</v>
      </c>
      <c r="K120" s="35" t="s">
        <v>27</v>
      </c>
      <c r="L120" s="35" t="s">
        <v>28</v>
      </c>
      <c r="M120" s="35" t="s">
        <v>29</v>
      </c>
      <c r="N120" s="35" t="s">
        <v>30</v>
      </c>
      <c r="O120" s="35" t="s">
        <v>31</v>
      </c>
      <c r="P120" s="35" t="s">
        <v>33</v>
      </c>
    </row>
    <row r="121" spans="3:19" ht="30" customHeight="1" x14ac:dyDescent="0.25">
      <c r="C121" s="40" t="s">
        <v>46</v>
      </c>
      <c r="D121" s="33">
        <v>7200</v>
      </c>
      <c r="E121" s="33">
        <v>6100</v>
      </c>
      <c r="F121" s="33">
        <v>7900</v>
      </c>
      <c r="G121" s="33"/>
      <c r="H121" s="33"/>
      <c r="I121" s="33"/>
      <c r="J121" s="33"/>
      <c r="K121" s="33"/>
      <c r="L121" s="33"/>
      <c r="M121" s="33"/>
      <c r="N121" s="33"/>
      <c r="O121" s="33"/>
      <c r="P121" s="133">
        <f>SUM(D121:O121)</f>
        <v>21200</v>
      </c>
    </row>
    <row r="122" spans="3:19" ht="30" customHeight="1" x14ac:dyDescent="0.25">
      <c r="C122" s="40" t="s">
        <v>47</v>
      </c>
      <c r="D122" s="33">
        <v>8800</v>
      </c>
      <c r="E122" s="33">
        <v>7900</v>
      </c>
      <c r="F122" s="33">
        <v>9400</v>
      </c>
      <c r="G122" s="33"/>
      <c r="H122" s="33"/>
      <c r="I122" s="33"/>
      <c r="J122" s="33"/>
      <c r="K122" s="33"/>
      <c r="L122" s="33"/>
      <c r="M122" s="33"/>
      <c r="N122" s="33"/>
      <c r="O122" s="33"/>
      <c r="P122" s="132">
        <f t="shared" ref="P122" si="19">SUM(D122:O122)</f>
        <v>26100</v>
      </c>
    </row>
    <row r="123" spans="3:19" ht="30" customHeight="1" thickBot="1" x14ac:dyDescent="0.3">
      <c r="P123" s="137"/>
    </row>
    <row r="124" spans="3:19" ht="21.95" customHeight="1" x14ac:dyDescent="0.25">
      <c r="C124" s="34" t="s">
        <v>32</v>
      </c>
      <c r="D124" s="35" t="s">
        <v>20</v>
      </c>
      <c r="E124" s="35" t="s">
        <v>21</v>
      </c>
      <c r="F124" s="35" t="s">
        <v>22</v>
      </c>
      <c r="G124" s="35" t="s">
        <v>23</v>
      </c>
      <c r="H124" s="35" t="s">
        <v>24</v>
      </c>
      <c r="I124" s="35" t="s">
        <v>25</v>
      </c>
      <c r="J124" s="35" t="s">
        <v>26</v>
      </c>
      <c r="K124" s="35" t="s">
        <v>27</v>
      </c>
      <c r="L124" s="35" t="s">
        <v>28</v>
      </c>
      <c r="M124" s="35" t="s">
        <v>29</v>
      </c>
      <c r="N124" s="35" t="s">
        <v>30</v>
      </c>
      <c r="O124" s="35" t="s">
        <v>31</v>
      </c>
      <c r="P124" s="35" t="s">
        <v>33</v>
      </c>
    </row>
    <row r="125" spans="3:19" ht="30" customHeight="1" x14ac:dyDescent="0.25">
      <c r="C125" s="40" t="s">
        <v>74</v>
      </c>
      <c r="D125" s="33">
        <v>28000</v>
      </c>
      <c r="E125" s="33">
        <v>35000</v>
      </c>
      <c r="F125" s="33">
        <v>50000</v>
      </c>
      <c r="G125" s="33"/>
      <c r="H125" s="33"/>
      <c r="I125" s="33"/>
      <c r="J125" s="33"/>
      <c r="K125" s="33"/>
      <c r="L125" s="33"/>
      <c r="M125" s="33"/>
      <c r="N125" s="33"/>
      <c r="O125" s="33"/>
      <c r="P125" s="128">
        <f t="shared" ref="P125:P127" si="20">SUM(D125:O125)</f>
        <v>113000</v>
      </c>
    </row>
    <row r="126" spans="3:19" ht="30" customHeight="1" x14ac:dyDescent="0.25">
      <c r="C126" s="39" t="s">
        <v>76</v>
      </c>
      <c r="D126" s="141">
        <f t="shared" ref="D126:P126" si="21">IFERROR(D125/D5,0)</f>
        <v>0.35401810549739543</v>
      </c>
      <c r="E126" s="141">
        <f t="shared" si="21"/>
        <v>0.46205840418228866</v>
      </c>
      <c r="F126" s="141">
        <f t="shared" si="21"/>
        <v>0.66852069740079156</v>
      </c>
      <c r="G126" s="141">
        <f t="shared" si="21"/>
        <v>0</v>
      </c>
      <c r="H126" s="141">
        <f t="shared" si="21"/>
        <v>0</v>
      </c>
      <c r="I126" s="141">
        <f t="shared" si="21"/>
        <v>0</v>
      </c>
      <c r="J126" s="141">
        <f t="shared" si="21"/>
        <v>0</v>
      </c>
      <c r="K126" s="141">
        <f t="shared" si="21"/>
        <v>0</v>
      </c>
      <c r="L126" s="141">
        <f t="shared" si="21"/>
        <v>0</v>
      </c>
      <c r="M126" s="141">
        <f t="shared" si="21"/>
        <v>0</v>
      </c>
      <c r="N126" s="141">
        <f t="shared" si="21"/>
        <v>0</v>
      </c>
      <c r="O126" s="141">
        <f t="shared" si="21"/>
        <v>0</v>
      </c>
      <c r="P126" s="138">
        <f t="shared" si="21"/>
        <v>0.12176724137931035</v>
      </c>
    </row>
    <row r="127" spans="3:19" ht="30" customHeight="1" x14ac:dyDescent="0.25">
      <c r="C127" s="40" t="s">
        <v>75</v>
      </c>
      <c r="D127" s="33">
        <v>21000</v>
      </c>
      <c r="E127" s="33">
        <v>28000</v>
      </c>
      <c r="F127" s="33">
        <v>24900</v>
      </c>
      <c r="G127" s="33"/>
      <c r="H127" s="33"/>
      <c r="I127" s="33"/>
      <c r="J127" s="33"/>
      <c r="K127" s="33"/>
      <c r="L127" s="33"/>
      <c r="M127" s="33"/>
      <c r="N127" s="33"/>
      <c r="O127" s="33"/>
      <c r="P127" s="128">
        <f t="shared" si="20"/>
        <v>73900</v>
      </c>
    </row>
    <row r="128" spans="3:19" ht="30" customHeight="1" x14ac:dyDescent="0.25">
      <c r="C128" s="39" t="s">
        <v>77</v>
      </c>
      <c r="D128" s="141">
        <f>IFERROR(D127/D114,0)</f>
        <v>0.92657959759971764</v>
      </c>
      <c r="E128" s="141">
        <f t="shared" ref="E128:O128" si="22">IFERROR(E127/E114,0)</f>
        <v>1.0007505629221916</v>
      </c>
      <c r="F128" s="141">
        <f t="shared" si="22"/>
        <v>0.99823604874919825</v>
      </c>
      <c r="G128" s="141">
        <f t="shared" si="22"/>
        <v>0</v>
      </c>
      <c r="H128" s="141">
        <f t="shared" si="22"/>
        <v>0</v>
      </c>
      <c r="I128" s="141">
        <f t="shared" si="22"/>
        <v>0</v>
      </c>
      <c r="J128" s="141">
        <f t="shared" si="22"/>
        <v>0</v>
      </c>
      <c r="K128" s="141">
        <f t="shared" si="22"/>
        <v>0</v>
      </c>
      <c r="L128" s="141">
        <f t="shared" si="22"/>
        <v>0</v>
      </c>
      <c r="M128" s="141">
        <f t="shared" si="22"/>
        <v>0</v>
      </c>
      <c r="N128" s="141">
        <f t="shared" si="22"/>
        <v>0</v>
      </c>
      <c r="O128" s="141">
        <f t="shared" si="22"/>
        <v>0</v>
      </c>
      <c r="P128" s="139">
        <f>IFERROR(P127/P114,0)</f>
        <v>0.24672562708039117</v>
      </c>
    </row>
  </sheetData>
  <sheetProtection sheet="1" objects="1" scenarios="1" formatColumns="0" formatRows="0" selectLockedCells="1"/>
  <autoFilter ref="C4:P4" xr:uid="{00000000-0009-0000-0000-00000E000000}"/>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5">
    <tabColor rgb="FFFFC000"/>
  </sheetPr>
  <dimension ref="C1:P16"/>
  <sheetViews>
    <sheetView showGridLines="0" showRowColHeaders="0" zoomScaleNormal="100" workbookViewId="0">
      <pane ySplit="4" topLeftCell="A5" activePane="bottomLeft" state="frozen"/>
      <selection activeCell="R7" sqref="R7"/>
      <selection pane="bottomLeft" activeCell="R7" sqref="R7"/>
    </sheetView>
  </sheetViews>
  <sheetFormatPr defaultRowHeight="35.1" customHeight="1" x14ac:dyDescent="0.25"/>
  <cols>
    <col min="1" max="2" width="1.7109375" style="19" customWidth="1"/>
    <col min="3" max="3" width="25.7109375" style="19" customWidth="1"/>
    <col min="4" max="16" width="12.140625" style="19" customWidth="1"/>
    <col min="17" max="16384" width="9.140625" style="19"/>
  </cols>
  <sheetData>
    <row r="1" spans="3:16" s="1" customFormat="1" ht="35.1" customHeight="1" x14ac:dyDescent="0.25"/>
    <row r="2" spans="3:16" s="3" customFormat="1" ht="30" customHeight="1" x14ac:dyDescent="0.25"/>
    <row r="3" spans="3:16" ht="30" customHeight="1" thickBot="1" x14ac:dyDescent="0.3">
      <c r="C3" s="89"/>
    </row>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30" customHeight="1" x14ac:dyDescent="0.25">
      <c r="C5" s="40" t="str">
        <f>Lançamentos!C5</f>
        <v>Receita Bruta de Vendas</v>
      </c>
      <c r="D5" s="105">
        <f>Lançamentos!D5</f>
        <v>67220</v>
      </c>
      <c r="E5" s="105">
        <f>Lançamentos!E5</f>
        <v>81003</v>
      </c>
      <c r="F5" s="105">
        <f>Lançamentos!F5</f>
        <v>95739</v>
      </c>
      <c r="G5" s="105">
        <f>Lançamentos!G5</f>
        <v>89852</v>
      </c>
      <c r="H5" s="105">
        <f>Lançamentos!H5</f>
        <v>74394</v>
      </c>
      <c r="I5" s="105">
        <f>Lançamentos!I5</f>
        <v>85476</v>
      </c>
      <c r="J5" s="105">
        <f>Lançamentos!J5</f>
        <v>92272</v>
      </c>
      <c r="K5" s="105">
        <f>Lançamentos!K5</f>
        <v>90754</v>
      </c>
      <c r="L5" s="105">
        <f>Lançamentos!L5</f>
        <v>68672</v>
      </c>
      <c r="M5" s="105">
        <f>Lançamentos!M5</f>
        <v>83177</v>
      </c>
      <c r="N5" s="105">
        <f>Lançamentos!N5</f>
        <v>77512</v>
      </c>
      <c r="O5" s="105">
        <f>Lançamentos!O5</f>
        <v>86164</v>
      </c>
      <c r="P5" s="133">
        <f>SUM(D5:O5)</f>
        <v>992235</v>
      </c>
    </row>
    <row r="6" spans="3:16" ht="30" customHeight="1" x14ac:dyDescent="0.25">
      <c r="C6" s="40" t="str">
        <f>Lançamentos!C47</f>
        <v>Receita Líquida de Vendas</v>
      </c>
      <c r="D6" s="66">
        <f>Lançamentos!D47</f>
        <v>42679</v>
      </c>
      <c r="E6" s="66">
        <f>Lançamentos!E47</f>
        <v>59932</v>
      </c>
      <c r="F6" s="66">
        <f>Lançamentos!F47</f>
        <v>73394</v>
      </c>
      <c r="G6" s="66">
        <f>Lançamentos!G47</f>
        <v>67669</v>
      </c>
      <c r="H6" s="66">
        <f>Lançamentos!H47</f>
        <v>45658</v>
      </c>
      <c r="I6" s="66">
        <f>Lançamentos!I47</f>
        <v>57625</v>
      </c>
      <c r="J6" s="66">
        <f>Lançamentos!J47</f>
        <v>67505</v>
      </c>
      <c r="K6" s="66">
        <f>Lançamentos!K47</f>
        <v>62687</v>
      </c>
      <c r="L6" s="66">
        <f>Lançamentos!L47</f>
        <v>41273</v>
      </c>
      <c r="M6" s="66">
        <f>Lançamentos!M47</f>
        <v>58334</v>
      </c>
      <c r="N6" s="66">
        <f>Lançamentos!N47</f>
        <v>49716</v>
      </c>
      <c r="O6" s="106">
        <f>Lançamentos!O47</f>
        <v>65564</v>
      </c>
      <c r="P6" s="128">
        <f t="shared" ref="P6:P9" si="0">SUM(D6:O6)</f>
        <v>692036</v>
      </c>
    </row>
    <row r="7" spans="3:16" ht="30" customHeight="1" x14ac:dyDescent="0.25">
      <c r="C7" s="40" t="str">
        <f>Lançamentos!C69</f>
        <v>Lucro Bruto</v>
      </c>
      <c r="D7" s="55">
        <f>Lançamentos!D69</f>
        <v>30074</v>
      </c>
      <c r="E7" s="55">
        <f>Lançamentos!E69</f>
        <v>40417</v>
      </c>
      <c r="F7" s="55">
        <f>Lançamentos!F69</f>
        <v>62974</v>
      </c>
      <c r="G7" s="55">
        <f>Lançamentos!G69</f>
        <v>51091</v>
      </c>
      <c r="H7" s="55">
        <f>Lançamentos!H69</f>
        <v>31018</v>
      </c>
      <c r="I7" s="55">
        <f>Lançamentos!I69</f>
        <v>43867</v>
      </c>
      <c r="J7" s="55">
        <f>Lançamentos!J69</f>
        <v>51027</v>
      </c>
      <c r="K7" s="55">
        <f>Lançamentos!K69</f>
        <v>50388</v>
      </c>
      <c r="L7" s="55">
        <f>Lançamentos!L69</f>
        <v>28785</v>
      </c>
      <c r="M7" s="55">
        <f>Lançamentos!M69</f>
        <v>45016</v>
      </c>
      <c r="N7" s="55">
        <f>Lançamentos!N69</f>
        <v>33538</v>
      </c>
      <c r="O7" s="107">
        <f>Lançamentos!O69</f>
        <v>49211</v>
      </c>
      <c r="P7" s="128">
        <f t="shared" si="0"/>
        <v>517406</v>
      </c>
    </row>
    <row r="8" spans="3:16" ht="30" customHeight="1" x14ac:dyDescent="0.25">
      <c r="C8" s="41" t="str">
        <f>Lançamentos!C91</f>
        <v>Lucro Operacional</v>
      </c>
      <c r="D8" s="104">
        <f>Lançamentos!D91</f>
        <v>21395</v>
      </c>
      <c r="E8" s="104">
        <f>Lançamentos!E91</f>
        <v>31806</v>
      </c>
      <c r="F8" s="104">
        <f>Lançamentos!F91</f>
        <v>56045</v>
      </c>
      <c r="G8" s="104">
        <f>Lançamentos!G91</f>
        <v>41487</v>
      </c>
      <c r="H8" s="104">
        <f>Lançamentos!H91</f>
        <v>22109</v>
      </c>
      <c r="I8" s="104">
        <f>Lançamentos!I91</f>
        <v>29396</v>
      </c>
      <c r="J8" s="104">
        <f>Lançamentos!J91</f>
        <v>41999</v>
      </c>
      <c r="K8" s="104">
        <f>Lançamentos!K91</f>
        <v>36195</v>
      </c>
      <c r="L8" s="104">
        <f>Lançamentos!L91</f>
        <v>17707</v>
      </c>
      <c r="M8" s="104">
        <f>Lançamentos!M91</f>
        <v>33491</v>
      </c>
      <c r="N8" s="104">
        <f>Lançamentos!N91</f>
        <v>24140</v>
      </c>
      <c r="O8" s="104">
        <f>Lançamentos!O91</f>
        <v>41362</v>
      </c>
      <c r="P8" s="134">
        <f t="shared" si="0"/>
        <v>397132</v>
      </c>
    </row>
    <row r="9" spans="3:16" ht="30" customHeight="1" x14ac:dyDescent="0.25">
      <c r="C9" s="129" t="str">
        <f>Lançamentos!C113</f>
        <v>Lucro ou Prejuízo Líquido</v>
      </c>
      <c r="D9" s="130">
        <f>Lançamentos!D113</f>
        <v>10355</v>
      </c>
      <c r="E9" s="131">
        <f>Lançamentos!E113</f>
        <v>20203</v>
      </c>
      <c r="F9" s="131">
        <f>Lançamentos!F113</f>
        <v>45098</v>
      </c>
      <c r="G9" s="131">
        <f>Lançamentos!G113</f>
        <v>29101</v>
      </c>
      <c r="H9" s="131">
        <f>Lançamentos!H113</f>
        <v>10349</v>
      </c>
      <c r="I9" s="131">
        <f>Lançamentos!I113</f>
        <v>16574</v>
      </c>
      <c r="J9" s="131">
        <f>Lançamentos!J113</f>
        <v>30746</v>
      </c>
      <c r="K9" s="131">
        <f>Lançamentos!K113</f>
        <v>24656</v>
      </c>
      <c r="L9" s="131">
        <f>Lançamentos!L113</f>
        <v>5301</v>
      </c>
      <c r="M9" s="131">
        <f>Lançamentos!M113</f>
        <v>20878</v>
      </c>
      <c r="N9" s="131">
        <f>Lançamentos!N113</f>
        <v>11854</v>
      </c>
      <c r="O9" s="131">
        <f>Lançamentos!O113</f>
        <v>29588</v>
      </c>
      <c r="P9" s="132">
        <f t="shared" si="0"/>
        <v>254703</v>
      </c>
    </row>
    <row r="10" spans="3:16" ht="30" customHeight="1" thickBot="1" x14ac:dyDescent="0.3">
      <c r="C10" s="89"/>
    </row>
    <row r="11" spans="3:16" ht="21.95" customHeight="1" x14ac:dyDescent="0.25">
      <c r="C11" s="34" t="s">
        <v>32</v>
      </c>
      <c r="D11" s="35" t="s">
        <v>20</v>
      </c>
      <c r="E11" s="35" t="s">
        <v>21</v>
      </c>
      <c r="F11" s="35" t="s">
        <v>22</v>
      </c>
      <c r="G11" s="35" t="s">
        <v>23</v>
      </c>
      <c r="H11" s="35" t="s">
        <v>24</v>
      </c>
      <c r="I11" s="35" t="s">
        <v>25</v>
      </c>
      <c r="J11" s="35" t="s">
        <v>26</v>
      </c>
      <c r="K11" s="35" t="s">
        <v>27</v>
      </c>
      <c r="L11" s="35" t="s">
        <v>28</v>
      </c>
      <c r="M11" s="35" t="s">
        <v>29</v>
      </c>
      <c r="N11" s="35" t="s">
        <v>30</v>
      </c>
      <c r="O11" s="35" t="s">
        <v>31</v>
      </c>
      <c r="P11" s="35" t="s">
        <v>33</v>
      </c>
    </row>
    <row r="12" spans="3:16" ht="30" customHeight="1" x14ac:dyDescent="0.25">
      <c r="C12" s="40" t="str">
        <f>C5</f>
        <v>Receita Bruta de Vendas</v>
      </c>
      <c r="D12" s="105">
        <f>'Lançamentos (2)'!D5</f>
        <v>79092</v>
      </c>
      <c r="E12" s="105">
        <f>'Lançamentos (2)'!E5</f>
        <v>75748</v>
      </c>
      <c r="F12" s="105">
        <f>'Lançamentos (2)'!F5</f>
        <v>74792</v>
      </c>
      <c r="G12" s="105">
        <f>'Lançamentos (2)'!G5</f>
        <v>81292</v>
      </c>
      <c r="H12" s="105">
        <f>'Lançamentos (2)'!H5</f>
        <v>66264</v>
      </c>
      <c r="I12" s="105">
        <f>'Lançamentos (2)'!I5</f>
        <v>78589</v>
      </c>
      <c r="J12" s="105">
        <f>'Lançamentos (2)'!J5</f>
        <v>73321</v>
      </c>
      <c r="K12" s="105">
        <f>'Lançamentos (2)'!K5</f>
        <v>75858</v>
      </c>
      <c r="L12" s="105">
        <f>'Lançamentos (2)'!L5</f>
        <v>80612</v>
      </c>
      <c r="M12" s="105">
        <f>'Lançamentos (2)'!M5</f>
        <v>66671</v>
      </c>
      <c r="N12" s="105">
        <f>'Lançamentos (2)'!N5</f>
        <v>86566</v>
      </c>
      <c r="O12" s="105">
        <f>'Lançamentos (2)'!O5</f>
        <v>89195</v>
      </c>
      <c r="P12" s="133">
        <f>SUM(D12:O12)</f>
        <v>928000</v>
      </c>
    </row>
    <row r="13" spans="3:16" ht="30" customHeight="1" x14ac:dyDescent="0.25">
      <c r="C13" s="40" t="str">
        <f t="shared" ref="C13:C15" si="1">C6</f>
        <v>Receita Líquida de Vendas</v>
      </c>
      <c r="D13" s="66">
        <f>'Lançamentos (2)'!D47</f>
        <v>58530</v>
      </c>
      <c r="E13" s="66">
        <f>'Lançamentos (2)'!E47</f>
        <v>53814</v>
      </c>
      <c r="F13" s="66">
        <f>'Lançamentos (2)'!F47</f>
        <v>49361</v>
      </c>
      <c r="G13" s="66">
        <f>'Lançamentos (2)'!G47</f>
        <v>58728</v>
      </c>
      <c r="H13" s="66">
        <f>'Lançamentos (2)'!H47</f>
        <v>39652</v>
      </c>
      <c r="I13" s="66">
        <f>'Lançamentos (2)'!I47</f>
        <v>54815</v>
      </c>
      <c r="J13" s="66">
        <f>'Lançamentos (2)'!J47</f>
        <v>44093</v>
      </c>
      <c r="K13" s="66">
        <f>'Lançamentos (2)'!K47</f>
        <v>52250</v>
      </c>
      <c r="L13" s="66">
        <f>'Lançamentos (2)'!L47</f>
        <v>56430</v>
      </c>
      <c r="M13" s="66">
        <f>'Lançamentos (2)'!M47</f>
        <v>42111</v>
      </c>
      <c r="N13" s="66">
        <f>'Lançamentos (2)'!N47</f>
        <v>63848</v>
      </c>
      <c r="O13" s="106">
        <f>'Lançamentos (2)'!O47</f>
        <v>61604</v>
      </c>
      <c r="P13" s="128">
        <f t="shared" ref="P13:P15" si="2">SUM(D13:O13)</f>
        <v>635236</v>
      </c>
    </row>
    <row r="14" spans="3:16" ht="30" customHeight="1" x14ac:dyDescent="0.25">
      <c r="C14" s="40" t="str">
        <f t="shared" si="1"/>
        <v>Lucro Bruto</v>
      </c>
      <c r="D14" s="55">
        <f>'Lançamentos (2)'!D69</f>
        <v>46083</v>
      </c>
      <c r="E14" s="55">
        <f>'Lançamentos (2)'!E69</f>
        <v>38696</v>
      </c>
      <c r="F14" s="55">
        <f>'Lançamentos (2)'!F69</f>
        <v>34129</v>
      </c>
      <c r="G14" s="55">
        <f>'Lançamentos (2)'!G69</f>
        <v>48661</v>
      </c>
      <c r="H14" s="55">
        <f>'Lançamentos (2)'!H69</f>
        <v>22082</v>
      </c>
      <c r="I14" s="55">
        <f>'Lançamentos (2)'!I69</f>
        <v>44583</v>
      </c>
      <c r="J14" s="55">
        <f>'Lançamentos (2)'!J69</f>
        <v>25522</v>
      </c>
      <c r="K14" s="55">
        <f>'Lançamentos (2)'!K69</f>
        <v>32537</v>
      </c>
      <c r="L14" s="55">
        <f>'Lançamentos (2)'!L69</f>
        <v>38928</v>
      </c>
      <c r="M14" s="55">
        <f>'Lançamentos (2)'!M69</f>
        <v>30295</v>
      </c>
      <c r="N14" s="55">
        <f>'Lançamentos (2)'!N69</f>
        <v>47988</v>
      </c>
      <c r="O14" s="107">
        <f>'Lançamentos (2)'!O69</f>
        <v>48408</v>
      </c>
      <c r="P14" s="128">
        <f t="shared" si="2"/>
        <v>457912</v>
      </c>
    </row>
    <row r="15" spans="3:16" ht="30" customHeight="1" x14ac:dyDescent="0.25">
      <c r="C15" s="40" t="str">
        <f t="shared" si="1"/>
        <v>Lucro Operacional</v>
      </c>
      <c r="D15" s="104">
        <f>'Lançamentos (2)'!D91</f>
        <v>35866</v>
      </c>
      <c r="E15" s="104">
        <f>'Lançamentos (2)'!E91</f>
        <v>25835</v>
      </c>
      <c r="F15" s="104">
        <f>'Lançamentos (2)'!F91</f>
        <v>24417</v>
      </c>
      <c r="G15" s="104">
        <f>'Lançamentos (2)'!G91</f>
        <v>41007</v>
      </c>
      <c r="H15" s="104">
        <f>'Lançamentos (2)'!H91</f>
        <v>11138</v>
      </c>
      <c r="I15" s="104">
        <f>'Lançamentos (2)'!I91</f>
        <v>37378</v>
      </c>
      <c r="J15" s="104">
        <f>'Lançamentos (2)'!J91</f>
        <v>15841</v>
      </c>
      <c r="K15" s="104">
        <f>'Lançamentos (2)'!K91</f>
        <v>21949</v>
      </c>
      <c r="L15" s="104">
        <f>'Lançamentos (2)'!L91</f>
        <v>29050</v>
      </c>
      <c r="M15" s="104">
        <f>'Lançamentos (2)'!M91</f>
        <v>19110</v>
      </c>
      <c r="N15" s="104">
        <f>'Lançamentos (2)'!N91</f>
        <v>35960</v>
      </c>
      <c r="O15" s="104">
        <f>'Lançamentos (2)'!O91</f>
        <v>38162</v>
      </c>
      <c r="P15" s="134">
        <f t="shared" si="2"/>
        <v>335713</v>
      </c>
    </row>
    <row r="16" spans="3:16" ht="30" customHeight="1" x14ac:dyDescent="0.25">
      <c r="C16" s="135" t="str">
        <f>C9</f>
        <v>Lucro ou Prejuízo Líquido</v>
      </c>
      <c r="D16" s="131">
        <f>'Lançamentos (2)'!D113</f>
        <v>23963</v>
      </c>
      <c r="E16" s="131">
        <f>'Lançamentos (2)'!E113</f>
        <v>14154</v>
      </c>
      <c r="F16" s="131">
        <f>'Lançamentos (2)'!F113</f>
        <v>11546</v>
      </c>
      <c r="G16" s="131">
        <f>'Lançamentos (2)'!G113</f>
        <v>28428</v>
      </c>
      <c r="H16" s="131">
        <f>'Lançamentos (2)'!H113</f>
        <v>-837</v>
      </c>
      <c r="I16" s="131">
        <f>'Lançamentos (2)'!I113</f>
        <v>24359</v>
      </c>
      <c r="J16" s="131">
        <f>'Lançamentos (2)'!J113</f>
        <v>2716</v>
      </c>
      <c r="K16" s="131">
        <f>'Lançamentos (2)'!K113</f>
        <v>10107</v>
      </c>
      <c r="L16" s="131">
        <f>'Lançamentos (2)'!L113</f>
        <v>18426</v>
      </c>
      <c r="M16" s="131">
        <f>'Lançamentos (2)'!M113</f>
        <v>7977</v>
      </c>
      <c r="N16" s="131">
        <f>'Lançamentos (2)'!N113</f>
        <v>25066</v>
      </c>
      <c r="O16" s="131">
        <f>'Lançamentos (2)'!O113</f>
        <v>27420</v>
      </c>
      <c r="P16" s="132">
        <f>SUM(D16:O16)</f>
        <v>193325</v>
      </c>
    </row>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6">
    <tabColor rgb="FFFFC000"/>
  </sheetPr>
  <dimension ref="C1:P43"/>
  <sheetViews>
    <sheetView showGridLines="0" showRowColHeaders="0" workbookViewId="0">
      <pane ySplit="4" topLeftCell="A5" activePane="bottomLeft" state="frozen"/>
      <selection activeCell="R7" sqref="R7"/>
      <selection pane="bottomLeft" activeCell="V31" sqref="V31"/>
    </sheetView>
  </sheetViews>
  <sheetFormatPr defaultRowHeight="35.1" customHeight="1" x14ac:dyDescent="0.25"/>
  <cols>
    <col min="1" max="2" width="1.7109375" style="19" customWidth="1"/>
    <col min="3" max="3" width="25.7109375" style="19" customWidth="1"/>
    <col min="4" max="16" width="12.140625" style="19" customWidth="1"/>
    <col min="17" max="16384" width="9.140625" style="19"/>
  </cols>
  <sheetData>
    <row r="1" spans="3:16" s="1" customFormat="1" ht="35.1" customHeight="1" x14ac:dyDescent="0.25"/>
    <row r="2" spans="3:16" s="3" customFormat="1" ht="30" customHeight="1" x14ac:dyDescent="0.25"/>
    <row r="3" spans="3:16" ht="30" customHeight="1" thickBot="1" x14ac:dyDescent="0.3">
      <c r="C3" s="89"/>
    </row>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30" customHeight="1" x14ac:dyDescent="0.25">
      <c r="C5" s="40" t="s">
        <v>45</v>
      </c>
      <c r="D5" s="55">
        <f>Metas!D5</f>
        <v>5500</v>
      </c>
      <c r="E5" s="55">
        <f>Metas!E5</f>
        <v>6500</v>
      </c>
      <c r="F5" s="55">
        <f>Metas!F5</f>
        <v>7000</v>
      </c>
      <c r="G5" s="55">
        <f>Metas!G5</f>
        <v>0</v>
      </c>
      <c r="H5" s="55">
        <f>Metas!H5</f>
        <v>0</v>
      </c>
      <c r="I5" s="55">
        <f>Metas!I5</f>
        <v>0</v>
      </c>
      <c r="J5" s="55">
        <f>Metas!J5</f>
        <v>0</v>
      </c>
      <c r="K5" s="55">
        <f>Metas!K5</f>
        <v>0</v>
      </c>
      <c r="L5" s="55">
        <f>Metas!L5</f>
        <v>0</v>
      </c>
      <c r="M5" s="55">
        <f>Metas!M5</f>
        <v>0</v>
      </c>
      <c r="N5" s="55">
        <f>Metas!N5</f>
        <v>0</v>
      </c>
      <c r="O5" s="55">
        <f>Metas!O5</f>
        <v>0</v>
      </c>
      <c r="P5" s="133">
        <f>SUM(D5:O5)</f>
        <v>19000</v>
      </c>
    </row>
    <row r="6" spans="3:16" ht="30" customHeight="1" x14ac:dyDescent="0.25">
      <c r="C6" s="40" t="s">
        <v>58</v>
      </c>
      <c r="D6" s="55">
        <f>Lançamentos!D113</f>
        <v>10355</v>
      </c>
      <c r="E6" s="55">
        <f>Lançamentos!E113</f>
        <v>20203</v>
      </c>
      <c r="F6" s="55">
        <f>Lançamentos!F113</f>
        <v>45098</v>
      </c>
      <c r="G6" s="55">
        <f>Lançamentos!G113</f>
        <v>29101</v>
      </c>
      <c r="H6" s="55">
        <f>Lançamentos!H113</f>
        <v>10349</v>
      </c>
      <c r="I6" s="55">
        <f>Lançamentos!I113</f>
        <v>16574</v>
      </c>
      <c r="J6" s="55">
        <f>Lançamentos!J113</f>
        <v>30746</v>
      </c>
      <c r="K6" s="55">
        <f>Lançamentos!K113</f>
        <v>24656</v>
      </c>
      <c r="L6" s="55">
        <f>Lançamentos!L113</f>
        <v>5301</v>
      </c>
      <c r="M6" s="55">
        <f>Lançamentos!M113</f>
        <v>20878</v>
      </c>
      <c r="N6" s="55">
        <f>Lançamentos!N113</f>
        <v>11854</v>
      </c>
      <c r="O6" s="55">
        <f>Lançamentos!O113</f>
        <v>29588</v>
      </c>
      <c r="P6" s="128">
        <f>SUM(D6:O6)</f>
        <v>254703</v>
      </c>
    </row>
    <row r="7" spans="3:16" ht="30" customHeight="1" x14ac:dyDescent="0.25">
      <c r="C7" s="112" t="s">
        <v>59</v>
      </c>
      <c r="D7" s="101">
        <f>IFERROR(D6-D5,0)</f>
        <v>4855</v>
      </c>
      <c r="E7" s="101">
        <f t="shared" ref="E7:O7" si="0">IFERROR(E6-E5,0)</f>
        <v>13703</v>
      </c>
      <c r="F7" s="101">
        <f t="shared" si="0"/>
        <v>38098</v>
      </c>
      <c r="G7" s="101">
        <f t="shared" si="0"/>
        <v>29101</v>
      </c>
      <c r="H7" s="101">
        <f t="shared" si="0"/>
        <v>10349</v>
      </c>
      <c r="I7" s="101">
        <f t="shared" si="0"/>
        <v>16574</v>
      </c>
      <c r="J7" s="101">
        <f t="shared" si="0"/>
        <v>30746</v>
      </c>
      <c r="K7" s="101">
        <f t="shared" si="0"/>
        <v>24656</v>
      </c>
      <c r="L7" s="101">
        <f t="shared" si="0"/>
        <v>5301</v>
      </c>
      <c r="M7" s="101">
        <f t="shared" si="0"/>
        <v>20878</v>
      </c>
      <c r="N7" s="101">
        <f t="shared" si="0"/>
        <v>11854</v>
      </c>
      <c r="O7" s="101">
        <f t="shared" si="0"/>
        <v>29588</v>
      </c>
      <c r="P7" s="128">
        <f>IFERROR(P6-P5,0)</f>
        <v>235703</v>
      </c>
    </row>
    <row r="8" spans="3:16" ht="30" customHeight="1" x14ac:dyDescent="0.25">
      <c r="C8" s="40" t="str">
        <f>Metas!C6</f>
        <v>Meta de Contas a Pagar</v>
      </c>
      <c r="D8" s="55">
        <f>Metas!D6</f>
        <v>0</v>
      </c>
      <c r="E8" s="55">
        <f>Metas!E8</f>
        <v>0</v>
      </c>
      <c r="F8" s="55">
        <f>Metas!F8</f>
        <v>0</v>
      </c>
      <c r="G8" s="55">
        <f>Metas!G8</f>
        <v>0</v>
      </c>
      <c r="H8" s="55">
        <f>Metas!H8</f>
        <v>0</v>
      </c>
      <c r="I8" s="55">
        <f>Metas!I8</f>
        <v>0</v>
      </c>
      <c r="J8" s="55">
        <f>Metas!J8</f>
        <v>0</v>
      </c>
      <c r="K8" s="55">
        <f>Metas!K8</f>
        <v>0</v>
      </c>
      <c r="L8" s="55">
        <f>Metas!L8</f>
        <v>0</v>
      </c>
      <c r="M8" s="55">
        <f>Metas!M8</f>
        <v>0</v>
      </c>
      <c r="N8" s="55">
        <f>Metas!N8</f>
        <v>0</v>
      </c>
      <c r="O8" s="55">
        <f>Metas!O8</f>
        <v>0</v>
      </c>
      <c r="P8" s="128">
        <f>SUM(D8:O8)</f>
        <v>0</v>
      </c>
    </row>
    <row r="9" spans="3:16" ht="30" customHeight="1" x14ac:dyDescent="0.25">
      <c r="C9" s="40" t="s">
        <v>60</v>
      </c>
      <c r="D9" s="55">
        <f>Lançamentos!D121</f>
        <v>7800</v>
      </c>
      <c r="E9" s="55">
        <f>Lançamentos!E121</f>
        <v>6700</v>
      </c>
      <c r="F9" s="55">
        <f>Lançamentos!F121</f>
        <v>8400</v>
      </c>
      <c r="G9" s="55">
        <f>Lançamentos!G121</f>
        <v>0</v>
      </c>
      <c r="H9" s="55">
        <f>Lançamentos!H121</f>
        <v>0</v>
      </c>
      <c r="I9" s="55">
        <f>Lançamentos!I121</f>
        <v>0</v>
      </c>
      <c r="J9" s="55">
        <f>Lançamentos!J121</f>
        <v>0</v>
      </c>
      <c r="K9" s="55">
        <f>Lançamentos!K121</f>
        <v>0</v>
      </c>
      <c r="L9" s="55">
        <f>Lançamentos!L121</f>
        <v>0</v>
      </c>
      <c r="M9" s="55">
        <f>Lançamentos!M121</f>
        <v>0</v>
      </c>
      <c r="N9" s="55">
        <f>Lançamentos!N121</f>
        <v>0</v>
      </c>
      <c r="O9" s="55">
        <f>Lançamentos!O121</f>
        <v>0</v>
      </c>
      <c r="P9" s="128">
        <f>SUM(D9:O9)</f>
        <v>22900</v>
      </c>
    </row>
    <row r="10" spans="3:16" ht="30" customHeight="1" x14ac:dyDescent="0.25">
      <c r="C10" s="108" t="s">
        <v>59</v>
      </c>
      <c r="D10" s="101">
        <f>IFERROR(D9-D8,0)</f>
        <v>7800</v>
      </c>
      <c r="E10" s="101">
        <f t="shared" ref="E10" si="1">IFERROR(E9-E8,0)</f>
        <v>6700</v>
      </c>
      <c r="F10" s="101">
        <f t="shared" ref="F10" si="2">IFERROR(F9-F8,0)</f>
        <v>8400</v>
      </c>
      <c r="G10" s="101">
        <f t="shared" ref="G10" si="3">IFERROR(G9-G8,0)</f>
        <v>0</v>
      </c>
      <c r="H10" s="101">
        <f t="shared" ref="H10" si="4">IFERROR(H9-H8,0)</f>
        <v>0</v>
      </c>
      <c r="I10" s="101">
        <f t="shared" ref="I10" si="5">IFERROR(I9-I8,0)</f>
        <v>0</v>
      </c>
      <c r="J10" s="101">
        <f t="shared" ref="J10" si="6">IFERROR(J9-J8,0)</f>
        <v>0</v>
      </c>
      <c r="K10" s="101">
        <f t="shared" ref="K10" si="7">IFERROR(K9-K8,0)</f>
        <v>0</v>
      </c>
      <c r="L10" s="101">
        <f t="shared" ref="L10" si="8">IFERROR(L9-L8,0)</f>
        <v>0</v>
      </c>
      <c r="M10" s="101">
        <f t="shared" ref="M10" si="9">IFERROR(M9-M8,0)</f>
        <v>0</v>
      </c>
      <c r="N10" s="101">
        <f t="shared" ref="N10" si="10">IFERROR(N9-N8,0)</f>
        <v>0</v>
      </c>
      <c r="O10" s="111">
        <f t="shared" ref="O10" si="11">IFERROR(O9-O8,0)</f>
        <v>0</v>
      </c>
      <c r="P10" s="128">
        <f>IFERROR(P9-P8,0)</f>
        <v>22900</v>
      </c>
    </row>
    <row r="11" spans="3:16" ht="30" customHeight="1" x14ac:dyDescent="0.25">
      <c r="C11" s="40" t="str">
        <f>Metas!C7</f>
        <v>Meta de Contas a Receber</v>
      </c>
      <c r="D11" s="55">
        <f>Metas!D6</f>
        <v>0</v>
      </c>
      <c r="E11" s="55">
        <f>Metas!E6</f>
        <v>0</v>
      </c>
      <c r="F11" s="55">
        <f>Metas!F6</f>
        <v>0</v>
      </c>
      <c r="G11" s="55">
        <f>Metas!G6</f>
        <v>0</v>
      </c>
      <c r="H11" s="55">
        <f>Metas!H6</f>
        <v>0</v>
      </c>
      <c r="I11" s="55">
        <f>Metas!I6</f>
        <v>0</v>
      </c>
      <c r="J11" s="55">
        <f>Metas!J6</f>
        <v>0</v>
      </c>
      <c r="K11" s="55">
        <f>Metas!K6</f>
        <v>0</v>
      </c>
      <c r="L11" s="55">
        <f>Metas!L6</f>
        <v>0</v>
      </c>
      <c r="M11" s="55">
        <f>Metas!M6</f>
        <v>0</v>
      </c>
      <c r="N11" s="55">
        <f>Metas!N6</f>
        <v>0</v>
      </c>
      <c r="O11" s="55">
        <f>Metas!O6</f>
        <v>0</v>
      </c>
      <c r="P11" s="128">
        <f>SUM(D11:O11)</f>
        <v>0</v>
      </c>
    </row>
    <row r="12" spans="3:16" ht="30" customHeight="1" x14ac:dyDescent="0.25">
      <c r="C12" s="40" t="str">
        <f>Lançamentos!C122</f>
        <v>Contas a Receber</v>
      </c>
      <c r="D12" s="55">
        <f>Lançamentos!D122</f>
        <v>8000</v>
      </c>
      <c r="E12" s="55">
        <f>Lançamentos!E122</f>
        <v>8400</v>
      </c>
      <c r="F12" s="55">
        <f>Lançamentos!F122</f>
        <v>9100</v>
      </c>
      <c r="G12" s="55">
        <f>Lançamentos!G122</f>
        <v>0</v>
      </c>
      <c r="H12" s="55">
        <f>Lançamentos!H122</f>
        <v>0</v>
      </c>
      <c r="I12" s="55">
        <f>Lançamentos!I122</f>
        <v>0</v>
      </c>
      <c r="J12" s="55">
        <f>Lançamentos!J122</f>
        <v>0</v>
      </c>
      <c r="K12" s="55">
        <f>Lançamentos!K122</f>
        <v>0</v>
      </c>
      <c r="L12" s="55">
        <f>Lançamentos!L122</f>
        <v>0</v>
      </c>
      <c r="M12" s="55">
        <f>Lançamentos!M122</f>
        <v>0</v>
      </c>
      <c r="N12" s="55">
        <f>Lançamentos!N122</f>
        <v>0</v>
      </c>
      <c r="O12" s="55">
        <f>Lançamentos!O122</f>
        <v>0</v>
      </c>
      <c r="P12" s="128">
        <f>SUM(D12:O12)</f>
        <v>25500</v>
      </c>
    </row>
    <row r="13" spans="3:16" ht="30" customHeight="1" x14ac:dyDescent="0.25">
      <c r="C13" s="108" t="s">
        <v>59</v>
      </c>
      <c r="D13" s="101">
        <f>IFERROR(D12-D11,0)</f>
        <v>8000</v>
      </c>
      <c r="E13" s="101">
        <f t="shared" ref="E13" si="12">IFERROR(E12-E11,0)</f>
        <v>8400</v>
      </c>
      <c r="F13" s="101">
        <f t="shared" ref="F13" si="13">IFERROR(F12-F11,0)</f>
        <v>9100</v>
      </c>
      <c r="G13" s="101">
        <f t="shared" ref="G13" si="14">IFERROR(G12-G11,0)</f>
        <v>0</v>
      </c>
      <c r="H13" s="101">
        <f t="shared" ref="H13" si="15">IFERROR(H12-H11,0)</f>
        <v>0</v>
      </c>
      <c r="I13" s="101">
        <f t="shared" ref="I13" si="16">IFERROR(I12-I11,0)</f>
        <v>0</v>
      </c>
      <c r="J13" s="101">
        <f t="shared" ref="J13" si="17">IFERROR(J12-J11,0)</f>
        <v>0</v>
      </c>
      <c r="K13" s="101">
        <f t="shared" ref="K13" si="18">IFERROR(K12-K11,0)</f>
        <v>0</v>
      </c>
      <c r="L13" s="101">
        <f t="shared" ref="L13" si="19">IFERROR(L12-L11,0)</f>
        <v>0</v>
      </c>
      <c r="M13" s="101">
        <f t="shared" ref="M13" si="20">IFERROR(M12-M11,0)</f>
        <v>0</v>
      </c>
      <c r="N13" s="101">
        <f t="shared" ref="N13" si="21">IFERROR(N12-N11,0)</f>
        <v>0</v>
      </c>
      <c r="O13" s="111">
        <f t="shared" ref="O13" si="22">IFERROR(O12-O11,0)</f>
        <v>0</v>
      </c>
      <c r="P13" s="128">
        <f>IFERROR(P12-P11,0)</f>
        <v>25500</v>
      </c>
    </row>
    <row r="14" spans="3:16" ht="30" customHeight="1" x14ac:dyDescent="0.25">
      <c r="C14" s="40" t="str">
        <f>Metas!C10</f>
        <v>Meta de Margem Bruta</v>
      </c>
      <c r="D14" s="56">
        <f>Metas!D10</f>
        <v>0.7</v>
      </c>
      <c r="E14" s="56">
        <f>Metas!E10</f>
        <v>0.7</v>
      </c>
      <c r="F14" s="56">
        <f>Metas!F10</f>
        <v>0.7</v>
      </c>
      <c r="G14" s="56">
        <f>Metas!G10</f>
        <v>0</v>
      </c>
      <c r="H14" s="56">
        <f>Metas!H10</f>
        <v>0</v>
      </c>
      <c r="I14" s="56">
        <f>Metas!I10</f>
        <v>0</v>
      </c>
      <c r="J14" s="56">
        <f>Metas!J10</f>
        <v>0</v>
      </c>
      <c r="K14" s="56">
        <f>Metas!K10</f>
        <v>0</v>
      </c>
      <c r="L14" s="56">
        <f>Metas!L10</f>
        <v>0</v>
      </c>
      <c r="M14" s="56">
        <f>Metas!M10</f>
        <v>0</v>
      </c>
      <c r="N14" s="56">
        <f>Metas!N10</f>
        <v>0</v>
      </c>
      <c r="O14" s="56">
        <f>Metas!O10</f>
        <v>0</v>
      </c>
      <c r="P14" s="145">
        <f>SUM(D14:O14)</f>
        <v>2.0999999999999996</v>
      </c>
    </row>
    <row r="15" spans="3:16" ht="30" customHeight="1" x14ac:dyDescent="0.25">
      <c r="C15" s="40" t="s">
        <v>61</v>
      </c>
      <c r="D15" s="56">
        <f>Lançamentos!D116</f>
        <v>0.44739660815233562</v>
      </c>
      <c r="E15" s="56">
        <f>Lançamentos!E116</f>
        <v>0.49895682875942865</v>
      </c>
      <c r="F15" s="56">
        <f>Lançamentos!F116</f>
        <v>0.65776747198111529</v>
      </c>
      <c r="G15" s="56">
        <f>Lançamentos!G116</f>
        <v>0.56861282998708984</v>
      </c>
      <c r="H15" s="56">
        <f>Lançamentos!H116</f>
        <v>0.41694222652364438</v>
      </c>
      <c r="I15" s="56">
        <f>Lançamentos!I116</f>
        <v>0.51320838597969021</v>
      </c>
      <c r="J15" s="56">
        <f>Lançamentos!J116</f>
        <v>0.553006329113924</v>
      </c>
      <c r="K15" s="56">
        <f>Lançamentos!K116</f>
        <v>0.55521519712629741</v>
      </c>
      <c r="L15" s="56">
        <f>Lançamentos!L116</f>
        <v>0.41916647250698974</v>
      </c>
      <c r="M15" s="56">
        <f>Lançamentos!M116</f>
        <v>0.54120730490399993</v>
      </c>
      <c r="N15" s="56">
        <f>Lançamentos!N116</f>
        <v>0.43268139126844873</v>
      </c>
      <c r="O15" s="56">
        <f>Lançamentos!O116</f>
        <v>0.57113179518128221</v>
      </c>
      <c r="P15" s="145">
        <f>SUM(D15:O15)</f>
        <v>6.1752928414842456</v>
      </c>
    </row>
    <row r="16" spans="3:16" ht="30" customHeight="1" x14ac:dyDescent="0.25">
      <c r="C16" s="108" t="s">
        <v>59</v>
      </c>
      <c r="D16" s="109">
        <f>IFERROR(D15-D14,0)</f>
        <v>-0.25260339184766434</v>
      </c>
      <c r="E16" s="109">
        <f t="shared" ref="E16" si="23">IFERROR(E15-E14,0)</f>
        <v>-0.20104317124057131</v>
      </c>
      <c r="F16" s="109">
        <f t="shared" ref="F16" si="24">IFERROR(F15-F14,0)</f>
        <v>-4.2232528018884663E-2</v>
      </c>
      <c r="G16" s="109">
        <f t="shared" ref="G16" si="25">IFERROR(G15-G14,0)</f>
        <v>0.56861282998708984</v>
      </c>
      <c r="H16" s="109">
        <f t="shared" ref="H16" si="26">IFERROR(H15-H14,0)</f>
        <v>0.41694222652364438</v>
      </c>
      <c r="I16" s="109">
        <f t="shared" ref="I16" si="27">IFERROR(I15-I14,0)</f>
        <v>0.51320838597969021</v>
      </c>
      <c r="J16" s="109">
        <f t="shared" ref="J16" si="28">IFERROR(J15-J14,0)</f>
        <v>0.553006329113924</v>
      </c>
      <c r="K16" s="109">
        <f t="shared" ref="K16" si="29">IFERROR(K15-K14,0)</f>
        <v>0.55521519712629741</v>
      </c>
      <c r="L16" s="109">
        <f t="shared" ref="L16" si="30">IFERROR(L15-L14,0)</f>
        <v>0.41916647250698974</v>
      </c>
      <c r="M16" s="109">
        <f t="shared" ref="M16" si="31">IFERROR(M15-M14,0)</f>
        <v>0.54120730490399993</v>
      </c>
      <c r="N16" s="109">
        <f t="shared" ref="N16" si="32">IFERROR(N15-N14,0)</f>
        <v>0.43268139126844873</v>
      </c>
      <c r="O16" s="110">
        <f t="shared" ref="O16" si="33">IFERROR(O15-O14,0)</f>
        <v>0.57113179518128221</v>
      </c>
      <c r="P16" s="145">
        <f>IFERROR(P15-P14,0)</f>
        <v>4.075292841484246</v>
      </c>
    </row>
    <row r="17" spans="3:16" ht="30" customHeight="1" x14ac:dyDescent="0.25">
      <c r="C17" s="61" t="str">
        <f>Metas!C11</f>
        <v>Meta de Margem Operacional</v>
      </c>
      <c r="D17" s="56">
        <f>Metas!D11</f>
        <v>0.5</v>
      </c>
      <c r="E17" s="56">
        <f>Metas!E11</f>
        <v>0.5</v>
      </c>
      <c r="F17" s="56">
        <f>Metas!F11</f>
        <v>0.5</v>
      </c>
      <c r="G17" s="56">
        <f>Metas!G11</f>
        <v>0</v>
      </c>
      <c r="H17" s="56">
        <f>Metas!H11</f>
        <v>0</v>
      </c>
      <c r="I17" s="56">
        <f>Metas!I11</f>
        <v>0</v>
      </c>
      <c r="J17" s="56">
        <f>Metas!J11</f>
        <v>0</v>
      </c>
      <c r="K17" s="56">
        <f>Metas!K11</f>
        <v>0</v>
      </c>
      <c r="L17" s="56">
        <f>Metas!L11</f>
        <v>0</v>
      </c>
      <c r="M17" s="56">
        <f>Metas!M11</f>
        <v>0</v>
      </c>
      <c r="N17" s="56">
        <f>Metas!N11</f>
        <v>0</v>
      </c>
      <c r="O17" s="56">
        <f>Metas!O11</f>
        <v>0</v>
      </c>
      <c r="P17" s="145">
        <f>SUM(D17:O17)</f>
        <v>1.5</v>
      </c>
    </row>
    <row r="18" spans="3:16" ht="30" customHeight="1" x14ac:dyDescent="0.25">
      <c r="C18" s="40" t="s">
        <v>62</v>
      </c>
      <c r="D18" s="56">
        <f>Lançamentos!D117</f>
        <v>0.31828324903302591</v>
      </c>
      <c r="E18" s="56">
        <f>Lançamentos!E117</f>
        <v>0.39265212399540755</v>
      </c>
      <c r="F18" s="56">
        <f>Lançamentos!F117</f>
        <v>0.58539362224380864</v>
      </c>
      <c r="G18" s="56">
        <f>Lançamentos!G117</f>
        <v>0.46172594933891287</v>
      </c>
      <c r="H18" s="56">
        <f>Lançamentos!H117</f>
        <v>0.29718794526440306</v>
      </c>
      <c r="I18" s="56">
        <f>Lançamentos!I117</f>
        <v>0.34390940146941834</v>
      </c>
      <c r="J18" s="56">
        <f>Lançamentos!J117</f>
        <v>0.45516516386336048</v>
      </c>
      <c r="K18" s="56">
        <f>Lançamentos!K117</f>
        <v>0.3988253961257906</v>
      </c>
      <c r="L18" s="56">
        <f>Lançamentos!L117</f>
        <v>0.2578489049394222</v>
      </c>
      <c r="M18" s="56">
        <f>Lançamentos!M117</f>
        <v>0.40264736645947796</v>
      </c>
      <c r="N18" s="56">
        <f>Lançamentos!N117</f>
        <v>0.31143564867375373</v>
      </c>
      <c r="O18" s="56">
        <f>Lançamentos!O117</f>
        <v>0.48003806694211038</v>
      </c>
      <c r="P18" s="145">
        <f>SUM(D18:O18)</f>
        <v>4.7051128383488914</v>
      </c>
    </row>
    <row r="19" spans="3:16" ht="30" customHeight="1" x14ac:dyDescent="0.25">
      <c r="C19" s="108" t="s">
        <v>59</v>
      </c>
      <c r="D19" s="109">
        <f>IFERROR(D18-D17,0)</f>
        <v>-0.18171675096697409</v>
      </c>
      <c r="E19" s="109">
        <f t="shared" ref="E19" si="34">IFERROR(E18-E17,0)</f>
        <v>-0.10734787600459245</v>
      </c>
      <c r="F19" s="109">
        <f t="shared" ref="F19" si="35">IFERROR(F18-F17,0)</f>
        <v>8.5393622243808642E-2</v>
      </c>
      <c r="G19" s="109">
        <f t="shared" ref="G19" si="36">IFERROR(G18-G17,0)</f>
        <v>0.46172594933891287</v>
      </c>
      <c r="H19" s="109">
        <f t="shared" ref="H19" si="37">IFERROR(H18-H17,0)</f>
        <v>0.29718794526440306</v>
      </c>
      <c r="I19" s="109">
        <f t="shared" ref="I19" si="38">IFERROR(I18-I17,0)</f>
        <v>0.34390940146941834</v>
      </c>
      <c r="J19" s="109">
        <f t="shared" ref="J19" si="39">IFERROR(J18-J17,0)</f>
        <v>0.45516516386336048</v>
      </c>
      <c r="K19" s="109">
        <f t="shared" ref="K19" si="40">IFERROR(K18-K17,0)</f>
        <v>0.3988253961257906</v>
      </c>
      <c r="L19" s="109">
        <f t="shared" ref="L19" si="41">IFERROR(L18-L17,0)</f>
        <v>0.2578489049394222</v>
      </c>
      <c r="M19" s="109">
        <f t="shared" ref="M19" si="42">IFERROR(M18-M17,0)</f>
        <v>0.40264736645947796</v>
      </c>
      <c r="N19" s="109">
        <f t="shared" ref="N19" si="43">IFERROR(N18-N17,0)</f>
        <v>0.31143564867375373</v>
      </c>
      <c r="O19" s="110">
        <f t="shared" ref="O19" si="44">IFERROR(O18-O17,0)</f>
        <v>0.48003806694211038</v>
      </c>
      <c r="P19" s="145">
        <f>IFERROR(P18-P17,0)</f>
        <v>3.2051128383488914</v>
      </c>
    </row>
    <row r="20" spans="3:16" ht="30" customHeight="1" x14ac:dyDescent="0.25">
      <c r="C20" s="40" t="str">
        <f>Metas!C12</f>
        <v>Meta de Margem Líquida</v>
      </c>
      <c r="D20" s="56">
        <f>Metas!D12</f>
        <v>0.3</v>
      </c>
      <c r="E20" s="56">
        <f>Metas!E12</f>
        <v>0.3</v>
      </c>
      <c r="F20" s="56">
        <f>Metas!F12</f>
        <v>0.3</v>
      </c>
      <c r="G20" s="56">
        <f>Metas!G12</f>
        <v>0</v>
      </c>
      <c r="H20" s="56">
        <f>Metas!H12</f>
        <v>0</v>
      </c>
      <c r="I20" s="56">
        <f>Metas!I12</f>
        <v>0</v>
      </c>
      <c r="J20" s="56">
        <f>Metas!J12</f>
        <v>0</v>
      </c>
      <c r="K20" s="56">
        <f>Metas!K12</f>
        <v>0</v>
      </c>
      <c r="L20" s="56">
        <f>Metas!L12</f>
        <v>0</v>
      </c>
      <c r="M20" s="56">
        <f>Metas!M12</f>
        <v>0</v>
      </c>
      <c r="N20" s="56">
        <f>Metas!N12</f>
        <v>0</v>
      </c>
      <c r="O20" s="56">
        <f>Metas!O12</f>
        <v>0</v>
      </c>
      <c r="P20" s="145">
        <f>SUM(D20:O20)</f>
        <v>0.89999999999999991</v>
      </c>
    </row>
    <row r="21" spans="3:16" ht="30" customHeight="1" x14ac:dyDescent="0.25">
      <c r="C21" s="40" t="s">
        <v>63</v>
      </c>
      <c r="D21" s="56">
        <f>Lançamentos!D118</f>
        <v>0.15404641475751266</v>
      </c>
      <c r="E21" s="56">
        <f>Lançamentos!E118</f>
        <v>0.24941051565991382</v>
      </c>
      <c r="F21" s="56">
        <f>Lançamentos!F118</f>
        <v>0.47105150461149586</v>
      </c>
      <c r="G21" s="56">
        <f>Lançamentos!G118</f>
        <v>0.32387704224725106</v>
      </c>
      <c r="H21" s="56">
        <f>Lançamentos!H118</f>
        <v>0.13911068096889534</v>
      </c>
      <c r="I21" s="56">
        <f>Lançamentos!I118</f>
        <v>0.19390238195516871</v>
      </c>
      <c r="J21" s="56">
        <f>Lançamentos!J118</f>
        <v>0.33321050806311775</v>
      </c>
      <c r="K21" s="56">
        <f>Lançamentos!K118</f>
        <v>0.27167948520175417</v>
      </c>
      <c r="L21" s="56">
        <f>Lançamentos!L118</f>
        <v>7.719303355079217E-2</v>
      </c>
      <c r="M21" s="56">
        <f>Lançamentos!M118</f>
        <v>0.25100688892362072</v>
      </c>
      <c r="N21" s="56">
        <f>Lançamentos!N118</f>
        <v>0.15293115904634122</v>
      </c>
      <c r="O21" s="56">
        <f>Lançamentos!O118</f>
        <v>0.34339167169583584</v>
      </c>
      <c r="P21" s="145">
        <f>SUM(D21:O21)</f>
        <v>2.9608112866816994</v>
      </c>
    </row>
    <row r="22" spans="3:16" ht="30" customHeight="1" x14ac:dyDescent="0.25">
      <c r="C22" s="108" t="s">
        <v>59</v>
      </c>
      <c r="D22" s="109">
        <f>IFERROR(D21-D20,0)</f>
        <v>-0.14595358524248733</v>
      </c>
      <c r="E22" s="109">
        <f t="shared" ref="E22" si="45">IFERROR(E21-E20,0)</f>
        <v>-5.0589484340086172E-2</v>
      </c>
      <c r="F22" s="109">
        <f t="shared" ref="F22" si="46">IFERROR(F21-F20,0)</f>
        <v>0.17105150461149587</v>
      </c>
      <c r="G22" s="109">
        <f t="shared" ref="G22" si="47">IFERROR(G21-G20,0)</f>
        <v>0.32387704224725106</v>
      </c>
      <c r="H22" s="109">
        <f t="shared" ref="H22" si="48">IFERROR(H21-H20,0)</f>
        <v>0.13911068096889534</v>
      </c>
      <c r="I22" s="109">
        <f t="shared" ref="I22" si="49">IFERROR(I21-I20,0)</f>
        <v>0.19390238195516871</v>
      </c>
      <c r="J22" s="109">
        <f t="shared" ref="J22" si="50">IFERROR(J21-J20,0)</f>
        <v>0.33321050806311775</v>
      </c>
      <c r="K22" s="109">
        <f t="shared" ref="K22" si="51">IFERROR(K21-K20,0)</f>
        <v>0.27167948520175417</v>
      </c>
      <c r="L22" s="109">
        <f t="shared" ref="L22" si="52">IFERROR(L21-L20,0)</f>
        <v>7.719303355079217E-2</v>
      </c>
      <c r="M22" s="109">
        <f t="shared" ref="M22" si="53">IFERROR(M21-M20,0)</f>
        <v>0.25100688892362072</v>
      </c>
      <c r="N22" s="109">
        <f t="shared" ref="N22" si="54">IFERROR(N21-N20,0)</f>
        <v>0.15293115904634122</v>
      </c>
      <c r="O22" s="110">
        <f t="shared" ref="O22" si="55">IFERROR(O21-O20,0)</f>
        <v>0.34339167169583584</v>
      </c>
      <c r="P22" s="146">
        <f>IFERROR(P21-P20,0)</f>
        <v>2.0608112866816994</v>
      </c>
    </row>
    <row r="23" spans="3:16" ht="35.1" customHeight="1" thickBot="1" x14ac:dyDescent="0.3">
      <c r="C23" s="89"/>
    </row>
    <row r="24" spans="3:16" ht="21.95" customHeight="1" x14ac:dyDescent="0.25">
      <c r="C24" s="34" t="s">
        <v>32</v>
      </c>
      <c r="D24" s="35" t="s">
        <v>20</v>
      </c>
      <c r="E24" s="35" t="s">
        <v>21</v>
      </c>
      <c r="F24" s="35" t="s">
        <v>22</v>
      </c>
      <c r="G24" s="35" t="s">
        <v>23</v>
      </c>
      <c r="H24" s="35" t="s">
        <v>24</v>
      </c>
      <c r="I24" s="35" t="s">
        <v>25</v>
      </c>
      <c r="J24" s="35" t="s">
        <v>26</v>
      </c>
      <c r="K24" s="35" t="s">
        <v>27</v>
      </c>
      <c r="L24" s="35" t="s">
        <v>28</v>
      </c>
      <c r="M24" s="35" t="s">
        <v>29</v>
      </c>
      <c r="N24" s="35" t="s">
        <v>30</v>
      </c>
      <c r="O24" s="35" t="s">
        <v>31</v>
      </c>
      <c r="P24" s="35" t="s">
        <v>33</v>
      </c>
    </row>
    <row r="25" spans="3:16" ht="30" customHeight="1" x14ac:dyDescent="0.25">
      <c r="C25" s="40" t="str">
        <f>C5</f>
        <v>Meta de Lucro Líquido</v>
      </c>
      <c r="D25" s="55">
        <f>Metas2!D5</f>
        <v>6000</v>
      </c>
      <c r="E25" s="55">
        <f>Metas2!E5</f>
        <v>6500</v>
      </c>
      <c r="F25" s="55">
        <f>Metas2!F5</f>
        <v>7800</v>
      </c>
      <c r="G25" s="55">
        <f>Metas2!G5</f>
        <v>0</v>
      </c>
      <c r="H25" s="55">
        <f>Metas2!H5</f>
        <v>0</v>
      </c>
      <c r="I25" s="55">
        <f>Metas2!I5</f>
        <v>0</v>
      </c>
      <c r="J25" s="55">
        <f>Metas2!J5</f>
        <v>0</v>
      </c>
      <c r="K25" s="55">
        <f>Metas2!K5</f>
        <v>0</v>
      </c>
      <c r="L25" s="55">
        <f>Metas2!L5</f>
        <v>0</v>
      </c>
      <c r="M25" s="55">
        <f>Metas2!M5</f>
        <v>0</v>
      </c>
      <c r="N25" s="55">
        <f>Metas2!N5</f>
        <v>0</v>
      </c>
      <c r="O25" s="55">
        <f>Metas2!O5</f>
        <v>0</v>
      </c>
      <c r="P25" s="133">
        <f>SUM(D25:O25)</f>
        <v>20300</v>
      </c>
    </row>
    <row r="26" spans="3:16" ht="30" customHeight="1" x14ac:dyDescent="0.25">
      <c r="C26" s="40" t="str">
        <f t="shared" ref="C26:C42" si="56">C6</f>
        <v>Lucro Líquido Realizado</v>
      </c>
      <c r="D26" s="55">
        <f>'Lançamentos (2)'!D113</f>
        <v>23963</v>
      </c>
      <c r="E26" s="55">
        <f>'Lançamentos (2)'!E113</f>
        <v>14154</v>
      </c>
      <c r="F26" s="55">
        <f>'Lançamentos (2)'!F113</f>
        <v>11546</v>
      </c>
      <c r="G26" s="55">
        <f>'Lançamentos (2)'!G113</f>
        <v>28428</v>
      </c>
      <c r="H26" s="55">
        <f>'Lançamentos (2)'!H113</f>
        <v>-837</v>
      </c>
      <c r="I26" s="55">
        <f>'Lançamentos (2)'!I113</f>
        <v>24359</v>
      </c>
      <c r="J26" s="55">
        <f>'Lançamentos (2)'!J113</f>
        <v>2716</v>
      </c>
      <c r="K26" s="55">
        <f>'Lançamentos (2)'!K113</f>
        <v>10107</v>
      </c>
      <c r="L26" s="55">
        <f>'Lançamentos (2)'!L113</f>
        <v>18426</v>
      </c>
      <c r="M26" s="55">
        <f>'Lançamentos (2)'!M113</f>
        <v>7977</v>
      </c>
      <c r="N26" s="55">
        <f>'Lançamentos (2)'!N113</f>
        <v>25066</v>
      </c>
      <c r="O26" s="55">
        <f>'Lançamentos (2)'!O113</f>
        <v>27420</v>
      </c>
      <c r="P26" s="128">
        <f>SUM(D26:O26)</f>
        <v>193325</v>
      </c>
    </row>
    <row r="27" spans="3:16" ht="30" customHeight="1" x14ac:dyDescent="0.25">
      <c r="C27" s="112" t="str">
        <f t="shared" si="56"/>
        <v>Diferença</v>
      </c>
      <c r="D27" s="101">
        <f>IFERROR(D26-D25,0)</f>
        <v>17963</v>
      </c>
      <c r="E27" s="101">
        <f t="shared" ref="E27" si="57">IFERROR(E26-E25,0)</f>
        <v>7654</v>
      </c>
      <c r="F27" s="101">
        <f t="shared" ref="F27" si="58">IFERROR(F26-F25,0)</f>
        <v>3746</v>
      </c>
      <c r="G27" s="101">
        <f t="shared" ref="G27" si="59">IFERROR(G26-G25,0)</f>
        <v>28428</v>
      </c>
      <c r="H27" s="101">
        <f t="shared" ref="H27" si="60">IFERROR(H26-H25,0)</f>
        <v>-837</v>
      </c>
      <c r="I27" s="101">
        <f t="shared" ref="I27" si="61">IFERROR(I26-I25,0)</f>
        <v>24359</v>
      </c>
      <c r="J27" s="101">
        <f t="shared" ref="J27" si="62">IFERROR(J26-J25,0)</f>
        <v>2716</v>
      </c>
      <c r="K27" s="101">
        <f t="shared" ref="K27" si="63">IFERROR(K26-K25,0)</f>
        <v>10107</v>
      </c>
      <c r="L27" s="101">
        <f t="shared" ref="L27" si="64">IFERROR(L26-L25,0)</f>
        <v>18426</v>
      </c>
      <c r="M27" s="101">
        <f t="shared" ref="M27" si="65">IFERROR(M26-M25,0)</f>
        <v>7977</v>
      </c>
      <c r="N27" s="101">
        <f t="shared" ref="N27" si="66">IFERROR(N26-N25,0)</f>
        <v>25066</v>
      </c>
      <c r="O27" s="101">
        <f t="shared" ref="O27" si="67">IFERROR(O26-O25,0)</f>
        <v>27420</v>
      </c>
      <c r="P27" s="128">
        <f>IFERROR(P26-P25,0)</f>
        <v>173025</v>
      </c>
    </row>
    <row r="28" spans="3:16" ht="30" customHeight="1" x14ac:dyDescent="0.25">
      <c r="C28" s="40" t="str">
        <f t="shared" si="56"/>
        <v>Meta de Contas a Pagar</v>
      </c>
      <c r="D28" s="55">
        <f>Metas2!D6</f>
        <v>0</v>
      </c>
      <c r="E28" s="55">
        <f>Metas2!E6</f>
        <v>0</v>
      </c>
      <c r="F28" s="55">
        <f>Metas2!F6</f>
        <v>0</v>
      </c>
      <c r="G28" s="55">
        <f>Metas2!G6</f>
        <v>0</v>
      </c>
      <c r="H28" s="55">
        <f>Metas2!H6</f>
        <v>0</v>
      </c>
      <c r="I28" s="55">
        <f>Metas2!I6</f>
        <v>0</v>
      </c>
      <c r="J28" s="55">
        <f>Metas2!J6</f>
        <v>0</v>
      </c>
      <c r="K28" s="55">
        <f>Metas2!K6</f>
        <v>0</v>
      </c>
      <c r="L28" s="55">
        <f>Metas2!L6</f>
        <v>0</v>
      </c>
      <c r="M28" s="55">
        <f>Metas2!M6</f>
        <v>0</v>
      </c>
      <c r="N28" s="55">
        <f>Metas2!N6</f>
        <v>0</v>
      </c>
      <c r="O28" s="55">
        <f>Metas2!O6</f>
        <v>0</v>
      </c>
      <c r="P28" s="128">
        <f>SUM(D28:O28)</f>
        <v>0</v>
      </c>
    </row>
    <row r="29" spans="3:16" ht="30" customHeight="1" x14ac:dyDescent="0.25">
      <c r="C29" s="40" t="str">
        <f t="shared" si="56"/>
        <v>Contas a Pagar Realizado</v>
      </c>
      <c r="D29" s="55">
        <f>'Lançamentos (2)'!D121</f>
        <v>7200</v>
      </c>
      <c r="E29" s="55">
        <f>'Lançamentos (2)'!E121</f>
        <v>6100</v>
      </c>
      <c r="F29" s="55">
        <f>'Lançamentos (2)'!F121</f>
        <v>7900</v>
      </c>
      <c r="G29" s="55">
        <f>'Lançamentos (2)'!G121</f>
        <v>0</v>
      </c>
      <c r="H29" s="55">
        <f>'Lançamentos (2)'!H121</f>
        <v>0</v>
      </c>
      <c r="I29" s="55">
        <f>'Lançamentos (2)'!I121</f>
        <v>0</v>
      </c>
      <c r="J29" s="55">
        <f>'Lançamentos (2)'!J121</f>
        <v>0</v>
      </c>
      <c r="K29" s="55">
        <f>'Lançamentos (2)'!K121</f>
        <v>0</v>
      </c>
      <c r="L29" s="55">
        <f>'Lançamentos (2)'!L121</f>
        <v>0</v>
      </c>
      <c r="M29" s="55">
        <f>'Lançamentos (2)'!M121</f>
        <v>0</v>
      </c>
      <c r="N29" s="55">
        <f>'Lançamentos (2)'!N121</f>
        <v>0</v>
      </c>
      <c r="O29" s="55">
        <f>'Lançamentos (2)'!O121</f>
        <v>0</v>
      </c>
      <c r="P29" s="128">
        <f>SUM(D29:O29)</f>
        <v>21200</v>
      </c>
    </row>
    <row r="30" spans="3:16" ht="30" customHeight="1" x14ac:dyDescent="0.25">
      <c r="C30" s="108" t="str">
        <f t="shared" si="56"/>
        <v>Diferença</v>
      </c>
      <c r="D30" s="101">
        <f>IFERROR(D29-D28,0)</f>
        <v>7200</v>
      </c>
      <c r="E30" s="101">
        <f t="shared" ref="E30" si="68">IFERROR(E29-E28,0)</f>
        <v>6100</v>
      </c>
      <c r="F30" s="101">
        <f t="shared" ref="F30" si="69">IFERROR(F29-F28,0)</f>
        <v>7900</v>
      </c>
      <c r="G30" s="101">
        <f t="shared" ref="G30" si="70">IFERROR(G29-G28,0)</f>
        <v>0</v>
      </c>
      <c r="H30" s="101">
        <f t="shared" ref="H30" si="71">IFERROR(H29-H28,0)</f>
        <v>0</v>
      </c>
      <c r="I30" s="101">
        <f t="shared" ref="I30" si="72">IFERROR(I29-I28,0)</f>
        <v>0</v>
      </c>
      <c r="J30" s="101">
        <f t="shared" ref="J30" si="73">IFERROR(J29-J28,0)</f>
        <v>0</v>
      </c>
      <c r="K30" s="101">
        <f t="shared" ref="K30" si="74">IFERROR(K29-K28,0)</f>
        <v>0</v>
      </c>
      <c r="L30" s="101">
        <f t="shared" ref="L30" si="75">IFERROR(L29-L28,0)</f>
        <v>0</v>
      </c>
      <c r="M30" s="101">
        <f t="shared" ref="M30" si="76">IFERROR(M29-M28,0)</f>
        <v>0</v>
      </c>
      <c r="N30" s="101">
        <f t="shared" ref="N30" si="77">IFERROR(N29-N28,0)</f>
        <v>0</v>
      </c>
      <c r="O30" s="111">
        <f t="shared" ref="O30" si="78">IFERROR(O29-O28,0)</f>
        <v>0</v>
      </c>
      <c r="P30" s="128">
        <f>IFERROR(P29-P28,0)</f>
        <v>21200</v>
      </c>
    </row>
    <row r="31" spans="3:16" ht="30" customHeight="1" x14ac:dyDescent="0.25">
      <c r="C31" s="40" t="str">
        <f t="shared" si="56"/>
        <v>Meta de Contas a Receber</v>
      </c>
      <c r="D31" s="55">
        <f>Metas2!D7</f>
        <v>0</v>
      </c>
      <c r="E31" s="55">
        <f>Metas2!E7</f>
        <v>0</v>
      </c>
      <c r="F31" s="55">
        <f>Metas2!F7</f>
        <v>0</v>
      </c>
      <c r="G31" s="55">
        <f>Metas2!G7</f>
        <v>0</v>
      </c>
      <c r="H31" s="55">
        <f>Metas2!H7</f>
        <v>0</v>
      </c>
      <c r="I31" s="55">
        <f>Metas2!I7</f>
        <v>0</v>
      </c>
      <c r="J31" s="55">
        <f>Metas2!J7</f>
        <v>0</v>
      </c>
      <c r="K31" s="55">
        <f>Metas2!K7</f>
        <v>0</v>
      </c>
      <c r="L31" s="55">
        <f>Metas2!L7</f>
        <v>0</v>
      </c>
      <c r="M31" s="55">
        <f>Metas2!M7</f>
        <v>0</v>
      </c>
      <c r="N31" s="55">
        <f>Metas2!N7</f>
        <v>0</v>
      </c>
      <c r="O31" s="55">
        <f>Metas2!O7</f>
        <v>0</v>
      </c>
      <c r="P31" s="128">
        <f>SUM(D31:O31)</f>
        <v>0</v>
      </c>
    </row>
    <row r="32" spans="3:16" ht="30" customHeight="1" x14ac:dyDescent="0.25">
      <c r="C32" s="40" t="str">
        <f t="shared" si="56"/>
        <v>Contas a Receber</v>
      </c>
      <c r="D32" s="55">
        <f>'Lançamentos (2)'!D122</f>
        <v>8800</v>
      </c>
      <c r="E32" s="55">
        <f>'Lançamentos (2)'!E122</f>
        <v>7900</v>
      </c>
      <c r="F32" s="55">
        <f>'Lançamentos (2)'!F122</f>
        <v>9400</v>
      </c>
      <c r="G32" s="55">
        <f>'Lançamentos (2)'!G122</f>
        <v>0</v>
      </c>
      <c r="H32" s="55">
        <f>'Lançamentos (2)'!H122</f>
        <v>0</v>
      </c>
      <c r="I32" s="55">
        <f>'Lançamentos (2)'!I122</f>
        <v>0</v>
      </c>
      <c r="J32" s="55">
        <f>'Lançamentos (2)'!J122</f>
        <v>0</v>
      </c>
      <c r="K32" s="55">
        <f>'Lançamentos (2)'!K122</f>
        <v>0</v>
      </c>
      <c r="L32" s="55">
        <f>'Lançamentos (2)'!L122</f>
        <v>0</v>
      </c>
      <c r="M32" s="55">
        <f>'Lançamentos (2)'!M122</f>
        <v>0</v>
      </c>
      <c r="N32" s="55">
        <f>'Lançamentos (2)'!N122</f>
        <v>0</v>
      </c>
      <c r="O32" s="55">
        <f>'Lançamentos (2)'!O122</f>
        <v>0</v>
      </c>
      <c r="P32" s="128">
        <f>SUM(D32:O32)</f>
        <v>26100</v>
      </c>
    </row>
    <row r="33" spans="3:16" ht="30" customHeight="1" x14ac:dyDescent="0.25">
      <c r="C33" s="108" t="str">
        <f t="shared" si="56"/>
        <v>Diferença</v>
      </c>
      <c r="D33" s="101">
        <f>IFERROR(D32-D31,0)</f>
        <v>8800</v>
      </c>
      <c r="E33" s="101">
        <f t="shared" ref="E33" si="79">IFERROR(E32-E31,0)</f>
        <v>7900</v>
      </c>
      <c r="F33" s="101">
        <f t="shared" ref="F33" si="80">IFERROR(F32-F31,0)</f>
        <v>9400</v>
      </c>
      <c r="G33" s="101">
        <f t="shared" ref="G33" si="81">IFERROR(G32-G31,0)</f>
        <v>0</v>
      </c>
      <c r="H33" s="101">
        <f t="shared" ref="H33" si="82">IFERROR(H32-H31,0)</f>
        <v>0</v>
      </c>
      <c r="I33" s="101">
        <f t="shared" ref="I33" si="83">IFERROR(I32-I31,0)</f>
        <v>0</v>
      </c>
      <c r="J33" s="101">
        <f t="shared" ref="J33" si="84">IFERROR(J32-J31,0)</f>
        <v>0</v>
      </c>
      <c r="K33" s="101">
        <f t="shared" ref="K33" si="85">IFERROR(K32-K31,0)</f>
        <v>0</v>
      </c>
      <c r="L33" s="101">
        <f t="shared" ref="L33" si="86">IFERROR(L32-L31,0)</f>
        <v>0</v>
      </c>
      <c r="M33" s="101">
        <f t="shared" ref="M33" si="87">IFERROR(M32-M31,0)</f>
        <v>0</v>
      </c>
      <c r="N33" s="101">
        <f t="shared" ref="N33" si="88">IFERROR(N32-N31,0)</f>
        <v>0</v>
      </c>
      <c r="O33" s="111">
        <f t="shared" ref="O33" si="89">IFERROR(O32-O31,0)</f>
        <v>0</v>
      </c>
      <c r="P33" s="128">
        <f>IFERROR(P32-P31,0)</f>
        <v>26100</v>
      </c>
    </row>
    <row r="34" spans="3:16" ht="30" customHeight="1" x14ac:dyDescent="0.25">
      <c r="C34" s="40" t="str">
        <f t="shared" si="56"/>
        <v>Meta de Margem Bruta</v>
      </c>
      <c r="D34" s="56">
        <f>Metas2!D10</f>
        <v>0.75</v>
      </c>
      <c r="E34" s="56">
        <f>Metas2!E10</f>
        <v>0.75</v>
      </c>
      <c r="F34" s="56">
        <f>Metas2!F10</f>
        <v>0.75</v>
      </c>
      <c r="G34" s="56">
        <f>Metas2!G10</f>
        <v>0</v>
      </c>
      <c r="H34" s="56">
        <f>Metas2!H10</f>
        <v>0</v>
      </c>
      <c r="I34" s="56">
        <f>Metas2!I10</f>
        <v>0</v>
      </c>
      <c r="J34" s="56">
        <f>Metas2!J10</f>
        <v>0</v>
      </c>
      <c r="K34" s="56">
        <f>Metas2!K10</f>
        <v>0</v>
      </c>
      <c r="L34" s="56">
        <f>Metas2!L10</f>
        <v>0</v>
      </c>
      <c r="M34" s="56">
        <f>Metas2!M10</f>
        <v>0</v>
      </c>
      <c r="N34" s="56">
        <f>Metas2!N10</f>
        <v>0</v>
      </c>
      <c r="O34" s="56">
        <f>Metas2!O10</f>
        <v>0</v>
      </c>
      <c r="P34" s="145">
        <f>SUM(D34:O34)</f>
        <v>2.25</v>
      </c>
    </row>
    <row r="35" spans="3:16" ht="30" customHeight="1" x14ac:dyDescent="0.25">
      <c r="C35" s="40" t="str">
        <f t="shared" si="56"/>
        <v>Margem Bruta Realizada</v>
      </c>
      <c r="D35" s="56">
        <f>'Lançamentos (2)'!D116</f>
        <v>0.58265058412987403</v>
      </c>
      <c r="E35" s="56">
        <f>'Lançamentos (2)'!E116</f>
        <v>0.51085177166393836</v>
      </c>
      <c r="F35" s="56">
        <f>'Lançamentos (2)'!F116</f>
        <v>0.45631885763183228</v>
      </c>
      <c r="G35" s="56">
        <f>'Lançamentos (2)'!G116</f>
        <v>0.59859518771834863</v>
      </c>
      <c r="H35" s="56">
        <f>'Lançamentos (2)'!H116</f>
        <v>0.33324278643003741</v>
      </c>
      <c r="I35" s="56">
        <f>'Lançamentos (2)'!I116</f>
        <v>0.56729313262670344</v>
      </c>
      <c r="J35" s="56">
        <f>'Lançamentos (2)'!J116</f>
        <v>0.34808581443242725</v>
      </c>
      <c r="K35" s="56">
        <f>'Lançamentos (2)'!K116</f>
        <v>0.42891982388146271</v>
      </c>
      <c r="L35" s="56">
        <f>'Lançamentos (2)'!L116</f>
        <v>0.48290577085297476</v>
      </c>
      <c r="M35" s="56">
        <f>'Lançamentos (2)'!M116</f>
        <v>0.45439546429482086</v>
      </c>
      <c r="N35" s="56">
        <f>'Lançamentos (2)'!N116</f>
        <v>0.5543515930041818</v>
      </c>
      <c r="O35" s="56">
        <f>'Lançamentos (2)'!O116</f>
        <v>0.54272100454061323</v>
      </c>
      <c r="P35" s="145">
        <f>SUM(D35:O35)</f>
        <v>5.8603317912072157</v>
      </c>
    </row>
    <row r="36" spans="3:16" ht="30" customHeight="1" x14ac:dyDescent="0.25">
      <c r="C36" s="108" t="str">
        <f t="shared" si="56"/>
        <v>Diferença</v>
      </c>
      <c r="D36" s="109">
        <f>IFERROR(D35-D34,0)</f>
        <v>-0.16734941587012597</v>
      </c>
      <c r="E36" s="109">
        <f t="shared" ref="E36" si="90">IFERROR(E35-E34,0)</f>
        <v>-0.23914822833606164</v>
      </c>
      <c r="F36" s="109">
        <f t="shared" ref="F36" si="91">IFERROR(F35-F34,0)</f>
        <v>-0.29368114236816772</v>
      </c>
      <c r="G36" s="109">
        <f t="shared" ref="G36" si="92">IFERROR(G35-G34,0)</f>
        <v>0.59859518771834863</v>
      </c>
      <c r="H36" s="109">
        <f t="shared" ref="H36" si="93">IFERROR(H35-H34,0)</f>
        <v>0.33324278643003741</v>
      </c>
      <c r="I36" s="109">
        <f t="shared" ref="I36" si="94">IFERROR(I35-I34,0)</f>
        <v>0.56729313262670344</v>
      </c>
      <c r="J36" s="109">
        <f t="shared" ref="J36" si="95">IFERROR(J35-J34,0)</f>
        <v>0.34808581443242725</v>
      </c>
      <c r="K36" s="109">
        <f t="shared" ref="K36" si="96">IFERROR(K35-K34,0)</f>
        <v>0.42891982388146271</v>
      </c>
      <c r="L36" s="109">
        <f t="shared" ref="L36" si="97">IFERROR(L35-L34,0)</f>
        <v>0.48290577085297476</v>
      </c>
      <c r="M36" s="109">
        <f t="shared" ref="M36" si="98">IFERROR(M35-M34,0)</f>
        <v>0.45439546429482086</v>
      </c>
      <c r="N36" s="109">
        <f t="shared" ref="N36" si="99">IFERROR(N35-N34,0)</f>
        <v>0.5543515930041818</v>
      </c>
      <c r="O36" s="110">
        <f t="shared" ref="O36" si="100">IFERROR(O35-O34,0)</f>
        <v>0.54272100454061323</v>
      </c>
      <c r="P36" s="145">
        <f>IFERROR(P35-P34,0)</f>
        <v>3.6103317912072157</v>
      </c>
    </row>
    <row r="37" spans="3:16" ht="30" customHeight="1" x14ac:dyDescent="0.25">
      <c r="C37" s="61" t="str">
        <f t="shared" si="56"/>
        <v>Meta de Margem Operacional</v>
      </c>
      <c r="D37" s="56">
        <f>Metas2!D11</f>
        <v>0.55000000000000004</v>
      </c>
      <c r="E37" s="56">
        <f>Metas2!E11</f>
        <v>0.55000000000000004</v>
      </c>
      <c r="F37" s="56">
        <f>Metas2!F11</f>
        <v>0.55000000000000004</v>
      </c>
      <c r="G37" s="56">
        <f>Metas2!G11</f>
        <v>0</v>
      </c>
      <c r="H37" s="56">
        <f>Metas2!H11</f>
        <v>0</v>
      </c>
      <c r="I37" s="56">
        <f>Metas2!I11</f>
        <v>0</v>
      </c>
      <c r="J37" s="56">
        <f>Metas2!J11</f>
        <v>0</v>
      </c>
      <c r="K37" s="56">
        <f>Metas2!K11</f>
        <v>0</v>
      </c>
      <c r="L37" s="56">
        <f>Metas2!L11</f>
        <v>0</v>
      </c>
      <c r="M37" s="56">
        <f>Metas2!M11</f>
        <v>0</v>
      </c>
      <c r="N37" s="56">
        <f>Metas2!N11</f>
        <v>0</v>
      </c>
      <c r="O37" s="56">
        <f>Metas2!O11</f>
        <v>0</v>
      </c>
      <c r="P37" s="145">
        <f>SUM(D37:O37)</f>
        <v>1.6500000000000001</v>
      </c>
    </row>
    <row r="38" spans="3:16" ht="30" customHeight="1" x14ac:dyDescent="0.25">
      <c r="C38" s="40" t="str">
        <f t="shared" si="56"/>
        <v>Margem Operacional Realizada</v>
      </c>
      <c r="D38" s="56">
        <f>'Lançamentos (2)'!D117</f>
        <v>0.45347190613462801</v>
      </c>
      <c r="E38" s="56">
        <f>'Lançamentos (2)'!E117</f>
        <v>0.34106511062998363</v>
      </c>
      <c r="F38" s="56">
        <f>'Lançamentos (2)'!F117</f>
        <v>0.32646539736870256</v>
      </c>
      <c r="G38" s="56">
        <f>'Lançamentos (2)'!G117</f>
        <v>0.5044407813807017</v>
      </c>
      <c r="H38" s="56">
        <f>'Lançamentos (2)'!H117</f>
        <v>0.16808523481830254</v>
      </c>
      <c r="I38" s="56">
        <f>'Lançamentos (2)'!I117</f>
        <v>0.47561363549606178</v>
      </c>
      <c r="J38" s="56">
        <f>'Lançamentos (2)'!J117</f>
        <v>0.2160499720407523</v>
      </c>
      <c r="K38" s="56">
        <f>'Lançamentos (2)'!K117</f>
        <v>0.28934324659231725</v>
      </c>
      <c r="L38" s="56">
        <f>'Lançamentos (2)'!L117</f>
        <v>0.36036818339701288</v>
      </c>
      <c r="M38" s="56">
        <f>'Lançamentos (2)'!M117</f>
        <v>0.28663136896101754</v>
      </c>
      <c r="N38" s="56">
        <f>'Lançamentos (2)'!N117</f>
        <v>0.41540558648892173</v>
      </c>
      <c r="O38" s="56">
        <f>'Lançamentos (2)'!O117</f>
        <v>0.42784909468019505</v>
      </c>
      <c r="P38" s="145">
        <f>SUM(D38:O38)</f>
        <v>4.2647895179885973</v>
      </c>
    </row>
    <row r="39" spans="3:16" ht="30" customHeight="1" x14ac:dyDescent="0.25">
      <c r="C39" s="108" t="str">
        <f t="shared" si="56"/>
        <v>Diferença</v>
      </c>
      <c r="D39" s="109">
        <f>IFERROR(D38-D37,0)</f>
        <v>-9.6528093865372033E-2</v>
      </c>
      <c r="E39" s="109">
        <f t="shared" ref="E39" si="101">IFERROR(E38-E37,0)</f>
        <v>-0.20893488937001642</v>
      </c>
      <c r="F39" s="109">
        <f t="shared" ref="F39" si="102">IFERROR(F38-F37,0)</f>
        <v>-0.22353460263129749</v>
      </c>
      <c r="G39" s="109">
        <f t="shared" ref="G39" si="103">IFERROR(G38-G37,0)</f>
        <v>0.5044407813807017</v>
      </c>
      <c r="H39" s="109">
        <f t="shared" ref="H39" si="104">IFERROR(H38-H37,0)</f>
        <v>0.16808523481830254</v>
      </c>
      <c r="I39" s="109">
        <f t="shared" ref="I39" si="105">IFERROR(I38-I37,0)</f>
        <v>0.47561363549606178</v>
      </c>
      <c r="J39" s="109">
        <f t="shared" ref="J39" si="106">IFERROR(J38-J37,0)</f>
        <v>0.2160499720407523</v>
      </c>
      <c r="K39" s="109">
        <f t="shared" ref="K39" si="107">IFERROR(K38-K37,0)</f>
        <v>0.28934324659231725</v>
      </c>
      <c r="L39" s="109">
        <f t="shared" ref="L39" si="108">IFERROR(L38-L37,0)</f>
        <v>0.36036818339701288</v>
      </c>
      <c r="M39" s="109">
        <f t="shared" ref="M39" si="109">IFERROR(M38-M37,0)</f>
        <v>0.28663136896101754</v>
      </c>
      <c r="N39" s="109">
        <f t="shared" ref="N39" si="110">IFERROR(N38-N37,0)</f>
        <v>0.41540558648892173</v>
      </c>
      <c r="O39" s="110">
        <f t="shared" ref="O39" si="111">IFERROR(O38-O37,0)</f>
        <v>0.42784909468019505</v>
      </c>
      <c r="P39" s="145">
        <f>IFERROR(P38-P37,0)</f>
        <v>2.6147895179885969</v>
      </c>
    </row>
    <row r="40" spans="3:16" ht="30" customHeight="1" x14ac:dyDescent="0.25">
      <c r="C40" s="40" t="str">
        <f t="shared" si="56"/>
        <v>Meta de Margem Líquida</v>
      </c>
      <c r="D40" s="56">
        <f>Metas2!D12</f>
        <v>0.32</v>
      </c>
      <c r="E40" s="56">
        <f>Metas2!E12</f>
        <v>0.32</v>
      </c>
      <c r="F40" s="56">
        <f>Metas2!F12</f>
        <v>0.32</v>
      </c>
      <c r="G40" s="56">
        <f>Metas2!G12</f>
        <v>0</v>
      </c>
      <c r="H40" s="56">
        <f>Metas2!H12</f>
        <v>0</v>
      </c>
      <c r="I40" s="56">
        <f>Metas2!I12</f>
        <v>0</v>
      </c>
      <c r="J40" s="56">
        <f>Metas2!J12</f>
        <v>0</v>
      </c>
      <c r="K40" s="56">
        <f>Metas2!K12</f>
        <v>0</v>
      </c>
      <c r="L40" s="56">
        <f>Metas2!L12</f>
        <v>0</v>
      </c>
      <c r="M40" s="56">
        <f>Metas2!M12</f>
        <v>0</v>
      </c>
      <c r="N40" s="56">
        <f>Metas2!N12</f>
        <v>0</v>
      </c>
      <c r="O40" s="56">
        <f>Metas2!O12</f>
        <v>0</v>
      </c>
      <c r="P40" s="145">
        <f>SUM(D40:O40)</f>
        <v>0.96</v>
      </c>
    </row>
    <row r="41" spans="3:16" ht="30" customHeight="1" x14ac:dyDescent="0.25">
      <c r="C41" s="40" t="str">
        <f t="shared" si="56"/>
        <v>Margem Líquida Realizada</v>
      </c>
      <c r="D41" s="56">
        <f>'Lançamentos (2)'!D118</f>
        <v>0.30297628078693167</v>
      </c>
      <c r="E41" s="56">
        <f>'Lançamentos (2)'!E118</f>
        <v>0.18685641865131752</v>
      </c>
      <c r="F41" s="56">
        <f>'Lançamentos (2)'!F118</f>
        <v>0.15437479944379079</v>
      </c>
      <c r="G41" s="56">
        <f>'Lançamentos (2)'!G118</f>
        <v>0.34970230773015792</v>
      </c>
      <c r="H41" s="56">
        <f>'Lançamentos (2)'!H118</f>
        <v>-1.2631293009779065E-2</v>
      </c>
      <c r="I41" s="56">
        <f>'Lançamentos (2)'!I118</f>
        <v>0.3099543193067732</v>
      </c>
      <c r="J41" s="56">
        <f>'Lançamentos (2)'!J118</f>
        <v>3.7042593527093194E-2</v>
      </c>
      <c r="K41" s="56">
        <f>'Lançamentos (2)'!K118</f>
        <v>0.13323578264652378</v>
      </c>
      <c r="L41" s="56">
        <f>'Lançamentos (2)'!L118</f>
        <v>0.22857639061181959</v>
      </c>
      <c r="M41" s="56">
        <f>'Lançamentos (2)'!M118</f>
        <v>0.11964722293050951</v>
      </c>
      <c r="N41" s="56">
        <f>'Lançamentos (2)'!N118</f>
        <v>0.28955941131622115</v>
      </c>
      <c r="O41" s="56">
        <f>'Lançamentos (2)'!O118</f>
        <v>0.30741633499635629</v>
      </c>
      <c r="P41" s="145">
        <f>SUM(D41:O41)</f>
        <v>2.4067105689377155</v>
      </c>
    </row>
    <row r="42" spans="3:16" ht="30" customHeight="1" x14ac:dyDescent="0.25">
      <c r="C42" s="108" t="str">
        <f t="shared" si="56"/>
        <v>Diferença</v>
      </c>
      <c r="D42" s="109">
        <f>IFERROR(D41-D40,0)</f>
        <v>-1.7023719213068333E-2</v>
      </c>
      <c r="E42" s="109">
        <f t="shared" ref="E42" si="112">IFERROR(E41-E40,0)</f>
        <v>-0.13314358134868248</v>
      </c>
      <c r="F42" s="109">
        <f t="shared" ref="F42" si="113">IFERROR(F41-F40,0)</f>
        <v>-0.16562520055620922</v>
      </c>
      <c r="G42" s="109">
        <f t="shared" ref="G42" si="114">IFERROR(G41-G40,0)</f>
        <v>0.34970230773015792</v>
      </c>
      <c r="H42" s="109">
        <f t="shared" ref="H42" si="115">IFERROR(H41-H40,0)</f>
        <v>-1.2631293009779065E-2</v>
      </c>
      <c r="I42" s="109">
        <f t="shared" ref="I42" si="116">IFERROR(I41-I40,0)</f>
        <v>0.3099543193067732</v>
      </c>
      <c r="J42" s="109">
        <f t="shared" ref="J42" si="117">IFERROR(J41-J40,0)</f>
        <v>3.7042593527093194E-2</v>
      </c>
      <c r="K42" s="109">
        <f t="shared" ref="K42" si="118">IFERROR(K41-K40,0)</f>
        <v>0.13323578264652378</v>
      </c>
      <c r="L42" s="109">
        <f t="shared" ref="L42" si="119">IFERROR(L41-L40,0)</f>
        <v>0.22857639061181959</v>
      </c>
      <c r="M42" s="109">
        <f t="shared" ref="M42" si="120">IFERROR(M41-M40,0)</f>
        <v>0.11964722293050951</v>
      </c>
      <c r="N42" s="109">
        <f t="shared" ref="N42" si="121">IFERROR(N41-N40,0)</f>
        <v>0.28955941131622115</v>
      </c>
      <c r="O42" s="110">
        <f t="shared" ref="O42" si="122">IFERROR(O41-O40,0)</f>
        <v>0.30741633499635629</v>
      </c>
      <c r="P42" s="146">
        <f>IFERROR(P41-P40,0)</f>
        <v>1.4467105689377155</v>
      </c>
    </row>
    <row r="43" spans="3:16" ht="4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36">
    <tabColor rgb="FFFFC000"/>
  </sheetPr>
  <dimension ref="C1:P15"/>
  <sheetViews>
    <sheetView showGridLines="0" showRowColHeaders="0" zoomScaleNormal="100" workbookViewId="0">
      <pane ySplit="4" topLeftCell="A5" activePane="bottomLeft" state="frozen"/>
      <selection activeCell="R7" sqref="R7"/>
      <selection pane="bottomLeft" activeCell="S12" sqref="S12"/>
    </sheetView>
  </sheetViews>
  <sheetFormatPr defaultRowHeight="35.1" customHeight="1" x14ac:dyDescent="0.25"/>
  <cols>
    <col min="1" max="2" width="1.7109375" style="19" customWidth="1"/>
    <col min="3" max="3" width="25.7109375" style="19" customWidth="1"/>
    <col min="4" max="16" width="12.140625" style="19" customWidth="1"/>
    <col min="17" max="16384" width="9.140625" style="19"/>
  </cols>
  <sheetData>
    <row r="1" spans="3:16" s="1" customFormat="1" ht="35.1" customHeight="1" x14ac:dyDescent="0.25"/>
    <row r="2" spans="3:16" s="3" customFormat="1" ht="30" customHeight="1" x14ac:dyDescent="0.25"/>
    <row r="3" spans="3:16" ht="30" customHeight="1" thickBot="1" x14ac:dyDescent="0.3"/>
    <row r="4" spans="3:16" ht="21.95" customHeight="1" thickBot="1" x14ac:dyDescent="0.3">
      <c r="C4" s="34" t="s">
        <v>32</v>
      </c>
      <c r="D4" s="63" t="s">
        <v>20</v>
      </c>
      <c r="E4" s="63" t="s">
        <v>21</v>
      </c>
      <c r="F4" s="63" t="s">
        <v>22</v>
      </c>
      <c r="G4" s="63" t="s">
        <v>23</v>
      </c>
      <c r="H4" s="63" t="s">
        <v>24</v>
      </c>
      <c r="I4" s="63" t="s">
        <v>25</v>
      </c>
      <c r="J4" s="63" t="s">
        <v>26</v>
      </c>
      <c r="K4" s="63" t="s">
        <v>27</v>
      </c>
      <c r="L4" s="63" t="s">
        <v>28</v>
      </c>
      <c r="M4" s="63" t="s">
        <v>29</v>
      </c>
      <c r="N4" s="63" t="s">
        <v>30</v>
      </c>
      <c r="O4" s="63" t="s">
        <v>31</v>
      </c>
      <c r="P4" s="63" t="s">
        <v>33</v>
      </c>
    </row>
    <row r="5" spans="3:16" ht="30" customHeight="1" thickBot="1" x14ac:dyDescent="0.3">
      <c r="C5" s="62" t="s">
        <v>34</v>
      </c>
      <c r="D5" s="90">
        <f>IFERROR('Lançamentos (2)'!D5/Lançamentos!D5-100%,0)</f>
        <v>0.17661410294555191</v>
      </c>
      <c r="E5" s="90">
        <f>IFERROR('Lançamentos (2)'!E5/Lançamentos!E5-100%,0)</f>
        <v>-6.4874140463933472E-2</v>
      </c>
      <c r="F5" s="90">
        <f>IFERROR('Lançamentos (2)'!F5/Lançamentos!F5-100%,0)</f>
        <v>-0.218792759481507</v>
      </c>
      <c r="G5" s="90">
        <f>IFERROR('Lançamentos (2)'!G5/Lançamentos!G5-100%,0)</f>
        <v>-9.5267773672261025E-2</v>
      </c>
      <c r="H5" s="90">
        <f>IFERROR('Lançamentos (2)'!H5/Lançamentos!H5-100%,0)</f>
        <v>-0.10928300669408819</v>
      </c>
      <c r="I5" s="90">
        <f>IFERROR('Lançamentos (2)'!I5/Lançamentos!I5-100%,0)</f>
        <v>-8.0572324395151829E-2</v>
      </c>
      <c r="J5" s="90">
        <f>IFERROR('Lançamentos (2)'!J5/Lançamentos!J5-100%,0)</f>
        <v>-0.20538191434021158</v>
      </c>
      <c r="K5" s="90">
        <f>IFERROR('Lançamentos (2)'!K5/Lançamentos!K5-100%,0)</f>
        <v>-0.16413601604337003</v>
      </c>
      <c r="L5" s="90">
        <f>IFERROR('Lançamentos (2)'!L5/Lançamentos!L5-100%,0)</f>
        <v>0.1738699906803356</v>
      </c>
      <c r="M5" s="90">
        <f>IFERROR('Lançamentos (2)'!M5/Lançamentos!M5-100%,0)</f>
        <v>-0.19844428147204152</v>
      </c>
      <c r="N5" s="90">
        <f>IFERROR('Lançamentos (2)'!N5/Lançamentos!N5-100%,0)</f>
        <v>0.1168077200949531</v>
      </c>
      <c r="O5" s="90">
        <f>IFERROR('Lançamentos (2)'!O5/Lançamentos!O5-100%,0)</f>
        <v>3.5177104127013692E-2</v>
      </c>
      <c r="P5" s="91">
        <f>IFERROR('Lançamentos (2)'!P5/Lançamentos!P5-100%,0)</f>
        <v>-6.4737688148472916E-2</v>
      </c>
    </row>
    <row r="6" spans="3:16" ht="30" customHeight="1" thickBot="1" x14ac:dyDescent="0.3">
      <c r="C6" s="64" t="s">
        <v>35</v>
      </c>
      <c r="D6" s="90">
        <f>IFERROR('Lançamentos (2)'!D26/Lançamentos!D26-100%,0)</f>
        <v>-0.16213683223992503</v>
      </c>
      <c r="E6" s="90">
        <f>IFERROR('Lançamentos (2)'!E26/Lançamentos!E26-100%,0)</f>
        <v>4.0956765222343483E-2</v>
      </c>
      <c r="F6" s="90">
        <f>IFERROR('Lançamentos (2)'!F26/Lançamentos!F26-100%,0)</f>
        <v>0.13810695905124182</v>
      </c>
      <c r="G6" s="90">
        <f>IFERROR('Lançamentos (2)'!G26/Lançamentos!G26-100%,0)</f>
        <v>1.7175314429968891E-2</v>
      </c>
      <c r="H6" s="90">
        <f>IFERROR('Lançamentos (2)'!H26/Lançamentos!H26-100%,0)</f>
        <v>-7.3914253897550131E-2</v>
      </c>
      <c r="I6" s="90">
        <f>IFERROR('Lançamentos (2)'!I26/Lançamentos!I26-100%,0)</f>
        <v>-0.14638612617141211</v>
      </c>
      <c r="J6" s="90">
        <f>IFERROR('Lançamentos (2)'!J26/Lançamentos!J26-100%,0)</f>
        <v>0.18011870634311777</v>
      </c>
      <c r="K6" s="90">
        <f>IFERROR('Lançamentos (2)'!K26/Lançamentos!K26-100%,0)</f>
        <v>-0.15886984715145902</v>
      </c>
      <c r="L6" s="90">
        <f>IFERROR('Lançamentos (2)'!L26/Lançamentos!L26-100%,0)</f>
        <v>-0.11741304427168875</v>
      </c>
      <c r="M6" s="90">
        <f>IFERROR('Lançamentos (2)'!M26/Lançamentos!M26-100%,0)</f>
        <v>-1.1391538864066297E-2</v>
      </c>
      <c r="N6" s="90">
        <f>IFERROR('Lançamentos (2)'!N26/Lançamentos!N26-100%,0)</f>
        <v>-0.18268815656929049</v>
      </c>
      <c r="O6" s="90">
        <f>IFERROR('Lançamentos (2)'!O26/Lançamentos!O26-100%,0)</f>
        <v>0.33936893203883489</v>
      </c>
      <c r="P6" s="91">
        <f>IFERROR('Lançamentos (2)'!P26/Lançamentos!P26-100%,0)</f>
        <v>-2.476690461993547E-2</v>
      </c>
    </row>
    <row r="7" spans="3:16" ht="30" customHeight="1" thickBot="1" x14ac:dyDescent="0.3">
      <c r="C7" s="62" t="s">
        <v>36</v>
      </c>
      <c r="D7" s="92">
        <f>IFERROR('Lançamentos (2)'!D47/Lançamentos!D47-100%,0)</f>
        <v>0.37140045455610493</v>
      </c>
      <c r="E7" s="92">
        <f>IFERROR('Lançamentos (2)'!E47/Lançamentos!E47-100%,0)</f>
        <v>-0.10208236000800908</v>
      </c>
      <c r="F7" s="92">
        <f>IFERROR('Lançamentos (2)'!F47/Lançamentos!F47-100%,0)</f>
        <v>-0.32745183529988831</v>
      </c>
      <c r="G7" s="92">
        <f>IFERROR('Lançamentos (2)'!G47/Lançamentos!G47-100%,0)</f>
        <v>-0.13212844877270247</v>
      </c>
      <c r="H7" s="92">
        <f>IFERROR('Lançamentos (2)'!H47/Lançamentos!H47-100%,0)</f>
        <v>-0.13154321258048973</v>
      </c>
      <c r="I7" s="92">
        <f>IFERROR('Lançamentos (2)'!I47/Lançamentos!I47-100%,0)</f>
        <v>-4.8763557483731068E-2</v>
      </c>
      <c r="J7" s="92">
        <f>IFERROR('Lançamentos (2)'!J47/Lançamentos!J47-100%,0)</f>
        <v>-0.3468187541663581</v>
      </c>
      <c r="K7" s="92">
        <f>IFERROR('Lançamentos (2)'!K47/Lançamentos!K47-100%,0)</f>
        <v>-0.1664938503996044</v>
      </c>
      <c r="L7" s="92">
        <f>IFERROR('Lançamentos (2)'!L47/Lançamentos!L47-100%,0)</f>
        <v>0.36723766142514469</v>
      </c>
      <c r="M7" s="92">
        <f>IFERROR('Lançamentos (2)'!M47/Lançamentos!M47-100%,0)</f>
        <v>-0.27810539308122195</v>
      </c>
      <c r="N7" s="92">
        <f>IFERROR('Lançamentos (2)'!N47/Lançamentos!N47-100%,0)</f>
        <v>0.28425456593450793</v>
      </c>
      <c r="O7" s="92">
        <f>IFERROR('Lançamentos (2)'!O47/Lançamentos!O47-100%,0)</f>
        <v>-6.03989994509182E-2</v>
      </c>
      <c r="P7" s="91">
        <f>IFERROR('Lançamentos (2)'!P47/Lançamentos!P47-100%,0)</f>
        <v>-8.2076654971706686E-2</v>
      </c>
    </row>
    <row r="8" spans="3:16" ht="30" customHeight="1" thickBot="1" x14ac:dyDescent="0.3">
      <c r="C8" s="64" t="s">
        <v>37</v>
      </c>
      <c r="D8" s="90">
        <f>IFERROR('Lançamentos (2)'!D48/Lançamentos!D48-100%,0)</f>
        <v>-1.2534708449028154E-2</v>
      </c>
      <c r="E8" s="90">
        <f>IFERROR('Lançamentos (2)'!E48/Lançamentos!E48-100%,0)</f>
        <v>-0.22531386113246221</v>
      </c>
      <c r="F8" s="90">
        <f>IFERROR('Lançamentos (2)'!F48/Lançamentos!F48-100%,0)</f>
        <v>0.46180422264875243</v>
      </c>
      <c r="G8" s="90">
        <f>IFERROR('Lançamentos (2)'!G48/Lançamentos!G48-100%,0)</f>
        <v>-0.39274942695138138</v>
      </c>
      <c r="H8" s="90">
        <f>IFERROR('Lançamentos (2)'!H48/Lançamentos!H48-100%,0)</f>
        <v>0.20013661202185795</v>
      </c>
      <c r="I8" s="90">
        <f>IFERROR('Lançamentos (2)'!I48/Lançamentos!I48-100%,0)</f>
        <v>-0.25628725105393224</v>
      </c>
      <c r="J8" s="90">
        <f>IFERROR('Lançamentos (2)'!J48/Lançamentos!J48-100%,0)</f>
        <v>0.12701784197111299</v>
      </c>
      <c r="K8" s="90">
        <f>IFERROR('Lançamentos (2)'!K48/Lançamentos!K48-100%,0)</f>
        <v>0.60281323684852417</v>
      </c>
      <c r="L8" s="90">
        <f>IFERROR('Lançamentos (2)'!L48/Lançamentos!L48-100%,0)</f>
        <v>0.40150544522741827</v>
      </c>
      <c r="M8" s="90">
        <f>IFERROR('Lançamentos (2)'!M48/Lançamentos!M48-100%,0)</f>
        <v>-0.11277969665114884</v>
      </c>
      <c r="N8" s="90">
        <f>IFERROR('Lançamentos (2)'!N48/Lançamentos!N48-100%,0)</f>
        <v>-1.9656323402151066E-2</v>
      </c>
      <c r="O8" s="90">
        <f>IFERROR('Lançamentos (2)'!O48/Lançamentos!O48-100%,0)</f>
        <v>-0.19305326239833664</v>
      </c>
      <c r="P8" s="91">
        <f>IFERROR('Lançamentos (2)'!P48/Lançamentos!P48-100%,0)</f>
        <v>1.5426902594056102E-2</v>
      </c>
    </row>
    <row r="9" spans="3:16" ht="30" customHeight="1" thickBot="1" x14ac:dyDescent="0.3">
      <c r="C9" s="62" t="s">
        <v>38</v>
      </c>
      <c r="D9" s="92">
        <f>IFERROR('Lançamentos (2)'!D69/Lançamentos!D69-100%,0)</f>
        <v>0.53232027665092763</v>
      </c>
      <c r="E9" s="92">
        <f>IFERROR('Lançamentos (2)'!E69/Lançamentos!E69-100%,0)</f>
        <v>-4.2581092114704178E-2</v>
      </c>
      <c r="F9" s="92">
        <f>IFERROR('Lançamentos (2)'!F69/Lançamentos!F69-100%,0)</f>
        <v>-0.45804617778765844</v>
      </c>
      <c r="G9" s="92">
        <f>IFERROR('Lançamentos (2)'!G69/Lançamentos!G69-100%,0)</f>
        <v>-4.7562192949834659E-2</v>
      </c>
      <c r="H9" s="92">
        <f>IFERROR('Lançamentos (2)'!H69/Lançamentos!H69-100%,0)</f>
        <v>-0.28809078599522853</v>
      </c>
      <c r="I9" s="92">
        <f>IFERROR('Lançamentos (2)'!I69/Lançamentos!I69-100%,0)</f>
        <v>1.6322064422002791E-2</v>
      </c>
      <c r="J9" s="92">
        <f>IFERROR('Lançamentos (2)'!J69/Lançamentos!J69-100%,0)</f>
        <v>-0.49983342152193933</v>
      </c>
      <c r="K9" s="92">
        <f>IFERROR('Lançamentos (2)'!K69/Lançamentos!K69-100%,0)</f>
        <v>-0.35427085814082715</v>
      </c>
      <c r="L9" s="92">
        <f>IFERROR('Lançamentos (2)'!L69/Lançamentos!L69-100%,0)</f>
        <v>0.35237102657634178</v>
      </c>
      <c r="M9" s="92">
        <f>IFERROR('Lançamentos (2)'!M69/Lançamentos!M69-100%,0)</f>
        <v>-0.32701706060067537</v>
      </c>
      <c r="N9" s="92">
        <f>IFERROR('Lançamentos (2)'!N69/Lançamentos!N69-100%,0)</f>
        <v>0.43085455304430798</v>
      </c>
      <c r="O9" s="92">
        <f>IFERROR('Lançamentos (2)'!O69/Lançamentos!O69-100%,0)</f>
        <v>-1.6317489992074941E-2</v>
      </c>
      <c r="P9" s="91">
        <f>IFERROR('Lançamentos (2)'!P69/Lançamentos!P69-100%,0)</f>
        <v>-0.11498513739693783</v>
      </c>
    </row>
    <row r="10" spans="3:16" ht="30" customHeight="1" thickBot="1" x14ac:dyDescent="0.3">
      <c r="C10" s="64" t="s">
        <v>39</v>
      </c>
      <c r="D10" s="90">
        <f>IFERROR('Lançamentos (2)'!D70/Lançamentos!D70-100%,0)</f>
        <v>0.17720935591658016</v>
      </c>
      <c r="E10" s="90">
        <f>IFERROR('Lançamentos (2)'!E70/Lançamentos!E70-100%,0)</f>
        <v>0.49355475554523287</v>
      </c>
      <c r="F10" s="90">
        <f>IFERROR('Lançamentos (2)'!F70/Lançamentos!F70-100%,0)</f>
        <v>0.40164525905614079</v>
      </c>
      <c r="G10" s="90">
        <f>IFERROR('Lançamentos (2)'!G70/Lançamentos!G70-100%,0)</f>
        <v>-0.20304039983340272</v>
      </c>
      <c r="H10" s="90">
        <f>IFERROR('Lançamentos (2)'!H70/Lançamentos!H70-100%,0)</f>
        <v>0.22842069817038957</v>
      </c>
      <c r="I10" s="90">
        <f>IFERROR('Lançamentos (2)'!I70/Lançamentos!I70-100%,0)</f>
        <v>-0.50210766360306813</v>
      </c>
      <c r="J10" s="90">
        <f>IFERROR('Lançamentos (2)'!J70/Lançamentos!J70-100%,0)</f>
        <v>7.2330527248559928E-2</v>
      </c>
      <c r="K10" s="90">
        <f>IFERROR('Lançamentos (2)'!K70/Lançamentos!K70-100%,0)</f>
        <v>-0.25399844994011134</v>
      </c>
      <c r="L10" s="90">
        <f>IFERROR('Lançamentos (2)'!L70/Lançamentos!L70-100%,0)</f>
        <v>-0.10832280194981048</v>
      </c>
      <c r="M10" s="90">
        <f>IFERROR('Lançamentos (2)'!M70/Lançamentos!M70-100%,0)</f>
        <v>-2.950108459869849E-2</v>
      </c>
      <c r="N10" s="90">
        <f>IFERROR('Lançamentos (2)'!N70/Lançamentos!N70-100%,0)</f>
        <v>0.27984677590976803</v>
      </c>
      <c r="O10" s="90">
        <f>IFERROR('Lançamentos (2)'!O70/Lançamentos!O70-100%,0)</f>
        <v>0.3053892215568863</v>
      </c>
      <c r="P10" s="91">
        <f>IFERROR('Lançamentos (2)'!P70/Lançamentos!P70-100%,0)</f>
        <v>1.6005121638924535E-2</v>
      </c>
    </row>
    <row r="11" spans="3:16" ht="30" customHeight="1" thickBot="1" x14ac:dyDescent="0.3">
      <c r="C11" s="62" t="s">
        <v>40</v>
      </c>
      <c r="D11" s="92">
        <f>IFERROR('Lançamentos (2)'!D91/Lançamentos!D91-100%,0)</f>
        <v>0.676372984342136</v>
      </c>
      <c r="E11" s="92">
        <f>IFERROR('Lançamentos (2)'!E91/Lançamentos!E91-100%,0)</f>
        <v>-0.18773187448909012</v>
      </c>
      <c r="F11" s="92">
        <f>IFERROR('Lançamentos (2)'!F91/Lançamentos!F91-100%,0)</f>
        <v>-0.56433223302703184</v>
      </c>
      <c r="G11" s="92">
        <f>IFERROR('Lançamentos (2)'!G91/Lançamentos!G91-100%,0)</f>
        <v>-1.1569889362933017E-2</v>
      </c>
      <c r="H11" s="92">
        <f>IFERROR('Lançamentos (2)'!H91/Lançamentos!H91-100%,0)</f>
        <v>-0.49622325749694696</v>
      </c>
      <c r="I11" s="92">
        <f>IFERROR('Lançamentos (2)'!I91/Lançamentos!I91-100%,0)</f>
        <v>0.27153354197850055</v>
      </c>
      <c r="J11" s="92">
        <f>IFERROR('Lançamentos (2)'!J91/Lançamentos!J91-100%,0)</f>
        <v>-0.62282435296078476</v>
      </c>
      <c r="K11" s="92">
        <f>IFERROR('Lançamentos (2)'!K91/Lançamentos!K91-100%,0)</f>
        <v>-0.39359027489984799</v>
      </c>
      <c r="L11" s="92">
        <f>IFERROR('Lançamentos (2)'!L91/Lançamentos!L91-100%,0)</f>
        <v>0.64059411532162414</v>
      </c>
      <c r="M11" s="92">
        <f>IFERROR('Lançamentos (2)'!M91/Lançamentos!M91-100%,0)</f>
        <v>-0.42939894299961179</v>
      </c>
      <c r="N11" s="92">
        <f>IFERROR('Lançamentos (2)'!N91/Lançamentos!N91-100%,0)</f>
        <v>0.48964374482187245</v>
      </c>
      <c r="O11" s="92">
        <f>IFERROR('Lançamentos (2)'!O91/Lançamentos!O91-100%,0)</f>
        <v>-7.7365697983656445E-2</v>
      </c>
      <c r="P11" s="91">
        <f>IFERROR('Lançamentos (2)'!P91/Lançamentos!P91-100%,0)</f>
        <v>-0.15465638628969713</v>
      </c>
    </row>
    <row r="12" spans="3:16" ht="30" customHeight="1" thickBot="1" x14ac:dyDescent="0.3">
      <c r="C12" s="64" t="s">
        <v>41</v>
      </c>
      <c r="D12" s="90">
        <f>IFERROR('Lançamentos (2)'!D92/Lançamentos!D92-100%,0)</f>
        <v>7.8170289855072461E-2</v>
      </c>
      <c r="E12" s="90">
        <f>IFERROR('Lançamentos (2)'!E92/Lançamentos!E92-100%,0)</f>
        <v>6.7223993794707226E-3</v>
      </c>
      <c r="F12" s="90">
        <f>IFERROR('Lançamentos (2)'!F92/Lançamentos!F92-100%,0)</f>
        <v>0.1757559148625194</v>
      </c>
      <c r="G12" s="90">
        <f>IFERROR('Lançamentos (2)'!G92/Lançamentos!G92-100%,0)</f>
        <v>1.5582108832552954E-2</v>
      </c>
      <c r="H12" s="90">
        <f>IFERROR('Lançamentos (2)'!H92/Lançamentos!H92-100%,0)</f>
        <v>1.828231292517013E-2</v>
      </c>
      <c r="I12" s="90">
        <f>IFERROR('Lançamentos (2)'!I92/Lançamentos!I92-100%,0)</f>
        <v>1.5364217750740927E-2</v>
      </c>
      <c r="J12" s="90">
        <f>IFERROR('Lançamentos (2)'!J92/Lançamentos!J92-100%,0)</f>
        <v>0.16635563849640089</v>
      </c>
      <c r="K12" s="90">
        <f>IFERROR('Lançamentos (2)'!K92/Lançamentos!K92-100%,0)</f>
        <v>2.6258774590519174E-2</v>
      </c>
      <c r="L12" s="90">
        <f>IFERROR('Lançamentos (2)'!L92/Lançamentos!L92-100%,0)</f>
        <v>-0.14364017410930197</v>
      </c>
      <c r="M12" s="90">
        <f>IFERROR('Lançamentos (2)'!M92/Lançamentos!M92-100%,0)</f>
        <v>-0.11733925315151039</v>
      </c>
      <c r="N12" s="90">
        <f>IFERROR('Lançamentos (2)'!N92/Lançamentos!N92-100%,0)</f>
        <v>-0.11329969070486734</v>
      </c>
      <c r="O12" s="90">
        <f>IFERROR('Lançamentos (2)'!O92/Lançamentos!O92-100%,0)</f>
        <v>-8.7650755902836774E-2</v>
      </c>
      <c r="P12" s="91">
        <f>IFERROR('Lançamentos (2)'!P92/Lançamentos!P92-100%,0)</f>
        <v>-2.8786272458558582E-4</v>
      </c>
    </row>
    <row r="13" spans="3:16" ht="30" customHeight="1" x14ac:dyDescent="0.25">
      <c r="C13" s="113" t="s">
        <v>57</v>
      </c>
      <c r="D13" s="93">
        <f>IFERROR('Lançamentos (2)'!D113/Lançamentos!D113-100%,0)</f>
        <v>1.3141477547078706</v>
      </c>
      <c r="E13" s="93">
        <f>IFERROR('Lançamentos (2)'!E113/Lançamentos!E113-100%,0)</f>
        <v>-0.29941097856753951</v>
      </c>
      <c r="F13" s="93">
        <f>IFERROR('Lançamentos (2)'!F113/Lançamentos!F113-100%,0)</f>
        <v>-0.74397977737371945</v>
      </c>
      <c r="G13" s="93">
        <f>IFERROR('Lançamentos (2)'!G113/Lançamentos!G113-100%,0)</f>
        <v>-2.3126353046287074E-2</v>
      </c>
      <c r="H13" s="93">
        <f>IFERROR('Lançamentos (2)'!H113/Lançamentos!H113-100%,0)</f>
        <v>-1.0808773794569524</v>
      </c>
      <c r="I13" s="93">
        <f>IFERROR('Lançamentos (2)'!I113/Lançamentos!I113-100%,0)</f>
        <v>0.46971159647640892</v>
      </c>
      <c r="J13" s="93">
        <f>IFERROR('Lançamentos (2)'!J113/Lançamentos!J113-100%,0)</f>
        <v>-0.91166330579587584</v>
      </c>
      <c r="K13" s="93">
        <f>IFERROR('Lançamentos (2)'!K113/Lançamentos!K113-100%,0)</f>
        <v>-0.59007949383517189</v>
      </c>
      <c r="L13" s="93">
        <f>IFERROR('Lançamentos (2)'!L113/Lançamentos!L113-100%,0)</f>
        <v>2.4759479343520092</v>
      </c>
      <c r="M13" s="93">
        <f>IFERROR('Lançamentos (2)'!M113/Lançamentos!M113-100%,0)</f>
        <v>-0.61792317271769326</v>
      </c>
      <c r="N13" s="93">
        <f>IFERROR('Lançamentos (2)'!N113/Lançamentos!N113-100%,0)</f>
        <v>1.1145604859119285</v>
      </c>
      <c r="O13" s="93">
        <f>IFERROR('Lançamentos (2)'!O113/Lançamentos!O113-100%,0)</f>
        <v>-7.3272948492632106E-2</v>
      </c>
      <c r="P13" s="94">
        <f>IFERROR('Lançamentos (2)'!P113/Lançamentos!P113-100%,0)</f>
        <v>-0.24097870853503889</v>
      </c>
    </row>
    <row r="14" spans="3:16" ht="30" customHeight="1" x14ac:dyDescent="0.25"/>
    <row r="15" spans="3:16" ht="30" customHeight="1" x14ac:dyDescent="0.25">
      <c r="C15" s="65" t="s">
        <v>64</v>
      </c>
      <c r="D15" s="148" t="s">
        <v>65</v>
      </c>
      <c r="E15" s="149"/>
      <c r="F15" s="150" t="s">
        <v>66</v>
      </c>
      <c r="G15" s="151"/>
    </row>
  </sheetData>
  <sheetProtection sheet="1" objects="1" scenarios="1" selectLockedCells="1" selectUnlockedCells="1"/>
  <mergeCells count="2">
    <mergeCell ref="D15:E15"/>
    <mergeCell ref="F15:G15"/>
  </mergeCells>
  <conditionalFormatting sqref="D5:P13">
    <cfRule type="cellIs" dxfId="2" priority="1" operator="lessThan">
      <formula>0</formula>
    </cfRule>
    <cfRule type="cellIs" dxfId="1" priority="2" operator="equal">
      <formula>0</formula>
    </cfRule>
    <cfRule type="cellIs" dxfId="0" priority="3" operator="greaterThan">
      <formula>0</formula>
    </cfRule>
  </conditionalFormatting>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37">
    <tabColor rgb="FFFFC000"/>
  </sheetPr>
  <dimension ref="C1:P18"/>
  <sheetViews>
    <sheetView showGridLines="0" showRowColHeaders="0" workbookViewId="0">
      <pane ySplit="4" topLeftCell="A5" activePane="bottomLeft" state="frozen"/>
      <selection activeCell="R7" sqref="R7"/>
      <selection pane="bottomLeft" activeCell="S6" sqref="S6"/>
    </sheetView>
  </sheetViews>
  <sheetFormatPr defaultRowHeight="35.1" customHeight="1" x14ac:dyDescent="0.25"/>
  <cols>
    <col min="1" max="2" width="1.7109375" style="19" customWidth="1"/>
    <col min="3" max="3" width="25.7109375" style="19" customWidth="1"/>
    <col min="4" max="16" width="12.140625" style="19" customWidth="1"/>
    <col min="17" max="16384" width="9.140625" style="19"/>
  </cols>
  <sheetData>
    <row r="1" spans="3:16" s="1" customFormat="1" ht="35.1" customHeight="1" x14ac:dyDescent="0.25"/>
    <row r="2" spans="3:16" s="3" customFormat="1" ht="30" customHeight="1" x14ac:dyDescent="0.25"/>
    <row r="3" spans="3:16" ht="30" customHeight="1" thickBot="1" x14ac:dyDescent="0.3">
      <c r="C3" s="89"/>
    </row>
    <row r="4" spans="3:16" ht="21.95" customHeight="1" x14ac:dyDescent="0.25">
      <c r="C4" s="34" t="s">
        <v>32</v>
      </c>
      <c r="D4" s="35" t="s">
        <v>20</v>
      </c>
      <c r="E4" s="35" t="s">
        <v>21</v>
      </c>
      <c r="F4" s="35" t="s">
        <v>22</v>
      </c>
      <c r="G4" s="35" t="s">
        <v>23</v>
      </c>
      <c r="H4" s="35" t="s">
        <v>24</v>
      </c>
      <c r="I4" s="35" t="s">
        <v>25</v>
      </c>
      <c r="J4" s="35" t="s">
        <v>26</v>
      </c>
      <c r="K4" s="35" t="s">
        <v>27</v>
      </c>
      <c r="L4" s="35" t="s">
        <v>28</v>
      </c>
      <c r="M4" s="35" t="s">
        <v>29</v>
      </c>
      <c r="N4" s="35" t="s">
        <v>30</v>
      </c>
      <c r="O4" s="35" t="s">
        <v>31</v>
      </c>
      <c r="P4" s="35" t="s">
        <v>33</v>
      </c>
    </row>
    <row r="5" spans="3:16" ht="30" customHeight="1" x14ac:dyDescent="0.25">
      <c r="C5" s="40" t="s">
        <v>46</v>
      </c>
      <c r="D5" s="55">
        <f>Lançamentos!D121</f>
        <v>7800</v>
      </c>
      <c r="E5" s="55">
        <f>Lançamentos!E121</f>
        <v>6700</v>
      </c>
      <c r="F5" s="55">
        <f>Lançamentos!F121</f>
        <v>8400</v>
      </c>
      <c r="G5" s="55">
        <f>Lançamentos!G121</f>
        <v>0</v>
      </c>
      <c r="H5" s="55">
        <f>Lançamentos!H121</f>
        <v>0</v>
      </c>
      <c r="I5" s="55">
        <f>Lançamentos!I121</f>
        <v>0</v>
      </c>
      <c r="J5" s="55">
        <f>Lançamentos!J121</f>
        <v>0</v>
      </c>
      <c r="K5" s="55">
        <f>Lançamentos!K121</f>
        <v>0</v>
      </c>
      <c r="L5" s="55">
        <f>Lançamentos!L121</f>
        <v>0</v>
      </c>
      <c r="M5" s="55">
        <f>Lançamentos!M121</f>
        <v>0</v>
      </c>
      <c r="N5" s="55">
        <f>Lançamentos!N121</f>
        <v>0</v>
      </c>
      <c r="O5" s="55">
        <f>Lançamentos!O121</f>
        <v>0</v>
      </c>
      <c r="P5" s="133">
        <f>SUM(D5:O5)</f>
        <v>22900</v>
      </c>
    </row>
    <row r="6" spans="3:16" ht="30" customHeight="1" x14ac:dyDescent="0.25">
      <c r="C6" s="40" t="s">
        <v>47</v>
      </c>
      <c r="D6" s="55">
        <f>Lançamentos!D122</f>
        <v>8000</v>
      </c>
      <c r="E6" s="55">
        <f>Lançamentos!E122</f>
        <v>8400</v>
      </c>
      <c r="F6" s="55">
        <f>Lançamentos!F122</f>
        <v>9100</v>
      </c>
      <c r="G6" s="55">
        <f>Lançamentos!G122</f>
        <v>0</v>
      </c>
      <c r="H6" s="55">
        <f>Lançamentos!H122</f>
        <v>0</v>
      </c>
      <c r="I6" s="55">
        <f>Lançamentos!I122</f>
        <v>0</v>
      </c>
      <c r="J6" s="55">
        <f>Lançamentos!J122</f>
        <v>0</v>
      </c>
      <c r="K6" s="55">
        <f>Lançamentos!K122</f>
        <v>0</v>
      </c>
      <c r="L6" s="55">
        <f>Lançamentos!L122</f>
        <v>0</v>
      </c>
      <c r="M6" s="55">
        <f>Lançamentos!M122</f>
        <v>0</v>
      </c>
      <c r="N6" s="55">
        <f>Lançamentos!N122</f>
        <v>0</v>
      </c>
      <c r="O6" s="55">
        <f>Lançamentos!O122</f>
        <v>0</v>
      </c>
      <c r="P6" s="132">
        <f t="shared" ref="P6" si="0">SUM(D6:O6)</f>
        <v>25500</v>
      </c>
    </row>
    <row r="7" spans="3:16" ht="30" customHeight="1" x14ac:dyDescent="0.25">
      <c r="C7" s="40" t="s">
        <v>48</v>
      </c>
      <c r="D7" s="66">
        <f>Lançamentos!D125</f>
        <v>28000</v>
      </c>
      <c r="E7" s="66">
        <f>Lançamentos!E125</f>
        <v>35000</v>
      </c>
      <c r="F7" s="66">
        <f>Lançamentos!F125</f>
        <v>50000</v>
      </c>
      <c r="G7" s="66">
        <f>Lançamentos!G125</f>
        <v>0</v>
      </c>
      <c r="H7" s="66">
        <f>Lançamentos!H125</f>
        <v>0</v>
      </c>
      <c r="I7" s="66">
        <f>Lançamentos!I125</f>
        <v>0</v>
      </c>
      <c r="J7" s="66">
        <f>Lançamentos!J125</f>
        <v>0</v>
      </c>
      <c r="K7" s="66">
        <f>Lançamentos!K125</f>
        <v>0</v>
      </c>
      <c r="L7" s="66">
        <f>Lançamentos!L125</f>
        <v>0</v>
      </c>
      <c r="M7" s="66">
        <f>Lançamentos!M125</f>
        <v>0</v>
      </c>
      <c r="N7" s="66">
        <f>Lançamentos!N125</f>
        <v>0</v>
      </c>
      <c r="O7" s="66">
        <f>Lançamentos!O125</f>
        <v>0</v>
      </c>
      <c r="P7" s="128">
        <f t="shared" ref="P7:P9" si="1">SUM(D7:O7)</f>
        <v>113000</v>
      </c>
    </row>
    <row r="8" spans="3:16" ht="30" customHeight="1" x14ac:dyDescent="0.25">
      <c r="C8" s="102" t="s">
        <v>51</v>
      </c>
      <c r="D8" s="142">
        <f>Lançamentos!D126</f>
        <v>0.4165426956263017</v>
      </c>
      <c r="E8" s="142">
        <f>Lançamentos!E126</f>
        <v>0.43208276236682591</v>
      </c>
      <c r="F8" s="142">
        <f>Lançamentos!F126</f>
        <v>0.52225320924597085</v>
      </c>
      <c r="G8" s="142">
        <f>Lançamentos!G126</f>
        <v>0</v>
      </c>
      <c r="H8" s="142">
        <f>Lançamentos!H126</f>
        <v>0</v>
      </c>
      <c r="I8" s="142">
        <f>Lançamentos!I126</f>
        <v>0</v>
      </c>
      <c r="J8" s="142">
        <f>Lançamentos!J126</f>
        <v>0</v>
      </c>
      <c r="K8" s="142">
        <f>Lançamentos!K126</f>
        <v>0</v>
      </c>
      <c r="L8" s="142">
        <f>Lançamentos!L126</f>
        <v>0</v>
      </c>
      <c r="M8" s="142">
        <f>Lançamentos!M126</f>
        <v>0</v>
      </c>
      <c r="N8" s="142">
        <f>Lançamentos!N126</f>
        <v>0</v>
      </c>
      <c r="O8" s="142">
        <f>Lançamentos!O126</f>
        <v>0</v>
      </c>
      <c r="P8" s="138">
        <f>Lançamentos!P126</f>
        <v>0.11388431168019673</v>
      </c>
    </row>
    <row r="9" spans="3:16" ht="30" customHeight="1" x14ac:dyDescent="0.25">
      <c r="C9" s="40" t="s">
        <v>49</v>
      </c>
      <c r="D9" s="66">
        <f>Lançamentos!D127</f>
        <v>15000</v>
      </c>
      <c r="E9" s="66">
        <f>Lançamentos!E127</f>
        <v>21800</v>
      </c>
      <c r="F9" s="66">
        <f>Lançamentos!F127</f>
        <v>24900</v>
      </c>
      <c r="G9" s="66">
        <f>Lançamentos!G127</f>
        <v>0</v>
      </c>
      <c r="H9" s="66">
        <f>Lançamentos!H127</f>
        <v>0</v>
      </c>
      <c r="I9" s="66">
        <f>Lançamentos!I127</f>
        <v>0</v>
      </c>
      <c r="J9" s="66">
        <f>Lançamentos!J127</f>
        <v>0</v>
      </c>
      <c r="K9" s="66">
        <f>Lançamentos!K127</f>
        <v>0</v>
      </c>
      <c r="L9" s="66">
        <f>Lançamentos!L127</f>
        <v>0</v>
      </c>
      <c r="M9" s="66">
        <f>Lançamentos!M127</f>
        <v>0</v>
      </c>
      <c r="N9" s="66">
        <f>Lançamentos!N127</f>
        <v>0</v>
      </c>
      <c r="O9" s="66">
        <f>Lançamentos!O127</f>
        <v>0</v>
      </c>
      <c r="P9" s="128">
        <f t="shared" si="1"/>
        <v>61700</v>
      </c>
    </row>
    <row r="10" spans="3:16" ht="30" customHeight="1" x14ac:dyDescent="0.25">
      <c r="C10" s="102" t="s">
        <v>50</v>
      </c>
      <c r="D10" s="142">
        <f>Lançamentos!D128</f>
        <v>0.70475474534861871</v>
      </c>
      <c r="E10" s="142">
        <f>Lançamentos!E128</f>
        <v>0.775083552584797</v>
      </c>
      <c r="F10" s="142">
        <f>Lançamentos!F128</f>
        <v>1.4352412242780563</v>
      </c>
      <c r="G10" s="142">
        <f>Lançamentos!G128</f>
        <v>0</v>
      </c>
      <c r="H10" s="142">
        <f>Lançamentos!H128</f>
        <v>0</v>
      </c>
      <c r="I10" s="142">
        <f>Lançamentos!I128</f>
        <v>0</v>
      </c>
      <c r="J10" s="142">
        <f>Lançamentos!J128</f>
        <v>0</v>
      </c>
      <c r="K10" s="142">
        <f>Lançamentos!K128</f>
        <v>0</v>
      </c>
      <c r="L10" s="142">
        <f>Lançamentos!L128</f>
        <v>0</v>
      </c>
      <c r="M10" s="142">
        <f>Lançamentos!M128</f>
        <v>0</v>
      </c>
      <c r="N10" s="142">
        <f>Lançamentos!N128</f>
        <v>0</v>
      </c>
      <c r="O10" s="142">
        <f>Lançamentos!O128</f>
        <v>0</v>
      </c>
      <c r="P10" s="139">
        <f>Lançamentos!P128</f>
        <v>0.20922062772970187</v>
      </c>
    </row>
    <row r="11" spans="3:16" ht="35.1" customHeight="1" thickBot="1" x14ac:dyDescent="0.3">
      <c r="C11" s="89"/>
      <c r="P11" s="137"/>
    </row>
    <row r="12" spans="3:16" ht="21.95" customHeight="1" x14ac:dyDescent="0.25">
      <c r="C12" s="34" t="s">
        <v>32</v>
      </c>
      <c r="D12" s="35" t="s">
        <v>20</v>
      </c>
      <c r="E12" s="35" t="s">
        <v>21</v>
      </c>
      <c r="F12" s="35" t="s">
        <v>22</v>
      </c>
      <c r="G12" s="35" t="s">
        <v>23</v>
      </c>
      <c r="H12" s="35" t="s">
        <v>24</v>
      </c>
      <c r="I12" s="35" t="s">
        <v>25</v>
      </c>
      <c r="J12" s="35" t="s">
        <v>26</v>
      </c>
      <c r="K12" s="35" t="s">
        <v>27</v>
      </c>
      <c r="L12" s="35" t="s">
        <v>28</v>
      </c>
      <c r="M12" s="35" t="s">
        <v>29</v>
      </c>
      <c r="N12" s="35" t="s">
        <v>30</v>
      </c>
      <c r="O12" s="35" t="s">
        <v>31</v>
      </c>
      <c r="P12" s="35" t="s">
        <v>33</v>
      </c>
    </row>
    <row r="13" spans="3:16" ht="30" customHeight="1" x14ac:dyDescent="0.25">
      <c r="C13" s="40" t="s">
        <v>46</v>
      </c>
      <c r="D13" s="55">
        <f>'Lançamentos (2)'!D121</f>
        <v>7200</v>
      </c>
      <c r="E13" s="55">
        <f>'Lançamentos (2)'!E121</f>
        <v>6100</v>
      </c>
      <c r="F13" s="55">
        <f>'Lançamentos (2)'!F121</f>
        <v>7900</v>
      </c>
      <c r="G13" s="55">
        <f>'Lançamentos (2)'!G121</f>
        <v>0</v>
      </c>
      <c r="H13" s="55">
        <f>'Lançamentos (2)'!H121</f>
        <v>0</v>
      </c>
      <c r="I13" s="55">
        <f>'Lançamentos (2)'!I121</f>
        <v>0</v>
      </c>
      <c r="J13" s="55">
        <f>'Lançamentos (2)'!J121</f>
        <v>0</v>
      </c>
      <c r="K13" s="55">
        <f>'Lançamentos (2)'!K121</f>
        <v>0</v>
      </c>
      <c r="L13" s="55">
        <f>'Lançamentos (2)'!L121</f>
        <v>0</v>
      </c>
      <c r="M13" s="55">
        <f>'Lançamentos (2)'!M121</f>
        <v>0</v>
      </c>
      <c r="N13" s="55">
        <f>'Lançamentos (2)'!N121</f>
        <v>0</v>
      </c>
      <c r="O13" s="55">
        <f>'Lançamentos (2)'!O121</f>
        <v>0</v>
      </c>
      <c r="P13" s="133">
        <f>SUM(D13:O13)</f>
        <v>21200</v>
      </c>
    </row>
    <row r="14" spans="3:16" ht="30" customHeight="1" x14ac:dyDescent="0.25">
      <c r="C14" s="40" t="s">
        <v>47</v>
      </c>
      <c r="D14" s="55">
        <f>'Lançamentos (2)'!D122</f>
        <v>8800</v>
      </c>
      <c r="E14" s="55">
        <f>'Lançamentos (2)'!E122</f>
        <v>7900</v>
      </c>
      <c r="F14" s="55">
        <f>'Lançamentos (2)'!F122</f>
        <v>9400</v>
      </c>
      <c r="G14" s="55">
        <f>'Lançamentos (2)'!G122</f>
        <v>0</v>
      </c>
      <c r="H14" s="55">
        <f>'Lançamentos (2)'!H122</f>
        <v>0</v>
      </c>
      <c r="I14" s="55">
        <f>'Lançamentos (2)'!I122</f>
        <v>0</v>
      </c>
      <c r="J14" s="55">
        <f>'Lançamentos (2)'!J122</f>
        <v>0</v>
      </c>
      <c r="K14" s="55">
        <f>'Lançamentos (2)'!K122</f>
        <v>0</v>
      </c>
      <c r="L14" s="55">
        <f>'Lançamentos (2)'!L122</f>
        <v>0</v>
      </c>
      <c r="M14" s="55">
        <f>'Lançamentos (2)'!M122</f>
        <v>0</v>
      </c>
      <c r="N14" s="55">
        <f>'Lançamentos (2)'!N122</f>
        <v>0</v>
      </c>
      <c r="O14" s="55">
        <f>'Lançamentos (2)'!O122</f>
        <v>0</v>
      </c>
      <c r="P14" s="132">
        <f t="shared" ref="P14:P15" si="2">SUM(D14:O14)</f>
        <v>26100</v>
      </c>
    </row>
    <row r="15" spans="3:16" ht="30" customHeight="1" x14ac:dyDescent="0.25">
      <c r="C15" s="40" t="s">
        <v>48</v>
      </c>
      <c r="D15" s="66">
        <f>'Lançamentos (2)'!D125</f>
        <v>28000</v>
      </c>
      <c r="E15" s="66">
        <f>'Lançamentos (2)'!E125</f>
        <v>35000</v>
      </c>
      <c r="F15" s="66">
        <f>'Lançamentos (2)'!F125</f>
        <v>50000</v>
      </c>
      <c r="G15" s="66">
        <f>'Lançamentos (2)'!G125</f>
        <v>0</v>
      </c>
      <c r="H15" s="66">
        <f>'Lançamentos (2)'!H125</f>
        <v>0</v>
      </c>
      <c r="I15" s="66">
        <f>'Lançamentos (2)'!I125</f>
        <v>0</v>
      </c>
      <c r="J15" s="66">
        <f>'Lançamentos (2)'!J125</f>
        <v>0</v>
      </c>
      <c r="K15" s="66">
        <f>'Lançamentos (2)'!K125</f>
        <v>0</v>
      </c>
      <c r="L15" s="66">
        <f>'Lançamentos (2)'!L125</f>
        <v>0</v>
      </c>
      <c r="M15" s="66">
        <f>'Lançamentos (2)'!M125</f>
        <v>0</v>
      </c>
      <c r="N15" s="66">
        <f>'Lançamentos (2)'!N125</f>
        <v>0</v>
      </c>
      <c r="O15" s="66">
        <f>'Lançamentos (2)'!O125</f>
        <v>0</v>
      </c>
      <c r="P15" s="128">
        <f t="shared" si="2"/>
        <v>113000</v>
      </c>
    </row>
    <row r="16" spans="3:16" ht="30" customHeight="1" x14ac:dyDescent="0.25">
      <c r="C16" s="102" t="s">
        <v>51</v>
      </c>
      <c r="D16" s="142">
        <f>'Lançamentos (2)'!D126</f>
        <v>0.35401810549739543</v>
      </c>
      <c r="E16" s="142">
        <f>'Lançamentos (2)'!E126</f>
        <v>0.46205840418228866</v>
      </c>
      <c r="F16" s="142">
        <f>'Lançamentos (2)'!F126</f>
        <v>0.66852069740079156</v>
      </c>
      <c r="G16" s="142">
        <f>'Lançamentos (2)'!G126</f>
        <v>0</v>
      </c>
      <c r="H16" s="142">
        <f>'Lançamentos (2)'!H126</f>
        <v>0</v>
      </c>
      <c r="I16" s="142">
        <f>'Lançamentos (2)'!I126</f>
        <v>0</v>
      </c>
      <c r="J16" s="142">
        <f>'Lançamentos (2)'!J126</f>
        <v>0</v>
      </c>
      <c r="K16" s="142">
        <f>'Lançamentos (2)'!K126</f>
        <v>0</v>
      </c>
      <c r="L16" s="142">
        <f>'Lançamentos (2)'!L126</f>
        <v>0</v>
      </c>
      <c r="M16" s="142">
        <f>'Lançamentos (2)'!M126</f>
        <v>0</v>
      </c>
      <c r="N16" s="142">
        <f>'Lançamentos (2)'!N126</f>
        <v>0</v>
      </c>
      <c r="O16" s="142">
        <f>'Lançamentos (2)'!O126</f>
        <v>0</v>
      </c>
      <c r="P16" s="138">
        <f>'Lançamentos (2)'!P126</f>
        <v>0.12176724137931035</v>
      </c>
    </row>
    <row r="17" spans="3:16" ht="30" customHeight="1" x14ac:dyDescent="0.25">
      <c r="C17" s="40" t="s">
        <v>49</v>
      </c>
      <c r="D17" s="66">
        <f>'Lançamentos (2)'!D127</f>
        <v>21000</v>
      </c>
      <c r="E17" s="66">
        <f>'Lançamentos (2)'!E127</f>
        <v>28000</v>
      </c>
      <c r="F17" s="66">
        <f>'Lançamentos (2)'!F127</f>
        <v>24900</v>
      </c>
      <c r="G17" s="66">
        <f>'Lançamentos (2)'!G127</f>
        <v>0</v>
      </c>
      <c r="H17" s="66">
        <f>'Lançamentos (2)'!H127</f>
        <v>0</v>
      </c>
      <c r="I17" s="66">
        <f>'Lançamentos (2)'!I127</f>
        <v>0</v>
      </c>
      <c r="J17" s="66">
        <f>'Lançamentos (2)'!J127</f>
        <v>0</v>
      </c>
      <c r="K17" s="66">
        <f>'Lançamentos (2)'!K127</f>
        <v>0</v>
      </c>
      <c r="L17" s="66">
        <f>'Lançamentos (2)'!L127</f>
        <v>0</v>
      </c>
      <c r="M17" s="66">
        <f>'Lançamentos (2)'!M127</f>
        <v>0</v>
      </c>
      <c r="N17" s="66">
        <f>'Lançamentos (2)'!N127</f>
        <v>0</v>
      </c>
      <c r="O17" s="66">
        <f>'Lançamentos (2)'!O127</f>
        <v>0</v>
      </c>
      <c r="P17" s="128">
        <f>SUM(D17:O17)</f>
        <v>73900</v>
      </c>
    </row>
    <row r="18" spans="3:16" ht="30" customHeight="1" x14ac:dyDescent="0.25">
      <c r="C18" s="102" t="s">
        <v>50</v>
      </c>
      <c r="D18" s="142">
        <f>'Lançamentos (2)'!D128</f>
        <v>0.92657959759971764</v>
      </c>
      <c r="E18" s="142">
        <f>'Lançamentos (2)'!E128</f>
        <v>1.0007505629221916</v>
      </c>
      <c r="F18" s="142">
        <f>'Lançamentos (2)'!F128</f>
        <v>0.99823604874919825</v>
      </c>
      <c r="G18" s="142">
        <f>'Lançamentos (2)'!G128</f>
        <v>0</v>
      </c>
      <c r="H18" s="142">
        <f>'Lançamentos (2)'!H128</f>
        <v>0</v>
      </c>
      <c r="I18" s="142">
        <f>'Lançamentos (2)'!I128</f>
        <v>0</v>
      </c>
      <c r="J18" s="142">
        <f>'Lançamentos (2)'!J128</f>
        <v>0</v>
      </c>
      <c r="K18" s="142">
        <f>'Lançamentos (2)'!K128</f>
        <v>0</v>
      </c>
      <c r="L18" s="142">
        <f>'Lançamentos (2)'!L128</f>
        <v>0</v>
      </c>
      <c r="M18" s="142">
        <f>'Lançamentos (2)'!M128</f>
        <v>0</v>
      </c>
      <c r="N18" s="142">
        <f>'Lançamentos (2)'!N128</f>
        <v>0</v>
      </c>
      <c r="O18" s="142">
        <f>'Lançamentos (2)'!O128</f>
        <v>0</v>
      </c>
      <c r="P18" s="139">
        <f>'Lançamentos (2)'!P128</f>
        <v>0.24672562708039117</v>
      </c>
    </row>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17">
    <pageSetUpPr fitToPage="1"/>
  </sheetPr>
  <dimension ref="D1:U206"/>
  <sheetViews>
    <sheetView showGridLines="0" showRowColHeaders="0" workbookViewId="0">
      <pane ySplit="6" topLeftCell="A7" activePane="bottomLeft" state="frozen"/>
      <selection pane="bottomLeft" activeCell="E8" sqref="E8:T13"/>
    </sheetView>
  </sheetViews>
  <sheetFormatPr defaultRowHeight="15" customHeight="1" x14ac:dyDescent="0.25"/>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86"/>
      <c r="E7" s="86"/>
      <c r="F7" s="86"/>
      <c r="G7" s="86"/>
      <c r="H7" s="86"/>
      <c r="I7" s="86"/>
      <c r="J7" s="86"/>
      <c r="K7" s="86"/>
      <c r="L7" s="86"/>
      <c r="M7" s="86"/>
      <c r="N7" s="86"/>
      <c r="O7" s="86"/>
      <c r="P7" s="86"/>
      <c r="Q7" s="86"/>
      <c r="R7" s="86"/>
      <c r="S7" s="86"/>
      <c r="T7" s="86"/>
      <c r="U7" s="86"/>
    </row>
    <row r="8" spans="4:21" ht="15" customHeight="1" x14ac:dyDescent="0.25">
      <c r="D8" s="86"/>
      <c r="E8" s="152" t="s">
        <v>14</v>
      </c>
      <c r="F8" s="152"/>
      <c r="G8" s="152"/>
      <c r="H8" s="152"/>
      <c r="I8" s="152"/>
      <c r="J8" s="152"/>
      <c r="K8" s="152"/>
      <c r="L8" s="152"/>
      <c r="M8" s="152"/>
      <c r="N8" s="152"/>
      <c r="O8" s="152"/>
      <c r="P8" s="152"/>
      <c r="Q8" s="152"/>
      <c r="R8" s="152"/>
      <c r="S8" s="152"/>
      <c r="T8" s="152"/>
      <c r="U8" s="86"/>
    </row>
    <row r="9" spans="4:21" ht="15" customHeight="1" x14ac:dyDescent="0.25">
      <c r="D9" s="86"/>
      <c r="E9" s="152"/>
      <c r="F9" s="152"/>
      <c r="G9" s="152"/>
      <c r="H9" s="152"/>
      <c r="I9" s="152"/>
      <c r="J9" s="152"/>
      <c r="K9" s="152"/>
      <c r="L9" s="152"/>
      <c r="M9" s="152"/>
      <c r="N9" s="152"/>
      <c r="O9" s="152"/>
      <c r="P9" s="152"/>
      <c r="Q9" s="152"/>
      <c r="R9" s="152"/>
      <c r="S9" s="152"/>
      <c r="T9" s="152"/>
      <c r="U9" s="86"/>
    </row>
    <row r="10" spans="4:21" ht="15" customHeight="1" x14ac:dyDescent="0.25">
      <c r="D10" s="86"/>
      <c r="E10" s="152"/>
      <c r="F10" s="152"/>
      <c r="G10" s="152"/>
      <c r="H10" s="152"/>
      <c r="I10" s="152"/>
      <c r="J10" s="152"/>
      <c r="K10" s="152"/>
      <c r="L10" s="152"/>
      <c r="M10" s="152"/>
      <c r="N10" s="152"/>
      <c r="O10" s="152"/>
      <c r="P10" s="152"/>
      <c r="Q10" s="152"/>
      <c r="R10" s="152"/>
      <c r="S10" s="152"/>
      <c r="T10" s="152"/>
      <c r="U10" s="86"/>
    </row>
    <row r="11" spans="4:21" ht="15" customHeight="1" x14ac:dyDescent="0.25">
      <c r="D11" s="86"/>
      <c r="E11" s="152"/>
      <c r="F11" s="152"/>
      <c r="G11" s="152"/>
      <c r="H11" s="152"/>
      <c r="I11" s="152"/>
      <c r="J11" s="152"/>
      <c r="K11" s="152"/>
      <c r="L11" s="152"/>
      <c r="M11" s="152"/>
      <c r="N11" s="152"/>
      <c r="O11" s="152"/>
      <c r="P11" s="152"/>
      <c r="Q11" s="152"/>
      <c r="R11" s="152"/>
      <c r="S11" s="152"/>
      <c r="T11" s="152"/>
      <c r="U11" s="86"/>
    </row>
    <row r="12" spans="4:21" ht="15" customHeight="1" x14ac:dyDescent="0.25">
      <c r="D12" s="86"/>
      <c r="E12" s="152"/>
      <c r="F12" s="152"/>
      <c r="G12" s="152"/>
      <c r="H12" s="152"/>
      <c r="I12" s="152"/>
      <c r="J12" s="152"/>
      <c r="K12" s="152"/>
      <c r="L12" s="152"/>
      <c r="M12" s="152"/>
      <c r="N12" s="152"/>
      <c r="O12" s="152"/>
      <c r="P12" s="152"/>
      <c r="Q12" s="152"/>
      <c r="R12" s="152"/>
      <c r="S12" s="152"/>
      <c r="T12" s="152"/>
      <c r="U12" s="86"/>
    </row>
    <row r="13" spans="4:21" ht="15" customHeight="1" x14ac:dyDescent="0.25">
      <c r="D13" s="86"/>
      <c r="E13" s="152"/>
      <c r="F13" s="152"/>
      <c r="G13" s="152"/>
      <c r="H13" s="152"/>
      <c r="I13" s="152"/>
      <c r="J13" s="152"/>
      <c r="K13" s="152"/>
      <c r="L13" s="152"/>
      <c r="M13" s="152"/>
      <c r="N13" s="152"/>
      <c r="O13" s="152"/>
      <c r="P13" s="152"/>
      <c r="Q13" s="152"/>
      <c r="R13" s="152"/>
      <c r="S13" s="152"/>
      <c r="T13" s="152"/>
      <c r="U13" s="86"/>
    </row>
    <row r="14" spans="4:21" ht="15" customHeight="1" x14ac:dyDescent="0.25">
      <c r="D14" s="86"/>
      <c r="E14" s="86"/>
      <c r="F14" s="86"/>
      <c r="G14" s="86"/>
      <c r="H14" s="86"/>
      <c r="I14" s="86"/>
      <c r="J14" s="86"/>
      <c r="K14" s="86"/>
      <c r="L14" s="86"/>
      <c r="M14" s="86"/>
      <c r="N14" s="86"/>
      <c r="O14" s="86"/>
      <c r="P14" s="86"/>
      <c r="Q14" s="86"/>
      <c r="R14" s="86"/>
      <c r="S14" s="86"/>
      <c r="T14" s="86"/>
      <c r="U14" s="86"/>
    </row>
    <row r="15" spans="4:21" ht="15" customHeight="1" x14ac:dyDescent="0.25">
      <c r="D15" s="86"/>
      <c r="E15" s="86"/>
      <c r="F15" s="86"/>
      <c r="G15" s="86"/>
      <c r="H15" s="86"/>
      <c r="I15" s="86"/>
      <c r="J15" s="86"/>
      <c r="K15" s="86"/>
      <c r="L15" s="86"/>
      <c r="M15" s="86"/>
      <c r="N15" s="86"/>
      <c r="O15" s="86"/>
      <c r="P15" s="86"/>
      <c r="Q15" s="86"/>
      <c r="R15" s="86"/>
      <c r="S15" s="86"/>
      <c r="T15" s="86"/>
      <c r="U15" s="86"/>
    </row>
    <row r="16" spans="4:21" ht="15" customHeight="1" x14ac:dyDescent="0.25">
      <c r="D16" s="86"/>
      <c r="E16" s="86"/>
      <c r="F16" s="86"/>
      <c r="G16" s="86"/>
      <c r="H16" s="86"/>
      <c r="I16" s="86"/>
      <c r="J16" s="86"/>
      <c r="K16" s="86"/>
      <c r="L16" s="86"/>
      <c r="M16" s="86"/>
      <c r="N16" s="86"/>
      <c r="O16" s="86"/>
      <c r="P16" s="86"/>
      <c r="Q16" s="86"/>
      <c r="R16" s="86"/>
      <c r="S16" s="86"/>
      <c r="T16" s="86"/>
      <c r="U16" s="86"/>
    </row>
    <row r="17" spans="4:21" ht="15" customHeight="1" x14ac:dyDescent="0.25">
      <c r="D17" s="86"/>
      <c r="E17" s="86"/>
      <c r="F17" s="86"/>
      <c r="G17" s="86"/>
      <c r="H17" s="86"/>
      <c r="I17" s="86"/>
      <c r="J17" s="86"/>
      <c r="K17" s="86"/>
      <c r="L17" s="86"/>
      <c r="M17" s="86"/>
      <c r="N17" s="86"/>
      <c r="O17" s="86"/>
      <c r="P17" s="86"/>
      <c r="Q17" s="86"/>
      <c r="R17" s="86"/>
      <c r="S17" s="86"/>
      <c r="T17" s="86"/>
      <c r="U17" s="86"/>
    </row>
    <row r="18" spans="4:21" ht="15" customHeight="1" x14ac:dyDescent="0.25">
      <c r="D18" s="86"/>
      <c r="E18" s="86"/>
      <c r="F18" s="86"/>
      <c r="G18" s="86"/>
      <c r="H18" s="86"/>
      <c r="I18" s="86"/>
      <c r="J18" s="86"/>
      <c r="K18" s="86"/>
      <c r="L18" s="86"/>
      <c r="M18" s="86"/>
      <c r="N18" s="86"/>
      <c r="O18" s="86"/>
      <c r="P18" s="86"/>
      <c r="Q18" s="86"/>
      <c r="R18" s="86"/>
      <c r="S18" s="86"/>
      <c r="T18" s="86"/>
      <c r="U18" s="86"/>
    </row>
    <row r="19" spans="4:21" ht="15" customHeight="1" x14ac:dyDescent="0.25">
      <c r="D19" s="86"/>
      <c r="E19" s="86"/>
      <c r="F19" s="86"/>
      <c r="G19" s="86"/>
      <c r="H19" s="86"/>
      <c r="I19" s="86"/>
      <c r="J19" s="86"/>
      <c r="K19" s="86"/>
      <c r="L19" s="86"/>
      <c r="M19" s="86"/>
      <c r="N19" s="86"/>
      <c r="O19" s="86"/>
      <c r="P19" s="86"/>
      <c r="Q19" s="86"/>
      <c r="R19" s="86"/>
      <c r="S19" s="86"/>
      <c r="T19" s="86"/>
      <c r="U19" s="86"/>
    </row>
    <row r="20" spans="4:21" ht="15" customHeight="1" x14ac:dyDescent="0.25">
      <c r="D20" s="86"/>
      <c r="E20" s="86"/>
      <c r="F20" s="86"/>
      <c r="G20" s="86"/>
      <c r="H20" s="86"/>
      <c r="I20" s="86"/>
      <c r="J20" s="86"/>
      <c r="K20" s="86"/>
      <c r="L20" s="86"/>
      <c r="M20" s="86"/>
      <c r="N20" s="86"/>
      <c r="O20" s="86"/>
      <c r="P20" s="86"/>
      <c r="Q20" s="86"/>
      <c r="R20" s="86"/>
      <c r="S20" s="86"/>
      <c r="T20" s="86"/>
      <c r="U20" s="86"/>
    </row>
    <row r="21" spans="4:21" ht="15" customHeight="1" x14ac:dyDescent="0.25">
      <c r="D21" s="86"/>
      <c r="E21" s="86"/>
      <c r="F21" s="86"/>
      <c r="G21" s="86"/>
      <c r="H21" s="86"/>
      <c r="I21" s="86"/>
      <c r="J21" s="86"/>
      <c r="K21" s="86"/>
      <c r="L21" s="86"/>
      <c r="M21" s="86"/>
      <c r="N21" s="86"/>
      <c r="O21" s="86"/>
      <c r="P21" s="86"/>
      <c r="Q21" s="86"/>
      <c r="R21" s="86"/>
      <c r="S21" s="86"/>
      <c r="T21" s="86"/>
      <c r="U21" s="86"/>
    </row>
    <row r="22" spans="4:21" ht="15" customHeight="1" x14ac:dyDescent="0.25">
      <c r="D22" s="86"/>
      <c r="E22" s="86"/>
      <c r="F22" s="86"/>
      <c r="G22" s="86"/>
      <c r="H22" s="86"/>
      <c r="I22" s="86"/>
      <c r="J22" s="86"/>
      <c r="K22" s="86"/>
      <c r="L22" s="86"/>
      <c r="M22" s="86"/>
      <c r="N22" s="86"/>
      <c r="O22" s="86"/>
      <c r="P22" s="86"/>
      <c r="Q22" s="86"/>
      <c r="R22" s="86"/>
      <c r="S22" s="86"/>
      <c r="T22" s="86"/>
      <c r="U22" s="86"/>
    </row>
    <row r="23" spans="4:21" ht="15" customHeight="1" x14ac:dyDescent="0.25">
      <c r="D23" s="86"/>
      <c r="E23" s="86"/>
      <c r="F23" s="86"/>
      <c r="G23" s="86"/>
      <c r="H23" s="86"/>
      <c r="I23" s="86"/>
      <c r="J23" s="86"/>
      <c r="K23" s="86"/>
      <c r="L23" s="86"/>
      <c r="M23" s="86"/>
      <c r="N23" s="86"/>
      <c r="O23" s="86"/>
      <c r="P23" s="86"/>
      <c r="Q23" s="86"/>
      <c r="R23" s="86"/>
      <c r="S23" s="86"/>
      <c r="T23" s="86"/>
      <c r="U23" s="86"/>
    </row>
    <row r="24" spans="4:21" ht="15" customHeight="1" x14ac:dyDescent="0.25">
      <c r="D24" s="86"/>
      <c r="E24" s="86"/>
      <c r="F24" s="86"/>
      <c r="G24" s="86"/>
      <c r="H24" s="86"/>
      <c r="I24" s="86"/>
      <c r="J24" s="86"/>
      <c r="K24" s="86"/>
      <c r="L24" s="86"/>
      <c r="M24" s="86"/>
      <c r="N24" s="86"/>
      <c r="O24" s="86"/>
      <c r="P24" s="86"/>
      <c r="Q24" s="86"/>
      <c r="R24" s="86"/>
      <c r="S24" s="86"/>
      <c r="T24" s="86"/>
      <c r="U24" s="86"/>
    </row>
    <row r="25" spans="4:21" ht="15" customHeight="1" x14ac:dyDescent="0.25">
      <c r="D25" s="86"/>
      <c r="E25" s="86"/>
      <c r="F25" s="86"/>
      <c r="G25" s="86"/>
      <c r="H25" s="86"/>
      <c r="I25" s="86"/>
      <c r="J25" s="86"/>
      <c r="K25" s="86"/>
      <c r="L25" s="86"/>
      <c r="M25" s="86"/>
      <c r="N25" s="86"/>
      <c r="O25" s="86"/>
      <c r="P25" s="86"/>
      <c r="Q25" s="86"/>
      <c r="R25" s="86"/>
      <c r="S25" s="86"/>
      <c r="T25" s="86"/>
      <c r="U25" s="86"/>
    </row>
    <row r="26" spans="4:21" ht="15" customHeight="1" x14ac:dyDescent="0.25">
      <c r="D26" s="86"/>
      <c r="E26" s="86"/>
      <c r="F26" s="86"/>
      <c r="G26" s="86"/>
      <c r="H26" s="86"/>
      <c r="I26" s="86"/>
      <c r="J26" s="86"/>
      <c r="K26" s="86"/>
      <c r="L26" s="86"/>
      <c r="M26" s="86"/>
      <c r="N26" s="86"/>
      <c r="O26" s="86"/>
      <c r="P26" s="86"/>
      <c r="Q26" s="86"/>
      <c r="R26" s="86"/>
      <c r="S26" s="86"/>
      <c r="T26" s="86"/>
      <c r="U26" s="86"/>
    </row>
    <row r="27" spans="4:21" ht="15" customHeight="1" x14ac:dyDescent="0.25">
      <c r="D27" s="86"/>
      <c r="E27" s="86"/>
      <c r="F27" s="86"/>
      <c r="G27" s="86"/>
      <c r="H27" s="86"/>
      <c r="I27" s="86"/>
      <c r="J27" s="86"/>
      <c r="K27" s="86"/>
      <c r="L27" s="86"/>
      <c r="M27" s="86"/>
      <c r="N27" s="86"/>
      <c r="O27" s="86"/>
      <c r="P27" s="86"/>
      <c r="Q27" s="86"/>
      <c r="R27" s="86"/>
      <c r="S27" s="86"/>
      <c r="T27" s="86"/>
      <c r="U27" s="86"/>
    </row>
    <row r="28" spans="4:21" ht="15" customHeight="1" x14ac:dyDescent="0.25">
      <c r="D28" s="86"/>
      <c r="E28" s="86"/>
      <c r="F28" s="86"/>
      <c r="G28" s="86"/>
      <c r="H28" s="86"/>
      <c r="I28" s="86"/>
      <c r="J28" s="86"/>
      <c r="K28" s="86"/>
      <c r="L28" s="86"/>
      <c r="M28" s="86"/>
      <c r="N28" s="86"/>
      <c r="O28" s="86"/>
      <c r="P28" s="86"/>
      <c r="Q28" s="86"/>
      <c r="R28" s="86"/>
      <c r="S28" s="86"/>
      <c r="T28" s="86"/>
      <c r="U28" s="86"/>
    </row>
    <row r="29" spans="4:21" ht="15" customHeight="1" x14ac:dyDescent="0.25">
      <c r="D29" s="86"/>
      <c r="E29" s="86"/>
      <c r="F29" s="86"/>
      <c r="G29" s="86"/>
      <c r="H29" s="86"/>
      <c r="I29" s="86"/>
      <c r="J29" s="86"/>
      <c r="K29" s="86"/>
      <c r="L29" s="86"/>
      <c r="M29" s="86"/>
      <c r="N29" s="86"/>
      <c r="O29" s="86"/>
      <c r="P29" s="86"/>
      <c r="Q29" s="86"/>
      <c r="R29" s="86"/>
      <c r="S29" s="86"/>
      <c r="T29" s="86"/>
      <c r="U29" s="86"/>
    </row>
    <row r="30" spans="4:21" ht="15" customHeight="1" x14ac:dyDescent="0.25">
      <c r="D30" s="86"/>
      <c r="E30" s="86"/>
      <c r="F30" s="86"/>
      <c r="G30" s="86"/>
      <c r="H30" s="86"/>
      <c r="I30" s="86"/>
      <c r="J30" s="86"/>
      <c r="K30" s="86"/>
      <c r="L30" s="86"/>
      <c r="M30" s="86"/>
      <c r="N30" s="86"/>
      <c r="O30" s="86"/>
      <c r="P30" s="86"/>
      <c r="Q30" s="86"/>
      <c r="R30" s="86"/>
      <c r="S30" s="86"/>
      <c r="T30" s="86"/>
      <c r="U30" s="86"/>
    </row>
    <row r="31" spans="4:21" ht="15" customHeight="1" x14ac:dyDescent="0.25">
      <c r="D31" s="86"/>
      <c r="E31" s="86"/>
      <c r="F31" s="86"/>
      <c r="G31" s="86"/>
      <c r="H31" s="86"/>
      <c r="I31" s="86"/>
      <c r="J31" s="86"/>
      <c r="K31" s="86"/>
      <c r="L31" s="86"/>
      <c r="M31" s="86"/>
      <c r="N31" s="86"/>
      <c r="O31" s="86"/>
      <c r="P31" s="86"/>
      <c r="Q31" s="86"/>
      <c r="R31" s="86"/>
      <c r="S31" s="86"/>
      <c r="T31" s="86"/>
      <c r="U31" s="86"/>
    </row>
    <row r="32" spans="4:21" ht="15" customHeight="1" x14ac:dyDescent="0.25">
      <c r="D32" s="86"/>
      <c r="E32" s="86"/>
      <c r="F32" s="86"/>
      <c r="G32" s="86"/>
      <c r="H32" s="86"/>
      <c r="I32" s="86"/>
      <c r="J32" s="86"/>
      <c r="K32" s="86"/>
      <c r="L32" s="86"/>
      <c r="M32" s="86"/>
      <c r="N32" s="86"/>
      <c r="O32" s="86"/>
      <c r="P32" s="86"/>
      <c r="Q32" s="86"/>
      <c r="R32" s="86"/>
      <c r="S32" s="86"/>
      <c r="T32" s="86"/>
      <c r="U32" s="86"/>
    </row>
    <row r="33" spans="4:21" ht="15" customHeight="1" x14ac:dyDescent="0.25">
      <c r="D33" s="86"/>
      <c r="E33" s="86"/>
      <c r="F33" s="86"/>
      <c r="G33" s="86"/>
      <c r="H33" s="86"/>
      <c r="I33" s="86"/>
      <c r="J33" s="86"/>
      <c r="K33" s="86"/>
      <c r="L33" s="86"/>
      <c r="M33" s="86"/>
      <c r="N33" s="86"/>
      <c r="O33" s="86"/>
      <c r="P33" s="86"/>
      <c r="Q33" s="86"/>
      <c r="R33" s="86"/>
      <c r="S33" s="86"/>
      <c r="T33" s="86"/>
      <c r="U33" s="86"/>
    </row>
    <row r="34" spans="4:21" ht="15" customHeight="1" x14ac:dyDescent="0.25">
      <c r="D34" s="86"/>
      <c r="E34" s="86"/>
      <c r="F34" s="86"/>
      <c r="G34" s="86"/>
      <c r="H34" s="86"/>
      <c r="I34" s="86"/>
      <c r="J34" s="86"/>
      <c r="K34" s="86"/>
      <c r="L34" s="86"/>
      <c r="M34" s="86"/>
      <c r="N34" s="86"/>
      <c r="O34" s="86"/>
      <c r="P34" s="86"/>
      <c r="Q34" s="86"/>
      <c r="R34" s="86"/>
      <c r="S34" s="86"/>
      <c r="T34" s="86"/>
      <c r="U34" s="86"/>
    </row>
    <row r="35" spans="4:21" ht="15" customHeight="1" x14ac:dyDescent="0.25">
      <c r="D35" s="86"/>
      <c r="E35" s="86"/>
      <c r="F35" s="86"/>
      <c r="G35" s="86"/>
      <c r="H35" s="86"/>
      <c r="I35" s="86"/>
      <c r="J35" s="86"/>
      <c r="K35" s="86"/>
      <c r="L35" s="86"/>
      <c r="M35" s="86"/>
      <c r="N35" s="86"/>
      <c r="O35" s="86"/>
      <c r="P35" s="86"/>
      <c r="Q35" s="86"/>
      <c r="R35" s="86"/>
      <c r="S35" s="86"/>
      <c r="T35" s="86"/>
      <c r="U35" s="86"/>
    </row>
    <row r="36" spans="4:21" ht="15" customHeight="1" x14ac:dyDescent="0.25">
      <c r="D36" s="86"/>
      <c r="E36" s="86"/>
      <c r="F36" s="86"/>
      <c r="G36" s="86"/>
      <c r="H36" s="86"/>
      <c r="I36" s="86"/>
      <c r="J36" s="86"/>
      <c r="K36" s="86"/>
      <c r="L36" s="86"/>
      <c r="M36" s="86"/>
      <c r="N36" s="86"/>
      <c r="O36" s="86"/>
      <c r="P36" s="86"/>
      <c r="Q36" s="86"/>
      <c r="R36" s="86"/>
      <c r="S36" s="86"/>
      <c r="T36" s="86"/>
      <c r="U36" s="86"/>
    </row>
    <row r="37" spans="4:21" ht="15" customHeight="1" x14ac:dyDescent="0.25">
      <c r="D37" s="86"/>
      <c r="E37" s="86"/>
      <c r="F37" s="86"/>
      <c r="G37" s="86"/>
      <c r="H37" s="86"/>
      <c r="I37" s="86"/>
      <c r="J37" s="86"/>
      <c r="K37" s="86"/>
      <c r="L37" s="86"/>
      <c r="M37" s="86"/>
      <c r="N37" s="86"/>
      <c r="O37" s="86"/>
      <c r="P37" s="86"/>
      <c r="Q37" s="86"/>
      <c r="R37" s="86"/>
      <c r="S37" s="86"/>
      <c r="T37" s="86"/>
      <c r="U37" s="86"/>
    </row>
    <row r="38" spans="4:21" ht="15" customHeight="1" x14ac:dyDescent="0.25">
      <c r="D38" s="86"/>
      <c r="E38" s="86"/>
      <c r="F38" s="86"/>
      <c r="G38" s="86"/>
      <c r="H38" s="86"/>
      <c r="I38" s="86"/>
      <c r="J38" s="86"/>
      <c r="K38" s="86"/>
      <c r="L38" s="86"/>
      <c r="M38" s="86"/>
      <c r="N38" s="86"/>
      <c r="O38" s="86"/>
      <c r="P38" s="86"/>
      <c r="Q38" s="86"/>
      <c r="R38" s="86"/>
      <c r="S38" s="86"/>
      <c r="T38" s="86"/>
      <c r="U38" s="86"/>
    </row>
    <row r="39" spans="4:21" ht="15" customHeight="1" x14ac:dyDescent="0.25">
      <c r="D39" s="86"/>
      <c r="E39" s="86"/>
      <c r="F39" s="86"/>
      <c r="G39" s="86"/>
      <c r="H39" s="86"/>
      <c r="I39" s="86"/>
      <c r="J39" s="86"/>
      <c r="K39" s="86"/>
      <c r="L39" s="86"/>
      <c r="M39" s="86"/>
      <c r="N39" s="86"/>
      <c r="O39" s="86"/>
      <c r="P39" s="86"/>
      <c r="Q39" s="86"/>
      <c r="R39" s="86"/>
      <c r="S39" s="86"/>
      <c r="T39" s="86"/>
      <c r="U39" s="86"/>
    </row>
    <row r="40" spans="4:21" ht="15" customHeight="1" x14ac:dyDescent="0.25">
      <c r="D40" s="86"/>
      <c r="E40" s="86"/>
      <c r="F40" s="86"/>
      <c r="G40" s="86"/>
      <c r="H40" s="86"/>
      <c r="I40" s="86"/>
      <c r="J40" s="86"/>
      <c r="K40" s="86"/>
      <c r="L40" s="86"/>
      <c r="M40" s="86"/>
      <c r="N40" s="86"/>
      <c r="O40" s="86"/>
      <c r="P40" s="86"/>
      <c r="Q40" s="86"/>
      <c r="R40" s="86"/>
      <c r="S40" s="86"/>
      <c r="T40" s="86"/>
      <c r="U40" s="86"/>
    </row>
    <row r="41" spans="4:21" ht="15" customHeight="1" x14ac:dyDescent="0.25">
      <c r="D41" s="86"/>
      <c r="E41" s="86"/>
      <c r="F41" s="86"/>
      <c r="G41" s="86"/>
      <c r="H41" s="86"/>
      <c r="I41" s="86"/>
      <c r="J41" s="86"/>
      <c r="K41" s="86"/>
      <c r="L41" s="86"/>
      <c r="M41" s="86"/>
      <c r="N41" s="86"/>
      <c r="O41" s="86"/>
      <c r="P41" s="86"/>
      <c r="Q41" s="86"/>
      <c r="R41" s="86"/>
      <c r="S41" s="86"/>
      <c r="T41" s="86"/>
      <c r="U41" s="86"/>
    </row>
    <row r="42" spans="4:21" ht="15" customHeight="1" x14ac:dyDescent="0.25">
      <c r="D42" s="86"/>
      <c r="E42" s="86"/>
      <c r="F42" s="86"/>
      <c r="G42" s="86"/>
      <c r="H42" s="86"/>
      <c r="I42" s="86"/>
      <c r="J42" s="86"/>
      <c r="K42" s="86"/>
      <c r="L42" s="86"/>
      <c r="M42" s="86"/>
      <c r="N42" s="86"/>
      <c r="O42" s="86"/>
      <c r="P42" s="86"/>
      <c r="Q42" s="86"/>
      <c r="R42" s="86"/>
      <c r="S42" s="86"/>
      <c r="T42" s="86"/>
      <c r="U42" s="86"/>
    </row>
    <row r="43" spans="4:21" ht="15" customHeight="1" x14ac:dyDescent="0.25">
      <c r="D43" s="86"/>
      <c r="E43" s="86"/>
      <c r="F43" s="86"/>
      <c r="G43" s="86"/>
      <c r="H43" s="86"/>
      <c r="I43" s="86"/>
      <c r="J43" s="86"/>
      <c r="K43" s="86"/>
      <c r="L43" s="86"/>
      <c r="M43" s="86"/>
      <c r="N43" s="86"/>
      <c r="O43" s="86"/>
      <c r="P43" s="86"/>
      <c r="Q43" s="86"/>
      <c r="R43" s="86"/>
      <c r="S43" s="86"/>
      <c r="T43" s="86"/>
      <c r="U43" s="86"/>
    </row>
    <row r="44" spans="4:21" ht="15" customHeight="1" x14ac:dyDescent="0.25">
      <c r="D44" s="86"/>
      <c r="E44" s="86"/>
      <c r="F44" s="86"/>
      <c r="G44" s="86"/>
      <c r="H44" s="86"/>
      <c r="I44" s="86"/>
      <c r="J44" s="86"/>
      <c r="K44" s="86"/>
      <c r="L44" s="86"/>
      <c r="M44" s="86"/>
      <c r="N44" s="86"/>
      <c r="O44" s="86"/>
      <c r="P44" s="86"/>
      <c r="Q44" s="86"/>
      <c r="R44" s="86"/>
      <c r="S44" s="86"/>
      <c r="T44" s="86"/>
      <c r="U44" s="86"/>
    </row>
    <row r="45" spans="4:21" ht="15" customHeight="1" x14ac:dyDescent="0.25">
      <c r="D45" s="86"/>
      <c r="E45" s="86"/>
      <c r="F45" s="86"/>
      <c r="G45" s="86"/>
      <c r="H45" s="86"/>
      <c r="I45" s="86"/>
      <c r="J45" s="86"/>
      <c r="K45" s="86"/>
      <c r="L45" s="86"/>
      <c r="M45" s="86"/>
      <c r="N45" s="86"/>
      <c r="O45" s="86"/>
      <c r="P45" s="86"/>
      <c r="Q45" s="86"/>
      <c r="R45" s="86"/>
      <c r="S45" s="86"/>
      <c r="T45" s="86"/>
      <c r="U45" s="86"/>
    </row>
    <row r="46" spans="4:21" ht="15" customHeight="1" x14ac:dyDescent="0.25">
      <c r="D46" s="86"/>
      <c r="E46" s="87"/>
      <c r="F46" s="86"/>
      <c r="G46" s="86"/>
      <c r="H46" s="86"/>
      <c r="I46" s="86"/>
      <c r="J46" s="86"/>
      <c r="K46" s="86"/>
      <c r="L46" s="86"/>
      <c r="M46" s="86"/>
      <c r="N46" s="86"/>
      <c r="O46" s="86"/>
      <c r="P46" s="86"/>
      <c r="Q46" s="86"/>
      <c r="R46" s="86"/>
      <c r="S46" s="86"/>
      <c r="T46" s="86"/>
      <c r="U46" s="86"/>
    </row>
    <row r="47" spans="4:21" ht="15" customHeight="1" x14ac:dyDescent="0.25">
      <c r="D47" s="86"/>
      <c r="E47" s="86"/>
      <c r="F47" s="86"/>
      <c r="G47" s="86"/>
      <c r="H47" s="86"/>
      <c r="I47" s="86"/>
      <c r="J47" s="86"/>
      <c r="K47" s="86"/>
      <c r="L47" s="86"/>
      <c r="M47" s="86"/>
      <c r="N47" s="86"/>
      <c r="O47" s="86"/>
      <c r="P47" s="86"/>
      <c r="Q47" s="86"/>
      <c r="R47" s="86"/>
      <c r="S47" s="86"/>
      <c r="T47" s="86"/>
      <c r="U47" s="86"/>
    </row>
    <row r="48" spans="4:21" ht="15" customHeight="1" x14ac:dyDescent="0.25">
      <c r="D48" s="86"/>
      <c r="E48" s="152" t="s">
        <v>14</v>
      </c>
      <c r="F48" s="152"/>
      <c r="G48" s="152"/>
      <c r="H48" s="152"/>
      <c r="I48" s="152"/>
      <c r="J48" s="152"/>
      <c r="K48" s="152"/>
      <c r="L48" s="152"/>
      <c r="M48" s="152"/>
      <c r="N48" s="152"/>
      <c r="O48" s="152"/>
      <c r="P48" s="152"/>
      <c r="Q48" s="152"/>
      <c r="R48" s="152"/>
      <c r="S48" s="152"/>
      <c r="T48" s="152"/>
      <c r="U48" s="86"/>
    </row>
    <row r="49" spans="4:21" ht="15" customHeight="1" x14ac:dyDescent="0.25">
      <c r="D49" s="86"/>
      <c r="E49" s="152"/>
      <c r="F49" s="152"/>
      <c r="G49" s="152"/>
      <c r="H49" s="152"/>
      <c r="I49" s="152"/>
      <c r="J49" s="152"/>
      <c r="K49" s="152"/>
      <c r="L49" s="152"/>
      <c r="M49" s="152"/>
      <c r="N49" s="152"/>
      <c r="O49" s="152"/>
      <c r="P49" s="152"/>
      <c r="Q49" s="152"/>
      <c r="R49" s="152"/>
      <c r="S49" s="152"/>
      <c r="T49" s="152"/>
      <c r="U49" s="86"/>
    </row>
    <row r="50" spans="4:21" ht="15" customHeight="1" x14ac:dyDescent="0.25">
      <c r="D50" s="86"/>
      <c r="E50" s="152"/>
      <c r="F50" s="152"/>
      <c r="G50" s="152"/>
      <c r="H50" s="152"/>
      <c r="I50" s="152"/>
      <c r="J50" s="152"/>
      <c r="K50" s="152"/>
      <c r="L50" s="152"/>
      <c r="M50" s="152"/>
      <c r="N50" s="152"/>
      <c r="O50" s="152"/>
      <c r="P50" s="152"/>
      <c r="Q50" s="152"/>
      <c r="R50" s="152"/>
      <c r="S50" s="152"/>
      <c r="T50" s="152"/>
      <c r="U50" s="86"/>
    </row>
    <row r="51" spans="4:21" ht="15" customHeight="1" x14ac:dyDescent="0.25">
      <c r="D51" s="86"/>
      <c r="E51" s="152"/>
      <c r="F51" s="152"/>
      <c r="G51" s="152"/>
      <c r="H51" s="152"/>
      <c r="I51" s="152"/>
      <c r="J51" s="152"/>
      <c r="K51" s="152"/>
      <c r="L51" s="152"/>
      <c r="M51" s="152"/>
      <c r="N51" s="152"/>
      <c r="O51" s="152"/>
      <c r="P51" s="152"/>
      <c r="Q51" s="152"/>
      <c r="R51" s="152"/>
      <c r="S51" s="152"/>
      <c r="T51" s="152"/>
      <c r="U51" s="86"/>
    </row>
    <row r="52" spans="4:21" ht="15" customHeight="1" x14ac:dyDescent="0.25">
      <c r="D52" s="86"/>
      <c r="E52" s="152"/>
      <c r="F52" s="152"/>
      <c r="G52" s="152"/>
      <c r="H52" s="152"/>
      <c r="I52" s="152"/>
      <c r="J52" s="152"/>
      <c r="K52" s="152"/>
      <c r="L52" s="152"/>
      <c r="M52" s="152"/>
      <c r="N52" s="152"/>
      <c r="O52" s="152"/>
      <c r="P52" s="152"/>
      <c r="Q52" s="152"/>
      <c r="R52" s="152"/>
      <c r="S52" s="152"/>
      <c r="T52" s="152"/>
      <c r="U52" s="86"/>
    </row>
    <row r="53" spans="4:21" ht="15" customHeight="1" x14ac:dyDescent="0.25">
      <c r="D53" s="86"/>
      <c r="E53" s="152"/>
      <c r="F53" s="152"/>
      <c r="G53" s="152"/>
      <c r="H53" s="152"/>
      <c r="I53" s="152"/>
      <c r="J53" s="152"/>
      <c r="K53" s="152"/>
      <c r="L53" s="152"/>
      <c r="M53" s="152"/>
      <c r="N53" s="152"/>
      <c r="O53" s="152"/>
      <c r="P53" s="152"/>
      <c r="Q53" s="152"/>
      <c r="R53" s="152"/>
      <c r="S53" s="152"/>
      <c r="T53" s="152"/>
      <c r="U53" s="86"/>
    </row>
    <row r="54" spans="4:21" ht="15" customHeight="1" x14ac:dyDescent="0.25">
      <c r="D54" s="86"/>
      <c r="E54" s="86"/>
      <c r="F54" s="86"/>
      <c r="G54" s="86"/>
      <c r="H54" s="86"/>
      <c r="I54" s="86"/>
      <c r="J54" s="86"/>
      <c r="K54" s="86"/>
      <c r="L54" s="86"/>
      <c r="M54" s="86"/>
      <c r="N54" s="86"/>
      <c r="O54" s="86"/>
      <c r="P54" s="86"/>
      <c r="Q54" s="86"/>
      <c r="R54" s="86"/>
      <c r="S54" s="86"/>
      <c r="T54" s="86"/>
      <c r="U54" s="86"/>
    </row>
    <row r="55" spans="4:21" ht="15" customHeight="1" x14ac:dyDescent="0.25">
      <c r="D55" s="86"/>
      <c r="E55" s="86"/>
      <c r="F55" s="86"/>
      <c r="G55" s="86"/>
      <c r="H55" s="86"/>
      <c r="I55" s="86"/>
      <c r="J55" s="86"/>
      <c r="K55" s="86"/>
      <c r="L55" s="86"/>
      <c r="M55" s="86"/>
      <c r="N55" s="86"/>
      <c r="O55" s="86"/>
      <c r="P55" s="86"/>
      <c r="Q55" s="86"/>
      <c r="R55" s="86"/>
      <c r="S55" s="86"/>
      <c r="T55" s="86"/>
      <c r="U55" s="86"/>
    </row>
    <row r="56" spans="4:21" ht="15" customHeight="1" x14ac:dyDescent="0.25">
      <c r="D56" s="86"/>
      <c r="E56" s="86"/>
      <c r="F56" s="86"/>
      <c r="G56" s="86"/>
      <c r="H56" s="86"/>
      <c r="I56" s="86"/>
      <c r="J56" s="86"/>
      <c r="K56" s="86"/>
      <c r="L56" s="86"/>
      <c r="M56" s="86"/>
      <c r="N56" s="86"/>
      <c r="O56" s="86"/>
      <c r="P56" s="86"/>
      <c r="Q56" s="86"/>
      <c r="R56" s="86"/>
      <c r="S56" s="86"/>
      <c r="T56" s="86"/>
      <c r="U56" s="86"/>
    </row>
    <row r="57" spans="4:21" ht="15" customHeight="1" x14ac:dyDescent="0.25">
      <c r="D57" s="86"/>
      <c r="E57" s="86"/>
      <c r="F57" s="86"/>
      <c r="G57" s="86"/>
      <c r="H57" s="86"/>
      <c r="I57" s="86"/>
      <c r="J57" s="86"/>
      <c r="K57" s="86"/>
      <c r="L57" s="86"/>
      <c r="M57" s="86"/>
      <c r="N57" s="86"/>
      <c r="O57" s="86"/>
      <c r="P57" s="86"/>
      <c r="Q57" s="86"/>
      <c r="R57" s="86"/>
      <c r="S57" s="86"/>
      <c r="T57" s="86"/>
      <c r="U57" s="86"/>
    </row>
    <row r="58" spans="4:21" ht="15" customHeight="1" x14ac:dyDescent="0.25">
      <c r="D58" s="86"/>
      <c r="E58" s="86"/>
      <c r="F58" s="86"/>
      <c r="G58" s="86"/>
      <c r="H58" s="86"/>
      <c r="I58" s="86"/>
      <c r="J58" s="86"/>
      <c r="K58" s="86"/>
      <c r="L58" s="86"/>
      <c r="M58" s="86"/>
      <c r="N58" s="86"/>
      <c r="O58" s="86"/>
      <c r="P58" s="86"/>
      <c r="Q58" s="86"/>
      <c r="R58" s="86"/>
      <c r="S58" s="86"/>
      <c r="T58" s="86"/>
      <c r="U58" s="86"/>
    </row>
    <row r="59" spans="4:21" ht="15" customHeight="1" x14ac:dyDescent="0.25">
      <c r="D59" s="86"/>
      <c r="E59" s="86"/>
      <c r="F59" s="86"/>
      <c r="G59" s="86"/>
      <c r="H59" s="86"/>
      <c r="I59" s="86"/>
      <c r="J59" s="86"/>
      <c r="K59" s="86"/>
      <c r="L59" s="86"/>
      <c r="M59" s="86"/>
      <c r="N59" s="86"/>
      <c r="O59" s="86"/>
      <c r="P59" s="86"/>
      <c r="Q59" s="86"/>
      <c r="R59" s="86"/>
      <c r="S59" s="86"/>
      <c r="T59" s="86"/>
      <c r="U59" s="86"/>
    </row>
    <row r="60" spans="4:21" ht="15" customHeight="1" x14ac:dyDescent="0.25">
      <c r="D60" s="86"/>
      <c r="E60" s="86"/>
      <c r="F60" s="86"/>
      <c r="G60" s="86"/>
      <c r="H60" s="86"/>
      <c r="I60" s="86"/>
      <c r="J60" s="86"/>
      <c r="K60" s="86"/>
      <c r="L60" s="86"/>
      <c r="M60" s="86"/>
      <c r="N60" s="86"/>
      <c r="O60" s="86"/>
      <c r="P60" s="86"/>
      <c r="Q60" s="86"/>
      <c r="R60" s="86"/>
      <c r="S60" s="86"/>
      <c r="T60" s="86"/>
      <c r="U60" s="86"/>
    </row>
    <row r="61" spans="4:21" ht="15" customHeight="1" x14ac:dyDescent="0.25">
      <c r="D61" s="86"/>
      <c r="E61" s="86"/>
      <c r="F61" s="86"/>
      <c r="G61" s="86"/>
      <c r="H61" s="86"/>
      <c r="I61" s="86"/>
      <c r="J61" s="86"/>
      <c r="K61" s="86"/>
      <c r="L61" s="86"/>
      <c r="M61" s="86"/>
      <c r="N61" s="86"/>
      <c r="O61" s="86"/>
      <c r="P61" s="86"/>
      <c r="Q61" s="86"/>
      <c r="R61" s="86"/>
      <c r="S61" s="86"/>
      <c r="T61" s="86"/>
      <c r="U61" s="86"/>
    </row>
    <row r="62" spans="4:21" ht="15" customHeight="1" x14ac:dyDescent="0.25">
      <c r="D62" s="86"/>
      <c r="E62" s="86"/>
      <c r="F62" s="86"/>
      <c r="G62" s="86"/>
      <c r="H62" s="86"/>
      <c r="I62" s="86"/>
      <c r="J62" s="86"/>
      <c r="K62" s="86"/>
      <c r="L62" s="86"/>
      <c r="M62" s="86"/>
      <c r="N62" s="86"/>
      <c r="O62" s="86"/>
      <c r="P62" s="86"/>
      <c r="Q62" s="86"/>
      <c r="R62" s="86"/>
      <c r="S62" s="86"/>
      <c r="T62" s="86"/>
      <c r="U62" s="86"/>
    </row>
    <row r="63" spans="4:21" ht="15" customHeight="1" x14ac:dyDescent="0.25">
      <c r="D63" s="86"/>
      <c r="E63" s="86"/>
      <c r="F63" s="86"/>
      <c r="G63" s="86"/>
      <c r="H63" s="86"/>
      <c r="I63" s="86"/>
      <c r="J63" s="86"/>
      <c r="K63" s="86"/>
      <c r="L63" s="86"/>
      <c r="M63" s="86"/>
      <c r="N63" s="86"/>
      <c r="O63" s="86"/>
      <c r="P63" s="86"/>
      <c r="Q63" s="86"/>
      <c r="R63" s="86"/>
      <c r="S63" s="86"/>
      <c r="T63" s="86"/>
      <c r="U63" s="86"/>
    </row>
    <row r="64" spans="4:21" ht="15" customHeight="1" x14ac:dyDescent="0.25">
      <c r="D64" s="86"/>
      <c r="E64" s="86"/>
      <c r="F64" s="86"/>
      <c r="G64" s="86"/>
      <c r="H64" s="86"/>
      <c r="I64" s="86"/>
      <c r="J64" s="86"/>
      <c r="K64" s="86"/>
      <c r="L64" s="86"/>
      <c r="M64" s="86"/>
      <c r="N64" s="86"/>
      <c r="O64" s="86"/>
      <c r="P64" s="86"/>
      <c r="Q64" s="86"/>
      <c r="R64" s="86"/>
      <c r="S64" s="86"/>
      <c r="T64" s="86"/>
      <c r="U64" s="86"/>
    </row>
    <row r="65" spans="4:21" ht="15" customHeight="1" x14ac:dyDescent="0.25">
      <c r="D65" s="86"/>
      <c r="E65" s="86"/>
      <c r="F65" s="86"/>
      <c r="G65" s="86"/>
      <c r="H65" s="86"/>
      <c r="I65" s="86"/>
      <c r="J65" s="86"/>
      <c r="K65" s="86"/>
      <c r="L65" s="86"/>
      <c r="M65" s="86"/>
      <c r="N65" s="86"/>
      <c r="O65" s="86"/>
      <c r="P65" s="86"/>
      <c r="Q65" s="86"/>
      <c r="R65" s="86"/>
      <c r="S65" s="86"/>
      <c r="T65" s="86"/>
      <c r="U65" s="86"/>
    </row>
    <row r="66" spans="4:21" ht="15" customHeight="1" x14ac:dyDescent="0.25">
      <c r="D66" s="86"/>
      <c r="E66" s="86"/>
      <c r="F66" s="86"/>
      <c r="G66" s="86"/>
      <c r="H66" s="86"/>
      <c r="I66" s="86"/>
      <c r="J66" s="86"/>
      <c r="K66" s="86"/>
      <c r="L66" s="86"/>
      <c r="M66" s="86"/>
      <c r="N66" s="86"/>
      <c r="O66" s="86"/>
      <c r="P66" s="86"/>
      <c r="Q66" s="86"/>
      <c r="R66" s="86"/>
      <c r="S66" s="86"/>
      <c r="T66" s="86"/>
      <c r="U66" s="86"/>
    </row>
    <row r="67" spans="4:21" ht="15" customHeight="1" x14ac:dyDescent="0.25">
      <c r="D67" s="86"/>
      <c r="E67" s="86"/>
      <c r="F67" s="86"/>
      <c r="G67" s="86"/>
      <c r="H67" s="86"/>
      <c r="I67" s="86"/>
      <c r="J67" s="86"/>
      <c r="K67" s="86"/>
      <c r="L67" s="86"/>
      <c r="M67" s="86"/>
      <c r="N67" s="86"/>
      <c r="O67" s="86"/>
      <c r="P67" s="86"/>
      <c r="Q67" s="86"/>
      <c r="R67" s="86"/>
      <c r="S67" s="86"/>
      <c r="T67" s="86"/>
      <c r="U67" s="86"/>
    </row>
    <row r="68" spans="4:21" ht="15" customHeight="1" x14ac:dyDescent="0.25">
      <c r="D68" s="86"/>
      <c r="E68" s="86"/>
      <c r="F68" s="86"/>
      <c r="G68" s="86"/>
      <c r="H68" s="86"/>
      <c r="I68" s="86"/>
      <c r="J68" s="86"/>
      <c r="K68" s="86"/>
      <c r="L68" s="86"/>
      <c r="M68" s="86"/>
      <c r="N68" s="86"/>
      <c r="O68" s="86"/>
      <c r="P68" s="86"/>
      <c r="Q68" s="86"/>
      <c r="R68" s="86"/>
      <c r="S68" s="86"/>
      <c r="T68" s="86"/>
      <c r="U68" s="86"/>
    </row>
    <row r="69" spans="4:21" ht="15" customHeight="1" x14ac:dyDescent="0.25">
      <c r="D69" s="86"/>
      <c r="E69" s="86"/>
      <c r="F69" s="86"/>
      <c r="G69" s="86"/>
      <c r="H69" s="86"/>
      <c r="I69" s="86"/>
      <c r="J69" s="86"/>
      <c r="K69" s="86"/>
      <c r="L69" s="86"/>
      <c r="M69" s="86"/>
      <c r="N69" s="86"/>
      <c r="O69" s="86"/>
      <c r="P69" s="86"/>
      <c r="Q69" s="86"/>
      <c r="R69" s="86"/>
      <c r="S69" s="86"/>
      <c r="T69" s="86"/>
      <c r="U69" s="86"/>
    </row>
    <row r="70" spans="4:21" ht="15" customHeight="1" x14ac:dyDescent="0.25">
      <c r="D70" s="86"/>
      <c r="E70" s="86"/>
      <c r="F70" s="86"/>
      <c r="G70" s="86"/>
      <c r="H70" s="86"/>
      <c r="I70" s="86"/>
      <c r="J70" s="86"/>
      <c r="K70" s="86"/>
      <c r="L70" s="86"/>
      <c r="M70" s="86"/>
      <c r="N70" s="86"/>
      <c r="O70" s="86"/>
      <c r="P70" s="86"/>
      <c r="Q70" s="86"/>
      <c r="R70" s="86"/>
      <c r="S70" s="86"/>
      <c r="T70" s="86"/>
      <c r="U70" s="86"/>
    </row>
    <row r="71" spans="4:21" ht="15" customHeight="1" x14ac:dyDescent="0.25">
      <c r="D71" s="86"/>
      <c r="E71" s="86"/>
      <c r="F71" s="86"/>
      <c r="G71" s="86"/>
      <c r="H71" s="86"/>
      <c r="I71" s="86"/>
      <c r="J71" s="86"/>
      <c r="K71" s="86"/>
      <c r="L71" s="86"/>
      <c r="M71" s="86"/>
      <c r="N71" s="86"/>
      <c r="O71" s="86"/>
      <c r="P71" s="86"/>
      <c r="Q71" s="86"/>
      <c r="R71" s="86"/>
      <c r="S71" s="86"/>
      <c r="T71" s="86"/>
      <c r="U71" s="86"/>
    </row>
    <row r="72" spans="4:21" ht="15" customHeight="1" x14ac:dyDescent="0.25">
      <c r="D72" s="86"/>
      <c r="E72" s="86"/>
      <c r="F72" s="86"/>
      <c r="G72" s="86"/>
      <c r="H72" s="86"/>
      <c r="I72" s="86"/>
      <c r="J72" s="86"/>
      <c r="K72" s="86"/>
      <c r="L72" s="86"/>
      <c r="M72" s="86"/>
      <c r="N72" s="86"/>
      <c r="O72" s="86"/>
      <c r="P72" s="86"/>
      <c r="Q72" s="86"/>
      <c r="R72" s="86"/>
      <c r="S72" s="86"/>
      <c r="T72" s="86"/>
      <c r="U72" s="86"/>
    </row>
    <row r="73" spans="4:21" ht="15" customHeight="1" x14ac:dyDescent="0.25">
      <c r="D73" s="86"/>
      <c r="E73" s="86"/>
      <c r="F73" s="86"/>
      <c r="G73" s="86"/>
      <c r="H73" s="86"/>
      <c r="I73" s="86"/>
      <c r="J73" s="86"/>
      <c r="K73" s="86"/>
      <c r="L73" s="86"/>
      <c r="M73" s="86"/>
      <c r="N73" s="86"/>
      <c r="O73" s="86"/>
      <c r="P73" s="86"/>
      <c r="Q73" s="86"/>
      <c r="R73" s="86"/>
      <c r="S73" s="86"/>
      <c r="T73" s="86"/>
      <c r="U73" s="86"/>
    </row>
    <row r="74" spans="4:21" ht="15" customHeight="1" x14ac:dyDescent="0.25">
      <c r="D74" s="86"/>
      <c r="E74" s="86"/>
      <c r="F74" s="86"/>
      <c r="G74" s="86"/>
      <c r="H74" s="86"/>
      <c r="I74" s="86"/>
      <c r="J74" s="86"/>
      <c r="K74" s="86"/>
      <c r="L74" s="86"/>
      <c r="M74" s="86"/>
      <c r="N74" s="86"/>
      <c r="O74" s="86"/>
      <c r="P74" s="86"/>
      <c r="Q74" s="86"/>
      <c r="R74" s="86"/>
      <c r="S74" s="86"/>
      <c r="T74" s="86"/>
      <c r="U74" s="86"/>
    </row>
    <row r="75" spans="4:21" ht="15" customHeight="1" x14ac:dyDescent="0.25">
      <c r="D75" s="86"/>
      <c r="E75" s="86"/>
      <c r="F75" s="86"/>
      <c r="G75" s="86"/>
      <c r="H75" s="86"/>
      <c r="I75" s="86"/>
      <c r="J75" s="86"/>
      <c r="K75" s="86"/>
      <c r="L75" s="86"/>
      <c r="M75" s="86"/>
      <c r="N75" s="86"/>
      <c r="O75" s="86"/>
      <c r="P75" s="86"/>
      <c r="Q75" s="86"/>
      <c r="R75" s="86"/>
      <c r="S75" s="86"/>
      <c r="T75" s="86"/>
      <c r="U75" s="86"/>
    </row>
    <row r="76" spans="4:21" ht="15" customHeight="1" x14ac:dyDescent="0.25">
      <c r="D76" s="86"/>
      <c r="E76" s="86"/>
      <c r="F76" s="86"/>
      <c r="G76" s="86"/>
      <c r="H76" s="86"/>
      <c r="I76" s="86"/>
      <c r="J76" s="86"/>
      <c r="K76" s="86"/>
      <c r="L76" s="86"/>
      <c r="M76" s="86"/>
      <c r="N76" s="86"/>
      <c r="O76" s="86"/>
      <c r="P76" s="86"/>
      <c r="Q76" s="86"/>
      <c r="R76" s="86"/>
      <c r="S76" s="86"/>
      <c r="T76" s="86"/>
      <c r="U76" s="86"/>
    </row>
    <row r="77" spans="4:21" ht="15" customHeight="1" x14ac:dyDescent="0.25">
      <c r="D77" s="86"/>
      <c r="E77" s="86"/>
      <c r="F77" s="86"/>
      <c r="G77" s="86"/>
      <c r="H77" s="86"/>
      <c r="I77" s="86"/>
      <c r="J77" s="86"/>
      <c r="K77" s="86"/>
      <c r="L77" s="86"/>
      <c r="M77" s="86"/>
      <c r="N77" s="86"/>
      <c r="O77" s="86"/>
      <c r="P77" s="86"/>
      <c r="Q77" s="86"/>
      <c r="R77" s="86"/>
      <c r="S77" s="86"/>
      <c r="T77" s="86"/>
      <c r="U77" s="86"/>
    </row>
    <row r="78" spans="4:21" ht="15" customHeight="1" x14ac:dyDescent="0.25">
      <c r="D78" s="86"/>
      <c r="E78" s="86"/>
      <c r="F78" s="86"/>
      <c r="G78" s="86"/>
      <c r="H78" s="86"/>
      <c r="I78" s="86"/>
      <c r="J78" s="86"/>
      <c r="K78" s="86"/>
      <c r="L78" s="86"/>
      <c r="M78" s="86"/>
      <c r="N78" s="86"/>
      <c r="O78" s="86"/>
      <c r="P78" s="86"/>
      <c r="Q78" s="86"/>
      <c r="R78" s="86"/>
      <c r="S78" s="86"/>
      <c r="T78" s="86"/>
      <c r="U78" s="86"/>
    </row>
    <row r="79" spans="4:21" ht="15" customHeight="1" x14ac:dyDescent="0.25">
      <c r="D79" s="86"/>
      <c r="E79" s="86"/>
      <c r="F79" s="86"/>
      <c r="G79" s="86"/>
      <c r="H79" s="86"/>
      <c r="I79" s="86"/>
      <c r="J79" s="86"/>
      <c r="K79" s="86"/>
      <c r="L79" s="86"/>
      <c r="M79" s="86"/>
      <c r="N79" s="86"/>
      <c r="O79" s="86"/>
      <c r="P79" s="86"/>
      <c r="Q79" s="86"/>
      <c r="R79" s="86"/>
      <c r="S79" s="86"/>
      <c r="T79" s="86"/>
      <c r="U79" s="86"/>
    </row>
    <row r="80" spans="4:21" ht="15" customHeight="1" x14ac:dyDescent="0.25">
      <c r="D80" s="86"/>
      <c r="E80" s="86"/>
      <c r="F80" s="86"/>
      <c r="G80" s="86"/>
      <c r="H80" s="86"/>
      <c r="I80" s="86"/>
      <c r="J80" s="86"/>
      <c r="K80" s="86"/>
      <c r="L80" s="86"/>
      <c r="M80" s="86"/>
      <c r="N80" s="86"/>
      <c r="O80" s="86"/>
      <c r="P80" s="86"/>
      <c r="Q80" s="86"/>
      <c r="R80" s="86"/>
      <c r="S80" s="86"/>
      <c r="T80" s="86"/>
      <c r="U80" s="86"/>
    </row>
    <row r="81" spans="4:21" ht="15" customHeight="1" x14ac:dyDescent="0.25">
      <c r="D81" s="86"/>
      <c r="E81" s="86"/>
      <c r="F81" s="86"/>
      <c r="G81" s="86"/>
      <c r="H81" s="86"/>
      <c r="I81" s="86"/>
      <c r="J81" s="86"/>
      <c r="K81" s="86"/>
      <c r="L81" s="86"/>
      <c r="M81" s="86"/>
      <c r="N81" s="86"/>
      <c r="O81" s="86"/>
      <c r="P81" s="86"/>
      <c r="Q81" s="86"/>
      <c r="R81" s="86"/>
      <c r="S81" s="86"/>
      <c r="T81" s="86"/>
      <c r="U81" s="86"/>
    </row>
    <row r="82" spans="4:21" ht="15" customHeight="1" x14ac:dyDescent="0.25">
      <c r="D82" s="86"/>
      <c r="E82" s="86"/>
      <c r="F82" s="86"/>
      <c r="G82" s="86"/>
      <c r="H82" s="86"/>
      <c r="I82" s="86"/>
      <c r="J82" s="86"/>
      <c r="K82" s="86"/>
      <c r="L82" s="86"/>
      <c r="M82" s="86"/>
      <c r="N82" s="86"/>
      <c r="O82" s="86"/>
      <c r="P82" s="86"/>
      <c r="Q82" s="86"/>
      <c r="R82" s="86"/>
      <c r="S82" s="86"/>
      <c r="T82" s="86"/>
      <c r="U82" s="86"/>
    </row>
    <row r="83" spans="4:21" ht="15" customHeight="1" x14ac:dyDescent="0.25">
      <c r="D83" s="86"/>
      <c r="E83" s="86"/>
      <c r="F83" s="86"/>
      <c r="G83" s="86"/>
      <c r="H83" s="86"/>
      <c r="I83" s="86"/>
      <c r="J83" s="86"/>
      <c r="K83" s="86"/>
      <c r="L83" s="86"/>
      <c r="M83" s="86"/>
      <c r="N83" s="86"/>
      <c r="O83" s="86"/>
      <c r="P83" s="86"/>
      <c r="Q83" s="86"/>
      <c r="R83" s="86"/>
      <c r="S83" s="86"/>
      <c r="T83" s="86"/>
      <c r="U83" s="86"/>
    </row>
    <row r="84" spans="4:21" ht="15" customHeight="1" x14ac:dyDescent="0.25">
      <c r="D84" s="86"/>
      <c r="E84" s="86"/>
      <c r="F84" s="86"/>
      <c r="G84" s="86"/>
      <c r="H84" s="86"/>
      <c r="I84" s="86"/>
      <c r="J84" s="86"/>
      <c r="K84" s="86"/>
      <c r="L84" s="86"/>
      <c r="M84" s="86"/>
      <c r="N84" s="86"/>
      <c r="O84" s="86"/>
      <c r="P84" s="86"/>
      <c r="Q84" s="86"/>
      <c r="R84" s="86"/>
      <c r="S84" s="86"/>
      <c r="T84" s="86"/>
      <c r="U84" s="86"/>
    </row>
    <row r="85" spans="4:21" ht="15" customHeight="1" x14ac:dyDescent="0.25">
      <c r="D85" s="86"/>
      <c r="E85" s="88"/>
      <c r="F85" s="86"/>
      <c r="G85" s="86"/>
      <c r="H85" s="86"/>
      <c r="I85" s="86"/>
      <c r="J85" s="86"/>
      <c r="K85" s="86"/>
      <c r="L85" s="86"/>
      <c r="M85" s="86"/>
      <c r="N85" s="86"/>
      <c r="O85" s="86"/>
      <c r="P85" s="86"/>
      <c r="Q85" s="86"/>
      <c r="R85" s="86"/>
      <c r="S85" s="86"/>
      <c r="T85" s="86"/>
      <c r="U85" s="86"/>
    </row>
    <row r="86" spans="4:21" ht="15" customHeight="1" x14ac:dyDescent="0.25">
      <c r="D86" s="86"/>
      <c r="E86" s="86"/>
      <c r="F86" s="86"/>
      <c r="G86" s="86"/>
      <c r="H86" s="86"/>
      <c r="I86" s="86"/>
      <c r="J86" s="86"/>
      <c r="K86" s="86"/>
      <c r="L86" s="86"/>
      <c r="M86" s="86"/>
      <c r="N86" s="86"/>
      <c r="O86" s="86"/>
      <c r="P86" s="86"/>
      <c r="Q86" s="86"/>
      <c r="R86" s="86"/>
      <c r="S86" s="86"/>
      <c r="T86" s="86"/>
      <c r="U86" s="86"/>
    </row>
    <row r="87" spans="4:21" ht="15" customHeight="1" x14ac:dyDescent="0.25">
      <c r="D87" s="86"/>
      <c r="E87" s="86"/>
      <c r="F87" s="86"/>
      <c r="G87" s="86"/>
      <c r="H87" s="86"/>
      <c r="I87" s="86"/>
      <c r="J87" s="86"/>
      <c r="K87" s="86"/>
      <c r="L87" s="86"/>
      <c r="M87" s="86"/>
      <c r="N87" s="86"/>
      <c r="O87" s="86"/>
      <c r="P87" s="86"/>
      <c r="Q87" s="86"/>
      <c r="R87" s="86"/>
      <c r="S87" s="86"/>
      <c r="T87" s="86"/>
      <c r="U87" s="86"/>
    </row>
    <row r="88" spans="4:21" ht="15" customHeight="1" x14ac:dyDescent="0.25">
      <c r="D88" s="86"/>
      <c r="E88" s="152" t="s">
        <v>14</v>
      </c>
      <c r="F88" s="152"/>
      <c r="G88" s="152"/>
      <c r="H88" s="152"/>
      <c r="I88" s="152"/>
      <c r="J88" s="152"/>
      <c r="K88" s="152"/>
      <c r="L88" s="152"/>
      <c r="M88" s="152"/>
      <c r="N88" s="152"/>
      <c r="O88" s="152"/>
      <c r="P88" s="152"/>
      <c r="Q88" s="152"/>
      <c r="R88" s="152"/>
      <c r="S88" s="152"/>
      <c r="T88" s="152"/>
      <c r="U88" s="86"/>
    </row>
    <row r="89" spans="4:21" ht="15" customHeight="1" x14ac:dyDescent="0.25">
      <c r="D89" s="86"/>
      <c r="E89" s="152"/>
      <c r="F89" s="152"/>
      <c r="G89" s="152"/>
      <c r="H89" s="152"/>
      <c r="I89" s="152"/>
      <c r="J89" s="152"/>
      <c r="K89" s="152"/>
      <c r="L89" s="152"/>
      <c r="M89" s="152"/>
      <c r="N89" s="152"/>
      <c r="O89" s="152"/>
      <c r="P89" s="152"/>
      <c r="Q89" s="152"/>
      <c r="R89" s="152"/>
      <c r="S89" s="152"/>
      <c r="T89" s="152"/>
      <c r="U89" s="86"/>
    </row>
    <row r="90" spans="4:21" ht="15" customHeight="1" x14ac:dyDescent="0.25">
      <c r="D90" s="86"/>
      <c r="E90" s="152"/>
      <c r="F90" s="152"/>
      <c r="G90" s="152"/>
      <c r="H90" s="152"/>
      <c r="I90" s="152"/>
      <c r="J90" s="152"/>
      <c r="K90" s="152"/>
      <c r="L90" s="152"/>
      <c r="M90" s="152"/>
      <c r="N90" s="152"/>
      <c r="O90" s="152"/>
      <c r="P90" s="152"/>
      <c r="Q90" s="152"/>
      <c r="R90" s="152"/>
      <c r="S90" s="152"/>
      <c r="T90" s="152"/>
      <c r="U90" s="86"/>
    </row>
    <row r="91" spans="4:21" ht="15" customHeight="1" x14ac:dyDescent="0.25">
      <c r="D91" s="86"/>
      <c r="E91" s="152"/>
      <c r="F91" s="152"/>
      <c r="G91" s="152"/>
      <c r="H91" s="152"/>
      <c r="I91" s="152"/>
      <c r="J91" s="152"/>
      <c r="K91" s="152"/>
      <c r="L91" s="152"/>
      <c r="M91" s="152"/>
      <c r="N91" s="152"/>
      <c r="O91" s="152"/>
      <c r="P91" s="152"/>
      <c r="Q91" s="152"/>
      <c r="R91" s="152"/>
      <c r="S91" s="152"/>
      <c r="T91" s="152"/>
      <c r="U91" s="86"/>
    </row>
    <row r="92" spans="4:21" ht="15" customHeight="1" x14ac:dyDescent="0.25">
      <c r="D92" s="86"/>
      <c r="E92" s="152"/>
      <c r="F92" s="152"/>
      <c r="G92" s="152"/>
      <c r="H92" s="152"/>
      <c r="I92" s="152"/>
      <c r="J92" s="152"/>
      <c r="K92" s="152"/>
      <c r="L92" s="152"/>
      <c r="M92" s="152"/>
      <c r="N92" s="152"/>
      <c r="O92" s="152"/>
      <c r="P92" s="152"/>
      <c r="Q92" s="152"/>
      <c r="R92" s="152"/>
      <c r="S92" s="152"/>
      <c r="T92" s="152"/>
      <c r="U92" s="86"/>
    </row>
    <row r="93" spans="4:21" ht="15" customHeight="1" x14ac:dyDescent="0.25">
      <c r="D93" s="86"/>
      <c r="E93" s="152"/>
      <c r="F93" s="152"/>
      <c r="G93" s="152"/>
      <c r="H93" s="152"/>
      <c r="I93" s="152"/>
      <c r="J93" s="152"/>
      <c r="K93" s="152"/>
      <c r="L93" s="152"/>
      <c r="M93" s="152"/>
      <c r="N93" s="152"/>
      <c r="O93" s="152"/>
      <c r="P93" s="152"/>
      <c r="Q93" s="152"/>
      <c r="R93" s="152"/>
      <c r="S93" s="152"/>
      <c r="T93" s="152"/>
      <c r="U93" s="86"/>
    </row>
    <row r="94" spans="4:21" ht="15" customHeight="1" x14ac:dyDescent="0.25">
      <c r="D94" s="86"/>
      <c r="E94" s="86"/>
      <c r="F94" s="86"/>
      <c r="G94" s="86"/>
      <c r="H94" s="86"/>
      <c r="I94" s="86"/>
      <c r="J94" s="86"/>
      <c r="K94" s="86"/>
      <c r="L94" s="86"/>
      <c r="M94" s="86"/>
      <c r="N94" s="86"/>
      <c r="O94" s="86"/>
      <c r="P94" s="86"/>
      <c r="Q94" s="86"/>
      <c r="R94" s="86"/>
      <c r="S94" s="86"/>
      <c r="T94" s="86"/>
      <c r="U94" s="86"/>
    </row>
    <row r="95" spans="4:21" ht="15" customHeight="1" x14ac:dyDescent="0.25">
      <c r="D95" s="86"/>
      <c r="E95" s="86"/>
      <c r="F95" s="86"/>
      <c r="G95" s="86"/>
      <c r="H95" s="86"/>
      <c r="I95" s="86"/>
      <c r="J95" s="86"/>
      <c r="K95" s="86"/>
      <c r="L95" s="86"/>
      <c r="M95" s="86"/>
      <c r="N95" s="86"/>
      <c r="O95" s="86"/>
      <c r="P95" s="86"/>
      <c r="Q95" s="86"/>
      <c r="R95" s="86"/>
      <c r="S95" s="86"/>
      <c r="T95" s="86"/>
      <c r="U95" s="86"/>
    </row>
    <row r="96" spans="4:21" ht="15" customHeight="1" x14ac:dyDescent="0.25">
      <c r="D96" s="86"/>
      <c r="E96" s="86"/>
      <c r="F96" s="86"/>
      <c r="G96" s="86"/>
      <c r="H96" s="86"/>
      <c r="I96" s="86"/>
      <c r="J96" s="86"/>
      <c r="K96" s="86"/>
      <c r="L96" s="86"/>
      <c r="M96" s="86"/>
      <c r="N96" s="86"/>
      <c r="O96" s="86"/>
      <c r="P96" s="86"/>
      <c r="Q96" s="86"/>
      <c r="R96" s="86"/>
      <c r="S96" s="86"/>
      <c r="T96" s="86"/>
      <c r="U96" s="86"/>
    </row>
    <row r="97" spans="4:21" ht="15" customHeight="1" x14ac:dyDescent="0.25">
      <c r="D97" s="86"/>
      <c r="E97" s="86"/>
      <c r="F97" s="86"/>
      <c r="G97" s="86"/>
      <c r="H97" s="86"/>
      <c r="I97" s="86"/>
      <c r="J97" s="86"/>
      <c r="K97" s="86"/>
      <c r="L97" s="86"/>
      <c r="M97" s="86"/>
      <c r="N97" s="86"/>
      <c r="O97" s="86"/>
      <c r="P97" s="86"/>
      <c r="Q97" s="86"/>
      <c r="R97" s="86"/>
      <c r="S97" s="86"/>
      <c r="T97" s="86"/>
      <c r="U97" s="86"/>
    </row>
    <row r="98" spans="4:21" ht="15" customHeight="1" x14ac:dyDescent="0.25">
      <c r="D98" s="86"/>
      <c r="E98" s="86"/>
      <c r="F98" s="86"/>
      <c r="G98" s="86"/>
      <c r="H98" s="86"/>
      <c r="I98" s="86"/>
      <c r="J98" s="86"/>
      <c r="K98" s="86"/>
      <c r="L98" s="86"/>
      <c r="M98" s="86"/>
      <c r="N98" s="86"/>
      <c r="O98" s="86"/>
      <c r="P98" s="86"/>
      <c r="Q98" s="86"/>
      <c r="R98" s="86"/>
      <c r="S98" s="86"/>
      <c r="T98" s="86"/>
      <c r="U98" s="86"/>
    </row>
    <row r="99" spans="4:21" ht="15" customHeight="1" x14ac:dyDescent="0.25">
      <c r="D99" s="86"/>
      <c r="E99" s="86"/>
      <c r="F99" s="86"/>
      <c r="G99" s="86"/>
      <c r="H99" s="86"/>
      <c r="I99" s="86"/>
      <c r="J99" s="86"/>
      <c r="K99" s="86"/>
      <c r="L99" s="86"/>
      <c r="M99" s="86"/>
      <c r="N99" s="86"/>
      <c r="O99" s="86"/>
      <c r="P99" s="86"/>
      <c r="Q99" s="86"/>
      <c r="R99" s="86"/>
      <c r="S99" s="86"/>
      <c r="T99" s="86"/>
      <c r="U99" s="86"/>
    </row>
    <row r="100" spans="4:21" ht="15" customHeight="1" x14ac:dyDescent="0.25">
      <c r="D100" s="86"/>
      <c r="E100" s="86"/>
      <c r="F100" s="86"/>
      <c r="G100" s="86"/>
      <c r="H100" s="86"/>
      <c r="I100" s="86"/>
      <c r="J100" s="86"/>
      <c r="K100" s="86"/>
      <c r="L100" s="86"/>
      <c r="M100" s="86"/>
      <c r="N100" s="86"/>
      <c r="O100" s="86"/>
      <c r="P100" s="86"/>
      <c r="Q100" s="86"/>
      <c r="R100" s="86"/>
      <c r="S100" s="86"/>
      <c r="T100" s="86"/>
      <c r="U100" s="86"/>
    </row>
    <row r="101" spans="4:21" ht="15" customHeight="1" x14ac:dyDescent="0.25">
      <c r="D101" s="86"/>
      <c r="E101" s="86"/>
      <c r="F101" s="86"/>
      <c r="G101" s="86"/>
      <c r="H101" s="86"/>
      <c r="I101" s="86"/>
      <c r="J101" s="86"/>
      <c r="K101" s="86"/>
      <c r="L101" s="86"/>
      <c r="M101" s="86"/>
      <c r="N101" s="86"/>
      <c r="O101" s="86"/>
      <c r="P101" s="86"/>
      <c r="Q101" s="86"/>
      <c r="R101" s="86"/>
      <c r="S101" s="86"/>
      <c r="T101" s="86"/>
      <c r="U101" s="86"/>
    </row>
    <row r="102" spans="4:21" ht="15" customHeight="1" x14ac:dyDescent="0.25">
      <c r="D102" s="86"/>
      <c r="E102" s="86"/>
      <c r="F102" s="86"/>
      <c r="G102" s="86"/>
      <c r="H102" s="86"/>
      <c r="I102" s="86"/>
      <c r="J102" s="86"/>
      <c r="K102" s="86"/>
      <c r="L102" s="86"/>
      <c r="M102" s="86"/>
      <c r="N102" s="86"/>
      <c r="O102" s="86"/>
      <c r="P102" s="86"/>
      <c r="Q102" s="86"/>
      <c r="R102" s="86"/>
      <c r="S102" s="86"/>
      <c r="T102" s="86"/>
      <c r="U102" s="86"/>
    </row>
    <row r="103" spans="4:21" ht="15" customHeight="1" x14ac:dyDescent="0.25">
      <c r="D103" s="86"/>
      <c r="E103" s="86"/>
      <c r="F103" s="86"/>
      <c r="G103" s="86"/>
      <c r="H103" s="86"/>
      <c r="I103" s="86"/>
      <c r="J103" s="86"/>
      <c r="K103" s="86"/>
      <c r="L103" s="86"/>
      <c r="M103" s="86"/>
      <c r="N103" s="86"/>
      <c r="O103" s="86"/>
      <c r="P103" s="86"/>
      <c r="Q103" s="86"/>
      <c r="R103" s="86"/>
      <c r="S103" s="86"/>
      <c r="T103" s="86"/>
      <c r="U103" s="86"/>
    </row>
    <row r="104" spans="4:21" ht="15" customHeight="1" x14ac:dyDescent="0.25">
      <c r="D104" s="86"/>
      <c r="E104" s="86"/>
      <c r="F104" s="86"/>
      <c r="G104" s="86"/>
      <c r="H104" s="86"/>
      <c r="I104" s="86"/>
      <c r="J104" s="86"/>
      <c r="K104" s="86"/>
      <c r="L104" s="86"/>
      <c r="M104" s="86"/>
      <c r="N104" s="86"/>
      <c r="O104" s="86"/>
      <c r="P104" s="86"/>
      <c r="Q104" s="86"/>
      <c r="R104" s="86"/>
      <c r="S104" s="86"/>
      <c r="T104" s="86"/>
      <c r="U104" s="86"/>
    </row>
    <row r="105" spans="4:21" ht="15" customHeight="1" x14ac:dyDescent="0.25">
      <c r="D105" s="86"/>
      <c r="E105" s="86"/>
      <c r="F105" s="86"/>
      <c r="G105" s="86"/>
      <c r="H105" s="86"/>
      <c r="I105" s="86"/>
      <c r="J105" s="86"/>
      <c r="K105" s="86"/>
      <c r="L105" s="86"/>
      <c r="M105" s="86"/>
      <c r="N105" s="86"/>
      <c r="O105" s="86"/>
      <c r="P105" s="86"/>
      <c r="Q105" s="86"/>
      <c r="R105" s="86"/>
      <c r="S105" s="86"/>
      <c r="T105" s="86"/>
      <c r="U105" s="86"/>
    </row>
    <row r="106" spans="4:21" ht="15" customHeight="1" x14ac:dyDescent="0.25">
      <c r="D106" s="86"/>
      <c r="E106" s="86"/>
      <c r="F106" s="86"/>
      <c r="G106" s="86"/>
      <c r="H106" s="86"/>
      <c r="I106" s="86"/>
      <c r="J106" s="86"/>
      <c r="K106" s="86"/>
      <c r="L106" s="86"/>
      <c r="M106" s="86"/>
      <c r="N106" s="86"/>
      <c r="O106" s="86"/>
      <c r="P106" s="86"/>
      <c r="Q106" s="86"/>
      <c r="R106" s="86"/>
      <c r="S106" s="86"/>
      <c r="T106" s="86"/>
      <c r="U106" s="86"/>
    </row>
    <row r="107" spans="4:21" ht="15" customHeight="1" x14ac:dyDescent="0.25">
      <c r="D107" s="86"/>
      <c r="E107" s="86"/>
      <c r="F107" s="86"/>
      <c r="G107" s="86"/>
      <c r="H107" s="86"/>
      <c r="I107" s="86"/>
      <c r="J107" s="86"/>
      <c r="K107" s="86"/>
      <c r="L107" s="86"/>
      <c r="M107" s="86"/>
      <c r="N107" s="86"/>
      <c r="O107" s="86"/>
      <c r="P107" s="86"/>
      <c r="Q107" s="86"/>
      <c r="R107" s="86"/>
      <c r="S107" s="86"/>
      <c r="T107" s="86"/>
      <c r="U107" s="86"/>
    </row>
    <row r="108" spans="4:21" ht="15" customHeight="1" x14ac:dyDescent="0.25">
      <c r="D108" s="86"/>
      <c r="E108" s="86"/>
      <c r="F108" s="86"/>
      <c r="G108" s="86"/>
      <c r="H108" s="86"/>
      <c r="I108" s="86"/>
      <c r="J108" s="86"/>
      <c r="K108" s="86"/>
      <c r="L108" s="86"/>
      <c r="M108" s="86"/>
      <c r="N108" s="86"/>
      <c r="O108" s="86"/>
      <c r="P108" s="86"/>
      <c r="Q108" s="86"/>
      <c r="R108" s="86"/>
      <c r="S108" s="86"/>
      <c r="T108" s="86"/>
      <c r="U108" s="86"/>
    </row>
    <row r="109" spans="4:21" ht="15" customHeight="1" x14ac:dyDescent="0.25">
      <c r="D109" s="86"/>
      <c r="E109" s="86"/>
      <c r="F109" s="86"/>
      <c r="G109" s="86"/>
      <c r="H109" s="86"/>
      <c r="I109" s="86"/>
      <c r="J109" s="86"/>
      <c r="K109" s="86"/>
      <c r="L109" s="86"/>
      <c r="M109" s="86"/>
      <c r="N109" s="86"/>
      <c r="O109" s="86"/>
      <c r="P109" s="86"/>
      <c r="Q109" s="86"/>
      <c r="R109" s="86"/>
      <c r="S109" s="86"/>
      <c r="T109" s="86"/>
      <c r="U109" s="86"/>
    </row>
    <row r="110" spans="4:21" ht="15" customHeight="1" x14ac:dyDescent="0.25">
      <c r="D110" s="86"/>
      <c r="E110" s="86"/>
      <c r="F110" s="86"/>
      <c r="G110" s="86"/>
      <c r="H110" s="86"/>
      <c r="I110" s="86"/>
      <c r="J110" s="86"/>
      <c r="K110" s="86"/>
      <c r="L110" s="86"/>
      <c r="M110" s="86"/>
      <c r="N110" s="86"/>
      <c r="O110" s="86"/>
      <c r="P110" s="86"/>
      <c r="Q110" s="86"/>
      <c r="R110" s="86"/>
      <c r="S110" s="86"/>
      <c r="T110" s="86"/>
      <c r="U110" s="86"/>
    </row>
    <row r="111" spans="4:21" ht="15" customHeight="1" x14ac:dyDescent="0.25">
      <c r="D111" s="86"/>
      <c r="E111" s="86"/>
      <c r="F111" s="86"/>
      <c r="G111" s="86"/>
      <c r="H111" s="86"/>
      <c r="I111" s="86"/>
      <c r="J111" s="86"/>
      <c r="K111" s="86"/>
      <c r="L111" s="86"/>
      <c r="M111" s="86"/>
      <c r="N111" s="86"/>
      <c r="O111" s="86"/>
      <c r="P111" s="86"/>
      <c r="Q111" s="86"/>
      <c r="R111" s="86"/>
      <c r="S111" s="86"/>
      <c r="T111" s="86"/>
      <c r="U111" s="86"/>
    </row>
    <row r="112" spans="4:21" ht="15" customHeight="1" x14ac:dyDescent="0.25">
      <c r="D112" s="86"/>
      <c r="E112" s="86"/>
      <c r="F112" s="86"/>
      <c r="G112" s="86"/>
      <c r="H112" s="86"/>
      <c r="I112" s="86"/>
      <c r="J112" s="86"/>
      <c r="K112" s="86"/>
      <c r="L112" s="86"/>
      <c r="M112" s="86"/>
      <c r="N112" s="86"/>
      <c r="O112" s="86"/>
      <c r="P112" s="86"/>
      <c r="Q112" s="86"/>
      <c r="R112" s="86"/>
      <c r="S112" s="86"/>
      <c r="T112" s="86"/>
      <c r="U112" s="86"/>
    </row>
    <row r="113" spans="4:21" ht="15" customHeight="1" x14ac:dyDescent="0.25">
      <c r="D113" s="86"/>
      <c r="E113" s="86"/>
      <c r="F113" s="86"/>
      <c r="G113" s="86"/>
      <c r="H113" s="86"/>
      <c r="I113" s="86"/>
      <c r="J113" s="86"/>
      <c r="K113" s="86"/>
      <c r="L113" s="86"/>
      <c r="M113" s="86"/>
      <c r="N113" s="86"/>
      <c r="O113" s="86"/>
      <c r="P113" s="86"/>
      <c r="Q113" s="86"/>
      <c r="R113" s="86"/>
      <c r="S113" s="86"/>
      <c r="T113" s="86"/>
      <c r="U113" s="86"/>
    </row>
    <row r="114" spans="4:21" ht="15" customHeight="1" x14ac:dyDescent="0.25">
      <c r="D114" s="86"/>
      <c r="E114" s="86"/>
      <c r="F114" s="86"/>
      <c r="G114" s="86"/>
      <c r="H114" s="86"/>
      <c r="I114" s="86"/>
      <c r="J114" s="86"/>
      <c r="K114" s="86"/>
      <c r="L114" s="86"/>
      <c r="M114" s="86"/>
      <c r="N114" s="86"/>
      <c r="O114" s="86"/>
      <c r="P114" s="86"/>
      <c r="Q114" s="86"/>
      <c r="R114" s="86"/>
      <c r="S114" s="86"/>
      <c r="T114" s="86"/>
      <c r="U114" s="86"/>
    </row>
    <row r="115" spans="4:21" ht="15" customHeight="1" x14ac:dyDescent="0.25">
      <c r="D115" s="86"/>
      <c r="E115" s="86"/>
      <c r="F115" s="86"/>
      <c r="G115" s="86"/>
      <c r="H115" s="86"/>
      <c r="I115" s="86"/>
      <c r="J115" s="86"/>
      <c r="K115" s="86"/>
      <c r="L115" s="86"/>
      <c r="M115" s="86"/>
      <c r="N115" s="86"/>
      <c r="O115" s="86"/>
      <c r="P115" s="86"/>
      <c r="Q115" s="86"/>
      <c r="R115" s="86"/>
      <c r="S115" s="86"/>
      <c r="T115" s="86"/>
      <c r="U115" s="86"/>
    </row>
    <row r="116" spans="4:21" ht="15" customHeight="1" x14ac:dyDescent="0.25">
      <c r="D116" s="86"/>
      <c r="E116" s="86"/>
      <c r="F116" s="86"/>
      <c r="G116" s="86"/>
      <c r="H116" s="86"/>
      <c r="I116" s="86"/>
      <c r="J116" s="86"/>
      <c r="K116" s="86"/>
      <c r="L116" s="86"/>
      <c r="M116" s="86"/>
      <c r="N116" s="86"/>
      <c r="O116" s="86"/>
      <c r="P116" s="86"/>
      <c r="Q116" s="86"/>
      <c r="R116" s="86"/>
      <c r="S116" s="86"/>
      <c r="T116" s="86"/>
      <c r="U116" s="86"/>
    </row>
    <row r="117" spans="4:21" ht="15" customHeight="1" x14ac:dyDescent="0.25">
      <c r="D117" s="86"/>
      <c r="E117" s="86"/>
      <c r="F117" s="86"/>
      <c r="G117" s="86"/>
      <c r="H117" s="86"/>
      <c r="I117" s="86"/>
      <c r="J117" s="86"/>
      <c r="K117" s="86"/>
      <c r="L117" s="86"/>
      <c r="M117" s="86"/>
      <c r="N117" s="86"/>
      <c r="O117" s="86"/>
      <c r="P117" s="86"/>
      <c r="Q117" s="86"/>
      <c r="R117" s="86"/>
      <c r="S117" s="86"/>
      <c r="T117" s="86"/>
      <c r="U117" s="86"/>
    </row>
    <row r="118" spans="4:21" ht="15" customHeight="1" x14ac:dyDescent="0.25">
      <c r="D118" s="86"/>
      <c r="E118" s="86"/>
      <c r="F118" s="86"/>
      <c r="G118" s="86"/>
      <c r="H118" s="86"/>
      <c r="I118" s="86"/>
      <c r="J118" s="86"/>
      <c r="K118" s="86"/>
      <c r="L118" s="86"/>
      <c r="M118" s="86"/>
      <c r="N118" s="86"/>
      <c r="O118" s="86"/>
      <c r="P118" s="86"/>
      <c r="Q118" s="86"/>
      <c r="R118" s="86"/>
      <c r="S118" s="86"/>
      <c r="T118" s="86"/>
      <c r="U118" s="86"/>
    </row>
    <row r="119" spans="4:21" ht="15" customHeight="1" x14ac:dyDescent="0.25">
      <c r="D119" s="86"/>
      <c r="E119" s="86"/>
      <c r="F119" s="86"/>
      <c r="G119" s="86"/>
      <c r="H119" s="86"/>
      <c r="I119" s="86"/>
      <c r="J119" s="86"/>
      <c r="K119" s="86"/>
      <c r="L119" s="86"/>
      <c r="M119" s="86"/>
      <c r="N119" s="86"/>
      <c r="O119" s="86"/>
      <c r="P119" s="86"/>
      <c r="Q119" s="86"/>
      <c r="R119" s="86"/>
      <c r="S119" s="86"/>
      <c r="T119" s="86"/>
      <c r="U119" s="86"/>
    </row>
    <row r="120" spans="4:21" ht="15" customHeight="1" x14ac:dyDescent="0.25">
      <c r="D120" s="86"/>
      <c r="E120" s="86"/>
      <c r="F120" s="86"/>
      <c r="G120" s="86"/>
      <c r="H120" s="86"/>
      <c r="I120" s="86"/>
      <c r="J120" s="86"/>
      <c r="K120" s="86"/>
      <c r="L120" s="86"/>
      <c r="M120" s="86"/>
      <c r="N120" s="86"/>
      <c r="O120" s="86"/>
      <c r="P120" s="86"/>
      <c r="Q120" s="86"/>
      <c r="R120" s="86"/>
      <c r="S120" s="86"/>
      <c r="T120" s="86"/>
      <c r="U120" s="86"/>
    </row>
    <row r="121" spans="4:21" ht="15" customHeight="1" x14ac:dyDescent="0.25">
      <c r="D121" s="86"/>
      <c r="E121" s="86"/>
      <c r="F121" s="86"/>
      <c r="G121" s="86"/>
      <c r="H121" s="86"/>
      <c r="I121" s="86"/>
      <c r="J121" s="86"/>
      <c r="K121" s="86"/>
      <c r="L121" s="86"/>
      <c r="M121" s="86"/>
      <c r="N121" s="86"/>
      <c r="O121" s="86"/>
      <c r="P121" s="86"/>
      <c r="Q121" s="86"/>
      <c r="R121" s="86"/>
      <c r="S121" s="86"/>
      <c r="T121" s="86"/>
      <c r="U121" s="86"/>
    </row>
    <row r="122" spans="4:21" ht="15" customHeight="1" x14ac:dyDescent="0.25">
      <c r="D122" s="86"/>
      <c r="E122" s="86"/>
      <c r="F122" s="86"/>
      <c r="G122" s="86"/>
      <c r="H122" s="86"/>
      <c r="I122" s="86"/>
      <c r="J122" s="86"/>
      <c r="K122" s="86"/>
      <c r="L122" s="86"/>
      <c r="M122" s="86"/>
      <c r="N122" s="86"/>
      <c r="O122" s="86"/>
      <c r="P122" s="86"/>
      <c r="Q122" s="86"/>
      <c r="R122" s="86"/>
      <c r="S122" s="86"/>
      <c r="T122" s="86"/>
      <c r="U122" s="86"/>
    </row>
    <row r="123" spans="4:21" ht="15" customHeight="1" x14ac:dyDescent="0.25">
      <c r="D123" s="86"/>
      <c r="E123" s="86"/>
      <c r="F123" s="86"/>
      <c r="G123" s="86"/>
      <c r="H123" s="86"/>
      <c r="I123" s="86"/>
      <c r="J123" s="86"/>
      <c r="K123" s="86"/>
      <c r="L123" s="86"/>
      <c r="M123" s="86"/>
      <c r="N123" s="86"/>
      <c r="O123" s="86"/>
      <c r="P123" s="86"/>
      <c r="Q123" s="86"/>
      <c r="R123" s="86"/>
      <c r="S123" s="86"/>
      <c r="T123" s="86"/>
      <c r="U123" s="86"/>
    </row>
    <row r="124" spans="4:21" ht="15" customHeight="1" x14ac:dyDescent="0.25">
      <c r="D124" s="86"/>
      <c r="E124" s="86"/>
      <c r="F124" s="86"/>
      <c r="G124" s="86"/>
      <c r="H124" s="86"/>
      <c r="I124" s="86"/>
      <c r="J124" s="86"/>
      <c r="K124" s="86"/>
      <c r="L124" s="86"/>
      <c r="M124" s="86"/>
      <c r="N124" s="86"/>
      <c r="O124" s="86"/>
      <c r="P124" s="86"/>
      <c r="Q124" s="86"/>
      <c r="R124" s="86"/>
      <c r="S124" s="86"/>
      <c r="T124" s="86"/>
      <c r="U124" s="86"/>
    </row>
    <row r="125" spans="4:21" ht="15" customHeight="1" x14ac:dyDescent="0.25">
      <c r="D125" s="86"/>
      <c r="E125" s="88"/>
      <c r="F125" s="86"/>
      <c r="G125" s="86"/>
      <c r="H125" s="86"/>
      <c r="I125" s="86"/>
      <c r="J125" s="86"/>
      <c r="K125" s="86"/>
      <c r="L125" s="86"/>
      <c r="M125" s="86"/>
      <c r="N125" s="86"/>
      <c r="O125" s="86"/>
      <c r="P125" s="86"/>
      <c r="Q125" s="86"/>
      <c r="R125" s="86"/>
      <c r="S125" s="86"/>
      <c r="T125" s="86"/>
      <c r="U125" s="86"/>
    </row>
    <row r="126" spans="4:21" ht="15" customHeight="1" x14ac:dyDescent="0.25">
      <c r="D126" s="86"/>
      <c r="E126" s="86"/>
      <c r="F126" s="86"/>
      <c r="G126" s="86"/>
      <c r="H126" s="86"/>
      <c r="I126" s="86"/>
      <c r="J126" s="86"/>
      <c r="K126" s="86"/>
      <c r="L126" s="86"/>
      <c r="M126" s="86"/>
      <c r="N126" s="86"/>
      <c r="O126" s="86"/>
      <c r="P126" s="86"/>
      <c r="Q126" s="86"/>
      <c r="R126" s="86"/>
      <c r="S126" s="86"/>
      <c r="T126" s="86"/>
      <c r="U126" s="86"/>
    </row>
    <row r="127" spans="4:21" ht="15" customHeight="1" x14ac:dyDescent="0.25">
      <c r="D127" s="86"/>
      <c r="E127" s="86"/>
      <c r="F127" s="86"/>
      <c r="G127" s="86"/>
      <c r="H127" s="86"/>
      <c r="I127" s="86"/>
      <c r="J127" s="86"/>
      <c r="K127" s="86"/>
      <c r="L127" s="86"/>
      <c r="M127" s="86"/>
      <c r="N127" s="86"/>
      <c r="O127" s="86"/>
      <c r="P127" s="86"/>
      <c r="Q127" s="86"/>
      <c r="R127" s="86"/>
      <c r="S127" s="86"/>
      <c r="T127" s="86"/>
      <c r="U127" s="86"/>
    </row>
    <row r="128" spans="4:21" ht="15" customHeight="1" x14ac:dyDescent="0.25">
      <c r="D128" s="86"/>
      <c r="E128" s="152" t="s">
        <v>14</v>
      </c>
      <c r="F128" s="152"/>
      <c r="G128" s="152"/>
      <c r="H128" s="152"/>
      <c r="I128" s="152"/>
      <c r="J128" s="152"/>
      <c r="K128" s="152"/>
      <c r="L128" s="152"/>
      <c r="M128" s="152"/>
      <c r="N128" s="152"/>
      <c r="O128" s="152"/>
      <c r="P128" s="152"/>
      <c r="Q128" s="152"/>
      <c r="R128" s="152"/>
      <c r="S128" s="152"/>
      <c r="T128" s="152"/>
      <c r="U128" s="86"/>
    </row>
    <row r="129" spans="4:21" ht="15" customHeight="1" x14ac:dyDescent="0.25">
      <c r="D129" s="86"/>
      <c r="E129" s="152"/>
      <c r="F129" s="152"/>
      <c r="G129" s="152"/>
      <c r="H129" s="152"/>
      <c r="I129" s="152"/>
      <c r="J129" s="152"/>
      <c r="K129" s="152"/>
      <c r="L129" s="152"/>
      <c r="M129" s="152"/>
      <c r="N129" s="152"/>
      <c r="O129" s="152"/>
      <c r="P129" s="152"/>
      <c r="Q129" s="152"/>
      <c r="R129" s="152"/>
      <c r="S129" s="152"/>
      <c r="T129" s="152"/>
      <c r="U129" s="86"/>
    </row>
    <row r="130" spans="4:21" ht="15" customHeight="1" x14ac:dyDescent="0.25">
      <c r="D130" s="86"/>
      <c r="E130" s="152"/>
      <c r="F130" s="152"/>
      <c r="G130" s="152"/>
      <c r="H130" s="152"/>
      <c r="I130" s="152"/>
      <c r="J130" s="152"/>
      <c r="K130" s="152"/>
      <c r="L130" s="152"/>
      <c r="M130" s="152"/>
      <c r="N130" s="152"/>
      <c r="O130" s="152"/>
      <c r="P130" s="152"/>
      <c r="Q130" s="152"/>
      <c r="R130" s="152"/>
      <c r="S130" s="152"/>
      <c r="T130" s="152"/>
      <c r="U130" s="86"/>
    </row>
    <row r="131" spans="4:21" ht="15" customHeight="1" x14ac:dyDescent="0.25">
      <c r="D131" s="86"/>
      <c r="E131" s="152"/>
      <c r="F131" s="152"/>
      <c r="G131" s="152"/>
      <c r="H131" s="152"/>
      <c r="I131" s="152"/>
      <c r="J131" s="152"/>
      <c r="K131" s="152"/>
      <c r="L131" s="152"/>
      <c r="M131" s="152"/>
      <c r="N131" s="152"/>
      <c r="O131" s="152"/>
      <c r="P131" s="152"/>
      <c r="Q131" s="152"/>
      <c r="R131" s="152"/>
      <c r="S131" s="152"/>
      <c r="T131" s="152"/>
      <c r="U131" s="86"/>
    </row>
    <row r="132" spans="4:21" ht="15" customHeight="1" x14ac:dyDescent="0.25">
      <c r="D132" s="86"/>
      <c r="E132" s="152"/>
      <c r="F132" s="152"/>
      <c r="G132" s="152"/>
      <c r="H132" s="152"/>
      <c r="I132" s="152"/>
      <c r="J132" s="152"/>
      <c r="K132" s="152"/>
      <c r="L132" s="152"/>
      <c r="M132" s="152"/>
      <c r="N132" s="152"/>
      <c r="O132" s="152"/>
      <c r="P132" s="152"/>
      <c r="Q132" s="152"/>
      <c r="R132" s="152"/>
      <c r="S132" s="152"/>
      <c r="T132" s="152"/>
      <c r="U132" s="86"/>
    </row>
    <row r="133" spans="4:21" ht="15" customHeight="1" x14ac:dyDescent="0.25">
      <c r="D133" s="86"/>
      <c r="E133" s="152"/>
      <c r="F133" s="152"/>
      <c r="G133" s="152"/>
      <c r="H133" s="152"/>
      <c r="I133" s="152"/>
      <c r="J133" s="152"/>
      <c r="K133" s="152"/>
      <c r="L133" s="152"/>
      <c r="M133" s="152"/>
      <c r="N133" s="152"/>
      <c r="O133" s="152"/>
      <c r="P133" s="152"/>
      <c r="Q133" s="152"/>
      <c r="R133" s="152"/>
      <c r="S133" s="152"/>
      <c r="T133" s="152"/>
      <c r="U133" s="86"/>
    </row>
    <row r="134" spans="4:21" ht="15" customHeight="1" x14ac:dyDescent="0.25">
      <c r="D134" s="86"/>
      <c r="E134" s="86"/>
      <c r="F134" s="86"/>
      <c r="G134" s="86"/>
      <c r="H134" s="86"/>
      <c r="I134" s="86"/>
      <c r="J134" s="86"/>
      <c r="K134" s="86"/>
      <c r="L134" s="86"/>
      <c r="M134" s="86"/>
      <c r="N134" s="86"/>
      <c r="O134" s="86"/>
      <c r="P134" s="86"/>
      <c r="Q134" s="86"/>
      <c r="R134" s="86"/>
      <c r="S134" s="86"/>
      <c r="T134" s="86"/>
      <c r="U134" s="86"/>
    </row>
    <row r="135" spans="4:21" ht="15" customHeight="1" x14ac:dyDescent="0.25">
      <c r="D135" s="86"/>
      <c r="E135" s="86"/>
      <c r="F135" s="86"/>
      <c r="G135" s="86"/>
      <c r="H135" s="86"/>
      <c r="I135" s="86"/>
      <c r="J135" s="86"/>
      <c r="K135" s="86"/>
      <c r="L135" s="86"/>
      <c r="M135" s="86"/>
      <c r="N135" s="86"/>
      <c r="O135" s="86"/>
      <c r="P135" s="86"/>
      <c r="Q135" s="86"/>
      <c r="R135" s="86"/>
      <c r="S135" s="86"/>
      <c r="T135" s="86"/>
      <c r="U135" s="86"/>
    </row>
    <row r="136" spans="4:21" ht="15" customHeight="1" x14ac:dyDescent="0.25">
      <c r="D136" s="86"/>
      <c r="E136" s="86"/>
      <c r="F136" s="86"/>
      <c r="G136" s="86"/>
      <c r="H136" s="86"/>
      <c r="I136" s="86"/>
      <c r="J136" s="86"/>
      <c r="K136" s="86"/>
      <c r="L136" s="86"/>
      <c r="M136" s="86"/>
      <c r="N136" s="86"/>
      <c r="O136" s="86"/>
      <c r="P136" s="86"/>
      <c r="Q136" s="86"/>
      <c r="R136" s="86"/>
      <c r="S136" s="86"/>
      <c r="T136" s="86"/>
      <c r="U136" s="86"/>
    </row>
    <row r="137" spans="4:21" ht="15" customHeight="1" x14ac:dyDescent="0.25">
      <c r="D137" s="86"/>
      <c r="E137" s="86"/>
      <c r="F137" s="86"/>
      <c r="G137" s="86"/>
      <c r="H137" s="86"/>
      <c r="I137" s="86"/>
      <c r="J137" s="86"/>
      <c r="K137" s="86"/>
      <c r="L137" s="86"/>
      <c r="M137" s="86"/>
      <c r="N137" s="86"/>
      <c r="O137" s="86"/>
      <c r="P137" s="86"/>
      <c r="Q137" s="86"/>
      <c r="R137" s="86"/>
      <c r="S137" s="86"/>
      <c r="T137" s="86"/>
      <c r="U137" s="86"/>
    </row>
    <row r="138" spans="4:21" ht="15" customHeight="1" x14ac:dyDescent="0.25">
      <c r="D138" s="86"/>
      <c r="E138" s="86"/>
      <c r="F138" s="86"/>
      <c r="G138" s="86"/>
      <c r="H138" s="86"/>
      <c r="I138" s="86"/>
      <c r="J138" s="86"/>
      <c r="K138" s="86"/>
      <c r="L138" s="86"/>
      <c r="M138" s="86"/>
      <c r="N138" s="86"/>
      <c r="O138" s="86"/>
      <c r="P138" s="86"/>
      <c r="Q138" s="86"/>
      <c r="R138" s="86"/>
      <c r="S138" s="86"/>
      <c r="T138" s="86"/>
      <c r="U138" s="86"/>
    </row>
    <row r="139" spans="4:21" ht="15" customHeight="1" x14ac:dyDescent="0.25">
      <c r="D139" s="86"/>
      <c r="E139" s="86"/>
      <c r="F139" s="86"/>
      <c r="G139" s="86"/>
      <c r="H139" s="86"/>
      <c r="I139" s="86"/>
      <c r="J139" s="86"/>
      <c r="K139" s="86"/>
      <c r="L139" s="86"/>
      <c r="M139" s="86"/>
      <c r="N139" s="86"/>
      <c r="O139" s="86"/>
      <c r="P139" s="86"/>
      <c r="Q139" s="86"/>
      <c r="R139" s="86"/>
      <c r="S139" s="86"/>
      <c r="T139" s="86"/>
      <c r="U139" s="86"/>
    </row>
    <row r="140" spans="4:21" ht="15" customHeight="1" x14ac:dyDescent="0.25">
      <c r="D140" s="86"/>
      <c r="E140" s="86"/>
      <c r="F140" s="86"/>
      <c r="G140" s="86"/>
      <c r="H140" s="86"/>
      <c r="I140" s="86"/>
      <c r="J140" s="86"/>
      <c r="K140" s="86"/>
      <c r="L140" s="86"/>
      <c r="M140" s="86"/>
      <c r="N140" s="86"/>
      <c r="O140" s="86"/>
      <c r="P140" s="86"/>
      <c r="Q140" s="86"/>
      <c r="R140" s="86"/>
      <c r="S140" s="86"/>
      <c r="T140" s="86"/>
      <c r="U140" s="86"/>
    </row>
    <row r="141" spans="4:21" ht="15" customHeight="1" x14ac:dyDescent="0.25">
      <c r="D141" s="86"/>
      <c r="E141" s="86"/>
      <c r="F141" s="86"/>
      <c r="G141" s="86"/>
      <c r="H141" s="86"/>
      <c r="I141" s="86"/>
      <c r="J141" s="86"/>
      <c r="K141" s="86"/>
      <c r="L141" s="86"/>
      <c r="M141" s="86"/>
      <c r="N141" s="86"/>
      <c r="O141" s="86"/>
      <c r="P141" s="86"/>
      <c r="Q141" s="86"/>
      <c r="R141" s="86"/>
      <c r="S141" s="86"/>
      <c r="T141" s="86"/>
      <c r="U141" s="86"/>
    </row>
    <row r="142" spans="4:21" ht="15" customHeight="1" x14ac:dyDescent="0.25">
      <c r="D142" s="86"/>
      <c r="E142" s="86"/>
      <c r="F142" s="86"/>
      <c r="G142" s="86"/>
      <c r="H142" s="86"/>
      <c r="I142" s="86"/>
      <c r="J142" s="86"/>
      <c r="K142" s="86"/>
      <c r="L142" s="86"/>
      <c r="M142" s="86"/>
      <c r="N142" s="86"/>
      <c r="O142" s="86"/>
      <c r="P142" s="86"/>
      <c r="Q142" s="86"/>
      <c r="R142" s="86"/>
      <c r="S142" s="86"/>
      <c r="T142" s="86"/>
      <c r="U142" s="86"/>
    </row>
    <row r="143" spans="4:21" ht="15" customHeight="1" x14ac:dyDescent="0.25">
      <c r="D143" s="86"/>
      <c r="E143" s="86"/>
      <c r="F143" s="86"/>
      <c r="G143" s="86"/>
      <c r="H143" s="86"/>
      <c r="I143" s="86"/>
      <c r="J143" s="86"/>
      <c r="K143" s="86"/>
      <c r="L143" s="86"/>
      <c r="M143" s="86"/>
      <c r="N143" s="86"/>
      <c r="O143" s="86"/>
      <c r="P143" s="86"/>
      <c r="Q143" s="86"/>
      <c r="R143" s="86"/>
      <c r="S143" s="86"/>
      <c r="T143" s="86"/>
      <c r="U143" s="86"/>
    </row>
    <row r="144" spans="4:21" ht="15" customHeight="1" x14ac:dyDescent="0.25">
      <c r="D144" s="86"/>
      <c r="E144" s="86"/>
      <c r="F144" s="86"/>
      <c r="G144" s="86"/>
      <c r="H144" s="86"/>
      <c r="I144" s="86"/>
      <c r="J144" s="86"/>
      <c r="K144" s="86"/>
      <c r="L144" s="86"/>
      <c r="M144" s="86"/>
      <c r="N144" s="86"/>
      <c r="O144" s="86"/>
      <c r="P144" s="86"/>
      <c r="Q144" s="86"/>
      <c r="R144" s="86"/>
      <c r="S144" s="86"/>
      <c r="T144" s="86"/>
      <c r="U144" s="86"/>
    </row>
    <row r="145" spans="4:21" ht="15" customHeight="1" x14ac:dyDescent="0.25">
      <c r="D145" s="86"/>
      <c r="E145" s="86"/>
      <c r="F145" s="86"/>
      <c r="G145" s="86"/>
      <c r="H145" s="86"/>
      <c r="I145" s="86"/>
      <c r="J145" s="86"/>
      <c r="K145" s="86"/>
      <c r="L145" s="86"/>
      <c r="M145" s="86"/>
      <c r="N145" s="86"/>
      <c r="O145" s="86"/>
      <c r="P145" s="86"/>
      <c r="Q145" s="86"/>
      <c r="R145" s="86"/>
      <c r="S145" s="86"/>
      <c r="T145" s="86"/>
      <c r="U145" s="86"/>
    </row>
    <row r="146" spans="4:21" ht="15" customHeight="1" x14ac:dyDescent="0.25">
      <c r="D146" s="86"/>
      <c r="E146" s="86"/>
      <c r="F146" s="86"/>
      <c r="G146" s="86"/>
      <c r="H146" s="86"/>
      <c r="I146" s="86"/>
      <c r="J146" s="86"/>
      <c r="K146" s="86"/>
      <c r="L146" s="86"/>
      <c r="M146" s="86"/>
      <c r="N146" s="86"/>
      <c r="O146" s="86"/>
      <c r="P146" s="86"/>
      <c r="Q146" s="86"/>
      <c r="R146" s="86"/>
      <c r="S146" s="86"/>
      <c r="T146" s="86"/>
      <c r="U146" s="86"/>
    </row>
    <row r="147" spans="4:21" ht="15" customHeight="1" x14ac:dyDescent="0.25">
      <c r="D147" s="86"/>
      <c r="E147" s="86"/>
      <c r="F147" s="86"/>
      <c r="G147" s="86"/>
      <c r="H147" s="86"/>
      <c r="I147" s="86"/>
      <c r="J147" s="86"/>
      <c r="K147" s="86"/>
      <c r="L147" s="86"/>
      <c r="M147" s="86"/>
      <c r="N147" s="86"/>
      <c r="O147" s="86"/>
      <c r="P147" s="86"/>
      <c r="Q147" s="86"/>
      <c r="R147" s="86"/>
      <c r="S147" s="86"/>
      <c r="T147" s="86"/>
      <c r="U147" s="86"/>
    </row>
    <row r="148" spans="4:21" ht="15" customHeight="1" x14ac:dyDescent="0.25">
      <c r="D148" s="86"/>
      <c r="E148" s="86"/>
      <c r="F148" s="86"/>
      <c r="G148" s="86"/>
      <c r="H148" s="86"/>
      <c r="I148" s="86"/>
      <c r="J148" s="86"/>
      <c r="K148" s="86"/>
      <c r="L148" s="86"/>
      <c r="M148" s="86"/>
      <c r="N148" s="86"/>
      <c r="O148" s="86"/>
      <c r="P148" s="86"/>
      <c r="Q148" s="86"/>
      <c r="R148" s="86"/>
      <c r="S148" s="86"/>
      <c r="T148" s="86"/>
      <c r="U148" s="86"/>
    </row>
    <row r="149" spans="4:21" ht="15" customHeight="1" x14ac:dyDescent="0.25">
      <c r="D149" s="86"/>
      <c r="E149" s="86"/>
      <c r="F149" s="86"/>
      <c r="G149" s="86"/>
      <c r="H149" s="86"/>
      <c r="I149" s="86"/>
      <c r="J149" s="86"/>
      <c r="K149" s="86"/>
      <c r="L149" s="86"/>
      <c r="M149" s="86"/>
      <c r="N149" s="86"/>
      <c r="O149" s="86"/>
      <c r="P149" s="86"/>
      <c r="Q149" s="86"/>
      <c r="R149" s="86"/>
      <c r="S149" s="86"/>
      <c r="T149" s="86"/>
      <c r="U149" s="86"/>
    </row>
    <row r="150" spans="4:21" ht="15" customHeight="1" x14ac:dyDescent="0.25">
      <c r="D150" s="86"/>
      <c r="E150" s="86"/>
      <c r="F150" s="86"/>
      <c r="G150" s="86"/>
      <c r="H150" s="86"/>
      <c r="I150" s="86"/>
      <c r="J150" s="86"/>
      <c r="K150" s="86"/>
      <c r="L150" s="86"/>
      <c r="M150" s="86"/>
      <c r="N150" s="86"/>
      <c r="O150" s="86"/>
      <c r="P150" s="86"/>
      <c r="Q150" s="86"/>
      <c r="R150" s="86"/>
      <c r="S150" s="86"/>
      <c r="T150" s="86"/>
      <c r="U150" s="86"/>
    </row>
    <row r="151" spans="4:21" ht="15" customHeight="1" x14ac:dyDescent="0.25">
      <c r="D151" s="86"/>
      <c r="E151" s="86"/>
      <c r="F151" s="86"/>
      <c r="G151" s="86"/>
      <c r="H151" s="86"/>
      <c r="I151" s="86"/>
      <c r="J151" s="86"/>
      <c r="K151" s="86"/>
      <c r="L151" s="86"/>
      <c r="M151" s="86"/>
      <c r="N151" s="86"/>
      <c r="O151" s="86"/>
      <c r="P151" s="86"/>
      <c r="Q151" s="86"/>
      <c r="R151" s="86"/>
      <c r="S151" s="86"/>
      <c r="T151" s="86"/>
      <c r="U151" s="86"/>
    </row>
    <row r="152" spans="4:21" ht="15" customHeight="1" x14ac:dyDescent="0.25">
      <c r="D152" s="86"/>
      <c r="E152" s="86"/>
      <c r="F152" s="86"/>
      <c r="G152" s="86"/>
      <c r="H152" s="86"/>
      <c r="I152" s="86"/>
      <c r="J152" s="86"/>
      <c r="K152" s="86"/>
      <c r="L152" s="86"/>
      <c r="M152" s="86"/>
      <c r="N152" s="86"/>
      <c r="O152" s="86"/>
      <c r="P152" s="86"/>
      <c r="Q152" s="86"/>
      <c r="R152" s="86"/>
      <c r="S152" s="86"/>
      <c r="T152" s="86"/>
      <c r="U152" s="86"/>
    </row>
    <row r="153" spans="4:21" ht="15" customHeight="1" x14ac:dyDescent="0.25">
      <c r="D153" s="86"/>
      <c r="E153" s="86"/>
      <c r="F153" s="86"/>
      <c r="G153" s="86"/>
      <c r="H153" s="86"/>
      <c r="I153" s="86"/>
      <c r="J153" s="86"/>
      <c r="K153" s="86"/>
      <c r="L153" s="86"/>
      <c r="M153" s="86"/>
      <c r="N153" s="86"/>
      <c r="O153" s="86"/>
      <c r="P153" s="86"/>
      <c r="Q153" s="86"/>
      <c r="R153" s="86"/>
      <c r="S153" s="86"/>
      <c r="T153" s="86"/>
      <c r="U153" s="86"/>
    </row>
    <row r="154" spans="4:21" ht="15" customHeight="1" x14ac:dyDescent="0.25">
      <c r="D154" s="86"/>
      <c r="E154" s="86"/>
      <c r="F154" s="86"/>
      <c r="G154" s="86"/>
      <c r="H154" s="86"/>
      <c r="I154" s="86"/>
      <c r="J154" s="86"/>
      <c r="K154" s="86"/>
      <c r="L154" s="86"/>
      <c r="M154" s="86"/>
      <c r="N154" s="86"/>
      <c r="O154" s="86"/>
      <c r="P154" s="86"/>
      <c r="Q154" s="86"/>
      <c r="R154" s="86"/>
      <c r="S154" s="86"/>
      <c r="T154" s="86"/>
      <c r="U154" s="86"/>
    </row>
    <row r="155" spans="4:21" ht="15" customHeight="1" x14ac:dyDescent="0.25">
      <c r="D155" s="86"/>
      <c r="E155" s="86"/>
      <c r="F155" s="86"/>
      <c r="G155" s="86"/>
      <c r="H155" s="86"/>
      <c r="I155" s="86"/>
      <c r="J155" s="86"/>
      <c r="K155" s="86"/>
      <c r="L155" s="86"/>
      <c r="M155" s="86"/>
      <c r="N155" s="86"/>
      <c r="O155" s="86"/>
      <c r="P155" s="86"/>
      <c r="Q155" s="86"/>
      <c r="R155" s="86"/>
      <c r="S155" s="86"/>
      <c r="T155" s="86"/>
      <c r="U155" s="86"/>
    </row>
    <row r="156" spans="4:21" ht="15" customHeight="1" x14ac:dyDescent="0.25">
      <c r="D156" s="86"/>
      <c r="E156" s="86"/>
      <c r="F156" s="86"/>
      <c r="G156" s="86"/>
      <c r="H156" s="86"/>
      <c r="I156" s="86"/>
      <c r="J156" s="86"/>
      <c r="K156" s="86"/>
      <c r="L156" s="86"/>
      <c r="M156" s="86"/>
      <c r="N156" s="86"/>
      <c r="O156" s="86"/>
      <c r="P156" s="86"/>
      <c r="Q156" s="86"/>
      <c r="R156" s="86"/>
      <c r="S156" s="86"/>
      <c r="T156" s="86"/>
      <c r="U156" s="86"/>
    </row>
    <row r="157" spans="4:21" ht="15" customHeight="1" x14ac:dyDescent="0.25">
      <c r="D157" s="86"/>
      <c r="E157" s="86"/>
      <c r="F157" s="86"/>
      <c r="G157" s="86"/>
      <c r="H157" s="86"/>
      <c r="I157" s="86"/>
      <c r="J157" s="86"/>
      <c r="K157" s="86"/>
      <c r="L157" s="86"/>
      <c r="M157" s="86"/>
      <c r="N157" s="86"/>
      <c r="O157" s="86"/>
      <c r="P157" s="86"/>
      <c r="Q157" s="86"/>
      <c r="R157" s="86"/>
      <c r="S157" s="86"/>
      <c r="T157" s="86"/>
      <c r="U157" s="86"/>
    </row>
    <row r="158" spans="4:21" ht="15" customHeight="1" x14ac:dyDescent="0.25">
      <c r="D158" s="86"/>
      <c r="E158" s="86"/>
      <c r="F158" s="86"/>
      <c r="G158" s="86"/>
      <c r="H158" s="86"/>
      <c r="I158" s="86"/>
      <c r="J158" s="86"/>
      <c r="K158" s="86"/>
      <c r="L158" s="86"/>
      <c r="M158" s="86"/>
      <c r="N158" s="86"/>
      <c r="O158" s="86"/>
      <c r="P158" s="86"/>
      <c r="Q158" s="86"/>
      <c r="R158" s="86"/>
      <c r="S158" s="86"/>
      <c r="T158" s="86"/>
      <c r="U158" s="86"/>
    </row>
    <row r="159" spans="4:21" ht="15" customHeight="1" x14ac:dyDescent="0.25">
      <c r="D159" s="86"/>
      <c r="E159" s="86"/>
      <c r="F159" s="86"/>
      <c r="G159" s="86"/>
      <c r="H159" s="86"/>
      <c r="I159" s="86"/>
      <c r="J159" s="86"/>
      <c r="K159" s="86"/>
      <c r="L159" s="86"/>
      <c r="M159" s="86"/>
      <c r="N159" s="86"/>
      <c r="O159" s="86"/>
      <c r="P159" s="86"/>
      <c r="Q159" s="86"/>
      <c r="R159" s="86"/>
      <c r="S159" s="86"/>
      <c r="T159" s="86"/>
      <c r="U159" s="86"/>
    </row>
    <row r="160" spans="4:21" ht="15" customHeight="1" x14ac:dyDescent="0.25">
      <c r="D160" s="86"/>
      <c r="E160" s="86"/>
      <c r="F160" s="86"/>
      <c r="G160" s="86"/>
      <c r="H160" s="86"/>
      <c r="I160" s="86"/>
      <c r="J160" s="86"/>
      <c r="K160" s="86"/>
      <c r="L160" s="86"/>
      <c r="M160" s="86"/>
      <c r="N160" s="86"/>
      <c r="O160" s="86"/>
      <c r="P160" s="86"/>
      <c r="Q160" s="86"/>
      <c r="R160" s="86"/>
      <c r="S160" s="86"/>
      <c r="T160" s="86"/>
      <c r="U160" s="86"/>
    </row>
    <row r="161" spans="4:21" ht="15" customHeight="1" x14ac:dyDescent="0.25">
      <c r="D161" s="86"/>
      <c r="E161" s="86"/>
      <c r="F161" s="86"/>
      <c r="G161" s="86"/>
      <c r="H161" s="86"/>
      <c r="I161" s="86"/>
      <c r="J161" s="86"/>
      <c r="K161" s="86"/>
      <c r="L161" s="86"/>
      <c r="M161" s="86"/>
      <c r="N161" s="86"/>
      <c r="O161" s="86"/>
      <c r="P161" s="86"/>
      <c r="Q161" s="86"/>
      <c r="R161" s="86"/>
      <c r="S161" s="86"/>
      <c r="T161" s="86"/>
      <c r="U161" s="86"/>
    </row>
    <row r="162" spans="4:21" ht="15" customHeight="1" x14ac:dyDescent="0.25">
      <c r="D162" s="86"/>
      <c r="E162" s="86"/>
      <c r="F162" s="86"/>
      <c r="G162" s="86"/>
      <c r="H162" s="86"/>
      <c r="I162" s="86"/>
      <c r="J162" s="86"/>
      <c r="K162" s="86"/>
      <c r="L162" s="86"/>
      <c r="M162" s="86"/>
      <c r="N162" s="86"/>
      <c r="O162" s="86"/>
      <c r="P162" s="86"/>
      <c r="Q162" s="86"/>
      <c r="R162" s="86"/>
      <c r="S162" s="86"/>
      <c r="T162" s="86"/>
      <c r="U162" s="86"/>
    </row>
    <row r="163" spans="4:21" ht="15" customHeight="1" x14ac:dyDescent="0.25">
      <c r="D163" s="86"/>
      <c r="E163" s="86"/>
      <c r="F163" s="86"/>
      <c r="G163" s="86"/>
      <c r="H163" s="86"/>
      <c r="I163" s="86"/>
      <c r="J163" s="86"/>
      <c r="K163" s="86"/>
      <c r="L163" s="86"/>
      <c r="M163" s="86"/>
      <c r="N163" s="86"/>
      <c r="O163" s="86"/>
      <c r="P163" s="86"/>
      <c r="Q163" s="86"/>
      <c r="R163" s="86"/>
      <c r="S163" s="86"/>
      <c r="T163" s="86"/>
      <c r="U163" s="86"/>
    </row>
    <row r="164" spans="4:21" ht="15" customHeight="1" x14ac:dyDescent="0.25">
      <c r="D164" s="86"/>
      <c r="E164" s="86"/>
      <c r="F164" s="86"/>
      <c r="G164" s="86"/>
      <c r="H164" s="86"/>
      <c r="I164" s="86"/>
      <c r="J164" s="86"/>
      <c r="K164" s="86"/>
      <c r="L164" s="86"/>
      <c r="M164" s="86"/>
      <c r="N164" s="86"/>
      <c r="O164" s="86"/>
      <c r="P164" s="86"/>
      <c r="Q164" s="86"/>
      <c r="R164" s="86"/>
      <c r="S164" s="86"/>
      <c r="T164" s="86"/>
      <c r="U164" s="86"/>
    </row>
    <row r="165" spans="4:21" ht="15" customHeight="1" x14ac:dyDescent="0.25">
      <c r="D165" s="86"/>
      <c r="E165" s="88"/>
      <c r="F165" s="86"/>
      <c r="G165" s="86"/>
      <c r="H165" s="86"/>
      <c r="I165" s="86"/>
      <c r="J165" s="86"/>
      <c r="K165" s="86"/>
      <c r="L165" s="86"/>
      <c r="M165" s="86"/>
      <c r="N165" s="86"/>
      <c r="O165" s="86"/>
      <c r="P165" s="86"/>
      <c r="Q165" s="86"/>
      <c r="R165" s="86"/>
      <c r="S165" s="86"/>
      <c r="T165" s="86"/>
      <c r="U165" s="86"/>
    </row>
    <row r="166" spans="4:21" ht="15" customHeight="1" x14ac:dyDescent="0.25">
      <c r="D166" s="86"/>
      <c r="E166" s="86"/>
      <c r="F166" s="86"/>
      <c r="G166" s="86"/>
      <c r="H166" s="86"/>
      <c r="I166" s="86"/>
      <c r="J166" s="86"/>
      <c r="K166" s="86"/>
      <c r="L166" s="86"/>
      <c r="M166" s="86"/>
      <c r="N166" s="86"/>
      <c r="O166" s="86"/>
      <c r="P166" s="86"/>
      <c r="Q166" s="86"/>
      <c r="R166" s="86"/>
      <c r="S166" s="86"/>
      <c r="T166" s="86"/>
      <c r="U166" s="86"/>
    </row>
    <row r="167" spans="4:21" ht="15" customHeight="1" x14ac:dyDescent="0.25">
      <c r="D167" s="86"/>
      <c r="E167" s="86"/>
      <c r="F167" s="86"/>
      <c r="G167" s="86"/>
      <c r="H167" s="86"/>
      <c r="I167" s="86"/>
      <c r="J167" s="86"/>
      <c r="K167" s="86"/>
      <c r="L167" s="86"/>
      <c r="M167" s="86"/>
      <c r="N167" s="86"/>
      <c r="O167" s="86"/>
      <c r="P167" s="86"/>
      <c r="Q167" s="86"/>
      <c r="R167" s="86"/>
      <c r="S167" s="86"/>
      <c r="T167" s="86"/>
      <c r="U167" s="86"/>
    </row>
    <row r="168" spans="4:21" ht="15" customHeight="1" x14ac:dyDescent="0.25">
      <c r="D168" s="86"/>
      <c r="E168" s="152" t="s">
        <v>14</v>
      </c>
      <c r="F168" s="152"/>
      <c r="G168" s="152"/>
      <c r="H168" s="152"/>
      <c r="I168" s="152"/>
      <c r="J168" s="152"/>
      <c r="K168" s="152"/>
      <c r="L168" s="152"/>
      <c r="M168" s="152"/>
      <c r="N168" s="152"/>
      <c r="O168" s="152"/>
      <c r="P168" s="152"/>
      <c r="Q168" s="152"/>
      <c r="R168" s="152"/>
      <c r="S168" s="152"/>
      <c r="T168" s="152"/>
      <c r="U168" s="86"/>
    </row>
    <row r="169" spans="4:21" ht="15" customHeight="1" x14ac:dyDescent="0.25">
      <c r="D169" s="86"/>
      <c r="E169" s="152"/>
      <c r="F169" s="152"/>
      <c r="G169" s="152"/>
      <c r="H169" s="152"/>
      <c r="I169" s="152"/>
      <c r="J169" s="152"/>
      <c r="K169" s="152"/>
      <c r="L169" s="152"/>
      <c r="M169" s="152"/>
      <c r="N169" s="152"/>
      <c r="O169" s="152"/>
      <c r="P169" s="152"/>
      <c r="Q169" s="152"/>
      <c r="R169" s="152"/>
      <c r="S169" s="152"/>
      <c r="T169" s="152"/>
      <c r="U169" s="86"/>
    </row>
    <row r="170" spans="4:21" ht="15" customHeight="1" x14ac:dyDescent="0.25">
      <c r="D170" s="86"/>
      <c r="E170" s="152"/>
      <c r="F170" s="152"/>
      <c r="G170" s="152"/>
      <c r="H170" s="152"/>
      <c r="I170" s="152"/>
      <c r="J170" s="152"/>
      <c r="K170" s="152"/>
      <c r="L170" s="152"/>
      <c r="M170" s="152"/>
      <c r="N170" s="152"/>
      <c r="O170" s="152"/>
      <c r="P170" s="152"/>
      <c r="Q170" s="152"/>
      <c r="R170" s="152"/>
      <c r="S170" s="152"/>
      <c r="T170" s="152"/>
      <c r="U170" s="86"/>
    </row>
    <row r="171" spans="4:21" ht="15" customHeight="1" x14ac:dyDescent="0.25">
      <c r="D171" s="86"/>
      <c r="E171" s="152"/>
      <c r="F171" s="152"/>
      <c r="G171" s="152"/>
      <c r="H171" s="152"/>
      <c r="I171" s="152"/>
      <c r="J171" s="152"/>
      <c r="K171" s="152"/>
      <c r="L171" s="152"/>
      <c r="M171" s="152"/>
      <c r="N171" s="152"/>
      <c r="O171" s="152"/>
      <c r="P171" s="152"/>
      <c r="Q171" s="152"/>
      <c r="R171" s="152"/>
      <c r="S171" s="152"/>
      <c r="T171" s="152"/>
      <c r="U171" s="86"/>
    </row>
    <row r="172" spans="4:21" ht="15" customHeight="1" x14ac:dyDescent="0.25">
      <c r="D172" s="86"/>
      <c r="E172" s="152"/>
      <c r="F172" s="152"/>
      <c r="G172" s="152"/>
      <c r="H172" s="152"/>
      <c r="I172" s="152"/>
      <c r="J172" s="152"/>
      <c r="K172" s="152"/>
      <c r="L172" s="152"/>
      <c r="M172" s="152"/>
      <c r="N172" s="152"/>
      <c r="O172" s="152"/>
      <c r="P172" s="152"/>
      <c r="Q172" s="152"/>
      <c r="R172" s="152"/>
      <c r="S172" s="152"/>
      <c r="T172" s="152"/>
      <c r="U172" s="86"/>
    </row>
    <row r="173" spans="4:21" ht="15" customHeight="1" x14ac:dyDescent="0.25">
      <c r="D173" s="86"/>
      <c r="E173" s="152"/>
      <c r="F173" s="152"/>
      <c r="G173" s="152"/>
      <c r="H173" s="152"/>
      <c r="I173" s="152"/>
      <c r="J173" s="152"/>
      <c r="K173" s="152"/>
      <c r="L173" s="152"/>
      <c r="M173" s="152"/>
      <c r="N173" s="152"/>
      <c r="O173" s="152"/>
      <c r="P173" s="152"/>
      <c r="Q173" s="152"/>
      <c r="R173" s="152"/>
      <c r="S173" s="152"/>
      <c r="T173" s="152"/>
      <c r="U173" s="86"/>
    </row>
    <row r="174" spans="4:21" ht="15" customHeight="1" x14ac:dyDescent="0.25">
      <c r="D174" s="86"/>
      <c r="E174" s="86"/>
      <c r="F174" s="86"/>
      <c r="G174" s="86"/>
      <c r="H174" s="86"/>
      <c r="I174" s="86"/>
      <c r="J174" s="86"/>
      <c r="K174" s="86"/>
      <c r="L174" s="86"/>
      <c r="M174" s="86"/>
      <c r="N174" s="86"/>
      <c r="O174" s="86"/>
      <c r="P174" s="86"/>
      <c r="Q174" s="86"/>
      <c r="R174" s="86"/>
      <c r="S174" s="86"/>
      <c r="T174" s="86"/>
      <c r="U174" s="86"/>
    </row>
    <row r="175" spans="4:21" ht="15" customHeight="1" x14ac:dyDescent="0.25">
      <c r="D175" s="86"/>
      <c r="E175" s="86"/>
      <c r="F175" s="86"/>
      <c r="G175" s="86"/>
      <c r="H175" s="86"/>
      <c r="I175" s="86"/>
      <c r="J175" s="86"/>
      <c r="K175" s="86"/>
      <c r="L175" s="86"/>
      <c r="M175" s="86"/>
      <c r="N175" s="86"/>
      <c r="O175" s="86"/>
      <c r="P175" s="86"/>
      <c r="Q175" s="86"/>
      <c r="R175" s="86"/>
      <c r="S175" s="86"/>
      <c r="T175" s="86"/>
      <c r="U175" s="86"/>
    </row>
    <row r="176" spans="4:21" ht="15" customHeight="1" x14ac:dyDescent="0.25">
      <c r="D176" s="86"/>
      <c r="E176" s="86"/>
      <c r="F176" s="86"/>
      <c r="G176" s="86"/>
      <c r="H176" s="86"/>
      <c r="I176" s="86"/>
      <c r="J176" s="86"/>
      <c r="K176" s="86"/>
      <c r="L176" s="86"/>
      <c r="M176" s="86"/>
      <c r="N176" s="86"/>
      <c r="O176" s="86"/>
      <c r="P176" s="86"/>
      <c r="Q176" s="86"/>
      <c r="R176" s="86"/>
      <c r="S176" s="86"/>
      <c r="T176" s="86"/>
      <c r="U176" s="86"/>
    </row>
    <row r="177" spans="4:21" ht="15" customHeight="1" x14ac:dyDescent="0.25">
      <c r="D177" s="86"/>
      <c r="E177" s="86"/>
      <c r="F177" s="86"/>
      <c r="G177" s="86"/>
      <c r="H177" s="86"/>
      <c r="I177" s="86"/>
      <c r="J177" s="86"/>
      <c r="K177" s="86"/>
      <c r="L177" s="86"/>
      <c r="M177" s="86"/>
      <c r="N177" s="86"/>
      <c r="O177" s="86"/>
      <c r="P177" s="86"/>
      <c r="Q177" s="86"/>
      <c r="R177" s="86"/>
      <c r="S177" s="86"/>
      <c r="T177" s="86"/>
      <c r="U177" s="86"/>
    </row>
    <row r="178" spans="4:21" ht="15" customHeight="1" x14ac:dyDescent="0.25">
      <c r="D178" s="86"/>
      <c r="E178" s="86"/>
      <c r="F178" s="86"/>
      <c r="G178" s="86"/>
      <c r="H178" s="86"/>
      <c r="I178" s="86"/>
      <c r="J178" s="86"/>
      <c r="K178" s="86"/>
      <c r="L178" s="86"/>
      <c r="M178" s="86"/>
      <c r="N178" s="86"/>
      <c r="O178" s="86"/>
      <c r="P178" s="86"/>
      <c r="Q178" s="86"/>
      <c r="R178" s="86"/>
      <c r="S178" s="86"/>
      <c r="T178" s="86"/>
      <c r="U178" s="86"/>
    </row>
    <row r="179" spans="4:21" ht="15" customHeight="1" x14ac:dyDescent="0.25">
      <c r="D179" s="86"/>
      <c r="E179" s="86"/>
      <c r="F179" s="86"/>
      <c r="G179" s="86"/>
      <c r="H179" s="86"/>
      <c r="I179" s="86"/>
      <c r="J179" s="86"/>
      <c r="K179" s="86"/>
      <c r="L179" s="86"/>
      <c r="M179" s="86"/>
      <c r="N179" s="86"/>
      <c r="O179" s="86"/>
      <c r="P179" s="86"/>
      <c r="Q179" s="86"/>
      <c r="R179" s="86"/>
      <c r="S179" s="86"/>
      <c r="T179" s="86"/>
      <c r="U179" s="86"/>
    </row>
    <row r="180" spans="4:21" ht="15" customHeight="1" x14ac:dyDescent="0.25">
      <c r="D180" s="86"/>
      <c r="E180" s="86"/>
      <c r="F180" s="86"/>
      <c r="G180" s="86"/>
      <c r="H180" s="86"/>
      <c r="I180" s="86"/>
      <c r="J180" s="86"/>
      <c r="K180" s="86"/>
      <c r="L180" s="86"/>
      <c r="M180" s="86"/>
      <c r="N180" s="86"/>
      <c r="O180" s="86"/>
      <c r="P180" s="86"/>
      <c r="Q180" s="86"/>
      <c r="R180" s="86"/>
      <c r="S180" s="86"/>
      <c r="T180" s="86"/>
      <c r="U180" s="86"/>
    </row>
    <row r="181" spans="4:21" ht="15" customHeight="1" x14ac:dyDescent="0.25">
      <c r="D181" s="86"/>
      <c r="E181" s="86"/>
      <c r="F181" s="86"/>
      <c r="G181" s="86"/>
      <c r="H181" s="86"/>
      <c r="I181" s="86"/>
      <c r="J181" s="86"/>
      <c r="K181" s="86"/>
      <c r="L181" s="86"/>
      <c r="M181" s="86"/>
      <c r="N181" s="86"/>
      <c r="O181" s="86"/>
      <c r="P181" s="86"/>
      <c r="Q181" s="86"/>
      <c r="R181" s="86"/>
      <c r="S181" s="86"/>
      <c r="T181" s="86"/>
      <c r="U181" s="86"/>
    </row>
    <row r="182" spans="4:21" ht="15" customHeight="1" x14ac:dyDescent="0.25">
      <c r="D182" s="86"/>
      <c r="E182" s="86"/>
      <c r="F182" s="86"/>
      <c r="G182" s="86"/>
      <c r="H182" s="86"/>
      <c r="I182" s="86"/>
      <c r="J182" s="86"/>
      <c r="K182" s="86"/>
      <c r="L182" s="86"/>
      <c r="M182" s="86"/>
      <c r="N182" s="86"/>
      <c r="O182" s="86"/>
      <c r="P182" s="86"/>
      <c r="Q182" s="86"/>
      <c r="R182" s="86"/>
      <c r="S182" s="86"/>
      <c r="T182" s="86"/>
      <c r="U182" s="86"/>
    </row>
    <row r="183" spans="4:21" ht="15" customHeight="1" x14ac:dyDescent="0.25">
      <c r="D183" s="86"/>
      <c r="E183" s="86"/>
      <c r="F183" s="86"/>
      <c r="G183" s="86"/>
      <c r="H183" s="86"/>
      <c r="I183" s="86"/>
      <c r="J183" s="86"/>
      <c r="K183" s="86"/>
      <c r="L183" s="86"/>
      <c r="M183" s="86"/>
      <c r="N183" s="86"/>
      <c r="O183" s="86"/>
      <c r="P183" s="86"/>
      <c r="Q183" s="86"/>
      <c r="R183" s="86"/>
      <c r="S183" s="86"/>
      <c r="T183" s="86"/>
      <c r="U183" s="86"/>
    </row>
    <row r="184" spans="4:21" ht="15" customHeight="1" x14ac:dyDescent="0.25">
      <c r="D184" s="86"/>
      <c r="E184" s="86"/>
      <c r="F184" s="86"/>
      <c r="G184" s="86"/>
      <c r="H184" s="86"/>
      <c r="I184" s="86"/>
      <c r="J184" s="86"/>
      <c r="K184" s="86"/>
      <c r="L184" s="86"/>
      <c r="M184" s="86"/>
      <c r="N184" s="86"/>
      <c r="O184" s="86"/>
      <c r="P184" s="86"/>
      <c r="Q184" s="86"/>
      <c r="R184" s="86"/>
      <c r="S184" s="86"/>
      <c r="T184" s="86"/>
      <c r="U184" s="86"/>
    </row>
    <row r="185" spans="4:21" ht="15" customHeight="1" x14ac:dyDescent="0.25">
      <c r="D185" s="86"/>
      <c r="E185" s="86"/>
      <c r="F185" s="86"/>
      <c r="G185" s="86"/>
      <c r="H185" s="86"/>
      <c r="I185" s="86"/>
      <c r="J185" s="86"/>
      <c r="K185" s="86"/>
      <c r="L185" s="86"/>
      <c r="M185" s="86"/>
      <c r="N185" s="86"/>
      <c r="O185" s="86"/>
      <c r="P185" s="86"/>
      <c r="Q185" s="86"/>
      <c r="R185" s="86"/>
      <c r="S185" s="86"/>
      <c r="T185" s="86"/>
      <c r="U185" s="86"/>
    </row>
    <row r="186" spans="4:21" ht="15" customHeight="1" x14ac:dyDescent="0.25">
      <c r="D186" s="86"/>
      <c r="E186" s="86"/>
      <c r="F186" s="86"/>
      <c r="G186" s="86"/>
      <c r="H186" s="86"/>
      <c r="I186" s="86"/>
      <c r="J186" s="86"/>
      <c r="K186" s="86"/>
      <c r="L186" s="86"/>
      <c r="M186" s="86"/>
      <c r="N186" s="86"/>
      <c r="O186" s="86"/>
      <c r="P186" s="86"/>
      <c r="Q186" s="86"/>
      <c r="R186" s="86"/>
      <c r="S186" s="86"/>
      <c r="T186" s="86"/>
      <c r="U186" s="86"/>
    </row>
    <row r="187" spans="4:21" ht="15" customHeight="1" x14ac:dyDescent="0.25">
      <c r="D187" s="86"/>
      <c r="E187" s="86"/>
      <c r="F187" s="86"/>
      <c r="G187" s="86"/>
      <c r="H187" s="86"/>
      <c r="I187" s="86"/>
      <c r="J187" s="86"/>
      <c r="K187" s="86"/>
      <c r="L187" s="86"/>
      <c r="M187" s="86"/>
      <c r="N187" s="86"/>
      <c r="O187" s="86"/>
      <c r="P187" s="86"/>
      <c r="Q187" s="86"/>
      <c r="R187" s="86"/>
      <c r="S187" s="86"/>
      <c r="T187" s="86"/>
      <c r="U187" s="86"/>
    </row>
    <row r="188" spans="4:21" ht="15" customHeight="1" x14ac:dyDescent="0.25">
      <c r="D188" s="86"/>
      <c r="E188" s="86"/>
      <c r="F188" s="86"/>
      <c r="G188" s="86"/>
      <c r="H188" s="86"/>
      <c r="I188" s="86"/>
      <c r="J188" s="86"/>
      <c r="K188" s="86"/>
      <c r="L188" s="86"/>
      <c r="M188" s="86"/>
      <c r="N188" s="86"/>
      <c r="O188" s="86"/>
      <c r="P188" s="86"/>
      <c r="Q188" s="86"/>
      <c r="R188" s="86"/>
      <c r="S188" s="86"/>
      <c r="T188" s="86"/>
      <c r="U188" s="86"/>
    </row>
    <row r="189" spans="4:21" ht="15" customHeight="1" x14ac:dyDescent="0.25">
      <c r="D189" s="86"/>
      <c r="E189" s="86"/>
      <c r="F189" s="86"/>
      <c r="G189" s="86"/>
      <c r="H189" s="86"/>
      <c r="I189" s="86"/>
      <c r="J189" s="86"/>
      <c r="K189" s="86"/>
      <c r="L189" s="86"/>
      <c r="M189" s="86"/>
      <c r="N189" s="86"/>
      <c r="O189" s="86"/>
      <c r="P189" s="86"/>
      <c r="Q189" s="86"/>
      <c r="R189" s="86"/>
      <c r="S189" s="86"/>
      <c r="T189" s="86"/>
      <c r="U189" s="86"/>
    </row>
    <row r="190" spans="4:21" ht="15" customHeight="1" x14ac:dyDescent="0.25">
      <c r="D190" s="86"/>
      <c r="E190" s="86"/>
      <c r="F190" s="86"/>
      <c r="G190" s="86"/>
      <c r="H190" s="86"/>
      <c r="I190" s="86"/>
      <c r="J190" s="86"/>
      <c r="K190" s="86"/>
      <c r="L190" s="86"/>
      <c r="M190" s="86"/>
      <c r="N190" s="86"/>
      <c r="O190" s="86"/>
      <c r="P190" s="86"/>
      <c r="Q190" s="86"/>
      <c r="R190" s="86"/>
      <c r="S190" s="86"/>
      <c r="T190" s="86"/>
      <c r="U190" s="86"/>
    </row>
    <row r="191" spans="4:21" ht="15" customHeight="1" x14ac:dyDescent="0.25">
      <c r="D191" s="86"/>
      <c r="E191" s="86"/>
      <c r="F191" s="86"/>
      <c r="G191" s="86"/>
      <c r="H191" s="86"/>
      <c r="I191" s="86"/>
      <c r="J191" s="86"/>
      <c r="K191" s="86"/>
      <c r="L191" s="86"/>
      <c r="M191" s="86"/>
      <c r="N191" s="86"/>
      <c r="O191" s="86"/>
      <c r="P191" s="86"/>
      <c r="Q191" s="86"/>
      <c r="R191" s="86"/>
      <c r="S191" s="86"/>
      <c r="T191" s="86"/>
      <c r="U191" s="86"/>
    </row>
    <row r="192" spans="4:21" ht="15" customHeight="1" x14ac:dyDescent="0.25">
      <c r="D192" s="86"/>
      <c r="E192" s="86"/>
      <c r="F192" s="86"/>
      <c r="G192" s="86"/>
      <c r="H192" s="86"/>
      <c r="I192" s="86"/>
      <c r="J192" s="86"/>
      <c r="K192" s="86"/>
      <c r="L192" s="86"/>
      <c r="M192" s="86"/>
      <c r="N192" s="86"/>
      <c r="O192" s="86"/>
      <c r="P192" s="86"/>
      <c r="Q192" s="86"/>
      <c r="R192" s="86"/>
      <c r="S192" s="86"/>
      <c r="T192" s="86"/>
      <c r="U192" s="86"/>
    </row>
    <row r="193" spans="4:21" ht="15" customHeight="1" x14ac:dyDescent="0.25">
      <c r="D193" s="86"/>
      <c r="E193" s="86"/>
      <c r="F193" s="86"/>
      <c r="G193" s="86"/>
      <c r="H193" s="86"/>
      <c r="I193" s="86"/>
      <c r="J193" s="86"/>
      <c r="K193" s="86"/>
      <c r="L193" s="86"/>
      <c r="M193" s="86"/>
      <c r="N193" s="86"/>
      <c r="O193" s="86"/>
      <c r="P193" s="86"/>
      <c r="Q193" s="86"/>
      <c r="R193" s="86"/>
      <c r="S193" s="86"/>
      <c r="T193" s="86"/>
      <c r="U193" s="86"/>
    </row>
    <row r="194" spans="4:21" ht="15" customHeight="1" x14ac:dyDescent="0.25">
      <c r="D194" s="86"/>
      <c r="E194" s="86"/>
      <c r="F194" s="86"/>
      <c r="G194" s="86"/>
      <c r="H194" s="86"/>
      <c r="I194" s="86"/>
      <c r="J194" s="86"/>
      <c r="K194" s="86"/>
      <c r="L194" s="86"/>
      <c r="M194" s="86"/>
      <c r="N194" s="86"/>
      <c r="O194" s="86"/>
      <c r="P194" s="86"/>
      <c r="Q194" s="86"/>
      <c r="R194" s="86"/>
      <c r="S194" s="86"/>
      <c r="T194" s="86"/>
      <c r="U194" s="86"/>
    </row>
    <row r="195" spans="4:21" ht="15" customHeight="1" x14ac:dyDescent="0.25">
      <c r="D195" s="86"/>
      <c r="E195" s="86"/>
      <c r="F195" s="86"/>
      <c r="G195" s="86"/>
      <c r="H195" s="86"/>
      <c r="I195" s="86"/>
      <c r="J195" s="86"/>
      <c r="K195" s="86"/>
      <c r="L195" s="86"/>
      <c r="M195" s="86"/>
      <c r="N195" s="86"/>
      <c r="O195" s="86"/>
      <c r="P195" s="86"/>
      <c r="Q195" s="86"/>
      <c r="R195" s="86"/>
      <c r="S195" s="86"/>
      <c r="T195" s="86"/>
      <c r="U195" s="86"/>
    </row>
    <row r="196" spans="4:21" ht="15" customHeight="1" x14ac:dyDescent="0.25">
      <c r="D196" s="86"/>
      <c r="E196" s="86"/>
      <c r="F196" s="86"/>
      <c r="G196" s="86"/>
      <c r="H196" s="86"/>
      <c r="I196" s="86"/>
      <c r="J196" s="86"/>
      <c r="K196" s="86"/>
      <c r="L196" s="86"/>
      <c r="M196" s="86"/>
      <c r="N196" s="86"/>
      <c r="O196" s="86"/>
      <c r="P196" s="86"/>
      <c r="Q196" s="86"/>
      <c r="R196" s="86"/>
      <c r="S196" s="86"/>
      <c r="T196" s="86"/>
      <c r="U196" s="86"/>
    </row>
    <row r="197" spans="4:21" ht="15" customHeight="1" x14ac:dyDescent="0.25">
      <c r="D197" s="86"/>
      <c r="E197" s="86"/>
      <c r="F197" s="86"/>
      <c r="G197" s="86"/>
      <c r="H197" s="86"/>
      <c r="I197" s="86"/>
      <c r="J197" s="86"/>
      <c r="K197" s="86"/>
      <c r="L197" s="86"/>
      <c r="M197" s="86"/>
      <c r="N197" s="86"/>
      <c r="O197" s="86"/>
      <c r="P197" s="86"/>
      <c r="Q197" s="86"/>
      <c r="R197" s="86"/>
      <c r="S197" s="86"/>
      <c r="T197" s="86"/>
      <c r="U197" s="86"/>
    </row>
    <row r="198" spans="4:21" ht="15" customHeight="1" x14ac:dyDescent="0.25">
      <c r="D198" s="86"/>
      <c r="E198" s="86"/>
      <c r="F198" s="86"/>
      <c r="G198" s="86"/>
      <c r="H198" s="86"/>
      <c r="I198" s="86"/>
      <c r="J198" s="86"/>
      <c r="K198" s="86"/>
      <c r="L198" s="86"/>
      <c r="M198" s="86"/>
      <c r="N198" s="86"/>
      <c r="O198" s="86"/>
      <c r="P198" s="86"/>
      <c r="Q198" s="86"/>
      <c r="R198" s="86"/>
      <c r="S198" s="86"/>
      <c r="T198" s="86"/>
      <c r="U198" s="86"/>
    </row>
    <row r="199" spans="4:21" ht="15" customHeight="1" x14ac:dyDescent="0.25">
      <c r="D199" s="86"/>
      <c r="E199" s="86"/>
      <c r="F199" s="86"/>
      <c r="G199" s="86"/>
      <c r="H199" s="86"/>
      <c r="I199" s="86"/>
      <c r="J199" s="86"/>
      <c r="K199" s="86"/>
      <c r="L199" s="86"/>
      <c r="M199" s="86"/>
      <c r="N199" s="86"/>
      <c r="O199" s="86"/>
      <c r="P199" s="86"/>
      <c r="Q199" s="86"/>
      <c r="R199" s="86"/>
      <c r="S199" s="86"/>
      <c r="T199" s="86"/>
      <c r="U199" s="86"/>
    </row>
    <row r="200" spans="4:21" ht="15" customHeight="1" x14ac:dyDescent="0.25">
      <c r="D200" s="86"/>
      <c r="E200" s="86"/>
      <c r="F200" s="86"/>
      <c r="G200" s="86"/>
      <c r="H200" s="86"/>
      <c r="I200" s="86"/>
      <c r="J200" s="86"/>
      <c r="K200" s="86"/>
      <c r="L200" s="86"/>
      <c r="M200" s="86"/>
      <c r="N200" s="86"/>
      <c r="O200" s="86"/>
      <c r="P200" s="86"/>
      <c r="Q200" s="86"/>
      <c r="R200" s="86"/>
      <c r="S200" s="86"/>
      <c r="T200" s="86"/>
      <c r="U200" s="86"/>
    </row>
    <row r="201" spans="4:21" ht="15" customHeight="1" x14ac:dyDescent="0.25">
      <c r="D201" s="86"/>
      <c r="E201" s="86"/>
      <c r="F201" s="86"/>
      <c r="G201" s="86"/>
      <c r="H201" s="86"/>
      <c r="I201" s="86"/>
      <c r="J201" s="86"/>
      <c r="K201" s="86"/>
      <c r="L201" s="86"/>
      <c r="M201" s="86"/>
      <c r="N201" s="86"/>
      <c r="O201" s="86"/>
      <c r="P201" s="86"/>
      <c r="Q201" s="86"/>
      <c r="R201" s="86"/>
      <c r="S201" s="86"/>
      <c r="T201" s="86"/>
      <c r="U201" s="86"/>
    </row>
    <row r="202" spans="4:21" ht="15" customHeight="1" x14ac:dyDescent="0.25">
      <c r="D202" s="86"/>
      <c r="E202" s="86"/>
      <c r="F202" s="86"/>
      <c r="G202" s="86"/>
      <c r="H202" s="86"/>
      <c r="I202" s="86"/>
      <c r="J202" s="86"/>
      <c r="K202" s="86"/>
      <c r="L202" s="86"/>
      <c r="M202" s="86"/>
      <c r="N202" s="86"/>
      <c r="O202" s="86"/>
      <c r="P202" s="86"/>
      <c r="Q202" s="86"/>
      <c r="R202" s="86"/>
      <c r="S202" s="86"/>
      <c r="T202" s="86"/>
      <c r="U202" s="86"/>
    </row>
    <row r="203" spans="4:21" ht="15" customHeight="1" x14ac:dyDescent="0.25">
      <c r="D203" s="86"/>
      <c r="E203" s="86"/>
      <c r="F203" s="86"/>
      <c r="G203" s="86"/>
      <c r="H203" s="86"/>
      <c r="I203" s="86"/>
      <c r="J203" s="86"/>
      <c r="K203" s="86"/>
      <c r="L203" s="86"/>
      <c r="M203" s="86"/>
      <c r="N203" s="86"/>
      <c r="O203" s="86"/>
      <c r="P203" s="86"/>
      <c r="Q203" s="86"/>
      <c r="R203" s="86"/>
      <c r="S203" s="86"/>
      <c r="T203" s="86"/>
      <c r="U203" s="86"/>
    </row>
    <row r="204" spans="4:21" ht="15" customHeight="1" x14ac:dyDescent="0.25">
      <c r="D204" s="86"/>
      <c r="E204" s="86"/>
      <c r="F204" s="86"/>
      <c r="G204" s="86"/>
      <c r="H204" s="86"/>
      <c r="I204" s="86"/>
      <c r="J204" s="86"/>
      <c r="K204" s="86"/>
      <c r="L204" s="86"/>
      <c r="M204" s="86"/>
      <c r="N204" s="86"/>
      <c r="O204" s="86"/>
      <c r="P204" s="86"/>
      <c r="Q204" s="86"/>
      <c r="R204" s="86"/>
      <c r="S204" s="86"/>
      <c r="T204" s="86"/>
      <c r="U204" s="86"/>
    </row>
    <row r="205" spans="4:21" ht="15" customHeight="1" x14ac:dyDescent="0.25">
      <c r="D205" s="86"/>
      <c r="E205" s="86"/>
      <c r="F205" s="86"/>
      <c r="G205" s="86"/>
      <c r="H205" s="86"/>
      <c r="I205" s="86"/>
      <c r="J205" s="86"/>
      <c r="K205" s="86"/>
      <c r="L205" s="86"/>
      <c r="M205" s="86"/>
      <c r="N205" s="86"/>
      <c r="O205" s="86"/>
      <c r="P205" s="86"/>
      <c r="Q205" s="86"/>
      <c r="R205" s="86"/>
      <c r="S205" s="86"/>
      <c r="T205" s="86"/>
      <c r="U205" s="86"/>
    </row>
    <row r="206" spans="4:21" ht="15" customHeight="1" x14ac:dyDescent="0.25">
      <c r="D206" s="86"/>
      <c r="E206" s="86"/>
      <c r="F206" s="86"/>
      <c r="G206" s="86"/>
      <c r="H206" s="86"/>
      <c r="I206" s="86"/>
      <c r="J206" s="86"/>
      <c r="K206" s="86"/>
      <c r="L206" s="86"/>
      <c r="M206" s="86"/>
      <c r="N206" s="86"/>
      <c r="O206" s="86"/>
      <c r="P206" s="86"/>
      <c r="Q206" s="86"/>
      <c r="R206" s="86"/>
      <c r="S206" s="86"/>
      <c r="T206" s="86"/>
      <c r="U206" s="86"/>
    </row>
  </sheetData>
  <sheetProtection sheet="1" objects="1" scenarios="1" selectLockedCells="1" selectUnlockedCells="1"/>
  <mergeCells count="5">
    <mergeCell ref="E8:T13"/>
    <mergeCell ref="E48:T53"/>
    <mergeCell ref="E88:T93"/>
    <mergeCell ref="E128:T133"/>
    <mergeCell ref="E168:T173"/>
  </mergeCells>
  <pageMargins left="0.511811024" right="0.511811024" top="0.78740157499999996" bottom="0.78740157499999996" header="0.31496062000000002" footer="0.31496062000000002"/>
  <pageSetup paperSize="9" scale="8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1">
                <anchor moveWithCells="1">
                  <from>
                    <xdr:col>17</xdr:col>
                    <xdr:colOff>142875</xdr:colOff>
                    <xdr:row>3</xdr:row>
                    <xdr:rowOff>104775</xdr:rowOff>
                  </from>
                  <to>
                    <xdr:col>21</xdr:col>
                    <xdr:colOff>0</xdr:colOff>
                    <xdr:row>4</xdr:row>
                    <xdr:rowOff>161925</xdr:rowOff>
                  </to>
                </anchor>
              </controlPr>
            </control>
          </mc:Choice>
        </mc:AlternateContent>
        <mc:AlternateContent xmlns:mc="http://schemas.openxmlformats.org/markup-compatibility/2006">
          <mc:Choice Requires="x14">
            <control shapeId="11266" r:id="rId5" name="Drop Down 2">
              <controlPr defaultSize="0" autoLine="0" autoPict="0">
                <anchor moveWithCells="1">
                  <from>
                    <xdr:col>15</xdr:col>
                    <xdr:colOff>85725</xdr:colOff>
                    <xdr:row>13</xdr:row>
                    <xdr:rowOff>152400</xdr:rowOff>
                  </from>
                  <to>
                    <xdr:col>16</xdr:col>
                    <xdr:colOff>552450</xdr:colOff>
                    <xdr:row>15</xdr:row>
                    <xdr:rowOff>57150</xdr:rowOff>
                  </to>
                </anchor>
              </controlPr>
            </control>
          </mc:Choice>
        </mc:AlternateContent>
        <mc:AlternateContent xmlns:mc="http://schemas.openxmlformats.org/markup-compatibility/2006">
          <mc:Choice Requires="x14">
            <control shapeId="11267" r:id="rId6" name="Drop Down 3">
              <controlPr defaultSize="0" autoLine="0" autoPict="0">
                <anchor moveWithCells="1">
                  <from>
                    <xdr:col>16</xdr:col>
                    <xdr:colOff>581025</xdr:colOff>
                    <xdr:row>13</xdr:row>
                    <xdr:rowOff>152400</xdr:rowOff>
                  </from>
                  <to>
                    <xdr:col>20</xdr:col>
                    <xdr:colOff>9525</xdr:colOff>
                    <xdr:row>15</xdr:row>
                    <xdr:rowOff>57150</xdr:rowOff>
                  </to>
                </anchor>
              </controlPr>
            </control>
          </mc:Choice>
        </mc:AlternateContent>
        <mc:AlternateContent xmlns:mc="http://schemas.openxmlformats.org/markup-compatibility/2006">
          <mc:Choice Requires="x14">
            <control shapeId="11268" r:id="rId7" name="Drop Down 4">
              <controlPr defaultSize="0" autoLine="0" autoPict="0">
                <anchor moveWithCells="1">
                  <from>
                    <xdr:col>4</xdr:col>
                    <xdr:colOff>0</xdr:colOff>
                    <xdr:row>94</xdr:row>
                    <xdr:rowOff>0</xdr:rowOff>
                  </from>
                  <to>
                    <xdr:col>5</xdr:col>
                    <xdr:colOff>38100</xdr:colOff>
                    <xdr:row>95</xdr:row>
                    <xdr:rowOff>95250</xdr:rowOff>
                  </to>
                </anchor>
              </controlPr>
            </control>
          </mc:Choice>
        </mc:AlternateContent>
        <mc:AlternateContent xmlns:mc="http://schemas.openxmlformats.org/markup-compatibility/2006">
          <mc:Choice Requires="x14">
            <control shapeId="7" r:id="rId8" name="Drop Down 5">
              <controlPr defaultSize="0" autoLine="0" autoPict="0">
                <anchor moveWithCells="1">
                  <from>
                    <xdr:col>4</xdr:col>
                    <xdr:colOff>0</xdr:colOff>
                    <xdr:row>134</xdr:row>
                    <xdr:rowOff>0</xdr:rowOff>
                  </from>
                  <to>
                    <xdr:col>6</xdr:col>
                    <xdr:colOff>85725</xdr:colOff>
                    <xdr:row>135</xdr:row>
                    <xdr:rowOff>95250</xdr:rowOff>
                  </to>
                </anchor>
              </controlPr>
            </control>
          </mc:Choice>
        </mc:AlternateContent>
        <mc:AlternateContent xmlns:mc="http://schemas.openxmlformats.org/markup-compatibility/2006">
          <mc:Choice Requires="x14">
            <control shapeId="11270" r:id="rId9" name="Drop Down 6">
              <controlPr defaultSize="0" autoLine="0" autoPict="0">
                <anchor moveWithCells="1">
                  <from>
                    <xdr:col>4</xdr:col>
                    <xdr:colOff>0</xdr:colOff>
                    <xdr:row>174</xdr:row>
                    <xdr:rowOff>0</xdr:rowOff>
                  </from>
                  <to>
                    <xdr:col>6</xdr:col>
                    <xdr:colOff>85725</xdr:colOff>
                    <xdr:row>175</xdr:row>
                    <xdr:rowOff>95250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18">
    <tabColor rgb="FF00C5C0"/>
  </sheetPr>
  <dimension ref="A1:A4"/>
  <sheetViews>
    <sheetView showGridLines="0" showRowColHeaders="0" zoomScaleNormal="100" workbookViewId="0">
      <pane ySplit="4" topLeftCell="A5" activePane="bottomLeft" state="frozen"/>
      <selection pane="bottomLeft" activeCell="Z9" sqref="Z9"/>
    </sheetView>
  </sheetViews>
  <sheetFormatPr defaultRowHeight="35.1" customHeight="1" x14ac:dyDescent="0.25"/>
  <cols>
    <col min="1" max="2" width="1.7109375" style="19" customWidth="1"/>
    <col min="3"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8434" r:id="rId3" name="Drop Down 2">
              <controlPr defaultSize="0" autoLine="0" autoPict="0">
                <anchor moveWithCells="1">
                  <from>
                    <xdr:col>1</xdr:col>
                    <xdr:colOff>104775</xdr:colOff>
                    <xdr:row>2</xdr:row>
                    <xdr:rowOff>333375</xdr:rowOff>
                  </from>
                  <to>
                    <xdr:col>3</xdr:col>
                    <xdr:colOff>457200</xdr:colOff>
                    <xdr:row>4</xdr:row>
                    <xdr:rowOff>0</xdr:rowOff>
                  </to>
                </anchor>
              </controlPr>
            </control>
          </mc:Choice>
        </mc:AlternateContent>
        <mc:AlternateContent xmlns:mc="http://schemas.openxmlformats.org/markup-compatibility/2006">
          <mc:Choice Requires="x14">
            <control shapeId="18435" r:id="rId4" name="Drop Down 3">
              <controlPr defaultSize="0" autoLine="0" autoPict="0">
                <anchor moveWithCells="1">
                  <from>
                    <xdr:col>3</xdr:col>
                    <xdr:colOff>485775</xdr:colOff>
                    <xdr:row>2</xdr:row>
                    <xdr:rowOff>333375</xdr:rowOff>
                  </from>
                  <to>
                    <xdr:col>6</xdr:col>
                    <xdr:colOff>95250</xdr:colOff>
                    <xdr:row>4</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19">
    <tabColor rgb="FF00C5C0"/>
  </sheetPr>
  <dimension ref="A1:A4"/>
  <sheetViews>
    <sheetView showGridLines="0" showRowColHeaders="0" zoomScaleNormal="100" workbookViewId="0">
      <pane ySplit="4" topLeftCell="A5" activePane="bottomLeft" state="frozen"/>
      <selection pane="bottomLeft" activeCell="X5" sqref="X5"/>
    </sheetView>
  </sheetViews>
  <sheetFormatPr defaultRowHeight="35.1" customHeight="1" x14ac:dyDescent="0.25"/>
  <cols>
    <col min="1" max="2" width="1.7109375" style="19" customWidth="1"/>
    <col min="3"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Drop Down 1">
              <controlPr defaultSize="0" autoLine="0" autoPict="0">
                <anchor moveWithCells="1">
                  <from>
                    <xdr:col>1</xdr:col>
                    <xdr:colOff>104775</xdr:colOff>
                    <xdr:row>2</xdr:row>
                    <xdr:rowOff>333375</xdr:rowOff>
                  </from>
                  <to>
                    <xdr:col>3</xdr:col>
                    <xdr:colOff>457200</xdr:colOff>
                    <xdr:row>4</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20">
    <tabColor rgb="FF00C5C0"/>
  </sheetPr>
  <dimension ref="A1:A4"/>
  <sheetViews>
    <sheetView showGridLines="0" showRowColHeaders="0" zoomScaleNormal="100" workbookViewId="0">
      <pane ySplit="4" topLeftCell="A5" activePane="bottomLeft" state="frozen"/>
      <selection pane="bottomLeft" activeCell="Z5" sqref="Z5"/>
    </sheetView>
  </sheetViews>
  <sheetFormatPr defaultRowHeight="35.1" customHeight="1" x14ac:dyDescent="0.25"/>
  <cols>
    <col min="1" max="2" width="1.7109375" style="19" customWidth="1"/>
    <col min="3" max="16384" width="9.140625" style="19"/>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81" r:id="rId3" name="Drop Down 1">
              <controlPr defaultSize="0" autoLine="0" autoPict="0">
                <anchor moveWithCells="1">
                  <from>
                    <xdr:col>1</xdr:col>
                    <xdr:colOff>104775</xdr:colOff>
                    <xdr:row>2</xdr:row>
                    <xdr:rowOff>333375</xdr:rowOff>
                  </from>
                  <to>
                    <xdr:col>6</xdr:col>
                    <xdr:colOff>590550</xdr:colOff>
                    <xdr:row>4</xdr:row>
                    <xdr:rowOff>0</xdr:rowOff>
                  </to>
                </anchor>
              </controlPr>
            </control>
          </mc:Choice>
        </mc:AlternateContent>
        <mc:AlternateContent xmlns:mc="http://schemas.openxmlformats.org/markup-compatibility/2006">
          <mc:Choice Requires="x14">
            <control shapeId="20482" r:id="rId4" name="Drop Down 2">
              <controlPr defaultSize="0" autoLine="0" autoPict="0">
                <anchor moveWithCells="1">
                  <from>
                    <xdr:col>12</xdr:col>
                    <xdr:colOff>95250</xdr:colOff>
                    <xdr:row>2</xdr:row>
                    <xdr:rowOff>333375</xdr:rowOff>
                  </from>
                  <to>
                    <xdr:col>17</xdr:col>
                    <xdr:colOff>85725</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23</vt:i4>
      </vt:variant>
      <vt:variant>
        <vt:lpstr>Intervalos Nomeados</vt:lpstr>
      </vt:variant>
      <vt:variant>
        <vt:i4>2</vt:i4>
      </vt:variant>
    </vt:vector>
  </HeadingPairs>
  <TitlesOfParts>
    <vt:vector size="25" baseType="lpstr">
      <vt:lpstr>BH (1)</vt:lpstr>
      <vt:lpstr>BH (2)</vt:lpstr>
      <vt:lpstr>BH (3)</vt:lpstr>
      <vt:lpstr>Suporte</vt:lpstr>
      <vt:lpstr>Info</vt:lpstr>
      <vt:lpstr>Acesso</vt:lpstr>
      <vt:lpstr>GO</vt:lpstr>
      <vt:lpstr>Aprendizado</vt:lpstr>
      <vt:lpstr>Início</vt:lpstr>
      <vt:lpstr>Cadastros</vt:lpstr>
      <vt:lpstr>Cad</vt:lpstr>
      <vt:lpstr>Metas</vt:lpstr>
      <vt:lpstr>Metas2</vt:lpstr>
      <vt:lpstr>Lançamentos</vt:lpstr>
      <vt:lpstr>Lançamentos (2)</vt:lpstr>
      <vt:lpstr>Controles</vt:lpstr>
      <vt:lpstr>Relatórios</vt:lpstr>
      <vt:lpstr>Evolução</vt:lpstr>
      <vt:lpstr>Analítico</vt:lpstr>
      <vt:lpstr>Impressão</vt:lpstr>
      <vt:lpstr>Dashboard</vt:lpstr>
      <vt:lpstr>Dashboard2</vt:lpstr>
      <vt:lpstr>Dashboard3</vt:lpstr>
      <vt:lpstr>Ano</vt:lpstr>
      <vt:lpstr>Impressão!Area_de_impressao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Usuário</cp:lastModifiedBy>
  <cp:lastPrinted>2021-08-11T01:22:12Z</cp:lastPrinted>
  <dcterms:created xsi:type="dcterms:W3CDTF">2020-09-21T15:46:55Z</dcterms:created>
  <dcterms:modified xsi:type="dcterms:W3CDTF">2026-01-14T13:11:18Z</dcterms:modified>
</cp:coreProperties>
</file>